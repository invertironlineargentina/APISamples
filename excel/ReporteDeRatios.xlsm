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F:\Proyectos\APIs\APISamples\excel\"/>
    </mc:Choice>
  </mc:AlternateContent>
  <bookViews>
    <workbookView xWindow="0" yWindow="420" windowWidth="19200" windowHeight="10395"/>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 r:id="rId8"/>
  </externalReferences>
  <definedNames>
    <definedName name="_xlnm.Print_Area" localSheetId="5">Disclaimer!$A$1:$S$36</definedName>
    <definedName name="_xlnm.Print_Area" localSheetId="3">Earnings!$A$1:$AA$119</definedName>
    <definedName name="_xlnm.Print_Area" localSheetId="2">Fundamentals!$A$1:$W$117</definedName>
    <definedName name="_xlnm.Print_Area" localSheetId="4">Glosario!$A$1:$K$133</definedName>
    <definedName name="_xlnm.Print_Area" localSheetId="0">Heatmap!$B$3:$R$92</definedName>
    <definedName name="_xlnm.Print_Area" localSheetId="1">Mercado!$B$1:$Y$124</definedName>
    <definedName name="CIQWBGuid" hidden="1">"cddf7c10-2bd3-45f5-9c6e-436007013129"</definedName>
    <definedName name="fechas">'[1]Hetmap CA'!$P$2:$AA$2</definedName>
    <definedName name="precios">'[1]Hetmap CA'!$B$4:$N$78</definedName>
    <definedName name="rendimientos">'[1]Hetmap CA'!$P$4:$AA$78</definedName>
    <definedName name="RICs">'[1]Hetmap CA'!$A$4:$A$78</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8" i="6" l="1"/>
  <c r="B144" i="5"/>
  <c r="B145" i="5" s="1"/>
  <c r="B146" i="5" s="1"/>
  <c r="B140" i="5"/>
  <c r="B141" i="5" s="1"/>
  <c r="B142" i="5" s="1"/>
  <c r="P98" i="5"/>
  <c r="G85" i="5"/>
  <c r="G84" i="5"/>
  <c r="G83" i="5"/>
  <c r="G82" i="5"/>
  <c r="G81" i="5"/>
  <c r="G80" i="5"/>
  <c r="G79" i="5"/>
  <c r="G78" i="5"/>
  <c r="G77" i="5"/>
  <c r="G76" i="5"/>
  <c r="G75" i="5"/>
  <c r="G74" i="5"/>
  <c r="G73" i="5"/>
  <c r="G72" i="5"/>
  <c r="G71" i="5"/>
  <c r="G70" i="5"/>
  <c r="G69" i="5"/>
  <c r="G68" i="5"/>
  <c r="G67" i="5"/>
  <c r="G66" i="5"/>
  <c r="G65" i="5"/>
  <c r="G64" i="5"/>
  <c r="G63" i="5"/>
  <c r="G62" i="5"/>
  <c r="G61" i="5"/>
  <c r="G60" i="5"/>
  <c r="G59" i="5"/>
  <c r="G57" i="5"/>
  <c r="G56" i="5"/>
  <c r="G55" i="5"/>
  <c r="G54" i="5"/>
  <c r="G53" i="5"/>
  <c r="G52" i="5"/>
  <c r="G51" i="5"/>
  <c r="G50" i="5"/>
  <c r="G49" i="5"/>
</calcChain>
</file>

<file path=xl/sharedStrings.xml><?xml version="1.0" encoding="utf-8"?>
<sst xmlns="http://schemas.openxmlformats.org/spreadsheetml/2006/main" count="1916" uniqueCount="466">
  <si>
    <t>Reporte de ratios Argentina</t>
  </si>
  <si>
    <t>Heatmap de Mercado</t>
  </si>
  <si>
    <t>Rendimientos calculados en base al precio de cierre al último día hábil de cada mes</t>
  </si>
  <si>
    <t>Variación MoM</t>
  </si>
  <si>
    <t>Ticker</t>
  </si>
  <si>
    <t>Evolución de Precios - Últimos 12 meses</t>
  </si>
  <si>
    <t>rdto. Acum. 12 M</t>
  </si>
  <si>
    <t>PSUR</t>
  </si>
  <si>
    <t>MERA</t>
  </si>
  <si>
    <t>DOME</t>
  </si>
  <si>
    <t>POLL</t>
  </si>
  <si>
    <t>INAG</t>
  </si>
  <si>
    <t>HARG</t>
  </si>
  <si>
    <t>INDU</t>
  </si>
  <si>
    <t>CELU</t>
  </si>
  <si>
    <t>PATY</t>
  </si>
  <si>
    <t>LONG</t>
  </si>
  <si>
    <t>TS</t>
  </si>
  <si>
    <t>INVJ</t>
  </si>
  <si>
    <t>TEF</t>
  </si>
  <si>
    <t>APBR</t>
  </si>
  <si>
    <t>YPFD</t>
  </si>
  <si>
    <t>ESME</t>
  </si>
  <si>
    <t>FIPL</t>
  </si>
  <si>
    <t>AGRO</t>
  </si>
  <si>
    <t>COLO</t>
  </si>
  <si>
    <t>CARC</t>
  </si>
  <si>
    <t>GARO</t>
  </si>
  <si>
    <t>RICH</t>
  </si>
  <si>
    <t>PATA</t>
  </si>
  <si>
    <t>MORI</t>
  </si>
  <si>
    <t>CADO</t>
  </si>
  <si>
    <t>VALO</t>
  </si>
  <si>
    <t>RIGO</t>
  </si>
  <si>
    <t>TECO2</t>
  </si>
  <si>
    <t>IRCP</t>
  </si>
  <si>
    <t>DYCA</t>
  </si>
  <si>
    <t>OEST</t>
  </si>
  <si>
    <t>GRIM</t>
  </si>
  <si>
    <t>BHIP</t>
  </si>
  <si>
    <t>BMA</t>
  </si>
  <si>
    <t>CECO2</t>
  </si>
  <si>
    <t>AUSO</t>
  </si>
  <si>
    <t>LEDE</t>
  </si>
  <si>
    <t>EDN</t>
  </si>
  <si>
    <t>GCLA</t>
  </si>
  <si>
    <t>CTIO</t>
  </si>
  <si>
    <t>MOLI</t>
  </si>
  <si>
    <t>FERR</t>
  </si>
  <si>
    <t>GBAN</t>
  </si>
  <si>
    <t>IRSA</t>
  </si>
  <si>
    <t>MOLA</t>
  </si>
  <si>
    <t>LOMA</t>
  </si>
  <si>
    <t>TGSU2</t>
  </si>
  <si>
    <t>CRES</t>
  </si>
  <si>
    <t>PGR</t>
  </si>
  <si>
    <t>GGAL</t>
  </si>
  <si>
    <t>HAVA</t>
  </si>
  <si>
    <t>SEMI</t>
  </si>
  <si>
    <t>BPAT</t>
  </si>
  <si>
    <t>BOLT</t>
  </si>
  <si>
    <t>MIRG</t>
  </si>
  <si>
    <t>FRAN</t>
  </si>
  <si>
    <t>TRAN</t>
  </si>
  <si>
    <t>COME</t>
  </si>
  <si>
    <t>CEPU</t>
  </si>
  <si>
    <t>SAMI</t>
  </si>
  <si>
    <t>ALUA</t>
  </si>
  <si>
    <t>TGLT</t>
  </si>
  <si>
    <t>BYMA</t>
  </si>
  <si>
    <t>CAPX</t>
  </si>
  <si>
    <t>CAPU</t>
  </si>
  <si>
    <t>ROSE</t>
  </si>
  <si>
    <t>PAMP</t>
  </si>
  <si>
    <t>CVH</t>
  </si>
  <si>
    <t>TGNO4</t>
  </si>
  <si>
    <t>INTR</t>
  </si>
  <si>
    <t>BRIO</t>
  </si>
  <si>
    <t>TXAR</t>
  </si>
  <si>
    <t>CGPA2</t>
  </si>
  <si>
    <t>METR</t>
  </si>
  <si>
    <t>DGCU2</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</si>
  <si>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</si>
  <si>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</si>
  <si>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</si>
  <si>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</si>
  <si>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</si>
  <si>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</si>
  <si>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</si>
  <si>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</si>
  <si>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</si>
  <si>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</si>
  <si>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</si>
  <si>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</si>
  <si>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</si>
  <si>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</si>
  <si>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</si>
  <si>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Abr</t>
  </si>
  <si>
    <t>30 días</t>
  </si>
  <si>
    <t>90 días</t>
  </si>
  <si>
    <t>Mkt cap (Mil mill)</t>
  </si>
  <si>
    <t>EV (Mil mill)</t>
  </si>
  <si>
    <t>EV/EBITDA</t>
  </si>
  <si>
    <t>P/S</t>
  </si>
  <si>
    <t>P/E</t>
  </si>
  <si>
    <t>P/E est.</t>
  </si>
  <si>
    <t>P/B</t>
  </si>
  <si>
    <t>P/FCF</t>
  </si>
  <si>
    <t>CONSUMO BÁSICO</t>
  </si>
  <si>
    <t>Promedio</t>
  </si>
  <si>
    <t>Prom.</t>
  </si>
  <si>
    <t>CONSUMO DISCRECIONAL</t>
  </si>
  <si>
    <t>ENERGÍA</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</si>
  <si>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</si>
  <si>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</si>
  <si>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</si>
  <si>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</si>
  <si>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</si>
  <si>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</si>
  <si>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</si>
  <si>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</si>
  <si>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</si>
  <si>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</si>
  <si>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</si>
  <si>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</si>
  <si>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</si>
  <si>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</si>
  <si>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</si>
  <si>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</si>
  <si>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</si>
  <si>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</si>
  <si>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</si>
  <si>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</si>
  <si>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</si>
  <si>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</si>
  <si>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</si>
  <si>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</si>
  <si>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</si>
  <si>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</si>
  <si>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</si>
  <si>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</si>
  <si>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</si>
  <si>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</si>
  <si>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</si>
  <si>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</si>
  <si>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</si>
  <si>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</si>
  <si>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</si>
  <si>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</si>
  <si>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</si>
  <si>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</si>
  <si>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</si>
  <si>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4Q2018</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</si>
  <si>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</si>
  <si>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</si>
  <si>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</si>
  <si>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</si>
  <si>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</si>
  <si>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</si>
  <si>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</si>
  <si>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</si>
  <si>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</si>
  <si>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</si>
  <si>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</si>
  <si>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</si>
  <si>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</si>
  <si>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</si>
  <si>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</si>
  <si>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</si>
  <si>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</si>
  <si>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</si>
  <si>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</si>
  <si>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4 Q</t>
  </si>
  <si>
    <t>3 Q</t>
  </si>
  <si>
    <t>2 Q</t>
  </si>
  <si>
    <t>1 Q</t>
  </si>
  <si>
    <t>4Q</t>
  </si>
  <si>
    <t>1Q</t>
  </si>
  <si>
    <t>3Q</t>
  </si>
  <si>
    <t>PATA.BA</t>
  </si>
  <si>
    <t>MOLA.BA</t>
  </si>
  <si>
    <t>MOLI.BA</t>
  </si>
  <si>
    <t>ESME.BA</t>
  </si>
  <si>
    <t>SAMI.BA</t>
  </si>
  <si>
    <t>LEDE.BA</t>
  </si>
  <si>
    <t>INVJ.BA</t>
  </si>
  <si>
    <t>PATY.BA</t>
  </si>
  <si>
    <t>INTR.BA</t>
  </si>
  <si>
    <t>SEMI.BA</t>
  </si>
  <si>
    <t>MORI.BA</t>
  </si>
  <si>
    <t>MIRG.BA</t>
  </si>
  <si>
    <t>HAVA.BA</t>
  </si>
  <si>
    <t>GRIM.BA</t>
  </si>
  <si>
    <t>TGLT.BA</t>
  </si>
  <si>
    <t>LONG.BA</t>
  </si>
  <si>
    <t>PSUR.BA</t>
  </si>
  <si>
    <t>DOME.BA</t>
  </si>
  <si>
    <t>APBR.BA</t>
  </si>
  <si>
    <t>TS.BA</t>
  </si>
  <si>
    <t>YPFD.BA</t>
  </si>
  <si>
    <t>TGSU2.BA</t>
  </si>
  <si>
    <t>TGNO4.BA</t>
  </si>
  <si>
    <t>PGR.BA</t>
  </si>
  <si>
    <t>COME.BA</t>
  </si>
  <si>
    <t>CARC.BA</t>
  </si>
  <si>
    <t>GGAL.BA</t>
  </si>
  <si>
    <t>BMA.BA</t>
  </si>
  <si>
    <t>FRAN.BA</t>
  </si>
  <si>
    <t>BRIO.BA</t>
  </si>
  <si>
    <t>BYMA.BA</t>
  </si>
  <si>
    <t>BPAT.BA</t>
  </si>
  <si>
    <t>BHIP.BA</t>
  </si>
  <si>
    <t>VALO.BA</t>
  </si>
  <si>
    <t>AUSO.BA</t>
  </si>
  <si>
    <t>OEST.BA</t>
  </si>
  <si>
    <t>CAPU.BA</t>
  </si>
  <si>
    <t>CADO.BA</t>
  </si>
  <si>
    <t>FERR.BA</t>
  </si>
  <si>
    <t>DYCA.BA</t>
  </si>
  <si>
    <t>AGRO.BA</t>
  </si>
  <si>
    <t>GARO.BA</t>
  </si>
  <si>
    <t>INAG.BA</t>
  </si>
  <si>
    <t>POLL.BA</t>
  </si>
  <si>
    <t>IRSA.BA</t>
  </si>
  <si>
    <t>IRCP.BA</t>
  </si>
  <si>
    <t>CRES.BA</t>
  </si>
  <si>
    <t>CTIO.BA</t>
  </si>
  <si>
    <t>TXAR.BA</t>
  </si>
  <si>
    <t>LOMA.BA</t>
  </si>
  <si>
    <t>ALUA.BA</t>
  </si>
  <si>
    <t>HARG.BA</t>
  </si>
  <si>
    <t>INDU.BA</t>
  </si>
  <si>
    <t>RIGO.BA</t>
  </si>
  <si>
    <t>CELU.BA</t>
  </si>
  <si>
    <t>COLO.BA</t>
  </si>
  <si>
    <t>FIPL.BA</t>
  </si>
  <si>
    <t>RICH.BA</t>
  </si>
  <si>
    <t>ROSE.BA</t>
  </si>
  <si>
    <t>PAMP.BA</t>
  </si>
  <si>
    <t>EDN.BA</t>
  </si>
  <si>
    <t>TRAN.BA</t>
  </si>
  <si>
    <t>METR.BA</t>
  </si>
  <si>
    <t>GBAN.BA</t>
  </si>
  <si>
    <t>CAPX.BA</t>
  </si>
  <si>
    <t>CGPA2.BA</t>
  </si>
  <si>
    <t>DGCU2.BA</t>
  </si>
  <si>
    <t>CEPU.BA</t>
  </si>
  <si>
    <t>CECO2.BA</t>
  </si>
  <si>
    <t>BOLT.BA</t>
  </si>
  <si>
    <t>TEF.BA</t>
  </si>
  <si>
    <t>TECO2.BA</t>
  </si>
  <si>
    <t>CVH.BA</t>
  </si>
  <si>
    <t>GCLA.BA</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</si>
  <si>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</si>
  <si>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</si>
  <si>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</si>
  <si>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</si>
  <si>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</si>
  <si>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</si>
  <si>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</si>
  <si>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</si>
  <si>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</si>
  <si>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</si>
  <si>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</si>
  <si>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</si>
  <si>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</si>
  <si>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</si>
  <si>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</si>
  <si>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</si>
  <si>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</si>
  <si>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</si>
  <si>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</si>
  <si>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</si>
  <si>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</si>
  <si>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</si>
  <si>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</si>
  <si>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</si>
  <si>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</si>
  <si>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</si>
  <si>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</si>
  <si>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</si>
  <si>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</si>
  <si>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</si>
  <si>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</si>
  <si>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</si>
  <si>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</si>
  <si>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</si>
  <si>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</si>
  <si>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</si>
  <si>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</si>
  <si>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</si>
  <si>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</si>
  <si>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</si>
  <si>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</si>
  <si>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</si>
  <si>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</si>
  <si>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</si>
  <si>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</si>
  <si>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</si>
  <si>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</si>
  <si>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</si>
  <si>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</si>
  <si>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</si>
  <si>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</si>
  <si>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</si>
  <si>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</si>
  <si>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</si>
  <si>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</si>
  <si>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</si>
  <si>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</si>
  <si>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</si>
  <si>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</si>
  <si>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</si>
  <si>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</si>
  <si>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</si>
  <si>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</si>
  <si>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</si>
  <si>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</si>
  <si>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</si>
  <si>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</si>
  <si>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</si>
  <si>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</si>
  <si>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</si>
  <si>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</si>
  <si>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</si>
  <si>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</si>
  <si>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</si>
  <si>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</si>
  <si>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</si>
  <si>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</si>
  <si>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</si>
  <si>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</si>
  <si>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</si>
  <si>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</si>
  <si>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</si>
  <si>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</si>
  <si>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</si>
  <si>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</si>
  <si>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</si>
  <si>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</si>
  <si>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CABLEVISION HOLDING S.A.</t>
  </si>
  <si>
    <t>DISTRIBUIDORA DE GAS CUYANA S.A.</t>
  </si>
  <si>
    <t>DOMEC S.A.</t>
  </si>
  <si>
    <t>DYCASA SOCIEDAD ANONIMA</t>
  </si>
  <si>
    <t>EMPRESA DISTRIB. Y COMERCIALZADORA NORTE S.A. (EDENOR S.A.)</t>
  </si>
  <si>
    <t>BODEGAS ESMERALDA S.A.</t>
  </si>
  <si>
    <t>FERRUM S.A.</t>
  </si>
  <si>
    <t>FIPLASTO S.A.</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</si>
  <si>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</si>
  <si>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</si>
  <si>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</si>
  <si>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</si>
  <si>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</si>
  <si>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</si>
  <si>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</si>
  <si>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</si>
  <si>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</si>
  <si>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</si>
  <si>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</si>
  <si>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</si>
  <si>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</si>
  <si>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</si>
  <si>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Peso</t>
  </si>
  <si>
    <t>SUPV</t>
  </si>
  <si>
    <t>Período 1/1/2019 - 31/03/2019</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</si>
  <si>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</si>
  <si>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</si>
  <si>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</si>
  <si>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</si>
  <si>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</si>
  <si>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</si>
  <si>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</si>
  <si>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</si>
  <si>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</si>
  <si>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</si>
  <si>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</si>
  <si>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</si>
  <si>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</si>
  <si>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</si>
  <si>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</si>
  <si>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</si>
  <si>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</si>
  <si>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</si>
  <si>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</si>
  <si>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</si>
  <si>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</si>
  <si>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</si>
  <si>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</si>
  <si>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</si>
  <si>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</si>
  <si>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</si>
  <si>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</si>
  <si>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</si>
  <si>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</si>
  <si>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</si>
  <si>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</si>
  <si>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</si>
  <si>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</si>
  <si>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</si>
  <si>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</si>
  <si>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</si>
  <si>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</si>
  <si>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</si>
  <si>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</si>
  <si>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</si>
  <si>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</si>
  <si>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</si>
  <si>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</si>
  <si>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</si>
  <si>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</si>
  <si>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</si>
  <si>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</si>
  <si>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</si>
  <si>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</si>
  <si>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</si>
  <si>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</si>
  <si>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</si>
  <si>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</si>
  <si>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</si>
  <si>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</si>
  <si>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</si>
  <si>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</si>
  <si>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</si>
  <si>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</si>
  <si>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</si>
  <si>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</si>
  <si>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</si>
  <si>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</si>
  <si>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</si>
  <si>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</si>
  <si>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</si>
  <si>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</si>
  <si>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</si>
  <si>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</si>
  <si>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</si>
  <si>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Gerente de Inversiones</t>
  </si>
  <si>
    <t>abianchi@invertironline.com</t>
  </si>
  <si>
    <t>Flavia Matsuda</t>
  </si>
  <si>
    <t>Analista Cuantitativo</t>
  </si>
  <si>
    <t>fmatsuda@invertironline.com</t>
  </si>
  <si>
    <t>Mariano Gasparoli</t>
  </si>
  <si>
    <t>Analista de Research</t>
  </si>
  <si>
    <t>mgasparoli@invertironline.com</t>
  </si>
  <si>
    <t>@InvertirOnline</t>
  </si>
  <si>
    <t>InvertirOnline.com</t>
  </si>
  <si>
    <t>invertirOnline</t>
  </si>
  <si>
    <t>invertirOnline.com</t>
  </si>
  <si>
    <t>Grales., Comerc. y Admin.</t>
  </si>
  <si>
    <t>Remuneraciones</t>
  </si>
  <si>
    <t>Marketing y Publicidad</t>
  </si>
  <si>
    <t>Depreciación</t>
  </si>
  <si>
    <t>25 de Abril  de 2019</t>
  </si>
  <si>
    <t>May-18</t>
  </si>
  <si>
    <t>Jun-18</t>
  </si>
  <si>
    <t>Jul-18</t>
  </si>
  <si>
    <t>Aug-18</t>
  </si>
  <si>
    <t>Sep-18</t>
  </si>
  <si>
    <t>Oct-18</t>
  </si>
  <si>
    <t>Nov-18</t>
  </si>
  <si>
    <t>Dec-18</t>
  </si>
  <si>
    <t>Jan-19</t>
  </si>
  <si>
    <t>Feb-19</t>
  </si>
  <si>
    <t>Mar-19</t>
  </si>
  <si>
    <t>Apr-19</t>
  </si>
  <si>
    <t>-</t>
  </si>
  <si>
    <t>MERA.BA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</si>
</sst>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0.00_);&quot;&lt;&quot;\-0%"/>
    <numFmt numFmtId="165" formatCode="&quot;&gt;&quot;0%"/>
    <numFmt numFmtId="166" formatCode="0.0%"/>
    <numFmt numFmtId="167" formatCode="_(* #,##0.0_);_(* \(#,##0.0\);_(* &quot;-&quot;??_);_(@_)"/>
    <numFmt numFmtId="168" formatCode="0.0"/>
    <numFmt numFmtId="169" formatCode="_(* #,##0_);_(* \(#,##0\);_(* &quot;-&quot;??_);_(@_)"/>
    <numFmt numFmtId="171" formatCode="m/d/yy;@"/>
  </numFmts>
  <fonts count="4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sz val="8"/>
      <color theme="1"/>
      <name val="Calibri"/>
      <family val="2"/>
      <scheme val="minor"/>
    </font>
    <font>
      <b/>
      <sz val="10.5"/>
      <color theme="1"/>
      <name val="Calibri"/>
      <family val="2"/>
      <scheme val="minor"/>
    </font>
    <font>
      <sz val="10"/>
      <color theme="1"/>
      <name val="Calibri"/>
      <family val="2"/>
      <scheme val="minor"/>
    </font>
    <font>
      <u/>
      <sz val="11"/>
      <color theme="1"/>
      <name val="Calibri"/>
      <family val="2"/>
      <scheme val="minor"/>
    </font>
    <font>
      <b/>
      <sz val="11"/>
      <name val="Calibri"/>
      <family val="2"/>
      <scheme val="minor"/>
    </font>
    <font>
      <sz val="10"/>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s>
  <fills count="8">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30">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theme="0"/>
      </left>
      <right style="thin">
        <color theme="0"/>
      </right>
      <top/>
      <bottom/>
      <diagonal/>
    </border>
    <border>
      <left style="thin">
        <color theme="0"/>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style="thin">
        <color theme="0"/>
      </right>
      <top style="thin">
        <color theme="0"/>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cellStyleXfs>
  <cellXfs count="327">
    <xf numFmtId="0" fontId="0" fillId="0" borderId="0" xfId="0"/>
    <xf numFmtId="14" fontId="0" fillId="0" borderId="0" xfId="0" applyNumberFormat="1"/>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5" xfId="3" applyFont="1" applyFill="1" applyBorder="1" applyAlignment="1">
      <alignment horizontal="center" vertical="center" wrapText="1"/>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10" xfId="3" applyFont="1" applyFill="1" applyBorder="1" applyAlignment="1">
      <alignment horizontal="center" vertical="center"/>
    </xf>
    <xf numFmtId="0" fontId="10" fillId="2" borderId="10" xfId="3" applyFont="1" applyFill="1" applyBorder="1" applyAlignment="1">
      <alignment horizontal="center" vertical="center" wrapText="1"/>
    </xf>
    <xf numFmtId="0" fontId="10" fillId="2" borderId="11" xfId="3" applyFont="1" applyFill="1" applyBorder="1" applyAlignment="1">
      <alignment horizontal="center" vertical="center" wrapText="1"/>
    </xf>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14" xfId="3" applyFont="1" applyFill="1" applyBorder="1" applyAlignment="1">
      <alignment horizontal="center" vertical="center" wrapText="1"/>
    </xf>
    <xf numFmtId="0" fontId="10" fillId="2" borderId="15" xfId="3" applyFont="1" applyFill="1" applyBorder="1" applyAlignment="1">
      <alignment horizontal="center" vertical="center" wrapText="1"/>
    </xf>
    <xf numFmtId="0" fontId="10" fillId="2" borderId="16" xfId="3" applyFont="1" applyFill="1" applyBorder="1" applyAlignment="1">
      <alignment horizontal="center" vertical="center"/>
    </xf>
    <xf numFmtId="0" fontId="10" fillId="2" borderId="16" xfId="3" applyFont="1" applyFill="1" applyBorder="1" applyAlignment="1">
      <alignment horizontal="center" vertical="center" wrapText="1"/>
    </xf>
    <xf numFmtId="0" fontId="10" fillId="2" borderId="17" xfId="3" applyFont="1" applyFill="1" applyBorder="1" applyAlignment="1">
      <alignment horizontal="center" vertical="center" wrapText="1"/>
    </xf>
    <xf numFmtId="0" fontId="0" fillId="0" borderId="7" xfId="0" applyFill="1" applyBorder="1"/>
    <xf numFmtId="10" fontId="1" fillId="0" borderId="18"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43" fontId="0" fillId="0" borderId="0" xfId="1" applyFont="1"/>
    <xf numFmtId="0" fontId="0" fillId="0" borderId="15" xfId="0" applyFill="1" applyBorder="1"/>
    <xf numFmtId="0" fontId="0" fillId="0" borderId="0" xfId="0" applyBorder="1" applyAlignment="1">
      <alignment horizontal="right"/>
    </xf>
    <xf numFmtId="0" fontId="0" fillId="0" borderId="12" xfId="0" applyFill="1" applyBorder="1"/>
    <xf numFmtId="0" fontId="0" fillId="0" borderId="16" xfId="0" applyFill="1" applyBorder="1" applyAlignment="1">
      <alignment horizontal="right"/>
    </xf>
    <xf numFmtId="0" fontId="0" fillId="0" borderId="16"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9"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1" xfId="3" applyFont="1" applyFill="1" applyBorder="1" applyAlignment="1">
      <alignment horizontal="center" vertical="center"/>
    </xf>
    <xf numFmtId="0" fontId="10" fillId="2" borderId="22" xfId="3" applyFont="1" applyFill="1" applyBorder="1" applyAlignment="1">
      <alignment horizontal="center" vertical="center"/>
    </xf>
    <xf numFmtId="0" fontId="10" fillId="2" borderId="23" xfId="3" applyFont="1" applyFill="1" applyBorder="1" applyAlignment="1">
      <alignment horizontal="center" vertical="center"/>
    </xf>
    <xf numFmtId="0" fontId="10" fillId="2" borderId="24"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25" xfId="3" applyFont="1" applyFill="1" applyBorder="1" applyAlignment="1">
      <alignment horizontal="center" vertical="center"/>
    </xf>
    <xf numFmtId="0" fontId="10" fillId="2" borderId="26"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0" xfId="3" applyFont="1" applyFill="1" applyBorder="1" applyAlignment="1">
      <alignment horizontal="center" vertical="center" wrapText="1"/>
    </xf>
    <xf numFmtId="0" fontId="10" fillId="2" borderId="27" xfId="3" applyFont="1" applyFill="1" applyBorder="1" applyAlignment="1">
      <alignment horizontal="center" vertical="center" wrapText="1"/>
    </xf>
    <xf numFmtId="0" fontId="10" fillId="2" borderId="20" xfId="3" applyFont="1" applyFill="1" applyBorder="1" applyAlignment="1">
      <alignment vertical="center" wrapText="1"/>
    </xf>
    <xf numFmtId="0" fontId="10" fillId="2" borderId="20" xfId="3" applyNumberFormat="1" applyFont="1" applyFill="1" applyBorder="1" applyAlignment="1">
      <alignment horizontal="center" vertical="center" wrapText="1"/>
    </xf>
    <xf numFmtId="0" fontId="10" fillId="2" borderId="28"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43" fontId="0" fillId="0" borderId="0" xfId="1" applyFont="1" applyAlignment="1">
      <alignment horizontal="center" vertical="center"/>
    </xf>
    <xf numFmtId="166"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43" fontId="0" fillId="0" borderId="0" xfId="1" applyFont="1" applyAlignment="1">
      <alignment horizontal="center"/>
    </xf>
    <xf numFmtId="9" fontId="0" fillId="0" borderId="0" xfId="2" applyNumberFormat="1" applyFont="1" applyAlignment="1">
      <alignment horizontal="center"/>
    </xf>
    <xf numFmtId="167" fontId="0" fillId="0" borderId="0" xfId="1" applyNumberFormat="1" applyFont="1" applyAlignment="1">
      <alignment horizontal="center"/>
    </xf>
    <xf numFmtId="0" fontId="0" fillId="0" borderId="0" xfId="0" applyAlignment="1">
      <alignment horizontal="right"/>
    </xf>
    <xf numFmtId="167" fontId="0" fillId="0" borderId="16" xfId="1" applyNumberFormat="1" applyFont="1" applyBorder="1" applyAlignment="1">
      <alignment horizontal="center"/>
    </xf>
    <xf numFmtId="0" fontId="15" fillId="0" borderId="10" xfId="0" applyFont="1" applyBorder="1"/>
    <xf numFmtId="0" fontId="0" fillId="0" borderId="10" xfId="0" applyBorder="1"/>
    <xf numFmtId="166" fontId="0" fillId="0" borderId="10" xfId="0" applyNumberFormat="1" applyFont="1" applyBorder="1" applyAlignment="1">
      <alignment horizontal="center"/>
    </xf>
    <xf numFmtId="9" fontId="0" fillId="0" borderId="10" xfId="0" applyNumberFormat="1" applyFont="1" applyBorder="1" applyAlignment="1">
      <alignment horizontal="center"/>
    </xf>
    <xf numFmtId="43" fontId="0" fillId="0" borderId="10" xfId="1" applyFont="1" applyBorder="1" applyAlignment="1">
      <alignment horizontal="center"/>
    </xf>
    <xf numFmtId="167" fontId="0" fillId="0" borderId="10" xfId="1" applyNumberFormat="1" applyFont="1" applyBorder="1" applyAlignment="1">
      <alignment horizontal="center"/>
    </xf>
    <xf numFmtId="2" fontId="0" fillId="0" borderId="10" xfId="0" applyNumberFormat="1" applyFont="1" applyBorder="1" applyAlignment="1">
      <alignment horizontal="center"/>
    </xf>
    <xf numFmtId="167" fontId="0" fillId="0" borderId="10" xfId="0" applyNumberFormat="1" applyFont="1" applyBorder="1" applyAlignment="1">
      <alignment horizontal="center"/>
    </xf>
    <xf numFmtId="168" fontId="0" fillId="0" borderId="10" xfId="0" applyNumberFormat="1" applyFont="1" applyBorder="1" applyAlignment="1">
      <alignment horizontal="center"/>
    </xf>
    <xf numFmtId="0" fontId="15" fillId="0" borderId="10" xfId="0" applyFont="1" applyBorder="1" applyAlignment="1">
      <alignment horizontal="right"/>
    </xf>
    <xf numFmtId="9" fontId="0" fillId="0" borderId="0" xfId="2" applyNumberFormat="1" applyFont="1"/>
    <xf numFmtId="167" fontId="0" fillId="0" borderId="0" xfId="1" applyNumberFormat="1" applyFont="1"/>
    <xf numFmtId="166" fontId="0" fillId="0" borderId="0" xfId="2" applyNumberFormat="1" applyFont="1"/>
    <xf numFmtId="0" fontId="3" fillId="3" borderId="0" xfId="0" applyFont="1" applyFill="1"/>
    <xf numFmtId="9" fontId="3" fillId="3" borderId="0" xfId="2" applyFont="1" applyFill="1"/>
    <xf numFmtId="43" fontId="3" fillId="3" borderId="0" xfId="1" applyFont="1" applyFill="1"/>
    <xf numFmtId="9" fontId="3" fillId="3" borderId="0" xfId="2" applyNumberFormat="1" applyFont="1" applyFill="1"/>
    <xf numFmtId="167" fontId="3" fillId="3" borderId="0" xfId="1" applyNumberFormat="1" applyFont="1" applyFill="1"/>
    <xf numFmtId="166" fontId="3" fillId="3" borderId="0" xfId="2" applyNumberFormat="1" applyFont="1" applyFill="1"/>
    <xf numFmtId="0" fontId="3" fillId="3" borderId="0" xfId="0" applyFont="1" applyFill="1" applyAlignment="1">
      <alignment horizontal="right"/>
    </xf>
    <xf numFmtId="2" fontId="0" fillId="0" borderId="0" xfId="0" applyNumberFormat="1" applyAlignment="1">
      <alignment horizontal="center"/>
    </xf>
    <xf numFmtId="0" fontId="10" fillId="2" borderId="25" xfId="3" applyFont="1" applyFill="1" applyBorder="1" applyAlignment="1">
      <alignment horizontal="right" vertical="center"/>
    </xf>
    <xf numFmtId="0" fontId="10" fillId="2" borderId="28" xfId="3" applyFont="1" applyFill="1" applyBorder="1" applyAlignment="1">
      <alignment horizontal="right" vertical="center"/>
    </xf>
    <xf numFmtId="43" fontId="0" fillId="0" borderId="10" xfId="1" applyNumberFormat="1" applyFont="1" applyBorder="1" applyAlignment="1">
      <alignment horizontal="center"/>
    </xf>
    <xf numFmtId="2" fontId="0" fillId="0" borderId="10" xfId="1" applyNumberFormat="1" applyFont="1" applyBorder="1" applyAlignment="1">
      <alignment horizontal="center"/>
    </xf>
    <xf numFmtId="166" fontId="0" fillId="0" borderId="10" xfId="2" applyNumberFormat="1" applyFont="1" applyBorder="1" applyAlignment="1">
      <alignment horizontal="center"/>
    </xf>
    <xf numFmtId="43" fontId="0" fillId="0" borderId="0" xfId="1" applyFont="1" applyAlignment="1"/>
    <xf numFmtId="0" fontId="15" fillId="0" borderId="0" xfId="0" applyFont="1" applyBorder="1"/>
    <xf numFmtId="166" fontId="0" fillId="0" borderId="0" xfId="2" applyNumberFormat="1" applyFont="1" applyBorder="1"/>
    <xf numFmtId="9" fontId="0" fillId="0" borderId="0" xfId="2" applyFont="1" applyBorder="1"/>
    <xf numFmtId="43" fontId="0" fillId="0" borderId="0" xfId="1" applyFont="1" applyBorder="1"/>
    <xf numFmtId="9" fontId="0" fillId="0" borderId="0" xfId="2" applyNumberFormat="1" applyFont="1" applyBorder="1"/>
    <xf numFmtId="167" fontId="0" fillId="0" borderId="0" xfId="1" applyNumberFormat="1" applyFont="1" applyBorder="1"/>
    <xf numFmtId="0" fontId="15" fillId="0" borderId="0" xfId="0" applyFont="1" applyBorder="1" applyAlignment="1">
      <alignment horizontal="right"/>
    </xf>
    <xf numFmtId="0" fontId="10" fillId="2" borderId="24" xfId="3" applyFont="1" applyFill="1" applyBorder="1" applyAlignment="1">
      <alignment horizontal="center" vertical="center"/>
    </xf>
    <xf numFmtId="0" fontId="10" fillId="2" borderId="19" xfId="3" applyFont="1" applyFill="1" applyBorder="1" applyAlignment="1">
      <alignment horizontal="right" vertical="center"/>
    </xf>
    <xf numFmtId="0" fontId="10" fillId="2" borderId="27" xfId="3" applyFont="1" applyFill="1" applyBorder="1" applyAlignment="1">
      <alignment horizontal="center" vertical="center"/>
    </xf>
    <xf numFmtId="0" fontId="10" fillId="2" borderId="26" xfId="3" applyFont="1" applyFill="1" applyBorder="1" applyAlignment="1">
      <alignment horizontal="right" vertical="center"/>
    </xf>
    <xf numFmtId="169" fontId="0" fillId="0" borderId="0" xfId="1" applyNumberFormat="1" applyFont="1" applyAlignment="1">
      <alignment horizontal="center"/>
    </xf>
    <xf numFmtId="169" fontId="0" fillId="0" borderId="10" xfId="1" applyNumberFormat="1" applyFont="1" applyBorder="1" applyAlignment="1">
      <alignment horizontal="center"/>
    </xf>
    <xf numFmtId="0" fontId="15" fillId="0" borderId="5" xfId="0" applyFont="1" applyBorder="1"/>
    <xf numFmtId="0" fontId="0" fillId="0" borderId="5" xfId="0" applyBorder="1"/>
    <xf numFmtId="166" fontId="0" fillId="0" borderId="5" xfId="0" applyNumberFormat="1" applyFont="1" applyBorder="1" applyAlignment="1">
      <alignment horizontal="center"/>
    </xf>
    <xf numFmtId="9" fontId="0" fillId="0" borderId="5" xfId="0" applyNumberFormat="1" applyFont="1" applyBorder="1" applyAlignment="1">
      <alignment horizontal="center"/>
    </xf>
    <xf numFmtId="43" fontId="0" fillId="0" borderId="5" xfId="1" applyFont="1" applyBorder="1" applyAlignment="1">
      <alignment horizontal="center"/>
    </xf>
    <xf numFmtId="2" fontId="0" fillId="0" borderId="5" xfId="1" applyNumberFormat="1" applyFont="1" applyBorder="1" applyAlignment="1">
      <alignment horizontal="center"/>
    </xf>
    <xf numFmtId="167" fontId="0" fillId="0" borderId="5" xfId="1" applyNumberFormat="1" applyFont="1" applyBorder="1" applyAlignment="1">
      <alignment horizontal="center"/>
    </xf>
    <xf numFmtId="167" fontId="0" fillId="0" borderId="5" xfId="0" applyNumberFormat="1" applyFont="1" applyBorder="1" applyAlignment="1">
      <alignment horizontal="center"/>
    </xf>
    <xf numFmtId="0" fontId="15" fillId="0" borderId="5"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8" fillId="0" borderId="0" xfId="0" applyFont="1"/>
    <xf numFmtId="0" fontId="10" fillId="4" borderId="19" xfId="3" applyFont="1" applyFill="1" applyBorder="1" applyAlignment="1">
      <alignment horizontal="center" vertical="center"/>
    </xf>
    <xf numFmtId="0" fontId="10" fillId="4" borderId="24" xfId="3" applyFont="1" applyFill="1" applyBorder="1" applyAlignment="1">
      <alignment horizontal="center" vertical="center"/>
    </xf>
    <xf numFmtId="0" fontId="10" fillId="4" borderId="24" xfId="3" applyFont="1" applyFill="1" applyBorder="1" applyAlignment="1">
      <alignment horizontal="center" vertical="center" wrapText="1"/>
    </xf>
    <xf numFmtId="0" fontId="10" fillId="4" borderId="21" xfId="3" applyFont="1" applyFill="1" applyBorder="1" applyAlignment="1">
      <alignment horizontal="center" vertical="center"/>
    </xf>
    <xf numFmtId="0" fontId="10" fillId="4" borderId="22" xfId="3" applyFont="1" applyFill="1" applyBorder="1" applyAlignment="1">
      <alignment horizontal="center" vertical="center"/>
    </xf>
    <xf numFmtId="0" fontId="10" fillId="4" borderId="23" xfId="3" applyFont="1" applyFill="1" applyBorder="1" applyAlignment="1">
      <alignment horizontal="center" vertical="center"/>
    </xf>
    <xf numFmtId="0" fontId="10" fillId="4" borderId="26" xfId="3" applyFont="1" applyFill="1" applyBorder="1" applyAlignment="1">
      <alignment horizontal="center" vertical="center"/>
    </xf>
    <xf numFmtId="0" fontId="10" fillId="4" borderId="27" xfId="3" applyFont="1" applyFill="1" applyBorder="1" applyAlignment="1">
      <alignment horizontal="center" vertical="center"/>
    </xf>
    <xf numFmtId="0" fontId="10" fillId="4" borderId="27" xfId="3" applyFont="1" applyFill="1" applyBorder="1" applyAlignment="1">
      <alignment horizontal="center" vertical="center" wrapText="1"/>
    </xf>
    <xf numFmtId="0" fontId="10" fillId="4" borderId="21" xfId="3" applyFont="1" applyFill="1" applyBorder="1" applyAlignment="1">
      <alignment horizontal="center" vertical="center" wrapText="1"/>
    </xf>
    <xf numFmtId="0" fontId="10" fillId="4" borderId="20" xfId="3" applyFont="1" applyFill="1" applyBorder="1" applyAlignment="1">
      <alignment horizontal="center" vertical="center" wrapText="1"/>
    </xf>
    <xf numFmtId="0" fontId="20" fillId="4" borderId="20" xfId="3" applyFont="1" applyFill="1" applyBorder="1" applyAlignment="1">
      <alignment horizontal="center" vertical="center" wrapText="1"/>
    </xf>
    <xf numFmtId="0" fontId="20" fillId="4" borderId="20" xfId="3" applyNumberFormat="1" applyFont="1" applyFill="1" applyBorder="1" applyAlignment="1">
      <alignment horizontal="center" vertical="center" wrapText="1"/>
    </xf>
    <xf numFmtId="2" fontId="17" fillId="0" borderId="0" xfId="0" applyNumberFormat="1" applyFont="1"/>
    <xf numFmtId="171" fontId="0" fillId="0" borderId="0" xfId="0" applyNumberFormat="1" applyAlignment="1">
      <alignment horizontal="right"/>
    </xf>
    <xf numFmtId="43" fontId="0" fillId="0" borderId="0" xfId="1" applyFont="1" applyAlignment="1">
      <alignment horizontal="right"/>
    </xf>
    <xf numFmtId="9" fontId="0" fillId="0" borderId="0" xfId="2" applyNumberFormat="1" applyFont="1" applyAlignment="1">
      <alignment horizontal="right"/>
    </xf>
    <xf numFmtId="169" fontId="0" fillId="0" borderId="0" xfId="1" applyNumberFormat="1" applyFont="1" applyAlignment="1">
      <alignment horizontal="right"/>
    </xf>
    <xf numFmtId="166" fontId="0" fillId="0" borderId="0" xfId="2" applyNumberFormat="1" applyFont="1" applyAlignment="1">
      <alignment horizontal="right"/>
    </xf>
    <xf numFmtId="43" fontId="0" fillId="0" borderId="0" xfId="1" applyFont="1" applyAlignment="1">
      <alignment horizontal="right" vertical="center"/>
    </xf>
    <xf numFmtId="0" fontId="0" fillId="0" borderId="10" xfId="0" applyBorder="1" applyAlignment="1">
      <alignment horizontal="right"/>
    </xf>
    <xf numFmtId="43" fontId="0" fillId="0" borderId="10" xfId="1" applyFont="1" applyBorder="1" applyAlignment="1">
      <alignment horizontal="right" vertical="center"/>
    </xf>
    <xf numFmtId="43" fontId="0" fillId="0" borderId="10" xfId="1" applyFont="1" applyBorder="1" applyAlignment="1">
      <alignment horizontal="right"/>
    </xf>
    <xf numFmtId="9" fontId="0" fillId="0" borderId="10" xfId="2" applyNumberFormat="1" applyFont="1" applyBorder="1" applyAlignment="1">
      <alignment horizontal="right"/>
    </xf>
    <xf numFmtId="169" fontId="0" fillId="0" borderId="10" xfId="1" applyNumberFormat="1" applyFont="1" applyBorder="1" applyAlignment="1">
      <alignment horizontal="right"/>
    </xf>
    <xf numFmtId="166" fontId="0" fillId="0" borderId="10" xfId="2" applyNumberFormat="1" applyFont="1" applyBorder="1" applyAlignment="1">
      <alignment horizontal="right"/>
    </xf>
    <xf numFmtId="167" fontId="0" fillId="0" borderId="10" xfId="1" applyNumberFormat="1" applyFont="1" applyBorder="1"/>
    <xf numFmtId="43" fontId="3" fillId="3" borderId="0" xfId="1" applyFont="1" applyFill="1" applyAlignment="1">
      <alignment horizontal="right" vertical="center"/>
    </xf>
    <xf numFmtId="43" fontId="3" fillId="3" borderId="0" xfId="1" applyFont="1" applyFill="1" applyAlignment="1">
      <alignment horizontal="right"/>
    </xf>
    <xf numFmtId="9" fontId="3" fillId="3" borderId="0" xfId="2" applyNumberFormat="1" applyFont="1" applyFill="1" applyAlignment="1">
      <alignment horizontal="right"/>
    </xf>
    <xf numFmtId="169" fontId="3" fillId="3" borderId="0" xfId="1" applyNumberFormat="1" applyFont="1" applyFill="1" applyAlignment="1">
      <alignment horizontal="right"/>
    </xf>
    <xf numFmtId="166" fontId="3" fillId="3" borderId="0" xfId="2" applyNumberFormat="1" applyFont="1" applyFill="1" applyAlignment="1">
      <alignment horizontal="right"/>
    </xf>
    <xf numFmtId="167" fontId="0" fillId="0" borderId="0" xfId="1" applyNumberFormat="1" applyFont="1" applyAlignment="1">
      <alignment horizontal="right"/>
    </xf>
    <xf numFmtId="171" fontId="0" fillId="0" borderId="10" xfId="0" applyNumberFormat="1" applyBorder="1" applyAlignment="1">
      <alignment horizontal="right"/>
    </xf>
    <xf numFmtId="171" fontId="3" fillId="3" borderId="0" xfId="0" applyNumberFormat="1" applyFont="1" applyFill="1" applyAlignment="1">
      <alignment horizontal="right"/>
    </xf>
    <xf numFmtId="43" fontId="0" fillId="0" borderId="0" xfId="1" applyFont="1" applyBorder="1" applyAlignment="1">
      <alignment vertical="center"/>
    </xf>
    <xf numFmtId="43" fontId="10" fillId="4" borderId="21" xfId="1" applyFont="1" applyFill="1" applyBorder="1" applyAlignment="1">
      <alignment horizontal="center" vertical="center"/>
    </xf>
    <xf numFmtId="43" fontId="10" fillId="4" borderId="22" xfId="1" applyFont="1" applyFill="1" applyBorder="1" applyAlignment="1">
      <alignment horizontal="center" vertical="center"/>
    </xf>
    <xf numFmtId="0" fontId="10" fillId="4" borderId="25" xfId="3" applyFont="1" applyFill="1" applyBorder="1" applyAlignment="1">
      <alignment horizontal="center" vertical="center"/>
    </xf>
    <xf numFmtId="0" fontId="10" fillId="4" borderId="29" xfId="3" applyFont="1" applyFill="1" applyBorder="1" applyAlignment="1">
      <alignment horizontal="center" vertical="center"/>
    </xf>
    <xf numFmtId="0" fontId="20" fillId="4" borderId="21" xfId="3" applyFont="1" applyFill="1" applyBorder="1" applyAlignment="1">
      <alignment horizontal="center" vertical="center" wrapText="1"/>
    </xf>
    <xf numFmtId="167" fontId="0" fillId="0" borderId="10" xfId="1" applyNumberFormat="1" applyFont="1" applyBorder="1" applyAlignment="1">
      <alignment horizontal="right"/>
    </xf>
    <xf numFmtId="167" fontId="1" fillId="0" borderId="0" xfId="1" applyNumberFormat="1" applyFont="1" applyAlignment="1">
      <alignment horizontal="right"/>
    </xf>
    <xf numFmtId="167" fontId="3" fillId="3" borderId="0" xfId="1" applyNumberFormat="1" applyFont="1" applyFill="1" applyAlignment="1">
      <alignment horizontal="right"/>
    </xf>
    <xf numFmtId="9" fontId="0" fillId="0" borderId="10" xfId="2" applyFont="1" applyBorder="1" applyAlignment="1">
      <alignment horizontal="right"/>
    </xf>
    <xf numFmtId="171" fontId="0" fillId="0" borderId="0" xfId="0" applyNumberFormat="1" applyFill="1" applyAlignment="1">
      <alignment horizontal="right"/>
    </xf>
    <xf numFmtId="43" fontId="10" fillId="4" borderId="21" xfId="1" applyFont="1" applyFill="1" applyBorder="1" applyAlignment="1">
      <alignment horizontal="center" vertical="center" wrapText="1"/>
    </xf>
    <xf numFmtId="43" fontId="0" fillId="0" borderId="5" xfId="1" applyFont="1" applyBorder="1" applyAlignment="1">
      <alignment horizontal="right" vertical="center"/>
    </xf>
    <xf numFmtId="43" fontId="0" fillId="0" borderId="5" xfId="1" applyFont="1" applyBorder="1" applyAlignment="1">
      <alignment horizontal="right"/>
    </xf>
    <xf numFmtId="9" fontId="0" fillId="0" borderId="5" xfId="2" applyNumberFormat="1" applyFont="1" applyBorder="1" applyAlignment="1">
      <alignment horizontal="right"/>
    </xf>
    <xf numFmtId="169" fontId="0" fillId="0" borderId="5" xfId="1" applyNumberFormat="1" applyFont="1" applyBorder="1" applyAlignment="1">
      <alignment horizontal="right"/>
    </xf>
    <xf numFmtId="166" fontId="0" fillId="0" borderId="5" xfId="2" applyNumberFormat="1" applyFont="1" applyBorder="1" applyAlignment="1">
      <alignment horizontal="right"/>
    </xf>
    <xf numFmtId="167" fontId="0" fillId="0" borderId="5" xfId="1" applyNumberFormat="1" applyFont="1" applyBorder="1" applyAlignment="1">
      <alignment horizontal="right"/>
    </xf>
    <xf numFmtId="43" fontId="0" fillId="0" borderId="0" xfId="1" applyFont="1" applyAlignment="1">
      <alignment vertical="center"/>
    </xf>
    <xf numFmtId="0" fontId="21" fillId="0" borderId="0" xfId="0" applyFont="1"/>
    <xf numFmtId="0" fontId="22" fillId="0" borderId="0" xfId="0" applyFont="1"/>
    <xf numFmtId="0" fontId="23" fillId="0" borderId="0" xfId="0" applyFont="1"/>
    <xf numFmtId="0" fontId="23" fillId="0" borderId="0" xfId="0" applyFont="1" applyFill="1"/>
    <xf numFmtId="0" fontId="2" fillId="0" borderId="0" xfId="0" applyFont="1" applyFill="1"/>
    <xf numFmtId="0" fontId="2" fillId="0" borderId="0" xfId="0" applyFont="1" applyAlignment="1">
      <alignment horizontal="right"/>
    </xf>
    <xf numFmtId="0" fontId="10" fillId="5" borderId="19" xfId="3" applyFont="1" applyFill="1" applyBorder="1" applyAlignment="1">
      <alignment horizontal="center" vertical="center"/>
    </xf>
    <xf numFmtId="0" fontId="10" fillId="5" borderId="20" xfId="3" applyFont="1" applyFill="1" applyBorder="1" applyAlignment="1">
      <alignment horizontal="center" vertical="center"/>
    </xf>
    <xf numFmtId="0" fontId="10" fillId="0" borderId="0" xfId="3" applyFont="1" applyFill="1" applyBorder="1" applyAlignment="1">
      <alignment horizontal="center" vertical="center"/>
    </xf>
    <xf numFmtId="0" fontId="10" fillId="5" borderId="24" xfId="3" applyFont="1" applyFill="1" applyBorder="1" applyAlignment="1">
      <alignment horizontal="center" vertical="center"/>
    </xf>
    <xf numFmtId="0" fontId="10" fillId="5" borderId="26" xfId="3" applyFont="1" applyFill="1" applyBorder="1" applyAlignment="1">
      <alignment horizontal="center" vertical="center"/>
    </xf>
    <xf numFmtId="0" fontId="10" fillId="5" borderId="24"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5" borderId="27" xfId="3" applyFont="1" applyFill="1" applyBorder="1" applyAlignment="1">
      <alignment horizontal="center" vertical="center"/>
    </xf>
    <xf numFmtId="0" fontId="14" fillId="3" borderId="21" xfId="0" applyFont="1" applyFill="1" applyBorder="1" applyAlignment="1">
      <alignment horizontal="left"/>
    </xf>
    <xf numFmtId="0" fontId="14" fillId="3" borderId="22" xfId="0" applyFont="1" applyFill="1" applyBorder="1" applyAlignment="1">
      <alignment horizontal="left"/>
    </xf>
    <xf numFmtId="0" fontId="14" fillId="3" borderId="23" xfId="0" applyFont="1" applyFill="1" applyBorder="1" applyAlignment="1">
      <alignment horizontal="left"/>
    </xf>
    <xf numFmtId="0" fontId="0" fillId="0" borderId="22" xfId="0" applyFill="1" applyBorder="1"/>
    <xf numFmtId="0" fontId="0" fillId="3" borderId="21" xfId="0" applyFill="1" applyBorder="1"/>
    <xf numFmtId="0" fontId="0" fillId="3" borderId="22" xfId="0" applyFill="1" applyBorder="1"/>
    <xf numFmtId="0" fontId="0" fillId="3" borderId="23" xfId="0" applyFill="1" applyBorder="1"/>
    <xf numFmtId="0" fontId="0" fillId="3" borderId="20" xfId="0" applyFill="1" applyBorder="1" applyAlignment="1">
      <alignment horizontal="right"/>
    </xf>
    <xf numFmtId="169" fontId="24" fillId="0" borderId="0" xfId="1" applyNumberFormat="1" applyFont="1"/>
    <xf numFmtId="169" fontId="24" fillId="0" borderId="0" xfId="1" applyNumberFormat="1" applyFont="1" applyFill="1"/>
    <xf numFmtId="43" fontId="24" fillId="0" borderId="0" xfId="1" applyFont="1" applyAlignment="1">
      <alignment vertical="center"/>
    </xf>
    <xf numFmtId="43" fontId="24" fillId="0" borderId="0" xfId="1" applyFont="1" applyFill="1" applyAlignment="1">
      <alignment vertical="center"/>
    </xf>
    <xf numFmtId="169" fontId="24" fillId="0" borderId="10" xfId="1" applyNumberFormat="1" applyFont="1" applyBorder="1"/>
    <xf numFmtId="43" fontId="24" fillId="0" borderId="10" xfId="1" applyFont="1" applyBorder="1" applyAlignment="1">
      <alignment vertical="center"/>
    </xf>
    <xf numFmtId="0" fontId="0" fillId="0" borderId="10" xfId="0" applyFill="1" applyBorder="1"/>
    <xf numFmtId="169" fontId="26" fillId="3" borderId="0" xfId="1" applyNumberFormat="1" applyFont="1" applyFill="1"/>
    <xf numFmtId="169" fontId="26" fillId="0" borderId="0" xfId="1" applyNumberFormat="1" applyFont="1" applyFill="1"/>
    <xf numFmtId="0" fontId="3" fillId="0" borderId="0" xfId="0" applyFont="1" applyFill="1"/>
    <xf numFmtId="169" fontId="17" fillId="0" borderId="0" xfId="1" applyNumberFormat="1" applyFont="1"/>
    <xf numFmtId="169" fontId="17" fillId="0" borderId="10" xfId="1" applyNumberFormat="1" applyFont="1" applyBorder="1"/>
    <xf numFmtId="43" fontId="24" fillId="0" borderId="10" xfId="1" applyFont="1" applyFill="1" applyBorder="1" applyAlignment="1">
      <alignment vertical="center"/>
    </xf>
    <xf numFmtId="169" fontId="24" fillId="0" borderId="10" xfId="1" applyNumberFormat="1" applyFont="1" applyFill="1" applyBorder="1"/>
    <xf numFmtId="43" fontId="24" fillId="0" borderId="0" xfId="1" applyNumberFormat="1" applyFont="1"/>
    <xf numFmtId="169" fontId="24" fillId="0" borderId="0" xfId="1" applyNumberFormat="1" applyFont="1" applyBorder="1"/>
    <xf numFmtId="43" fontId="24" fillId="0" borderId="0" xfId="1" applyFont="1" applyBorder="1" applyAlignment="1">
      <alignment vertical="center"/>
    </xf>
    <xf numFmtId="43" fontId="24" fillId="0" borderId="0" xfId="1" applyFont="1" applyFill="1" applyBorder="1" applyAlignment="1">
      <alignment vertical="center"/>
    </xf>
    <xf numFmtId="169" fontId="24" fillId="0" borderId="0" xfId="1" applyNumberFormat="1" applyFont="1" applyFill="1" applyBorder="1"/>
    <xf numFmtId="0" fontId="0" fillId="0" borderId="0" xfId="0" applyFill="1" applyBorder="1"/>
    <xf numFmtId="169" fontId="24" fillId="0" borderId="0" xfId="1" applyNumberFormat="1" applyFont="1" applyAlignment="1">
      <alignment horizontal="right"/>
    </xf>
    <xf numFmtId="169" fontId="24" fillId="0" borderId="0" xfId="1" applyNumberFormat="1" applyFont="1" applyFill="1" applyAlignment="1">
      <alignment horizontal="right"/>
    </xf>
    <xf numFmtId="169" fontId="27" fillId="0" borderId="0" xfId="1" applyNumberFormat="1" applyFont="1"/>
    <xf numFmtId="169" fontId="24" fillId="0" borderId="5" xfId="1" applyNumberFormat="1" applyFont="1" applyBorder="1"/>
    <xf numFmtId="43" fontId="24" fillId="0" borderId="5" xfId="1" applyFont="1" applyBorder="1" applyAlignment="1">
      <alignment vertical="center"/>
    </xf>
    <xf numFmtId="0" fontId="0" fillId="0" borderId="5" xfId="0" applyFill="1" applyBorder="1"/>
    <xf numFmtId="0" fontId="28"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43" fontId="0" fillId="0" borderId="0" xfId="1" applyFont="1" applyAlignment="1">
      <alignment horizontal="justify" vertical="center" wrapText="1"/>
    </xf>
    <xf numFmtId="0" fontId="0" fillId="0" borderId="0" xfId="0" applyAlignment="1">
      <alignment horizontal="left" vertical="top" wrapText="1"/>
    </xf>
    <xf numFmtId="43" fontId="0" fillId="0" borderId="0" xfId="1" applyFont="1" applyAlignment="1">
      <alignment horizontal="left" vertical="center" wrapText="1"/>
    </xf>
    <xf numFmtId="43" fontId="0" fillId="0" borderId="0" xfId="1" applyFont="1" applyAlignment="1">
      <alignment horizontal="justify" vertical="center"/>
    </xf>
    <xf numFmtId="0" fontId="0" fillId="0" borderId="0" xfId="0" applyAlignment="1">
      <alignment horizontal="justify" vertical="top"/>
    </xf>
    <xf numFmtId="0" fontId="29"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30" fillId="0" borderId="0" xfId="3" applyFont="1" applyFill="1" applyBorder="1" applyAlignment="1">
      <alignment vertical="center"/>
    </xf>
    <xf numFmtId="0" fontId="30" fillId="0" borderId="0" xfId="3" applyFont="1" applyAlignment="1">
      <alignment vertical="center"/>
    </xf>
    <xf numFmtId="49" fontId="27" fillId="0" borderId="0" xfId="3" applyNumberFormat="1" applyFont="1" applyFill="1" applyBorder="1" applyAlignment="1">
      <alignment vertical="center" wrapText="1"/>
    </xf>
    <xf numFmtId="0" fontId="0" fillId="0" borderId="0" xfId="0" applyFont="1" applyAlignment="1">
      <alignment horizontal="justify" vertical="top" wrapText="1"/>
    </xf>
    <xf numFmtId="0" fontId="27" fillId="0" borderId="0" xfId="0" applyFont="1" applyAlignment="1">
      <alignment horizontal="left" vertical="center"/>
    </xf>
    <xf numFmtId="0" fontId="27" fillId="0" borderId="0" xfId="0" applyFont="1" applyBorder="1" applyAlignment="1">
      <alignment horizontal="left" vertical="center"/>
    </xf>
    <xf numFmtId="0" fontId="31" fillId="0" borderId="0" xfId="0" applyFont="1" applyAlignment="1">
      <alignment horizontal="left" vertical="center"/>
    </xf>
    <xf numFmtId="0" fontId="31" fillId="0" borderId="0" xfId="0" applyFont="1" applyBorder="1" applyAlignment="1">
      <alignment horizontal="left" vertical="center"/>
    </xf>
    <xf numFmtId="0" fontId="27" fillId="0" borderId="0" xfId="0" applyFont="1" applyAlignment="1">
      <alignment vertical="center" wrapText="1"/>
    </xf>
    <xf numFmtId="0" fontId="27" fillId="0" borderId="0" xfId="0" applyFont="1" applyBorder="1" applyAlignment="1">
      <alignment vertical="center" wrapText="1"/>
    </xf>
    <xf numFmtId="0" fontId="0" fillId="0" borderId="0" xfId="0" applyFont="1" applyAlignment="1">
      <alignment horizontal="left" vertical="top" wrapText="1"/>
    </xf>
    <xf numFmtId="0" fontId="27" fillId="0" borderId="0" xfId="0" applyFont="1" applyAlignment="1">
      <alignment vertical="center"/>
    </xf>
    <xf numFmtId="0" fontId="27"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2" fillId="0" borderId="0" xfId="3" applyFont="1" applyFill="1" applyBorder="1" applyAlignment="1">
      <alignment vertical="center"/>
    </xf>
    <xf numFmtId="0" fontId="33" fillId="0" borderId="0" xfId="3" applyFont="1" applyFill="1" applyBorder="1" applyAlignment="1">
      <alignment vertical="center"/>
    </xf>
    <xf numFmtId="0" fontId="34" fillId="0" borderId="0" xfId="3" applyFont="1" applyFill="1" applyBorder="1" applyAlignment="1">
      <alignment vertical="center"/>
    </xf>
    <xf numFmtId="43" fontId="34" fillId="0" borderId="0" xfId="1" applyFont="1" applyFill="1" applyBorder="1" applyAlignment="1">
      <alignment vertical="center"/>
    </xf>
    <xf numFmtId="49" fontId="25" fillId="0" borderId="0" xfId="3" applyNumberFormat="1" applyFont="1" applyFill="1" applyBorder="1" applyAlignment="1">
      <alignment vertical="top" wrapText="1"/>
    </xf>
    <xf numFmtId="0" fontId="35" fillId="0" borderId="0" xfId="3" applyFont="1"/>
    <xf numFmtId="14" fontId="35" fillId="0" borderId="0" xfId="3" applyNumberFormat="1" applyFont="1"/>
    <xf numFmtId="0" fontId="29" fillId="0" borderId="16" xfId="3" applyFont="1" applyFill="1" applyBorder="1" applyAlignment="1">
      <alignment vertical="center"/>
    </xf>
    <xf numFmtId="0" fontId="29" fillId="0" borderId="12" xfId="3" applyFont="1" applyFill="1" applyBorder="1" applyAlignment="1">
      <alignment vertical="center"/>
    </xf>
    <xf numFmtId="43" fontId="0" fillId="0" borderId="16" xfId="1" applyFont="1" applyBorder="1" applyAlignment="1">
      <alignment vertical="center"/>
    </xf>
    <xf numFmtId="43" fontId="36" fillId="0" borderId="0" xfId="1" applyFont="1" applyFill="1" applyBorder="1" applyAlignment="1">
      <alignment vertical="center"/>
    </xf>
    <xf numFmtId="0" fontId="36" fillId="0" borderId="16" xfId="3" applyFont="1" applyFill="1" applyBorder="1" applyAlignment="1">
      <alignment vertical="center"/>
    </xf>
    <xf numFmtId="0" fontId="36" fillId="0" borderId="0" xfId="3" applyFont="1" applyFill="1" applyBorder="1" applyAlignment="1">
      <alignment vertical="center"/>
    </xf>
    <xf numFmtId="0" fontId="36" fillId="0" borderId="0" xfId="3" applyFont="1" applyFill="1" applyBorder="1" applyAlignment="1">
      <alignment horizontal="justify" vertical="center"/>
    </xf>
    <xf numFmtId="0" fontId="37" fillId="0" borderId="0" xfId="3" applyFont="1" applyBorder="1"/>
    <xf numFmtId="0" fontId="35" fillId="0" borderId="0" xfId="3" applyFont="1" applyBorder="1"/>
    <xf numFmtId="14" fontId="35" fillId="0" borderId="0" xfId="3" applyNumberFormat="1" applyFont="1" applyBorder="1"/>
    <xf numFmtId="0" fontId="27" fillId="0" borderId="0" xfId="0" applyFont="1" applyFill="1" applyBorder="1" applyAlignment="1"/>
    <xf numFmtId="0" fontId="27" fillId="0" borderId="15" xfId="0" applyFont="1" applyFill="1" applyBorder="1"/>
    <xf numFmtId="43" fontId="38" fillId="0" borderId="0" xfId="1" applyFont="1" applyFill="1" applyBorder="1" applyAlignment="1">
      <alignment vertical="center"/>
    </xf>
    <xf numFmtId="0" fontId="27" fillId="0" borderId="0" xfId="0" applyFont="1"/>
    <xf numFmtId="0" fontId="27" fillId="0" borderId="7" xfId="0" applyFont="1" applyFill="1" applyBorder="1"/>
    <xf numFmtId="0" fontId="38" fillId="0" borderId="0" xfId="3" applyFont="1" applyFill="1" applyBorder="1" applyAlignment="1">
      <alignment vertical="center"/>
    </xf>
    <xf numFmtId="0" fontId="9" fillId="0" borderId="0" xfId="3" applyFont="1" applyBorder="1"/>
    <xf numFmtId="0" fontId="9" fillId="0" borderId="0" xfId="3" applyFont="1"/>
    <xf numFmtId="49" fontId="39" fillId="0" borderId="0" xfId="3" applyNumberFormat="1" applyFont="1" applyFill="1" applyBorder="1" applyAlignment="1">
      <alignment vertical="top" wrapText="1"/>
    </xf>
    <xf numFmtId="0" fontId="37" fillId="0" borderId="0" xfId="3" applyFont="1"/>
    <xf numFmtId="0" fontId="27" fillId="0" borderId="15" xfId="0" applyFont="1" applyBorder="1"/>
    <xf numFmtId="0" fontId="39" fillId="0" borderId="0" xfId="0" applyFont="1" applyFill="1" applyBorder="1" applyAlignment="1"/>
    <xf numFmtId="0" fontId="30" fillId="0" borderId="0" xfId="0" applyFont="1" applyFill="1" applyBorder="1" applyAlignment="1"/>
    <xf numFmtId="0" fontId="38" fillId="0" borderId="0" xfId="0" applyFont="1" applyFill="1" applyBorder="1" applyAlignment="1"/>
    <xf numFmtId="0" fontId="40" fillId="0" borderId="0" xfId="3" applyFont="1" applyFill="1" applyBorder="1" applyAlignment="1">
      <alignment vertical="center"/>
    </xf>
    <xf numFmtId="0" fontId="9" fillId="0" borderId="0" xfId="3" applyFont="1" applyFill="1" applyBorder="1"/>
    <xf numFmtId="0" fontId="41" fillId="0" borderId="0" xfId="3" applyFont="1"/>
    <xf numFmtId="0" fontId="9" fillId="0" borderId="0" xfId="3" applyFont="1" applyFill="1"/>
    <xf numFmtId="43" fontId="9" fillId="0" borderId="0" xfId="1" applyFont="1" applyAlignment="1">
      <alignment vertical="center"/>
    </xf>
    <xf numFmtId="0" fontId="27" fillId="0" borderId="0" xfId="0" applyFont="1" applyFill="1" applyBorder="1"/>
    <xf numFmtId="0" fontId="39" fillId="0" borderId="0" xfId="0" applyFont="1" applyFill="1" applyAlignment="1">
      <alignment horizontal="center"/>
    </xf>
    <xf numFmtId="0" fontId="39" fillId="0" borderId="0" xfId="0" applyFont="1" applyFill="1"/>
    <xf numFmtId="0" fontId="39" fillId="0" borderId="0" xfId="0" applyFont="1" applyFill="1" applyBorder="1" applyAlignment="1">
      <alignment horizontal="center"/>
    </xf>
    <xf numFmtId="0" fontId="3" fillId="0" borderId="16" xfId="0" applyFont="1" applyFill="1" applyBorder="1" applyAlignment="1">
      <alignment horizontal="center"/>
    </xf>
    <xf numFmtId="0" fontId="0" fillId="0" borderId="0" xfId="0" applyFill="1" applyBorder="1" applyAlignment="1"/>
    <xf numFmtId="0" fontId="0" fillId="6" borderId="0" xfId="0" applyFill="1" applyBorder="1" applyAlignment="1"/>
    <xf numFmtId="0" fontId="12" fillId="0" borderId="0" xfId="3" applyFont="1" applyFill="1" applyBorder="1" applyAlignment="1">
      <alignment vertical="center"/>
    </xf>
    <xf numFmtId="0" fontId="3" fillId="0" borderId="5" xfId="0" applyFont="1" applyBorder="1" applyAlignment="1"/>
    <xf numFmtId="0" fontId="3" fillId="0" borderId="5" xfId="0" applyFont="1" applyBorder="1" applyAlignment="1">
      <alignment horizontal="right"/>
    </xf>
    <xf numFmtId="0" fontId="0" fillId="0" borderId="0" xfId="0" applyBorder="1" applyAlignment="1"/>
    <xf numFmtId="10" fontId="0" fillId="0" borderId="0" xfId="0" applyNumberFormat="1" applyFill="1" applyAlignment="1"/>
    <xf numFmtId="0" fontId="9" fillId="7" borderId="0" xfId="3" applyFont="1" applyFill="1" applyBorder="1"/>
    <xf numFmtId="10" fontId="0" fillId="7" borderId="0" xfId="0" applyNumberFormat="1" applyFill="1" applyBorder="1" applyAlignment="1"/>
    <xf numFmtId="43" fontId="39" fillId="0" borderId="0" xfId="1" applyFont="1" applyFill="1" applyAlignment="1">
      <alignment vertical="center"/>
    </xf>
    <xf numFmtId="43" fontId="0" fillId="0" borderId="0" xfId="1" applyFont="1" applyFill="1" applyAlignment="1">
      <alignment vertical="center"/>
    </xf>
    <xf numFmtId="10" fontId="0" fillId="0" borderId="0" xfId="0" applyNumberFormat="1" applyAlignment="1"/>
    <xf numFmtId="0" fontId="9" fillId="7" borderId="0" xfId="3" applyFont="1" applyFill="1"/>
    <xf numFmtId="10" fontId="0" fillId="7" borderId="0" xfId="0" applyNumberFormat="1" applyFill="1" applyAlignment="1"/>
    <xf numFmtId="10" fontId="0" fillId="0" borderId="0" xfId="0" applyNumberFormat="1" applyBorder="1" applyAlignment="1"/>
    <xf numFmtId="0" fontId="0" fillId="0" borderId="16" xfId="0" applyFill="1" applyBorder="1"/>
    <xf numFmtId="10" fontId="0" fillId="0" borderId="16" xfId="0" applyNumberFormat="1" applyFill="1" applyBorder="1" applyAlignment="1"/>
    <xf numFmtId="0" fontId="39" fillId="0" borderId="0" xfId="0" applyFont="1" applyFill="1" applyAlignment="1"/>
    <xf numFmtId="0" fontId="0" fillId="0" borderId="15" xfId="0" applyBorder="1"/>
    <xf numFmtId="0" fontId="0" fillId="0" borderId="15" xfId="0" applyFont="1" applyBorder="1"/>
    <xf numFmtId="0" fontId="28" fillId="0" borderId="0" xfId="0" applyFont="1" applyBorder="1"/>
    <xf numFmtId="10" fontId="0" fillId="0" borderId="0" xfId="2" applyNumberFormat="1" applyFont="1"/>
    <xf numFmtId="0" fontId="42" fillId="0" borderId="0" xfId="0" applyFont="1" applyBorder="1" applyAlignment="1">
      <alignment horizontal="justify" vertical="center" wrapText="1"/>
    </xf>
    <xf numFmtId="43" fontId="42" fillId="0" borderId="0" xfId="1" applyFont="1" applyBorder="1" applyAlignment="1">
      <alignment horizontal="justify" vertical="center" wrapText="1"/>
    </xf>
    <xf numFmtId="0" fontId="42" fillId="0" borderId="0" xfId="0" applyFont="1" applyBorder="1" applyAlignment="1">
      <alignment horizontal="justify" wrapText="1"/>
    </xf>
    <xf numFmtId="0" fontId="34" fillId="0" borderId="15" xfId="0" applyFont="1" applyBorder="1"/>
    <xf numFmtId="0" fontId="12" fillId="0" borderId="0" xfId="0" applyFont="1" applyBorder="1"/>
    <xf numFmtId="0" fontId="12" fillId="0" borderId="0" xfId="0" applyFont="1"/>
    <xf numFmtId="0" fontId="43" fillId="0" borderId="15" xfId="0" applyFont="1" applyBorder="1" applyAlignment="1">
      <alignment wrapText="1"/>
    </xf>
    <xf numFmtId="0" fontId="30" fillId="0" borderId="0" xfId="0" quotePrefix="1" applyFont="1" applyBorder="1"/>
    <xf numFmtId="0" fontId="30" fillId="0" borderId="0" xfId="0" applyFont="1" applyBorder="1"/>
  </cellXfs>
  <cellStyles count="4">
    <cellStyle name="Millares" xfId="1" builtinId="3"/>
    <cellStyle name="Normal" xfId="0" builtinId="0"/>
    <cellStyle name="Normal 2" xfId="3"/>
    <cellStyle name="Porcentaje" xfId="2" builtinId="5"/>
  </cellStyles>
  <dxfs count="36">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4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38100</xdr:colOff>
      <xdr:row>25</xdr:row>
      <xdr:rowOff>104775</xdr:rowOff>
    </xdr:from>
    <xdr:to>
      <xdr:col>12</xdr:col>
      <xdr:colOff>131445</xdr:colOff>
      <xdr:row>26</xdr:row>
      <xdr:rowOff>188595</xdr:rowOff>
    </xdr:to>
    <xdr:sp macro="" textlink="">
      <xdr:nvSpPr>
        <xdr:cNvPr id="2" name="Freeform 286">
          <a:extLst>
            <a:ext uri="{FF2B5EF4-FFF2-40B4-BE49-F238E27FC236}">
              <a16:creationId xmlns="" xmlns:a16="http://schemas.microsoft.com/office/drawing/2014/main" id="{00000000-0008-0000-2400-00000B000000}"/>
            </a:ext>
          </a:extLst>
        </xdr:cNvPr>
        <xdr:cNvSpPr/>
      </xdr:nvSpPr>
      <xdr:spPr>
        <a:xfrm>
          <a:off x="6915150" y="48672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27</xdr:row>
      <xdr:rowOff>104775</xdr:rowOff>
    </xdr:from>
    <xdr:to>
      <xdr:col>12</xdr:col>
      <xdr:colOff>131445</xdr:colOff>
      <xdr:row>28</xdr:row>
      <xdr:rowOff>188595</xdr:rowOff>
    </xdr:to>
    <xdr:sp macro="" textlink="">
      <xdr:nvSpPr>
        <xdr:cNvPr id="3" name="Freeform 126">
          <a:extLst>
            <a:ext uri="{FF2B5EF4-FFF2-40B4-BE49-F238E27FC236}">
              <a16:creationId xmlns="" xmlns:a16="http://schemas.microsoft.com/office/drawing/2014/main" id="{00000000-0008-0000-2400-00000C000000}"/>
            </a:ext>
          </a:extLst>
        </xdr:cNvPr>
        <xdr:cNvSpPr/>
      </xdr:nvSpPr>
      <xdr:spPr>
        <a:xfrm>
          <a:off x="6915150" y="52482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29</xdr:row>
      <xdr:rowOff>104775</xdr:rowOff>
    </xdr:from>
    <xdr:to>
      <xdr:col>12</xdr:col>
      <xdr:colOff>131445</xdr:colOff>
      <xdr:row>30</xdr:row>
      <xdr:rowOff>188595</xdr:rowOff>
    </xdr:to>
    <xdr:sp macro="" textlink="">
      <xdr:nvSpPr>
        <xdr:cNvPr id="4" name="Freeform 490">
          <a:extLst>
            <a:ext uri="{FF2B5EF4-FFF2-40B4-BE49-F238E27FC236}">
              <a16:creationId xmlns="" xmlns:a16="http://schemas.microsoft.com/office/drawing/2014/main" id="{00000000-0008-0000-2400-00000D000000}"/>
            </a:ext>
          </a:extLst>
        </xdr:cNvPr>
        <xdr:cNvSpPr/>
      </xdr:nvSpPr>
      <xdr:spPr>
        <a:xfrm>
          <a:off x="6915150" y="56292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31</xdr:row>
      <xdr:rowOff>104775</xdr:rowOff>
    </xdr:from>
    <xdr:to>
      <xdr:col>12</xdr:col>
      <xdr:colOff>131445</xdr:colOff>
      <xdr:row>32</xdr:row>
      <xdr:rowOff>188595</xdr:rowOff>
    </xdr:to>
    <xdr:sp macro="" textlink="">
      <xdr:nvSpPr>
        <xdr:cNvPr id="5" name="Freeform 335">
          <a:extLst>
            <a:ext uri="{FF2B5EF4-FFF2-40B4-BE49-F238E27FC236}">
              <a16:creationId xmlns="" xmlns:a16="http://schemas.microsoft.com/office/drawing/2014/main" id="{00000000-0008-0000-2400-00000E000000}"/>
            </a:ext>
          </a:extLst>
        </xdr:cNvPr>
        <xdr:cNvSpPr/>
      </xdr:nvSpPr>
      <xdr:spPr>
        <a:xfrm>
          <a:off x="6915150" y="60102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34</xdr:row>
      <xdr:rowOff>0</xdr:rowOff>
    </xdr:from>
    <xdr:to>
      <xdr:col>18</xdr:col>
      <xdr:colOff>190499</xdr:colOff>
      <xdr:row>35</xdr:row>
      <xdr:rowOff>180974</xdr:rowOff>
    </xdr:to>
    <xdr:sp macro="" textlink="">
      <xdr:nvSpPr>
        <xdr:cNvPr id="6" name="5 Rectángulo">
          <a:extLst>
            <a:ext uri="{FF2B5EF4-FFF2-40B4-BE49-F238E27FC236}">
              <a16:creationId xmlns="" xmlns:a16="http://schemas.microsoft.com/office/drawing/2014/main" id="{00000000-0008-0000-2400-000006000000}"/>
            </a:ext>
          </a:extLst>
        </xdr:cNvPr>
        <xdr:cNvSpPr/>
      </xdr:nvSpPr>
      <xdr:spPr>
        <a:xfrm>
          <a:off x="0" y="6477000"/>
          <a:ext cx="833437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Research\RR_Reporte%20de%20Ratios\Sinergia%20SUPV\IOL-SUPV_v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K:\Research\RR_Reporte%20de%20Ratios\Sinergia%20SUPV\IOL-SUPV_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tmap CA"/>
      <sheetName val="Macro"/>
      <sheetName val="NI"/>
      <sheetName val="Datos"/>
      <sheetName val="Mkt cap"/>
      <sheetName val="Heatmap (2)"/>
      <sheetName val="Mkt SUPV"/>
      <sheetName val="Fund SUPV"/>
      <sheetName val="Earn SUPV"/>
      <sheetName val="Glos SUPV"/>
    </sheetNames>
    <definedNames>
      <definedName name="Ordenar"/>
    </definedNames>
    <sheetDataSet>
      <sheetData sheetId="0"/>
      <sheetData sheetId="1"/>
      <sheetData sheetId="2"/>
      <sheetData sheetId="3"/>
      <sheetData sheetId="4"/>
      <sheetData sheetId="5"/>
      <sheetData sheetId="6">
        <row r="2">
          <cell r="P2">
            <v>43251</v>
          </cell>
          <cell r="Q2">
            <v>43281</v>
          </cell>
          <cell r="R2">
            <v>43312</v>
          </cell>
          <cell r="S2">
            <v>43343</v>
          </cell>
          <cell r="T2">
            <v>43373</v>
          </cell>
          <cell r="U2">
            <v>43404</v>
          </cell>
          <cell r="V2">
            <v>43434</v>
          </cell>
          <cell r="W2">
            <v>43465</v>
          </cell>
          <cell r="X2">
            <v>43496</v>
          </cell>
          <cell r="Y2">
            <v>43524</v>
          </cell>
          <cell r="Z2">
            <v>43555</v>
          </cell>
          <cell r="AA2">
            <v>43580</v>
          </cell>
        </row>
        <row r="4">
          <cell r="A4" t="str">
            <v>TEF.BA</v>
          </cell>
          <cell r="B4">
            <v>208.5</v>
          </cell>
          <cell r="C4">
            <v>218.5</v>
          </cell>
          <cell r="D4">
            <v>245.05</v>
          </cell>
          <cell r="E4">
            <v>255</v>
          </cell>
          <cell r="F4">
            <v>306</v>
          </cell>
          <cell r="G4">
            <v>325</v>
          </cell>
          <cell r="H4">
            <v>297.55</v>
          </cell>
          <cell r="I4">
            <v>327.35000000000002</v>
          </cell>
          <cell r="J4">
            <v>319</v>
          </cell>
          <cell r="K4">
            <v>334</v>
          </cell>
          <cell r="L4">
            <v>339.5</v>
          </cell>
          <cell r="M4">
            <v>370</v>
          </cell>
          <cell r="N4">
            <v>374</v>
          </cell>
          <cell r="P4">
            <v>4.7961630695443569E-2</v>
          </cell>
          <cell r="Q4">
            <v>0.12151029748283748</v>
          </cell>
          <cell r="R4">
            <v>4.060395837584152E-2</v>
          </cell>
          <cell r="S4">
            <v>0.19999999999999996</v>
          </cell>
          <cell r="T4">
            <v>6.2091503267973858E-2</v>
          </cell>
          <cell r="U4">
            <v>-8.4461538461538477E-2</v>
          </cell>
          <cell r="V4">
            <v>0.10015123508654011</v>
          </cell>
          <cell r="W4">
            <v>-2.5507866198258844E-2</v>
          </cell>
          <cell r="X4">
            <v>4.7021943573667624E-2</v>
          </cell>
          <cell r="Y4">
            <v>1.646706586826352E-2</v>
          </cell>
          <cell r="Z4">
            <v>8.9837997054491803E-2</v>
          </cell>
          <cell r="AA4">
            <v>1.08108108108107E-2</v>
          </cell>
        </row>
        <row r="5">
          <cell r="A5" t="str">
            <v>TECO2.BA</v>
          </cell>
          <cell r="B5">
            <v>123</v>
          </cell>
          <cell r="C5">
            <v>109.65</v>
          </cell>
          <cell r="D5">
            <v>102.55</v>
          </cell>
          <cell r="E5">
            <v>110.7</v>
          </cell>
          <cell r="F5">
            <v>124.9</v>
          </cell>
          <cell r="G5">
            <v>143.9</v>
          </cell>
          <cell r="H5">
            <v>129.9</v>
          </cell>
          <cell r="I5">
            <v>129.9</v>
          </cell>
          <cell r="J5">
            <v>119</v>
          </cell>
          <cell r="K5">
            <v>123.8</v>
          </cell>
          <cell r="L5">
            <v>116.95</v>
          </cell>
          <cell r="M5">
            <v>126.8</v>
          </cell>
          <cell r="N5">
            <v>120.9</v>
          </cell>
          <cell r="P5">
            <v>-0.10853658536585364</v>
          </cell>
          <cell r="Q5">
            <v>-6.4751481988144177E-2</v>
          </cell>
          <cell r="R5">
            <v>7.9473427596294499E-2</v>
          </cell>
          <cell r="S5">
            <v>0.12827461607949409</v>
          </cell>
          <cell r="T5">
            <v>0.15212169735788628</v>
          </cell>
          <cell r="U5">
            <v>-9.7289784572619831E-2</v>
          </cell>
          <cell r="V5">
            <v>0</v>
          </cell>
          <cell r="W5">
            <v>-8.391070053887606E-2</v>
          </cell>
          <cell r="X5">
            <v>4.0336134453781591E-2</v>
          </cell>
          <cell r="Y5">
            <v>-5.5331179321486235E-2</v>
          </cell>
          <cell r="Z5">
            <v>8.4224027362120424E-2</v>
          </cell>
          <cell r="AA5">
            <v>-4.6529968454258608E-2</v>
          </cell>
        </row>
        <row r="6">
          <cell r="A6" t="str">
            <v>CVH.BA</v>
          </cell>
          <cell r="B6">
            <v>409.3</v>
          </cell>
          <cell r="C6">
            <v>292.2</v>
          </cell>
          <cell r="D6">
            <v>301.7</v>
          </cell>
          <cell r="E6">
            <v>345</v>
          </cell>
          <cell r="F6">
            <v>289.55</v>
          </cell>
          <cell r="G6">
            <v>337.75</v>
          </cell>
          <cell r="H6">
            <v>288.64999999999998</v>
          </cell>
          <cell r="I6">
            <v>265.64999999999998</v>
          </cell>
          <cell r="J6">
            <v>238.45</v>
          </cell>
          <cell r="K6">
            <v>274</v>
          </cell>
          <cell r="L6">
            <v>258.5</v>
          </cell>
          <cell r="M6">
            <v>223.75</v>
          </cell>
          <cell r="N6">
            <v>178.5</v>
          </cell>
          <cell r="P6">
            <v>-0.28609821646713907</v>
          </cell>
          <cell r="Q6">
            <v>3.2511978097193639E-2</v>
          </cell>
          <cell r="R6">
            <v>0.14352005303281401</v>
          </cell>
          <cell r="S6">
            <v>-0.16072463768115941</v>
          </cell>
          <cell r="T6">
            <v>0.16646520462787073</v>
          </cell>
          <cell r="U6">
            <v>-0.14537379718726873</v>
          </cell>
          <cell r="V6">
            <v>-7.9681274900398447E-2</v>
          </cell>
          <cell r="W6">
            <v>-0.10239036325992845</v>
          </cell>
          <cell r="X6">
            <v>0.14908785908995603</v>
          </cell>
          <cell r="Y6">
            <v>-5.6569343065693389E-2</v>
          </cell>
          <cell r="Z6">
            <v>-0.13442940038684714</v>
          </cell>
          <cell r="AA6">
            <v>-0.20223463687150833</v>
          </cell>
        </row>
        <row r="7">
          <cell r="A7" t="str">
            <v>GCLA.BA</v>
          </cell>
          <cell r="B7">
            <v>55</v>
          </cell>
          <cell r="C7">
            <v>55</v>
          </cell>
          <cell r="D7">
            <v>53</v>
          </cell>
          <cell r="E7">
            <v>51</v>
          </cell>
          <cell r="F7">
            <v>51</v>
          </cell>
          <cell r="G7">
            <v>68.400000000000006</v>
          </cell>
          <cell r="H7">
            <v>58</v>
          </cell>
          <cell r="I7">
            <v>50</v>
          </cell>
          <cell r="J7">
            <v>49.5</v>
          </cell>
          <cell r="K7">
            <v>49</v>
          </cell>
          <cell r="L7">
            <v>46.5</v>
          </cell>
          <cell r="M7">
            <v>39.4</v>
          </cell>
          <cell r="N7">
            <v>36</v>
          </cell>
          <cell r="P7">
            <v>0</v>
          </cell>
          <cell r="Q7">
            <v>-3.6363636363636376E-2</v>
          </cell>
          <cell r="R7">
            <v>-3.7735849056603765E-2</v>
          </cell>
          <cell r="S7">
            <v>0</v>
          </cell>
          <cell r="T7">
            <v>0.34117647058823541</v>
          </cell>
          <cell r="U7">
            <v>-0.1520467836257311</v>
          </cell>
          <cell r="V7">
            <v>-0.13793103448275867</v>
          </cell>
          <cell r="W7">
            <v>-1.0000000000000009E-2</v>
          </cell>
          <cell r="X7">
            <v>-1.0101010101010055E-2</v>
          </cell>
          <cell r="Y7">
            <v>-5.1020408163265252E-2</v>
          </cell>
          <cell r="Z7">
            <v>-0.15268817204301077</v>
          </cell>
          <cell r="AA7">
            <v>-8.6294416243654748E-2</v>
          </cell>
        </row>
        <row r="8">
          <cell r="A8" t="str">
            <v>MIRG.BA</v>
          </cell>
          <cell r="B8">
            <v>591.33059404400001</v>
          </cell>
          <cell r="C8">
            <v>442.19285400000001</v>
          </cell>
          <cell r="D8">
            <v>337.08471059999999</v>
          </cell>
          <cell r="E8">
            <v>395.1786702</v>
          </cell>
          <cell r="F8">
            <v>346.21803929999999</v>
          </cell>
          <cell r="G8">
            <v>369.92476679999999</v>
          </cell>
          <cell r="H8">
            <v>316</v>
          </cell>
          <cell r="I8">
            <v>306.39999999999998</v>
          </cell>
          <cell r="J8">
            <v>355.5</v>
          </cell>
          <cell r="K8">
            <v>384.5</v>
          </cell>
          <cell r="L8">
            <v>371.5</v>
          </cell>
          <cell r="M8">
            <v>311.5</v>
          </cell>
          <cell r="N8">
            <v>263.5</v>
          </cell>
          <cell r="P8">
            <v>-0.2522070421286251</v>
          </cell>
          <cell r="Q8">
            <v>-0.23769751693002261</v>
          </cell>
          <cell r="R8">
            <v>0.17234231566479119</v>
          </cell>
          <cell r="S8">
            <v>-0.12389492296034355</v>
          </cell>
          <cell r="T8">
            <v>6.8473403488539697E-2</v>
          </cell>
          <cell r="U8">
            <v>-0.1457722532786091</v>
          </cell>
          <cell r="V8">
            <v>-3.0379746835443089E-2</v>
          </cell>
          <cell r="W8">
            <v>0.16024804177545704</v>
          </cell>
          <cell r="X8">
            <v>8.1575246132208123E-2</v>
          </cell>
          <cell r="Y8">
            <v>-3.3810143042912855E-2</v>
          </cell>
          <cell r="Z8">
            <v>-0.16150740242261108</v>
          </cell>
          <cell r="AA8">
            <v>-0.1540930979133226</v>
          </cell>
        </row>
        <row r="9">
          <cell r="A9" t="str">
            <v>HAVA.BA</v>
          </cell>
          <cell r="B9">
            <v>52</v>
          </cell>
          <cell r="C9">
            <v>52.6</v>
          </cell>
          <cell r="D9">
            <v>45</v>
          </cell>
          <cell r="E9">
            <v>48</v>
          </cell>
          <cell r="F9">
            <v>52</v>
          </cell>
          <cell r="G9">
            <v>63</v>
          </cell>
          <cell r="H9">
            <v>48</v>
          </cell>
          <cell r="I9">
            <v>54.6</v>
          </cell>
          <cell r="J9">
            <v>54</v>
          </cell>
          <cell r="K9">
            <v>70</v>
          </cell>
          <cell r="L9">
            <v>74</v>
          </cell>
          <cell r="M9">
            <v>95</v>
          </cell>
          <cell r="N9">
            <v>81.5</v>
          </cell>
          <cell r="P9">
            <v>1.1538461538461497E-2</v>
          </cell>
          <cell r="Q9">
            <v>-0.14448669201520914</v>
          </cell>
          <cell r="R9">
            <v>6.6666666666666652E-2</v>
          </cell>
          <cell r="S9">
            <v>8.3333333333333259E-2</v>
          </cell>
          <cell r="T9">
            <v>0.21153846153846145</v>
          </cell>
          <cell r="U9">
            <v>-0.23809523809523814</v>
          </cell>
          <cell r="V9">
            <v>0.13749999999999996</v>
          </cell>
          <cell r="W9">
            <v>-1.0989010989011061E-2</v>
          </cell>
          <cell r="X9">
            <v>0.29629629629629628</v>
          </cell>
          <cell r="Y9">
            <v>5.7142857142857162E-2</v>
          </cell>
          <cell r="Z9">
            <v>0.28378378378378377</v>
          </cell>
          <cell r="AA9">
            <v>-0.14210526315789473</v>
          </cell>
        </row>
        <row r="10">
          <cell r="A10" t="str">
            <v>GRIM.BA</v>
          </cell>
          <cell r="B10">
            <v>38.025062681000001</v>
          </cell>
          <cell r="C10">
            <v>37.942752333999998</v>
          </cell>
          <cell r="D10">
            <v>35.204615568000001</v>
          </cell>
          <cell r="E10">
            <v>30.315085627999999</v>
          </cell>
          <cell r="F10">
            <v>27.407902499999999</v>
          </cell>
          <cell r="G10">
            <v>24.417949499999999</v>
          </cell>
          <cell r="H10">
            <v>18.936368999999999</v>
          </cell>
          <cell r="I10">
            <v>18.899999999999999</v>
          </cell>
          <cell r="J10">
            <v>18.55</v>
          </cell>
          <cell r="K10">
            <v>15.5</v>
          </cell>
          <cell r="L10">
            <v>31.9</v>
          </cell>
          <cell r="M10">
            <v>25</v>
          </cell>
          <cell r="N10">
            <v>23.55</v>
          </cell>
          <cell r="P10">
            <v>-2.1646340912182538E-3</v>
          </cell>
          <cell r="Q10">
            <v>-7.2164948443826704E-2</v>
          </cell>
          <cell r="R10">
            <v>-0.13888888888888895</v>
          </cell>
          <cell r="S10">
            <v>-9.5898892177788575E-2</v>
          </cell>
          <cell r="T10">
            <v>-0.10909090909090913</v>
          </cell>
          <cell r="U10">
            <v>-0.22448979591836737</v>
          </cell>
          <cell r="V10">
            <v>-1.9205899504810553E-3</v>
          </cell>
          <cell r="W10">
            <v>-1.8518518518518379E-2</v>
          </cell>
          <cell r="X10">
            <v>-0.16442048517520214</v>
          </cell>
          <cell r="Y10">
            <v>1.0580645161290323</v>
          </cell>
          <cell r="Z10">
            <v>-0.21630094043887149</v>
          </cell>
          <cell r="AA10">
            <v>-5.799999999999994E-2</v>
          </cell>
        </row>
        <row r="11">
          <cell r="A11" t="str">
            <v>TGLT.BA</v>
          </cell>
          <cell r="B11">
            <v>13.1</v>
          </cell>
          <cell r="C11">
            <v>11.5</v>
          </cell>
          <cell r="D11">
            <v>9.6999999999999993</v>
          </cell>
          <cell r="E11">
            <v>10.1</v>
          </cell>
          <cell r="F11">
            <v>8.4499999999999993</v>
          </cell>
          <cell r="G11">
            <v>11.85</v>
          </cell>
          <cell r="H11">
            <v>8.6</v>
          </cell>
          <cell r="I11">
            <v>7.9</v>
          </cell>
          <cell r="J11">
            <v>7.28</v>
          </cell>
          <cell r="K11">
            <v>6.6</v>
          </cell>
          <cell r="L11">
            <v>5.75</v>
          </cell>
          <cell r="M11">
            <v>4.55</v>
          </cell>
          <cell r="N11">
            <v>3.79</v>
          </cell>
          <cell r="P11">
            <v>-0.12213740458015265</v>
          </cell>
          <cell r="Q11">
            <v>-0.15652173913043488</v>
          </cell>
          <cell r="R11">
            <v>4.1237113402061931E-2</v>
          </cell>
          <cell r="S11">
            <v>-0.1633663366336634</v>
          </cell>
          <cell r="T11">
            <v>0.4023668639053255</v>
          </cell>
          <cell r="U11">
            <v>-0.27426160337552741</v>
          </cell>
          <cell r="V11">
            <v>-8.1395348837209225E-2</v>
          </cell>
          <cell r="W11">
            <v>-7.8481012658227822E-2</v>
          </cell>
          <cell r="X11">
            <v>-9.3406593406593519E-2</v>
          </cell>
          <cell r="Y11">
            <v>-0.12878787878787878</v>
          </cell>
          <cell r="Z11">
            <v>-0.20869565217391306</v>
          </cell>
          <cell r="AA11">
            <v>-0.16703296703296699</v>
          </cell>
        </row>
        <row r="12">
          <cell r="A12" t="str">
            <v>LONG.BA</v>
          </cell>
          <cell r="B12">
            <v>4.3899999999999997</v>
          </cell>
          <cell r="C12">
            <v>3.85</v>
          </cell>
          <cell r="D12">
            <v>3.6</v>
          </cell>
          <cell r="E12">
            <v>3.21</v>
          </cell>
          <cell r="F12">
            <v>3.19</v>
          </cell>
          <cell r="G12">
            <v>3.45</v>
          </cell>
          <cell r="H12">
            <v>2.65</v>
          </cell>
          <cell r="I12">
            <v>2.5</v>
          </cell>
          <cell r="J12">
            <v>2.19</v>
          </cell>
          <cell r="K12">
            <v>2.4</v>
          </cell>
          <cell r="L12">
            <v>2.5</v>
          </cell>
          <cell r="M12">
            <v>2.21</v>
          </cell>
          <cell r="N12">
            <v>2.2999999999999998</v>
          </cell>
          <cell r="P12">
            <v>-0.12300683371298393</v>
          </cell>
          <cell r="Q12">
            <v>-6.4935064935064957E-2</v>
          </cell>
          <cell r="R12">
            <v>-0.10833333333333339</v>
          </cell>
          <cell r="S12">
            <v>-6.230529595015577E-3</v>
          </cell>
          <cell r="T12">
            <v>8.1504702194357348E-2</v>
          </cell>
          <cell r="U12">
            <v>-0.23188405797101452</v>
          </cell>
          <cell r="V12">
            <v>-5.6603773584905648E-2</v>
          </cell>
          <cell r="W12">
            <v>-0.124</v>
          </cell>
          <cell r="X12">
            <v>9.5890410958904049E-2</v>
          </cell>
          <cell r="Y12">
            <v>4.1666666666666741E-2</v>
          </cell>
          <cell r="Z12">
            <v>-0.11599999999999999</v>
          </cell>
          <cell r="AA12">
            <v>4.0723981900452344E-2</v>
          </cell>
        </row>
        <row r="13">
          <cell r="A13" t="str">
            <v>PSUR.BA</v>
          </cell>
          <cell r="B13">
            <v>3.6</v>
          </cell>
          <cell r="C13">
            <v>3</v>
          </cell>
          <cell r="D13">
            <v>2.63</v>
          </cell>
          <cell r="E13">
            <v>2.73</v>
          </cell>
          <cell r="F13">
            <v>2.91</v>
          </cell>
          <cell r="G13">
            <v>4.76</v>
          </cell>
          <cell r="H13">
            <v>2.75</v>
          </cell>
          <cell r="I13">
            <v>2.62</v>
          </cell>
          <cell r="J13">
            <v>2.8</v>
          </cell>
          <cell r="K13">
            <v>3.7</v>
          </cell>
          <cell r="L13">
            <v>4.3499999999999996</v>
          </cell>
          <cell r="M13">
            <v>3.65</v>
          </cell>
          <cell r="N13" t="str">
            <v>NULL</v>
          </cell>
          <cell r="P13">
            <v>-0.16666666666666674</v>
          </cell>
          <cell r="Q13">
            <v>-0.12333333333333341</v>
          </cell>
          <cell r="R13">
            <v>3.8022813688213031E-2</v>
          </cell>
          <cell r="S13">
            <v>6.5934065934065922E-2</v>
          </cell>
          <cell r="T13">
            <v>0.63573883161512001</v>
          </cell>
          <cell r="U13">
            <v>-0.42226890756302515</v>
          </cell>
          <cell r="V13">
            <v>-4.7272727272727244E-2</v>
          </cell>
          <cell r="W13">
            <v>6.8702290076335659E-2</v>
          </cell>
          <cell r="X13">
            <v>0.32142857142857162</v>
          </cell>
          <cell r="Y13">
            <v>0.17567567567567544</v>
          </cell>
          <cell r="Z13">
            <v>-0.16091954022988497</v>
          </cell>
          <cell r="AA13" t="e">
            <v>#VALUE!</v>
          </cell>
        </row>
        <row r="14">
          <cell r="A14" t="str">
            <v>DOME.BA</v>
          </cell>
          <cell r="B14">
            <v>10.9</v>
          </cell>
          <cell r="C14">
            <v>9.6999999999999993</v>
          </cell>
          <cell r="D14">
            <v>9.5</v>
          </cell>
          <cell r="E14">
            <v>9.5</v>
          </cell>
          <cell r="F14">
            <v>9.5</v>
          </cell>
          <cell r="G14">
            <v>10.199999999999999</v>
          </cell>
          <cell r="H14">
            <v>8.5</v>
          </cell>
          <cell r="I14">
            <v>8</v>
          </cell>
          <cell r="J14">
            <v>8</v>
          </cell>
          <cell r="K14">
            <v>8</v>
          </cell>
          <cell r="L14">
            <v>8</v>
          </cell>
          <cell r="M14">
            <v>8</v>
          </cell>
          <cell r="N14" t="str">
            <v>NULL</v>
          </cell>
          <cell r="P14">
            <v>-0.11009174311926617</v>
          </cell>
          <cell r="Q14">
            <v>-2.0618556701030855E-2</v>
          </cell>
          <cell r="R14">
            <v>0</v>
          </cell>
          <cell r="S14">
            <v>0</v>
          </cell>
          <cell r="T14">
            <v>7.3684210526315796E-2</v>
          </cell>
          <cell r="U14">
            <v>-0.16666666666666663</v>
          </cell>
          <cell r="V14">
            <v>-5.8823529411764719E-2</v>
          </cell>
          <cell r="W14">
            <v>0</v>
          </cell>
          <cell r="X14">
            <v>0</v>
          </cell>
          <cell r="Y14">
            <v>0</v>
          </cell>
          <cell r="Z14">
            <v>0</v>
          </cell>
          <cell r="AA14" t="e">
            <v>#VALUE!</v>
          </cell>
        </row>
        <row r="15">
          <cell r="A15" t="str">
            <v>PATA.BA</v>
          </cell>
          <cell r="B15">
            <v>26.5</v>
          </cell>
          <cell r="C15">
            <v>25.7</v>
          </cell>
          <cell r="D15">
            <v>26.7</v>
          </cell>
          <cell r="E15">
            <v>27.3</v>
          </cell>
          <cell r="F15">
            <v>27</v>
          </cell>
          <cell r="G15">
            <v>26</v>
          </cell>
          <cell r="H15">
            <v>27</v>
          </cell>
          <cell r="I15">
            <v>26</v>
          </cell>
          <cell r="J15">
            <v>24.2</v>
          </cell>
          <cell r="K15">
            <v>24.5</v>
          </cell>
          <cell r="L15">
            <v>24.4</v>
          </cell>
          <cell r="M15">
            <v>23.5</v>
          </cell>
          <cell r="N15">
            <v>22.85</v>
          </cell>
          <cell r="P15">
            <v>-3.0188679245283012E-2</v>
          </cell>
          <cell r="Q15">
            <v>3.8910505836575959E-2</v>
          </cell>
          <cell r="R15">
            <v>2.2471910112359605E-2</v>
          </cell>
          <cell r="S15">
            <v>-1.0989010989011061E-2</v>
          </cell>
          <cell r="T15">
            <v>-3.703703703703709E-2</v>
          </cell>
          <cell r="U15">
            <v>3.8461538461538547E-2</v>
          </cell>
          <cell r="V15">
            <v>-3.703703703703709E-2</v>
          </cell>
          <cell r="W15">
            <v>-6.9230769230769207E-2</v>
          </cell>
          <cell r="X15">
            <v>1.2396694214876103E-2</v>
          </cell>
          <cell r="Y15">
            <v>-4.0816326530612734E-3</v>
          </cell>
          <cell r="Z15">
            <v>-3.688524590163933E-2</v>
          </cell>
          <cell r="AA15">
            <v>-2.7659574468085091E-2</v>
          </cell>
        </row>
        <row r="16">
          <cell r="A16" t="str">
            <v>MOLA.BA</v>
          </cell>
          <cell r="B16">
            <v>136.13846100000001</v>
          </cell>
          <cell r="C16">
            <v>144.82814999999999</v>
          </cell>
          <cell r="D16">
            <v>207.58701500000001</v>
          </cell>
          <cell r="E16">
            <v>239.449208</v>
          </cell>
          <cell r="F16">
            <v>285</v>
          </cell>
          <cell r="G16">
            <v>297</v>
          </cell>
          <cell r="H16">
            <v>235</v>
          </cell>
          <cell r="I16">
            <v>240</v>
          </cell>
          <cell r="J16">
            <v>213</v>
          </cell>
          <cell r="K16">
            <v>245</v>
          </cell>
          <cell r="L16">
            <v>230</v>
          </cell>
          <cell r="M16">
            <v>222.75</v>
          </cell>
          <cell r="N16">
            <v>195</v>
          </cell>
          <cell r="P16">
            <v>6.3829787234042534E-2</v>
          </cell>
          <cell r="Q16">
            <v>0.43333333333333335</v>
          </cell>
          <cell r="R16">
            <v>0.15348837209302313</v>
          </cell>
          <cell r="S16">
            <v>0.19023154171384848</v>
          </cell>
          <cell r="T16">
            <v>4.2105263157894646E-2</v>
          </cell>
          <cell r="U16">
            <v>-0.2087542087542088</v>
          </cell>
          <cell r="V16">
            <v>2.1276595744680771E-2</v>
          </cell>
          <cell r="W16">
            <v>-0.11250000000000004</v>
          </cell>
          <cell r="X16">
            <v>0.15023474178403751</v>
          </cell>
          <cell r="Y16">
            <v>-6.1224489795918324E-2</v>
          </cell>
          <cell r="Z16">
            <v>-3.1521739130434767E-2</v>
          </cell>
          <cell r="AA16">
            <v>-0.12457912457912457</v>
          </cell>
        </row>
        <row r="17">
          <cell r="A17" t="str">
            <v>MOLI.BA</v>
          </cell>
          <cell r="B17">
            <v>43.8</v>
          </cell>
          <cell r="C17">
            <v>43</v>
          </cell>
          <cell r="D17">
            <v>43</v>
          </cell>
          <cell r="E17">
            <v>45.4</v>
          </cell>
          <cell r="F17">
            <v>43.25</v>
          </cell>
          <cell r="G17">
            <v>50.9</v>
          </cell>
          <cell r="H17">
            <v>43</v>
          </cell>
          <cell r="I17">
            <v>42</v>
          </cell>
          <cell r="J17">
            <v>37</v>
          </cell>
          <cell r="K17">
            <v>43.5</v>
          </cell>
          <cell r="L17">
            <v>39.9</v>
          </cell>
          <cell r="M17">
            <v>39</v>
          </cell>
          <cell r="N17">
            <v>35.5</v>
          </cell>
          <cell r="P17">
            <v>-1.826484018264829E-2</v>
          </cell>
          <cell r="Q17">
            <v>0</v>
          </cell>
          <cell r="R17">
            <v>5.5813953488372148E-2</v>
          </cell>
          <cell r="S17">
            <v>-4.7356828193832579E-2</v>
          </cell>
          <cell r="T17">
            <v>0.17687861271676297</v>
          </cell>
          <cell r="U17">
            <v>-0.15520628683693516</v>
          </cell>
          <cell r="V17">
            <v>-2.3255813953488413E-2</v>
          </cell>
          <cell r="W17">
            <v>-0.11904761904761907</v>
          </cell>
          <cell r="X17">
            <v>0.17567567567567566</v>
          </cell>
          <cell r="Y17">
            <v>-8.2758620689655227E-2</v>
          </cell>
          <cell r="Z17">
            <v>-2.2556390977443552E-2</v>
          </cell>
          <cell r="AA17">
            <v>-8.9743589743589758E-2</v>
          </cell>
        </row>
        <row r="18">
          <cell r="A18" t="str">
            <v>ESME.BA</v>
          </cell>
          <cell r="B18">
            <v>94.320085000000006</v>
          </cell>
          <cell r="C18">
            <v>91.341555999999997</v>
          </cell>
          <cell r="D18">
            <v>99.284300000000002</v>
          </cell>
          <cell r="E18">
            <v>100</v>
          </cell>
          <cell r="F18">
            <v>105</v>
          </cell>
          <cell r="G18">
            <v>123</v>
          </cell>
          <cell r="H18">
            <v>120</v>
          </cell>
          <cell r="I18">
            <v>120</v>
          </cell>
          <cell r="J18">
            <v>127</v>
          </cell>
          <cell r="K18">
            <v>134.75</v>
          </cell>
          <cell r="L18">
            <v>138</v>
          </cell>
          <cell r="M18">
            <v>125</v>
          </cell>
          <cell r="N18">
            <v>125</v>
          </cell>
          <cell r="P18">
            <v>-3.1578947368421151E-2</v>
          </cell>
          <cell r="Q18">
            <v>8.6956521739130599E-2</v>
          </cell>
          <cell r="R18">
            <v>7.2085918921722669E-3</v>
          </cell>
          <cell r="S18">
            <v>5.0000000000000044E-2</v>
          </cell>
          <cell r="T18">
            <v>0.17142857142857149</v>
          </cell>
          <cell r="U18">
            <v>-2.4390243902439046E-2</v>
          </cell>
          <cell r="V18">
            <v>0</v>
          </cell>
          <cell r="W18">
            <v>5.8333333333333348E-2</v>
          </cell>
          <cell r="X18">
            <v>6.1023622047243986E-2</v>
          </cell>
          <cell r="Y18">
            <v>2.4118738404452778E-2</v>
          </cell>
          <cell r="Z18">
            <v>-9.4202898550724612E-2</v>
          </cell>
          <cell r="AA18">
            <v>0</v>
          </cell>
        </row>
        <row r="19">
          <cell r="A19" t="str">
            <v>SAMI.BA</v>
          </cell>
          <cell r="B19">
            <v>96</v>
          </cell>
          <cell r="C19">
            <v>95.4</v>
          </cell>
          <cell r="D19">
            <v>103.5</v>
          </cell>
          <cell r="E19">
            <v>111</v>
          </cell>
          <cell r="F19">
            <v>108.4</v>
          </cell>
          <cell r="G19">
            <v>124.6</v>
          </cell>
          <cell r="H19">
            <v>105</v>
          </cell>
          <cell r="I19">
            <v>103.5</v>
          </cell>
          <cell r="J19">
            <v>95.5</v>
          </cell>
          <cell r="K19">
            <v>98</v>
          </cell>
          <cell r="L19">
            <v>95</v>
          </cell>
          <cell r="M19">
            <v>85</v>
          </cell>
          <cell r="N19">
            <v>71</v>
          </cell>
          <cell r="P19">
            <v>-6.2499999999999778E-3</v>
          </cell>
          <cell r="Q19">
            <v>8.4905660377358361E-2</v>
          </cell>
          <cell r="R19">
            <v>7.2463768115942129E-2</v>
          </cell>
          <cell r="S19">
            <v>-2.3423423423423406E-2</v>
          </cell>
          <cell r="T19">
            <v>0.14944649446494451</v>
          </cell>
          <cell r="U19">
            <v>-0.15730337078651679</v>
          </cell>
          <cell r="V19">
            <v>-1.4285714285714235E-2</v>
          </cell>
          <cell r="W19">
            <v>-7.7294685990338174E-2</v>
          </cell>
          <cell r="X19">
            <v>2.6178010471204161E-2</v>
          </cell>
          <cell r="Y19">
            <v>-3.0612244897959218E-2</v>
          </cell>
          <cell r="Z19">
            <v>-0.10526315789473684</v>
          </cell>
          <cell r="AA19">
            <v>-0.16470588235294115</v>
          </cell>
        </row>
        <row r="20">
          <cell r="A20" t="str">
            <v>LEDE.BA</v>
          </cell>
          <cell r="B20">
            <v>12.5</v>
          </cell>
          <cell r="C20">
            <v>12.5</v>
          </cell>
          <cell r="D20">
            <v>12</v>
          </cell>
          <cell r="E20">
            <v>12.4</v>
          </cell>
          <cell r="F20">
            <v>13.2</v>
          </cell>
          <cell r="G20">
            <v>15.05</v>
          </cell>
          <cell r="H20">
            <v>12.6</v>
          </cell>
          <cell r="I20">
            <v>12.75</v>
          </cell>
          <cell r="J20">
            <v>12.2</v>
          </cell>
          <cell r="K20">
            <v>13.45</v>
          </cell>
          <cell r="L20">
            <v>12.95</v>
          </cell>
          <cell r="M20">
            <v>12.2</v>
          </cell>
          <cell r="N20">
            <v>11.3</v>
          </cell>
          <cell r="P20">
            <v>0</v>
          </cell>
          <cell r="Q20">
            <v>-4.0000000000000036E-2</v>
          </cell>
          <cell r="R20">
            <v>3.3333333333333437E-2</v>
          </cell>
          <cell r="S20">
            <v>6.4516129032258007E-2</v>
          </cell>
          <cell r="T20">
            <v>0.14015151515151536</v>
          </cell>
          <cell r="U20">
            <v>-0.16279069767441867</v>
          </cell>
          <cell r="V20">
            <v>1.1904761904761862E-2</v>
          </cell>
          <cell r="W20">
            <v>-4.3137254901960853E-2</v>
          </cell>
          <cell r="X20">
            <v>0.10245901639344268</v>
          </cell>
          <cell r="Y20">
            <v>-3.7174721189591087E-2</v>
          </cell>
          <cell r="Z20">
            <v>-5.791505791505791E-2</v>
          </cell>
          <cell r="AA20">
            <v>-7.3770491803278548E-2</v>
          </cell>
        </row>
        <row r="21">
          <cell r="A21" t="str">
            <v>INVJ.BA</v>
          </cell>
          <cell r="B21">
            <v>10.050000000000001</v>
          </cell>
          <cell r="C21">
            <v>9.9</v>
          </cell>
          <cell r="D21">
            <v>9.6</v>
          </cell>
          <cell r="E21">
            <v>10.25</v>
          </cell>
          <cell r="F21">
            <v>10.5</v>
          </cell>
          <cell r="G21">
            <v>9.9499999999999993</v>
          </cell>
          <cell r="H21">
            <v>8.75</v>
          </cell>
          <cell r="I21">
            <v>8.8000000000000007</v>
          </cell>
          <cell r="J21">
            <v>8.6999999999999993</v>
          </cell>
          <cell r="K21">
            <v>9.2899999999999991</v>
          </cell>
          <cell r="L21">
            <v>8.9</v>
          </cell>
          <cell r="M21">
            <v>8.4</v>
          </cell>
          <cell r="N21">
            <v>8.6</v>
          </cell>
          <cell r="P21">
            <v>-1.4925373134328401E-2</v>
          </cell>
          <cell r="Q21">
            <v>-3.0303030303030387E-2</v>
          </cell>
          <cell r="R21">
            <v>6.7708333333333481E-2</v>
          </cell>
          <cell r="S21">
            <v>2.4390243902439046E-2</v>
          </cell>
          <cell r="T21">
            <v>-5.2380952380952417E-2</v>
          </cell>
          <cell r="U21">
            <v>-0.12060301507537685</v>
          </cell>
          <cell r="V21">
            <v>5.7142857142857828E-3</v>
          </cell>
          <cell r="W21">
            <v>-1.1363636363636576E-2</v>
          </cell>
          <cell r="X21">
            <v>6.7816091954022939E-2</v>
          </cell>
          <cell r="Y21">
            <v>-4.1980624327233484E-2</v>
          </cell>
          <cell r="Z21">
            <v>-5.6179775280898903E-2</v>
          </cell>
          <cell r="AA21">
            <v>2.3809523809523725E-2</v>
          </cell>
        </row>
        <row r="22">
          <cell r="A22" t="str">
            <v>PATY.BA</v>
          </cell>
          <cell r="B22">
            <v>4.7016023000000002</v>
          </cell>
          <cell r="C22">
            <v>4.9928520000000001</v>
          </cell>
          <cell r="D22">
            <v>4.4935668</v>
          </cell>
          <cell r="E22">
            <v>4.6391916499999999</v>
          </cell>
          <cell r="F22">
            <v>3.5366035</v>
          </cell>
          <cell r="G22">
            <v>4.2439242000000004</v>
          </cell>
          <cell r="H22">
            <v>4.25</v>
          </cell>
          <cell r="I22">
            <v>5.55</v>
          </cell>
          <cell r="J22">
            <v>4.4400000000000004</v>
          </cell>
          <cell r="K22">
            <v>4.45</v>
          </cell>
          <cell r="L22">
            <v>4.3</v>
          </cell>
          <cell r="M22">
            <v>4.4000000000000004</v>
          </cell>
          <cell r="N22">
            <v>4.5999999999999996</v>
          </cell>
          <cell r="P22">
            <v>6.1946902654867131E-2</v>
          </cell>
          <cell r="Q22">
            <v>-9.9999999999999978E-2</v>
          </cell>
          <cell r="R22">
            <v>3.240740740740744E-2</v>
          </cell>
          <cell r="S22">
            <v>-0.2376681614349776</v>
          </cell>
          <cell r="T22">
            <v>0.20000000000000018</v>
          </cell>
          <cell r="U22">
            <v>1.4316466820967211E-3</v>
          </cell>
          <cell r="V22">
            <v>0.30588235294117649</v>
          </cell>
          <cell r="W22">
            <v>-0.19999999999999996</v>
          </cell>
          <cell r="X22">
            <v>2.2522522522521182E-3</v>
          </cell>
          <cell r="Y22">
            <v>-3.3707865168539408E-2</v>
          </cell>
          <cell r="Z22">
            <v>2.3255813953488413E-2</v>
          </cell>
          <cell r="AA22">
            <v>4.5454545454545192E-2</v>
          </cell>
        </row>
        <row r="23">
          <cell r="A23" t="str">
            <v>INTR.BA</v>
          </cell>
          <cell r="B23">
            <v>6.8593906550000003</v>
          </cell>
          <cell r="C23">
            <v>6.4044310700000002</v>
          </cell>
          <cell r="D23">
            <v>5.3195274460000004</v>
          </cell>
          <cell r="E23">
            <v>6.194449724</v>
          </cell>
          <cell r="F23">
            <v>5.8794777040000001</v>
          </cell>
          <cell r="G23">
            <v>6.1594528329999996</v>
          </cell>
          <cell r="H23">
            <v>6.2994403969999997</v>
          </cell>
          <cell r="I23">
            <v>6.3274461000000004</v>
          </cell>
          <cell r="J23">
            <v>6.0430665000000001</v>
          </cell>
          <cell r="K23">
            <v>6.3274461000000004</v>
          </cell>
          <cell r="L23">
            <v>6.6829206000000001</v>
          </cell>
          <cell r="M23">
            <v>6.4</v>
          </cell>
          <cell r="N23">
            <v>5.01</v>
          </cell>
          <cell r="P23">
            <v>-6.6326530720096422E-2</v>
          </cell>
          <cell r="Q23">
            <v>-0.16939890712259631</v>
          </cell>
          <cell r="R23">
            <v>0.16447368434162213</v>
          </cell>
          <cell r="S23">
            <v>-5.084745764900811E-2</v>
          </cell>
          <cell r="T23">
            <v>4.7619047659543501E-2</v>
          </cell>
          <cell r="U23">
            <v>2.2727272664545772E-2</v>
          </cell>
          <cell r="V23">
            <v>4.4457445796832751E-3</v>
          </cell>
          <cell r="W23">
            <v>-4.49438202247191E-2</v>
          </cell>
          <cell r="X23">
            <v>4.705882352941182E-2</v>
          </cell>
          <cell r="Y23">
            <v>5.6179775280898792E-2</v>
          </cell>
          <cell r="Z23">
            <v>-4.233487376761591E-2</v>
          </cell>
          <cell r="AA23">
            <v>-0.21718750000000009</v>
          </cell>
        </row>
        <row r="24">
          <cell r="A24" t="str">
            <v>SEMI.BA</v>
          </cell>
          <cell r="B24">
            <v>2.7225293779999999</v>
          </cell>
          <cell r="C24">
            <v>2.6706716749999999</v>
          </cell>
          <cell r="D24">
            <v>2.7484582290000001</v>
          </cell>
          <cell r="E24">
            <v>2.679314626</v>
          </cell>
          <cell r="F24">
            <v>2.7571011790000002</v>
          </cell>
          <cell r="G24">
            <v>3.2324634520000002</v>
          </cell>
          <cell r="H24">
            <v>3.0702699999999998</v>
          </cell>
          <cell r="I24">
            <v>2.8246484000000001</v>
          </cell>
          <cell r="J24">
            <v>2.5965712000000001</v>
          </cell>
          <cell r="K24">
            <v>2.7456985999999999</v>
          </cell>
          <cell r="L24">
            <v>2.587799</v>
          </cell>
          <cell r="M24">
            <v>2.59</v>
          </cell>
          <cell r="N24">
            <v>2.21</v>
          </cell>
          <cell r="P24">
            <v>-1.9047619254009773E-2</v>
          </cell>
          <cell r="Q24">
            <v>2.9126213726739847E-2</v>
          </cell>
          <cell r="R24">
            <v>-2.5157232615158676E-2</v>
          </cell>
          <cell r="S24">
            <v>2.9032257818906837E-2</v>
          </cell>
          <cell r="T24">
            <v>0.17241379337859986</v>
          </cell>
          <cell r="U24">
            <v>-5.0176422536083898E-2</v>
          </cell>
          <cell r="V24">
            <v>-7.999999999999996E-2</v>
          </cell>
          <cell r="W24">
            <v>-8.0745341614906874E-2</v>
          </cell>
          <cell r="X24">
            <v>5.7432432432432456E-2</v>
          </cell>
          <cell r="Y24">
            <v>-5.7507987220447254E-2</v>
          </cell>
          <cell r="Z24">
            <v>8.5052973588739533E-4</v>
          </cell>
          <cell r="AA24">
            <v>-0.14671814671814665</v>
          </cell>
        </row>
        <row r="25">
          <cell r="A25" t="str">
            <v>MORI.BA</v>
          </cell>
          <cell r="B25">
            <v>2.3435731</v>
          </cell>
          <cell r="C25">
            <v>2.19641851</v>
          </cell>
          <cell r="D25">
            <v>2.2890714000000001</v>
          </cell>
          <cell r="E25">
            <v>2.1255663</v>
          </cell>
          <cell r="F25">
            <v>2.1800000000000002</v>
          </cell>
          <cell r="G25">
            <v>2.25</v>
          </cell>
          <cell r="H25">
            <v>1.99</v>
          </cell>
          <cell r="I25">
            <v>1.95</v>
          </cell>
          <cell r="J25">
            <v>1.87</v>
          </cell>
          <cell r="K25">
            <v>1.9</v>
          </cell>
          <cell r="L25">
            <v>1.84</v>
          </cell>
          <cell r="M25">
            <v>1.75</v>
          </cell>
          <cell r="N25">
            <v>1.7</v>
          </cell>
          <cell r="P25">
            <v>-6.2790697674418583E-2</v>
          </cell>
          <cell r="Q25">
            <v>4.2183622828784184E-2</v>
          </cell>
          <cell r="R25">
            <v>-7.1428571428571508E-2</v>
          </cell>
          <cell r="S25">
            <v>2.560903416656557E-2</v>
          </cell>
          <cell r="T25">
            <v>3.2110091743119185E-2</v>
          </cell>
          <cell r="U25">
            <v>-0.11555555555555552</v>
          </cell>
          <cell r="V25">
            <v>-2.010050251256279E-2</v>
          </cell>
          <cell r="W25">
            <v>-4.1025641025640991E-2</v>
          </cell>
          <cell r="X25">
            <v>1.6042780748662944E-2</v>
          </cell>
          <cell r="Y25">
            <v>-3.1578947368420929E-2</v>
          </cell>
          <cell r="Z25">
            <v>-4.8913043478260865E-2</v>
          </cell>
          <cell r="AA25">
            <v>-2.8571428571428581E-2</v>
          </cell>
        </row>
        <row r="26">
          <cell r="A26" t="str">
            <v>APBR.BA</v>
          </cell>
          <cell r="B26">
            <v>144.17244179900001</v>
          </cell>
          <cell r="C26">
            <v>149.09341847300001</v>
          </cell>
          <cell r="D26">
            <v>143.42597942399999</v>
          </cell>
          <cell r="E26">
            <v>158.93686524099999</v>
          </cell>
          <cell r="F26">
            <v>203.18266131999999</v>
          </cell>
          <cell r="G26">
            <v>247.62731490900001</v>
          </cell>
          <cell r="H26">
            <v>289.23824897499998</v>
          </cell>
          <cell r="I26">
            <v>268.14432840000001</v>
          </cell>
          <cell r="J26">
            <v>249.65</v>
          </cell>
          <cell r="K26">
            <v>301.95</v>
          </cell>
          <cell r="L26">
            <v>309.39999999999998</v>
          </cell>
          <cell r="M26">
            <v>346.4</v>
          </cell>
          <cell r="N26">
            <v>348.4</v>
          </cell>
          <cell r="P26">
            <v>3.4132574940089144E-2</v>
          </cell>
          <cell r="Q26">
            <v>-3.8012670894834732E-2</v>
          </cell>
          <cell r="R26">
            <v>0.10814558059350099</v>
          </cell>
          <cell r="S26">
            <v>0.27838598686282756</v>
          </cell>
          <cell r="T26">
            <v>0.21874235380253459</v>
          </cell>
          <cell r="U26">
            <v>0.16803854647978356</v>
          </cell>
          <cell r="V26">
            <v>-7.2929222361677315E-2</v>
          </cell>
          <cell r="W26">
            <v>-6.8971544206638535E-2</v>
          </cell>
          <cell r="X26">
            <v>0.20949329060684962</v>
          </cell>
          <cell r="Y26">
            <v>2.4672959099188541E-2</v>
          </cell>
          <cell r="Z26">
            <v>0.11958629605688431</v>
          </cell>
          <cell r="AA26">
            <v>5.7736720554273369E-3</v>
          </cell>
        </row>
        <row r="27">
          <cell r="A27" t="str">
            <v>TS.BA</v>
          </cell>
          <cell r="B27">
            <v>384.45</v>
          </cell>
          <cell r="C27">
            <v>451.1</v>
          </cell>
          <cell r="D27">
            <v>521.95000000000005</v>
          </cell>
          <cell r="E27">
            <v>504.9</v>
          </cell>
          <cell r="F27">
            <v>624.65</v>
          </cell>
          <cell r="G27">
            <v>695.6</v>
          </cell>
          <cell r="H27">
            <v>527.5</v>
          </cell>
          <cell r="I27">
            <v>464.3</v>
          </cell>
          <cell r="J27">
            <v>410.6</v>
          </cell>
          <cell r="K27">
            <v>465.6</v>
          </cell>
          <cell r="L27">
            <v>521.20000000000005</v>
          </cell>
          <cell r="M27">
            <v>615.1</v>
          </cell>
          <cell r="N27">
            <v>638.79999999999995</v>
          </cell>
          <cell r="P27">
            <v>0.17336454675510482</v>
          </cell>
          <cell r="Q27">
            <v>0.15706051873198845</v>
          </cell>
          <cell r="R27">
            <v>-3.2665964172813644E-2</v>
          </cell>
          <cell r="S27">
            <v>0.23717567835214903</v>
          </cell>
          <cell r="T27">
            <v>0.11358360681981927</v>
          </cell>
          <cell r="U27">
            <v>-0.24166187464059807</v>
          </cell>
          <cell r="V27">
            <v>-0.11981042654028429</v>
          </cell>
          <cell r="W27">
            <v>-0.11565797975446912</v>
          </cell>
          <cell r="X27">
            <v>0.13395031660983925</v>
          </cell>
          <cell r="Y27">
            <v>0.11941580756013748</v>
          </cell>
          <cell r="Z27">
            <v>0.18016116653875658</v>
          </cell>
          <cell r="AA27">
            <v>3.8530320273126195E-2</v>
          </cell>
        </row>
        <row r="28">
          <cell r="A28" t="str">
            <v>YPFD.BA</v>
          </cell>
          <cell r="B28">
            <v>453.73765200000003</v>
          </cell>
          <cell r="C28">
            <v>450.95490000000001</v>
          </cell>
          <cell r="D28">
            <v>387.5976</v>
          </cell>
          <cell r="E28">
            <v>448.32122399999997</v>
          </cell>
          <cell r="F28">
            <v>563.20912799999996</v>
          </cell>
          <cell r="G28">
            <v>640.08265200000005</v>
          </cell>
          <cell r="H28">
            <v>538.512204</v>
          </cell>
          <cell r="I28">
            <v>563.65635599999996</v>
          </cell>
          <cell r="J28">
            <v>502.15</v>
          </cell>
          <cell r="K28">
            <v>606.29999999999995</v>
          </cell>
          <cell r="L28">
            <v>554.20000000000005</v>
          </cell>
          <cell r="M28">
            <v>610</v>
          </cell>
          <cell r="N28">
            <v>612.5</v>
          </cell>
          <cell r="P28">
            <v>-6.1329536742963375E-3</v>
          </cell>
          <cell r="Q28">
            <v>-0.14049586776859502</v>
          </cell>
          <cell r="R28">
            <v>0.15666666666666651</v>
          </cell>
          <cell r="S28">
            <v>0.25626246951895371</v>
          </cell>
          <cell r="T28">
            <v>0.13649197106052591</v>
          </cell>
          <cell r="U28">
            <v>-0.15868333203943796</v>
          </cell>
          <cell r="V28">
            <v>4.6691888899141665E-2</v>
          </cell>
          <cell r="W28">
            <v>-0.10912030946742302</v>
          </cell>
          <cell r="X28">
            <v>0.20740814497660054</v>
          </cell>
          <cell r="Y28">
            <v>-8.5931057232393027E-2</v>
          </cell>
          <cell r="Z28">
            <v>0.10068567304222298</v>
          </cell>
          <cell r="AA28">
            <v>4.098360655737654E-3</v>
          </cell>
        </row>
        <row r="29">
          <cell r="A29" t="str">
            <v>TGSU2.BA</v>
          </cell>
          <cell r="B29">
            <v>67.897667251000001</v>
          </cell>
          <cell r="C29">
            <v>73.334700182000006</v>
          </cell>
          <cell r="D29">
            <v>60.155332356000002</v>
          </cell>
          <cell r="E29">
            <v>80.302559930000001</v>
          </cell>
          <cell r="F29">
            <v>88.500033809000001</v>
          </cell>
          <cell r="G29">
            <v>109.68200179999999</v>
          </cell>
          <cell r="H29">
            <v>94.972462199999995</v>
          </cell>
          <cell r="I29">
            <v>105.4792762</v>
          </cell>
          <cell r="J29">
            <v>100.18018739999999</v>
          </cell>
          <cell r="K29">
            <v>114.9810906</v>
          </cell>
          <cell r="L29">
            <v>104.611322</v>
          </cell>
          <cell r="M29">
            <v>104.2458676</v>
          </cell>
          <cell r="N29">
            <v>91.1</v>
          </cell>
          <cell r="P29">
            <v>8.0076873788619496E-2</v>
          </cell>
          <cell r="Q29">
            <v>-0.17971530248697842</v>
          </cell>
          <cell r="R29">
            <v>0.3349200608645706</v>
          </cell>
          <cell r="S29">
            <v>0.10208234813617101</v>
          </cell>
          <cell r="T29">
            <v>0.2393441796498601</v>
          </cell>
          <cell r="U29">
            <v>-0.13411078717201164</v>
          </cell>
          <cell r="V29">
            <v>0.11063011063011063</v>
          </cell>
          <cell r="W29">
            <v>-5.0238198354266017E-2</v>
          </cell>
          <cell r="X29">
            <v>0.14774281805745559</v>
          </cell>
          <cell r="Y29">
            <v>-9.0186730234406043E-2</v>
          </cell>
          <cell r="Z29">
            <v>-3.4934497816594412E-3</v>
          </cell>
          <cell r="AA29">
            <v>-0.12610444809612775</v>
          </cell>
        </row>
        <row r="30">
          <cell r="A30" t="str">
            <v>TGNO4.BA</v>
          </cell>
          <cell r="B30">
            <v>56.9</v>
          </cell>
          <cell r="C30">
            <v>59.25</v>
          </cell>
          <cell r="D30">
            <v>43.95</v>
          </cell>
          <cell r="E30">
            <v>62.2</v>
          </cell>
          <cell r="F30">
            <v>49.05</v>
          </cell>
          <cell r="G30">
            <v>65.2</v>
          </cell>
          <cell r="H30">
            <v>50.3</v>
          </cell>
          <cell r="I30">
            <v>51.4</v>
          </cell>
          <cell r="J30">
            <v>56.55</v>
          </cell>
          <cell r="K30">
            <v>66.7</v>
          </cell>
          <cell r="L30">
            <v>70.8</v>
          </cell>
          <cell r="M30">
            <v>64.8</v>
          </cell>
          <cell r="N30">
            <v>51.4</v>
          </cell>
          <cell r="P30">
            <v>4.1300527240773377E-2</v>
          </cell>
          <cell r="Q30">
            <v>-0.25822784810126576</v>
          </cell>
          <cell r="R30">
            <v>0.41524459613196818</v>
          </cell>
          <cell r="S30">
            <v>-0.21141479099678462</v>
          </cell>
          <cell r="T30">
            <v>0.32925586136595331</v>
          </cell>
          <cell r="U30">
            <v>-0.22852760736196331</v>
          </cell>
          <cell r="V30">
            <v>2.1868787276341894E-2</v>
          </cell>
          <cell r="W30">
            <v>0.10019455252918275</v>
          </cell>
          <cell r="X30">
            <v>0.17948717948717952</v>
          </cell>
          <cell r="Y30">
            <v>6.1469265367316339E-2</v>
          </cell>
          <cell r="Z30">
            <v>-8.4745762711864403E-2</v>
          </cell>
          <cell r="AA30">
            <v>-0.20679012345679015</v>
          </cell>
        </row>
        <row r="31">
          <cell r="A31" t="str">
            <v>PGR.BA</v>
          </cell>
          <cell r="B31">
            <v>7.31</v>
          </cell>
          <cell r="C31">
            <v>7.33</v>
          </cell>
          <cell r="D31">
            <v>6.1</v>
          </cell>
          <cell r="E31">
            <v>8.2799999999999994</v>
          </cell>
          <cell r="F31">
            <v>11.3</v>
          </cell>
          <cell r="G31">
            <v>12</v>
          </cell>
          <cell r="H31">
            <v>8.5</v>
          </cell>
          <cell r="I31">
            <v>7.9</v>
          </cell>
          <cell r="J31">
            <v>11.05</v>
          </cell>
          <cell r="K31">
            <v>11.75</v>
          </cell>
          <cell r="L31">
            <v>12.2</v>
          </cell>
          <cell r="M31">
            <v>10.7</v>
          </cell>
          <cell r="N31">
            <v>9.23</v>
          </cell>
          <cell r="P31">
            <v>2.7359781121751858E-3</v>
          </cell>
          <cell r="Q31">
            <v>-0.16780354706684864</v>
          </cell>
          <cell r="R31">
            <v>0.35737704918032787</v>
          </cell>
          <cell r="S31">
            <v>0.3647342995169085</v>
          </cell>
          <cell r="T31">
            <v>6.1946902654867131E-2</v>
          </cell>
          <cell r="U31">
            <v>-0.29166666666666663</v>
          </cell>
          <cell r="V31">
            <v>-7.0588235294117618E-2</v>
          </cell>
          <cell r="W31">
            <v>0.39873417721519</v>
          </cell>
          <cell r="X31">
            <v>6.3348416289592757E-2</v>
          </cell>
          <cell r="Y31">
            <v>3.8297872340425476E-2</v>
          </cell>
          <cell r="Z31">
            <v>-0.12295081967213117</v>
          </cell>
          <cell r="AA31">
            <v>-0.13738317757009333</v>
          </cell>
        </row>
        <row r="32">
          <cell r="A32" t="str">
            <v>COME.BA</v>
          </cell>
          <cell r="B32">
            <v>4.03</v>
          </cell>
          <cell r="C32">
            <v>3.89</v>
          </cell>
          <cell r="D32">
            <v>3.2</v>
          </cell>
          <cell r="E32">
            <v>4.0599999999999996</v>
          </cell>
          <cell r="F32">
            <v>4.22</v>
          </cell>
          <cell r="G32">
            <v>4.49</v>
          </cell>
          <cell r="H32">
            <v>3.56</v>
          </cell>
          <cell r="I32">
            <v>3.46</v>
          </cell>
          <cell r="J32">
            <v>3.34</v>
          </cell>
          <cell r="K32">
            <v>3.47</v>
          </cell>
          <cell r="L32">
            <v>3.29</v>
          </cell>
          <cell r="M32">
            <v>3.32</v>
          </cell>
          <cell r="N32">
            <v>2.79</v>
          </cell>
          <cell r="P32">
            <v>-3.4739454094292799E-2</v>
          </cell>
          <cell r="Q32">
            <v>-0.17737789203084831</v>
          </cell>
          <cell r="R32">
            <v>0.26874999999999982</v>
          </cell>
          <cell r="S32">
            <v>3.9408866995073843E-2</v>
          </cell>
          <cell r="T32">
            <v>6.3981042654028597E-2</v>
          </cell>
          <cell r="U32">
            <v>-0.20712694877505566</v>
          </cell>
          <cell r="V32">
            <v>-2.8089887640449507E-2</v>
          </cell>
          <cell r="W32">
            <v>-3.4682080924855474E-2</v>
          </cell>
          <cell r="X32">
            <v>3.8922155688622784E-2</v>
          </cell>
          <cell r="Y32">
            <v>-5.187319884726227E-2</v>
          </cell>
          <cell r="Z32">
            <v>9.1185410334346795E-3</v>
          </cell>
          <cell r="AA32">
            <v>-0.15963855421686746</v>
          </cell>
        </row>
        <row r="33">
          <cell r="A33" t="str">
            <v>CARC.BA</v>
          </cell>
          <cell r="B33">
            <v>1.1378675</v>
          </cell>
          <cell r="C33">
            <v>1.0587115</v>
          </cell>
          <cell r="D33">
            <v>1.226918</v>
          </cell>
          <cell r="E33">
            <v>1.167551</v>
          </cell>
          <cell r="F33">
            <v>1</v>
          </cell>
          <cell r="G33">
            <v>2.99</v>
          </cell>
          <cell r="H33">
            <v>1.92</v>
          </cell>
          <cell r="I33">
            <v>1.78</v>
          </cell>
          <cell r="J33">
            <v>1.55</v>
          </cell>
          <cell r="K33">
            <v>1.52</v>
          </cell>
          <cell r="L33">
            <v>1.65</v>
          </cell>
          <cell r="M33">
            <v>1.37</v>
          </cell>
          <cell r="N33">
            <v>1.35</v>
          </cell>
          <cell r="P33">
            <v>-6.956521739130439E-2</v>
          </cell>
          <cell r="Q33">
            <v>0.1588785046728971</v>
          </cell>
          <cell r="R33">
            <v>-4.8387096774193505E-2</v>
          </cell>
          <cell r="S33">
            <v>-0.14350636503244829</v>
          </cell>
          <cell r="T33">
            <v>1.9900000000000002</v>
          </cell>
          <cell r="U33">
            <v>-0.35785953177257535</v>
          </cell>
          <cell r="V33">
            <v>-7.291666666666663E-2</v>
          </cell>
          <cell r="W33">
            <v>-0.1292134831460674</v>
          </cell>
          <cell r="X33">
            <v>-1.9354838709677469E-2</v>
          </cell>
          <cell r="Y33">
            <v>8.5526315789473673E-2</v>
          </cell>
          <cell r="Z33">
            <v>-0.16969696969696957</v>
          </cell>
          <cell r="AA33">
            <v>-1.4598540145985384E-2</v>
          </cell>
        </row>
        <row r="34">
          <cell r="A34" t="str">
            <v>GGAL.BA</v>
          </cell>
          <cell r="B34">
            <v>127.46139599999999</v>
          </cell>
          <cell r="C34">
            <v>105.8</v>
          </cell>
          <cell r="D34">
            <v>95.05</v>
          </cell>
          <cell r="E34">
            <v>97.4</v>
          </cell>
          <cell r="F34">
            <v>86.1</v>
          </cell>
          <cell r="G34">
            <v>105.65</v>
          </cell>
          <cell r="H34">
            <v>83.25</v>
          </cell>
          <cell r="I34">
            <v>101.9</v>
          </cell>
          <cell r="J34">
            <v>103.3</v>
          </cell>
          <cell r="K34">
            <v>135.35</v>
          </cell>
          <cell r="L34">
            <v>120.8</v>
          </cell>
          <cell r="M34">
            <v>110.7</v>
          </cell>
          <cell r="N34">
            <v>95.25</v>
          </cell>
          <cell r="P34">
            <v>-0.16994475723457481</v>
          </cell>
          <cell r="Q34">
            <v>-0.1016068052930057</v>
          </cell>
          <cell r="R34">
            <v>2.4723829563387811E-2</v>
          </cell>
          <cell r="S34">
            <v>-0.11601642710472293</v>
          </cell>
          <cell r="T34">
            <v>0.22706155632984926</v>
          </cell>
          <cell r="U34">
            <v>-0.21202082347373408</v>
          </cell>
          <cell r="V34">
            <v>0.2240240240240241</v>
          </cell>
          <cell r="W34">
            <v>1.3738959764474812E-2</v>
          </cell>
          <cell r="X34">
            <v>0.31026137463697956</v>
          </cell>
          <cell r="Y34">
            <v>-0.10749907646841517</v>
          </cell>
          <cell r="Z34">
            <v>-8.3609271523178763E-2</v>
          </cell>
          <cell r="AA34">
            <v>-0.13956639566395668</v>
          </cell>
        </row>
        <row r="35">
          <cell r="A35" t="str">
            <v>BMA.BA</v>
          </cell>
          <cell r="B35">
            <v>193.24111490000001</v>
          </cell>
          <cell r="C35">
            <v>196.55</v>
          </cell>
          <cell r="D35">
            <v>167.05</v>
          </cell>
          <cell r="E35">
            <v>187.25</v>
          </cell>
          <cell r="F35">
            <v>163.35</v>
          </cell>
          <cell r="G35">
            <v>172.05</v>
          </cell>
          <cell r="H35">
            <v>159.35</v>
          </cell>
          <cell r="I35">
            <v>169.85</v>
          </cell>
          <cell r="J35">
            <v>163.95</v>
          </cell>
          <cell r="K35">
            <v>214.5</v>
          </cell>
          <cell r="L35">
            <v>196.7</v>
          </cell>
          <cell r="M35">
            <v>198.75</v>
          </cell>
          <cell r="N35">
            <v>186.05</v>
          </cell>
          <cell r="P35">
            <v>1.712309050644989E-2</v>
          </cell>
          <cell r="Q35">
            <v>-0.15008903586873568</v>
          </cell>
          <cell r="R35">
            <v>0.1209218796767435</v>
          </cell>
          <cell r="S35">
            <v>-0.12763684913217621</v>
          </cell>
          <cell r="T35">
            <v>5.3259871441689643E-2</v>
          </cell>
          <cell r="U35">
            <v>-7.3815751235106197E-2</v>
          </cell>
          <cell r="V35">
            <v>6.5892689049262598E-2</v>
          </cell>
          <cell r="W35">
            <v>-3.4736532234324491E-2</v>
          </cell>
          <cell r="X35">
            <v>0.30832570905763967</v>
          </cell>
          <cell r="Y35">
            <v>-8.2983682983683082E-2</v>
          </cell>
          <cell r="Z35">
            <v>1.0421962379257854E-2</v>
          </cell>
          <cell r="AA35">
            <v>-6.3899371069182309E-2</v>
          </cell>
        </row>
        <row r="36">
          <cell r="A36" t="str">
            <v>FRAN.BA</v>
          </cell>
          <cell r="B36">
            <v>148.25841405</v>
          </cell>
          <cell r="C36">
            <v>119.9</v>
          </cell>
          <cell r="D36">
            <v>119.4</v>
          </cell>
          <cell r="E36">
            <v>127</v>
          </cell>
          <cell r="F36">
            <v>110</v>
          </cell>
          <cell r="G36">
            <v>160</v>
          </cell>
          <cell r="H36">
            <v>132</v>
          </cell>
          <cell r="I36">
            <v>149.9</v>
          </cell>
          <cell r="J36">
            <v>140.75</v>
          </cell>
          <cell r="K36">
            <v>168</v>
          </cell>
          <cell r="L36">
            <v>144.5</v>
          </cell>
          <cell r="M36">
            <v>137.94999999999999</v>
          </cell>
          <cell r="N36">
            <v>116.45</v>
          </cell>
          <cell r="P36">
            <v>-0.1912769284071536</v>
          </cell>
          <cell r="Q36">
            <v>-4.170141784820669E-3</v>
          </cell>
          <cell r="R36">
            <v>6.365159128978215E-2</v>
          </cell>
          <cell r="S36">
            <v>-0.13385826771653542</v>
          </cell>
          <cell r="T36">
            <v>0.45454545454545459</v>
          </cell>
          <cell r="U36">
            <v>-0.17500000000000004</v>
          </cell>
          <cell r="V36">
            <v>0.13560606060606073</v>
          </cell>
          <cell r="W36">
            <v>-6.1040693795863965E-2</v>
          </cell>
          <cell r="X36">
            <v>0.1936056838365896</v>
          </cell>
          <cell r="Y36">
            <v>-0.13988095238095233</v>
          </cell>
          <cell r="Z36">
            <v>-4.5328719723183419E-2</v>
          </cell>
          <cell r="AA36">
            <v>-0.1558535701341065</v>
          </cell>
        </row>
        <row r="37">
          <cell r="A37" t="str">
            <v>BRIO.BA</v>
          </cell>
          <cell r="B37">
            <v>25.926507050000001</v>
          </cell>
          <cell r="C37">
            <v>21.5024415</v>
          </cell>
          <cell r="D37">
            <v>20.513823500000001</v>
          </cell>
          <cell r="E37">
            <v>21.749596</v>
          </cell>
          <cell r="F37">
            <v>19.673498200000001</v>
          </cell>
          <cell r="G37">
            <v>24.369433699999998</v>
          </cell>
          <cell r="H37">
            <v>19.722929100000002</v>
          </cell>
          <cell r="I37">
            <v>19.080327400000002</v>
          </cell>
          <cell r="J37">
            <v>17.300815</v>
          </cell>
          <cell r="K37">
            <v>21</v>
          </cell>
          <cell r="L37">
            <v>19.55</v>
          </cell>
          <cell r="M37">
            <v>18.2</v>
          </cell>
          <cell r="N37">
            <v>13.8</v>
          </cell>
          <cell r="P37">
            <v>-0.17063870352716881</v>
          </cell>
          <cell r="Q37">
            <v>-4.5977011494252817E-2</v>
          </cell>
          <cell r="R37">
            <v>6.024096385542177E-2</v>
          </cell>
          <cell r="S37">
            <v>-9.5454545454545459E-2</v>
          </cell>
          <cell r="T37">
            <v>0.23869346733668317</v>
          </cell>
          <cell r="U37">
            <v>-0.19066937119675442</v>
          </cell>
          <cell r="V37">
            <v>-3.2581453634085267E-2</v>
          </cell>
          <cell r="W37">
            <v>-9.3264248704663322E-2</v>
          </cell>
          <cell r="X37">
            <v>0.21381564972517197</v>
          </cell>
          <cell r="Y37">
            <v>-6.9047619047619024E-2</v>
          </cell>
          <cell r="Z37">
            <v>-6.9053708439897776E-2</v>
          </cell>
          <cell r="AA37">
            <v>-0.24175824175824168</v>
          </cell>
        </row>
        <row r="38">
          <cell r="A38" t="str">
            <v>BYMA.BA</v>
          </cell>
          <cell r="B38">
            <v>368.68008609999998</v>
          </cell>
          <cell r="C38">
            <v>326.49745990000002</v>
          </cell>
          <cell r="D38">
            <v>339.03425440000001</v>
          </cell>
          <cell r="E38">
            <v>379.2503246</v>
          </cell>
          <cell r="F38">
            <v>364.10784339999998</v>
          </cell>
          <cell r="G38">
            <v>353.8325883</v>
          </cell>
          <cell r="H38">
            <v>330.6763914</v>
          </cell>
          <cell r="I38">
            <v>354.12757169999998</v>
          </cell>
          <cell r="J38">
            <v>372.07239520000002</v>
          </cell>
          <cell r="K38">
            <v>376.103835</v>
          </cell>
          <cell r="L38">
            <v>350.04696799999999</v>
          </cell>
          <cell r="M38">
            <v>316.61551600000001</v>
          </cell>
          <cell r="N38">
            <v>263.5</v>
          </cell>
          <cell r="P38">
            <v>-0.11441525536738217</v>
          </cell>
          <cell r="Q38">
            <v>3.8397831651859615E-2</v>
          </cell>
          <cell r="R38">
            <v>0.11861948955916479</v>
          </cell>
          <cell r="S38">
            <v>-3.9927404718693382E-2</v>
          </cell>
          <cell r="T38">
            <v>-2.8220361868754984E-2</v>
          </cell>
          <cell r="U38">
            <v>-6.5443934972905349E-2</v>
          </cell>
          <cell r="V38">
            <v>7.0918822479928645E-2</v>
          </cell>
          <cell r="W38">
            <v>5.0673330556712637E-2</v>
          </cell>
          <cell r="X38">
            <v>1.0835095137420758E-2</v>
          </cell>
          <cell r="Y38">
            <v>-6.9281045751633963E-2</v>
          </cell>
          <cell r="Z38">
            <v>-9.550561797752799E-2</v>
          </cell>
          <cell r="AA38">
            <v>-0.1677603064784734</v>
          </cell>
        </row>
        <row r="39">
          <cell r="A39" t="str">
            <v>BPAT.BA</v>
          </cell>
          <cell r="B39">
            <v>52.136607499999997</v>
          </cell>
          <cell r="C39">
            <v>49</v>
          </cell>
          <cell r="D39">
            <v>43</v>
          </cell>
          <cell r="E39">
            <v>42</v>
          </cell>
          <cell r="F39">
            <v>34.1</v>
          </cell>
          <cell r="G39">
            <v>40.5</v>
          </cell>
          <cell r="H39">
            <v>33.5</v>
          </cell>
          <cell r="I39">
            <v>36.5</v>
          </cell>
          <cell r="J39">
            <v>34.15</v>
          </cell>
          <cell r="K39">
            <v>39.549999999999997</v>
          </cell>
          <cell r="L39">
            <v>41.6</v>
          </cell>
          <cell r="M39">
            <v>39.15</v>
          </cell>
          <cell r="N39">
            <v>33.4</v>
          </cell>
          <cell r="P39">
            <v>-6.0161327144271803E-2</v>
          </cell>
          <cell r="Q39">
            <v>-0.12244897959183676</v>
          </cell>
          <cell r="R39">
            <v>-2.3255813953488413E-2</v>
          </cell>
          <cell r="S39">
            <v>-0.18809523809523809</v>
          </cell>
          <cell r="T39">
            <v>0.18768328445747806</v>
          </cell>
          <cell r="U39">
            <v>-0.1728395061728395</v>
          </cell>
          <cell r="V39">
            <v>8.9552238805970186E-2</v>
          </cell>
          <cell r="W39">
            <v>-6.438356164383563E-2</v>
          </cell>
          <cell r="X39">
            <v>0.15812591508052698</v>
          </cell>
          <cell r="Y39">
            <v>5.1833122629582951E-2</v>
          </cell>
          <cell r="Z39">
            <v>-5.8894230769230838E-2</v>
          </cell>
          <cell r="AA39">
            <v>-0.14687100893997451</v>
          </cell>
        </row>
        <row r="40">
          <cell r="A40" t="str">
            <v>BHIP.BA</v>
          </cell>
          <cell r="B40">
            <v>16.6089439</v>
          </cell>
          <cell r="C40">
            <v>15.8696734</v>
          </cell>
          <cell r="D40">
            <v>13.7011466</v>
          </cell>
          <cell r="E40">
            <v>13.6518619</v>
          </cell>
          <cell r="F40">
            <v>10.4483564</v>
          </cell>
          <cell r="G40">
            <v>12.321175</v>
          </cell>
          <cell r="H40">
            <v>10.842634</v>
          </cell>
          <cell r="I40">
            <v>12.321175</v>
          </cell>
          <cell r="J40">
            <v>11.5819045</v>
          </cell>
          <cell r="K40">
            <v>13.3561537</v>
          </cell>
          <cell r="L40">
            <v>13.6518619</v>
          </cell>
          <cell r="M40">
            <v>12.6661679</v>
          </cell>
          <cell r="N40">
            <v>11.9</v>
          </cell>
          <cell r="P40">
            <v>-4.451038575667654E-2</v>
          </cell>
          <cell r="Q40">
            <v>-0.13664596273291929</v>
          </cell>
          <cell r="R40">
            <v>-3.597122302158251E-3</v>
          </cell>
          <cell r="S40">
            <v>-0.23465703971119134</v>
          </cell>
          <cell r="T40">
            <v>0.179245283018868</v>
          </cell>
          <cell r="U40">
            <v>-0.12</v>
          </cell>
          <cell r="V40">
            <v>0.13636363636363624</v>
          </cell>
          <cell r="W40">
            <v>-5.9999999999999942E-2</v>
          </cell>
          <cell r="X40">
            <v>0.15319148936170213</v>
          </cell>
          <cell r="Y40">
            <v>2.2140221402213944E-2</v>
          </cell>
          <cell r="Z40">
            <v>-7.2202166064981976E-2</v>
          </cell>
          <cell r="AA40">
            <v>-6.0489321320302381E-2</v>
          </cell>
        </row>
        <row r="41">
          <cell r="A41" t="str">
            <v>VALO.BA</v>
          </cell>
          <cell r="B41">
            <v>7.22</v>
          </cell>
          <cell r="C41">
            <v>6.03</v>
          </cell>
          <cell r="D41">
            <v>5.74</v>
          </cell>
          <cell r="E41">
            <v>5.75</v>
          </cell>
          <cell r="F41">
            <v>5.32</v>
          </cell>
          <cell r="G41">
            <v>6.02</v>
          </cell>
          <cell r="H41">
            <v>5.0599999999999996</v>
          </cell>
          <cell r="I41">
            <v>5.65</v>
          </cell>
          <cell r="J41">
            <v>5.27</v>
          </cell>
          <cell r="K41">
            <v>6.16</v>
          </cell>
          <cell r="L41">
            <v>6.91</v>
          </cell>
          <cell r="M41">
            <v>6.21</v>
          </cell>
          <cell r="N41">
            <v>5.98</v>
          </cell>
          <cell r="P41">
            <v>-0.16481994459833793</v>
          </cell>
          <cell r="Q41">
            <v>-4.809286898839138E-2</v>
          </cell>
          <cell r="R41">
            <v>1.7421602787455193E-3</v>
          </cell>
          <cell r="S41">
            <v>-7.478260869565212E-2</v>
          </cell>
          <cell r="T41">
            <v>0.13157894736842102</v>
          </cell>
          <cell r="U41">
            <v>-0.15946843853820603</v>
          </cell>
          <cell r="V41">
            <v>0.11660079051383421</v>
          </cell>
          <cell r="W41">
            <v>-6.7256637168141675E-2</v>
          </cell>
          <cell r="X41">
            <v>0.1688804554079697</v>
          </cell>
          <cell r="Y41">
            <v>0.12175324675324672</v>
          </cell>
          <cell r="Z41">
            <v>-0.10130246020260492</v>
          </cell>
          <cell r="AA41">
            <v>-3.7037037037036979E-2</v>
          </cell>
        </row>
        <row r="42">
          <cell r="A42" t="str">
            <v>RICH.BA</v>
          </cell>
          <cell r="B42">
            <v>34.600818250000003</v>
          </cell>
          <cell r="C42">
            <v>28</v>
          </cell>
          <cell r="D42">
            <v>25.6</v>
          </cell>
          <cell r="E42">
            <v>28.5</v>
          </cell>
          <cell r="F42">
            <v>30.8</v>
          </cell>
          <cell r="G42">
            <v>33.200000000000003</v>
          </cell>
          <cell r="H42">
            <v>37.5</v>
          </cell>
          <cell r="I42">
            <v>37.5</v>
          </cell>
          <cell r="J42">
            <v>36.299999999999997</v>
          </cell>
          <cell r="K42">
            <v>41</v>
          </cell>
          <cell r="L42">
            <v>39.25</v>
          </cell>
          <cell r="M42">
            <v>39</v>
          </cell>
          <cell r="N42">
            <v>38</v>
          </cell>
          <cell r="P42">
            <v>-0.19077058242690559</v>
          </cell>
          <cell r="Q42">
            <v>-8.5714285714285632E-2</v>
          </cell>
          <cell r="R42">
            <v>0.11328125</v>
          </cell>
          <cell r="S42">
            <v>8.0701754385964941E-2</v>
          </cell>
          <cell r="T42">
            <v>7.7922077922077948E-2</v>
          </cell>
          <cell r="U42">
            <v>0.12951807228915646</v>
          </cell>
          <cell r="V42">
            <v>0</v>
          </cell>
          <cell r="W42">
            <v>-3.2000000000000028E-2</v>
          </cell>
          <cell r="X42">
            <v>0.12947658402203865</v>
          </cell>
          <cell r="Y42">
            <v>-4.2682926829268331E-2</v>
          </cell>
          <cell r="Z42">
            <v>-6.3694267515923553E-3</v>
          </cell>
          <cell r="AA42">
            <v>-2.5641025641025661E-2</v>
          </cell>
        </row>
        <row r="43">
          <cell r="A43" t="str">
            <v>ROSE.BA</v>
          </cell>
          <cell r="B43">
            <v>7.6</v>
          </cell>
          <cell r="C43">
            <v>8.39</v>
          </cell>
          <cell r="D43">
            <v>7.1</v>
          </cell>
          <cell r="E43">
            <v>7</v>
          </cell>
          <cell r="F43">
            <v>7.3</v>
          </cell>
          <cell r="G43">
            <v>8</v>
          </cell>
          <cell r="H43">
            <v>6.6</v>
          </cell>
          <cell r="I43">
            <v>6</v>
          </cell>
          <cell r="J43">
            <v>6.3</v>
          </cell>
          <cell r="K43">
            <v>5.7</v>
          </cell>
          <cell r="L43">
            <v>5.9</v>
          </cell>
          <cell r="M43">
            <v>5.6</v>
          </cell>
          <cell r="N43">
            <v>4.51</v>
          </cell>
          <cell r="P43">
            <v>0.10394736842105279</v>
          </cell>
          <cell r="Q43">
            <v>-0.15375446960667472</v>
          </cell>
          <cell r="R43">
            <v>-1.4084507042253502E-2</v>
          </cell>
          <cell r="S43">
            <v>4.2857142857142927E-2</v>
          </cell>
          <cell r="T43">
            <v>9.5890410958904049E-2</v>
          </cell>
          <cell r="U43">
            <v>-0.17500000000000004</v>
          </cell>
          <cell r="V43">
            <v>-9.0909090909090828E-2</v>
          </cell>
          <cell r="W43">
            <v>5.0000000000000044E-2</v>
          </cell>
          <cell r="X43">
            <v>-9.5238095238095233E-2</v>
          </cell>
          <cell r="Y43">
            <v>3.5087719298245723E-2</v>
          </cell>
          <cell r="Z43">
            <v>-5.0847457627118731E-2</v>
          </cell>
          <cell r="AA43">
            <v>-0.19464285714285712</v>
          </cell>
        </row>
        <row r="44">
          <cell r="A44" t="str">
            <v>AUSO.BA</v>
          </cell>
          <cell r="B44">
            <v>98.441241599999998</v>
          </cell>
          <cell r="C44">
            <v>82.503974400000004</v>
          </cell>
          <cell r="D44">
            <v>86.158099199999995</v>
          </cell>
          <cell r="E44">
            <v>90.604684800000001</v>
          </cell>
          <cell r="F44">
            <v>78.365567999999996</v>
          </cell>
          <cell r="G44">
            <v>95.271398399999995</v>
          </cell>
          <cell r="H44">
            <v>90.076377600000001</v>
          </cell>
          <cell r="I44">
            <v>120.630144</v>
          </cell>
          <cell r="J44">
            <v>119.85</v>
          </cell>
          <cell r="K44">
            <v>128</v>
          </cell>
          <cell r="L44">
            <v>120</v>
          </cell>
          <cell r="M44">
            <v>112.5</v>
          </cell>
          <cell r="N44">
            <v>105</v>
          </cell>
          <cell r="P44">
            <v>-0.16189624329159202</v>
          </cell>
          <cell r="Q44">
            <v>4.4290288153681745E-2</v>
          </cell>
          <cell r="R44">
            <v>5.160960654062352E-2</v>
          </cell>
          <cell r="S44">
            <v>-0.13508260447035958</v>
          </cell>
          <cell r="T44">
            <v>0.21573033707865163</v>
          </cell>
          <cell r="U44">
            <v>-5.4528650646950005E-2</v>
          </cell>
          <cell r="V44">
            <v>0.33919843597262944</v>
          </cell>
          <cell r="W44">
            <v>-6.4672392333379181E-3</v>
          </cell>
          <cell r="X44">
            <v>6.8001668752607491E-2</v>
          </cell>
          <cell r="Y44">
            <v>-6.25E-2</v>
          </cell>
          <cell r="Z44">
            <v>-6.25E-2</v>
          </cell>
          <cell r="AA44">
            <v>-6.6666666666666652E-2</v>
          </cell>
        </row>
        <row r="45">
          <cell r="A45" t="str">
            <v>OEST.BA</v>
          </cell>
          <cell r="B45">
            <v>27.473457</v>
          </cell>
          <cell r="C45">
            <v>23.602197149999999</v>
          </cell>
          <cell r="D45">
            <v>22.644788800000001</v>
          </cell>
          <cell r="E45">
            <v>29.554779499999999</v>
          </cell>
          <cell r="F45">
            <v>28.972009199999999</v>
          </cell>
          <cell r="G45">
            <v>33.509292250000001</v>
          </cell>
          <cell r="H45">
            <v>30.054296900000001</v>
          </cell>
          <cell r="I45">
            <v>37.4</v>
          </cell>
          <cell r="J45">
            <v>35</v>
          </cell>
          <cell r="K45">
            <v>37.799999999999997</v>
          </cell>
          <cell r="L45">
            <v>39.299999999999997</v>
          </cell>
          <cell r="M45">
            <v>39.4</v>
          </cell>
          <cell r="N45">
            <v>37.25</v>
          </cell>
          <cell r="P45">
            <v>-0.14090909090909098</v>
          </cell>
          <cell r="Q45">
            <v>-4.0564373897707173E-2</v>
          </cell>
          <cell r="R45">
            <v>0.30514705882352922</v>
          </cell>
          <cell r="S45">
            <v>-1.9718309859154903E-2</v>
          </cell>
          <cell r="T45">
            <v>0.15660919540229901</v>
          </cell>
          <cell r="U45">
            <v>-0.10310559006211184</v>
          </cell>
          <cell r="V45">
            <v>0.24441440518277435</v>
          </cell>
          <cell r="W45">
            <v>-6.417112299465233E-2</v>
          </cell>
          <cell r="X45">
            <v>7.9999999999999849E-2</v>
          </cell>
          <cell r="Y45">
            <v>3.9682539682539764E-2</v>
          </cell>
          <cell r="Z45">
            <v>2.5445292620864812E-3</v>
          </cell>
          <cell r="AA45">
            <v>-5.456852791878164E-2</v>
          </cell>
        </row>
        <row r="46">
          <cell r="A46" t="str">
            <v>CAPU.BA</v>
          </cell>
          <cell r="B46">
            <v>14.2</v>
          </cell>
          <cell r="C46">
            <v>17.3</v>
          </cell>
          <cell r="D46">
            <v>18.7</v>
          </cell>
          <cell r="E46">
            <v>20.5</v>
          </cell>
          <cell r="F46">
            <v>28.4</v>
          </cell>
          <cell r="G46">
            <v>21.9</v>
          </cell>
          <cell r="H46">
            <v>14.5</v>
          </cell>
          <cell r="I46">
            <v>13.8</v>
          </cell>
          <cell r="J46">
            <v>13.6</v>
          </cell>
          <cell r="K46">
            <v>12</v>
          </cell>
          <cell r="L46">
            <v>10.45</v>
          </cell>
          <cell r="M46">
            <v>8.0399999999999991</v>
          </cell>
          <cell r="N46">
            <v>6.49</v>
          </cell>
          <cell r="P46">
            <v>0.21830985915492973</v>
          </cell>
          <cell r="Q46">
            <v>8.0924855491329328E-2</v>
          </cell>
          <cell r="R46">
            <v>9.625668449197855E-2</v>
          </cell>
          <cell r="S46">
            <v>0.38536585365853648</v>
          </cell>
          <cell r="T46">
            <v>-0.22887323943661975</v>
          </cell>
          <cell r="U46">
            <v>-0.33789954337899542</v>
          </cell>
          <cell r="V46">
            <v>-4.8275862068965503E-2</v>
          </cell>
          <cell r="W46">
            <v>-1.449275362318847E-2</v>
          </cell>
          <cell r="X46">
            <v>-0.11764705882352944</v>
          </cell>
          <cell r="Y46">
            <v>-0.12916666666666676</v>
          </cell>
          <cell r="Z46">
            <v>-0.23062200956937806</v>
          </cell>
          <cell r="AA46">
            <v>-0.19278606965174117</v>
          </cell>
        </row>
        <row r="47">
          <cell r="A47" t="str">
            <v>CADO.BA</v>
          </cell>
          <cell r="B47">
            <v>7.9</v>
          </cell>
          <cell r="C47">
            <v>8.35</v>
          </cell>
          <cell r="D47">
            <v>9.25</v>
          </cell>
          <cell r="E47">
            <v>9.3000000000000007</v>
          </cell>
          <cell r="F47">
            <v>9.3000000000000007</v>
          </cell>
          <cell r="G47">
            <v>11.15</v>
          </cell>
          <cell r="H47">
            <v>11.2</v>
          </cell>
          <cell r="I47">
            <v>11.6</v>
          </cell>
          <cell r="J47">
            <v>12.85</v>
          </cell>
          <cell r="K47">
            <v>12.9</v>
          </cell>
          <cell r="L47">
            <v>12.4</v>
          </cell>
          <cell r="M47">
            <v>12.4</v>
          </cell>
          <cell r="N47">
            <v>12</v>
          </cell>
          <cell r="P47">
            <v>5.6962025316455556E-2</v>
          </cell>
          <cell r="Q47">
            <v>0.10778443113772451</v>
          </cell>
          <cell r="R47">
            <v>5.4054054054055722E-3</v>
          </cell>
          <cell r="S47">
            <v>0</v>
          </cell>
          <cell r="T47">
            <v>0.19892473118279574</v>
          </cell>
          <cell r="U47">
            <v>4.484304932735439E-3</v>
          </cell>
          <cell r="V47">
            <v>3.5714285714285809E-2</v>
          </cell>
          <cell r="W47">
            <v>0.10775862068965525</v>
          </cell>
          <cell r="X47">
            <v>3.8910505836575737E-3</v>
          </cell>
          <cell r="Y47">
            <v>-3.8759689922480578E-2</v>
          </cell>
          <cell r="Z47">
            <v>0</v>
          </cell>
          <cell r="AA47">
            <v>-3.2258064516129115E-2</v>
          </cell>
        </row>
        <row r="48">
          <cell r="A48" t="str">
            <v>FERR.BA</v>
          </cell>
          <cell r="B48">
            <v>6.0033713999999998</v>
          </cell>
          <cell r="C48">
            <v>4.8873600499999998</v>
          </cell>
          <cell r="D48">
            <v>4.0022475999999996</v>
          </cell>
          <cell r="E48">
            <v>3.9637644500000002</v>
          </cell>
          <cell r="F48">
            <v>3.4250003499999999</v>
          </cell>
          <cell r="G48">
            <v>4.2716296500000004</v>
          </cell>
          <cell r="H48">
            <v>3.4634835000000002</v>
          </cell>
          <cell r="I48">
            <v>3.50196665</v>
          </cell>
          <cell r="J48">
            <v>3.35</v>
          </cell>
          <cell r="K48">
            <v>3.69</v>
          </cell>
          <cell r="L48">
            <v>3.78</v>
          </cell>
          <cell r="M48">
            <v>3.25</v>
          </cell>
          <cell r="N48">
            <v>2.93</v>
          </cell>
          <cell r="P48">
            <v>-0.1858974358974359</v>
          </cell>
          <cell r="Q48">
            <v>-0.18110236220472442</v>
          </cell>
          <cell r="R48">
            <v>-9.6153846153844702E-3</v>
          </cell>
          <cell r="S48">
            <v>-0.13592233009708743</v>
          </cell>
          <cell r="T48">
            <v>0.24719101123595522</v>
          </cell>
          <cell r="U48">
            <v>-0.18918918918918926</v>
          </cell>
          <cell r="V48">
            <v>1.1111111111111072E-2</v>
          </cell>
          <cell r="W48">
            <v>-4.3394659398027113E-2</v>
          </cell>
          <cell r="X48">
            <v>0.10149253731343277</v>
          </cell>
          <cell r="Y48">
            <v>2.4390243902439046E-2</v>
          </cell>
          <cell r="Z48">
            <v>-0.14021164021164012</v>
          </cell>
          <cell r="AA48">
            <v>-9.8461538461538378E-2</v>
          </cell>
        </row>
        <row r="49">
          <cell r="A49" t="str">
            <v>DYCA.BA</v>
          </cell>
          <cell r="B49">
            <v>46.75</v>
          </cell>
          <cell r="C49">
            <v>38.5</v>
          </cell>
          <cell r="D49">
            <v>32</v>
          </cell>
          <cell r="E49">
            <v>28.4</v>
          </cell>
          <cell r="F49">
            <v>24</v>
          </cell>
          <cell r="G49">
            <v>38.5</v>
          </cell>
          <cell r="H49">
            <v>38</v>
          </cell>
          <cell r="I49">
            <v>39.25</v>
          </cell>
          <cell r="J49">
            <v>38</v>
          </cell>
          <cell r="K49">
            <v>45</v>
          </cell>
          <cell r="L49">
            <v>43</v>
          </cell>
          <cell r="M49">
            <v>36.9</v>
          </cell>
          <cell r="N49">
            <v>34.950000000000003</v>
          </cell>
          <cell r="P49">
            <v>-0.17647058823529416</v>
          </cell>
          <cell r="Q49">
            <v>-0.16883116883116878</v>
          </cell>
          <cell r="R49">
            <v>-0.11250000000000004</v>
          </cell>
          <cell r="S49">
            <v>-0.15492957746478864</v>
          </cell>
          <cell r="T49">
            <v>0.60416666666666674</v>
          </cell>
          <cell r="U49">
            <v>-1.2987012987012991E-2</v>
          </cell>
          <cell r="V49">
            <v>3.289473684210531E-2</v>
          </cell>
          <cell r="W49">
            <v>-3.1847133757961776E-2</v>
          </cell>
          <cell r="X49">
            <v>0.18421052631578938</v>
          </cell>
          <cell r="Y49">
            <v>-4.4444444444444398E-2</v>
          </cell>
          <cell r="Z49">
            <v>-0.14186046511627914</v>
          </cell>
          <cell r="AA49">
            <v>-5.2845528455284452E-2</v>
          </cell>
        </row>
        <row r="50">
          <cell r="A50" t="str">
            <v>AGRO.BA</v>
          </cell>
          <cell r="B50">
            <v>15.65</v>
          </cell>
          <cell r="C50">
            <v>14.2</v>
          </cell>
          <cell r="D50">
            <v>14.1</v>
          </cell>
          <cell r="E50">
            <v>14.6</v>
          </cell>
          <cell r="F50">
            <v>13.9</v>
          </cell>
          <cell r="G50">
            <v>16.5</v>
          </cell>
          <cell r="H50">
            <v>13.25</v>
          </cell>
          <cell r="I50">
            <v>13.3</v>
          </cell>
          <cell r="J50">
            <v>12</v>
          </cell>
          <cell r="K50">
            <v>12.65</v>
          </cell>
          <cell r="L50">
            <v>12.95</v>
          </cell>
          <cell r="M50">
            <v>12.25</v>
          </cell>
          <cell r="N50">
            <v>12.25</v>
          </cell>
          <cell r="P50">
            <v>-9.2651757188498496E-2</v>
          </cell>
          <cell r="Q50">
            <v>-7.0422535211267512E-3</v>
          </cell>
          <cell r="R50">
            <v>3.5460992907801359E-2</v>
          </cell>
          <cell r="S50">
            <v>-4.7945205479452024E-2</v>
          </cell>
          <cell r="T50">
            <v>0.18705035971223016</v>
          </cell>
          <cell r="U50">
            <v>-0.19696969696969702</v>
          </cell>
          <cell r="V50">
            <v>3.7735849056603765E-3</v>
          </cell>
          <cell r="W50">
            <v>-9.7744360902255689E-2</v>
          </cell>
          <cell r="X50">
            <v>5.4166666666666696E-2</v>
          </cell>
          <cell r="Y50">
            <v>2.3715415019762709E-2</v>
          </cell>
          <cell r="Z50">
            <v>-5.4054054054054057E-2</v>
          </cell>
          <cell r="AA50">
            <v>0</v>
          </cell>
        </row>
        <row r="51">
          <cell r="A51" t="str">
            <v>GARO.BA</v>
          </cell>
          <cell r="B51">
            <v>12.5</v>
          </cell>
          <cell r="C51">
            <v>9.6</v>
          </cell>
          <cell r="D51">
            <v>7.9</v>
          </cell>
          <cell r="E51">
            <v>7.19</v>
          </cell>
          <cell r="F51">
            <v>5.55</v>
          </cell>
          <cell r="G51">
            <v>6.94</v>
          </cell>
          <cell r="H51">
            <v>5.75</v>
          </cell>
          <cell r="I51">
            <v>5.14</v>
          </cell>
          <cell r="J51">
            <v>4.7300000000000004</v>
          </cell>
          <cell r="K51">
            <v>4.8499999999999996</v>
          </cell>
          <cell r="L51">
            <v>5</v>
          </cell>
          <cell r="M51">
            <v>4.32</v>
          </cell>
          <cell r="N51">
            <v>4.24</v>
          </cell>
          <cell r="P51">
            <v>-0.23199999999999998</v>
          </cell>
          <cell r="Q51">
            <v>-0.17708333333333326</v>
          </cell>
          <cell r="R51">
            <v>-8.9873417721519022E-2</v>
          </cell>
          <cell r="S51">
            <v>-0.22809457579972192</v>
          </cell>
          <cell r="T51">
            <v>0.25045045045045056</v>
          </cell>
          <cell r="U51">
            <v>-0.17146974063400577</v>
          </cell>
          <cell r="V51">
            <v>-0.10608695652173916</v>
          </cell>
          <cell r="W51">
            <v>-7.9766536964980372E-2</v>
          </cell>
          <cell r="X51">
            <v>2.5369978858350795E-2</v>
          </cell>
          <cell r="Y51">
            <v>3.0927835051546504E-2</v>
          </cell>
          <cell r="Z51">
            <v>-0.1359999999999999</v>
          </cell>
          <cell r="AA51">
            <v>-1.851851851851849E-2</v>
          </cell>
        </row>
        <row r="52">
          <cell r="A52" t="str">
            <v>INAG.BA</v>
          </cell>
          <cell r="B52">
            <v>27.702135999999999</v>
          </cell>
          <cell r="C52">
            <v>25.723412</v>
          </cell>
          <cell r="D52">
            <v>20.776602</v>
          </cell>
          <cell r="E52">
            <v>20.281921000000001</v>
          </cell>
          <cell r="F52">
            <v>22</v>
          </cell>
          <cell r="G52">
            <v>33</v>
          </cell>
          <cell r="H52">
            <v>35</v>
          </cell>
          <cell r="I52">
            <v>38.85</v>
          </cell>
          <cell r="J52">
            <v>50</v>
          </cell>
          <cell r="K52">
            <v>55</v>
          </cell>
          <cell r="L52">
            <v>65</v>
          </cell>
          <cell r="M52">
            <v>54</v>
          </cell>
          <cell r="N52">
            <v>65</v>
          </cell>
          <cell r="P52">
            <v>-7.1428571428571397E-2</v>
          </cell>
          <cell r="Q52">
            <v>-0.19230769230769229</v>
          </cell>
          <cell r="R52">
            <v>-2.3809523809523836E-2</v>
          </cell>
          <cell r="S52">
            <v>8.4709875361411724E-2</v>
          </cell>
          <cell r="T52">
            <v>0.5</v>
          </cell>
          <cell r="U52">
            <v>6.0606060606060552E-2</v>
          </cell>
          <cell r="V52">
            <v>0.1100000000000001</v>
          </cell>
          <cell r="W52">
            <v>0.28700128700128702</v>
          </cell>
          <cell r="X52">
            <v>0.10000000000000009</v>
          </cell>
          <cell r="Y52">
            <v>0.18181818181818188</v>
          </cell>
          <cell r="Z52">
            <v>-0.16923076923076918</v>
          </cell>
          <cell r="AA52">
            <v>0.20370370370370372</v>
          </cell>
        </row>
        <row r="53">
          <cell r="A53" t="str">
            <v>POLL.BA</v>
          </cell>
          <cell r="B53">
            <v>8.3000000000000007</v>
          </cell>
          <cell r="C53">
            <v>8.35</v>
          </cell>
          <cell r="D53">
            <v>12.5</v>
          </cell>
          <cell r="E53">
            <v>11.8</v>
          </cell>
          <cell r="F53">
            <v>8.85</v>
          </cell>
          <cell r="G53">
            <v>8.5</v>
          </cell>
          <cell r="H53">
            <v>8</v>
          </cell>
          <cell r="I53">
            <v>8</v>
          </cell>
          <cell r="J53">
            <v>9.5</v>
          </cell>
          <cell r="K53">
            <v>9</v>
          </cell>
          <cell r="L53">
            <v>7.6</v>
          </cell>
          <cell r="M53">
            <v>7.15</v>
          </cell>
          <cell r="N53">
            <v>10.3</v>
          </cell>
          <cell r="P53">
            <v>6.0240963855420215E-3</v>
          </cell>
          <cell r="Q53">
            <v>0.49700598802395213</v>
          </cell>
          <cell r="R53">
            <v>-5.5999999999999939E-2</v>
          </cell>
          <cell r="S53">
            <v>-0.25000000000000011</v>
          </cell>
          <cell r="T53">
            <v>-3.9548022598870025E-2</v>
          </cell>
          <cell r="U53">
            <v>-5.8823529411764719E-2</v>
          </cell>
          <cell r="V53">
            <v>0</v>
          </cell>
          <cell r="W53">
            <v>0.1875</v>
          </cell>
          <cell r="X53">
            <v>-5.2631578947368474E-2</v>
          </cell>
          <cell r="Y53">
            <v>-0.15555555555555556</v>
          </cell>
          <cell r="Z53">
            <v>-5.921052631578938E-2</v>
          </cell>
          <cell r="AA53">
            <v>0.44055944055944063</v>
          </cell>
        </row>
        <row r="54">
          <cell r="A54" t="str">
            <v>BOLT.BA</v>
          </cell>
          <cell r="B54">
            <v>3.658572473</v>
          </cell>
          <cell r="C54">
            <v>3.9924898020000001</v>
          </cell>
          <cell r="D54">
            <v>3.847308355</v>
          </cell>
          <cell r="E54">
            <v>4.1594484669999998</v>
          </cell>
          <cell r="F54">
            <v>3.3173960720000002</v>
          </cell>
          <cell r="G54">
            <v>4.0287851640000003</v>
          </cell>
          <cell r="H54">
            <v>3.5133910259999999</v>
          </cell>
          <cell r="I54">
            <v>3.1214011180000001</v>
          </cell>
          <cell r="J54">
            <v>2.9544424540000001</v>
          </cell>
          <cell r="K54">
            <v>3.114142046</v>
          </cell>
          <cell r="L54">
            <v>3.2794112399999999</v>
          </cell>
          <cell r="M54">
            <v>3.1102936200000002</v>
          </cell>
          <cell r="N54">
            <v>2.65</v>
          </cell>
          <cell r="P54">
            <v>9.1269841301296006E-2</v>
          </cell>
          <cell r="Q54">
            <v>-3.6363636277110256E-2</v>
          </cell>
          <cell r="R54">
            <v>8.1132075518287827E-2</v>
          </cell>
          <cell r="S54">
            <v>-0.20244328104570308</v>
          </cell>
          <cell r="T54">
            <v>0.21444201312118749</v>
          </cell>
          <cell r="U54">
            <v>-0.12792792790377749</v>
          </cell>
          <cell r="V54">
            <v>-0.11157024797387294</v>
          </cell>
          <cell r="W54">
            <v>-5.348837194848477E-2</v>
          </cell>
          <cell r="X54">
            <v>5.4054054017462327E-2</v>
          </cell>
          <cell r="Y54">
            <v>5.3070538067549577E-2</v>
          </cell>
          <cell r="Z54">
            <v>-5.1569506726457326E-2</v>
          </cell>
          <cell r="AA54">
            <v>-0.14799040741368985</v>
          </cell>
        </row>
        <row r="55">
          <cell r="A55" t="str">
            <v>TXAR.BA</v>
          </cell>
          <cell r="B55">
            <v>14.074877750000001</v>
          </cell>
          <cell r="C55">
            <v>13.7408976</v>
          </cell>
          <cell r="D55">
            <v>12.64353425</v>
          </cell>
          <cell r="E55">
            <v>14.1225892</v>
          </cell>
          <cell r="F55">
            <v>13.1683602</v>
          </cell>
          <cell r="G55">
            <v>16.078758650000001</v>
          </cell>
          <cell r="H55">
            <v>14.8859724</v>
          </cell>
          <cell r="I55">
            <v>14.17030065</v>
          </cell>
          <cell r="J55">
            <v>12.595822800000001</v>
          </cell>
          <cell r="K55">
            <v>14.456569350000001</v>
          </cell>
          <cell r="L55">
            <v>13.9317434</v>
          </cell>
          <cell r="M55">
            <v>14.8859724</v>
          </cell>
          <cell r="N55">
            <v>11.2</v>
          </cell>
          <cell r="P55">
            <v>-2.3728813559322104E-2</v>
          </cell>
          <cell r="Q55">
            <v>-7.986111111111116E-2</v>
          </cell>
          <cell r="R55">
            <v>0.11698113207547167</v>
          </cell>
          <cell r="S55">
            <v>-6.7567567567567544E-2</v>
          </cell>
          <cell r="T55">
            <v>0.22101449275362328</v>
          </cell>
          <cell r="U55">
            <v>-7.4183976261127604E-2</v>
          </cell>
          <cell r="V55">
            <v>-4.8076923076923128E-2</v>
          </cell>
          <cell r="W55">
            <v>-0.11111111111111105</v>
          </cell>
          <cell r="X55">
            <v>0.14772727272727271</v>
          </cell>
          <cell r="Y55">
            <v>-3.6303630363036299E-2</v>
          </cell>
          <cell r="Z55">
            <v>6.8493150684931559E-2</v>
          </cell>
          <cell r="AA55">
            <v>-0.24761381392860848</v>
          </cell>
        </row>
        <row r="56">
          <cell r="A56" t="str">
            <v>LOMA.BA</v>
          </cell>
          <cell r="B56">
            <v>84.4</v>
          </cell>
          <cell r="C56">
            <v>64.150000000000006</v>
          </cell>
          <cell r="D56">
            <v>59.1</v>
          </cell>
          <cell r="E56">
            <v>62.05</v>
          </cell>
          <cell r="F56">
            <v>56.45</v>
          </cell>
          <cell r="G56">
            <v>72.45</v>
          </cell>
          <cell r="H56">
            <v>64</v>
          </cell>
          <cell r="I56">
            <v>78</v>
          </cell>
          <cell r="J56">
            <v>80.5</v>
          </cell>
          <cell r="K56">
            <v>93.8</v>
          </cell>
          <cell r="L56">
            <v>87.6</v>
          </cell>
          <cell r="M56">
            <v>97</v>
          </cell>
          <cell r="N56">
            <v>84.8</v>
          </cell>
          <cell r="P56">
            <v>-0.23992890995260663</v>
          </cell>
          <cell r="Q56">
            <v>-7.8721745908028162E-2</v>
          </cell>
          <cell r="R56">
            <v>4.9915397631133507E-2</v>
          </cell>
          <cell r="S56">
            <v>-9.0249798549556726E-2</v>
          </cell>
          <cell r="T56">
            <v>0.28343666961913194</v>
          </cell>
          <cell r="U56">
            <v>-0.11663216011042099</v>
          </cell>
          <cell r="V56">
            <v>0.21875</v>
          </cell>
          <cell r="W56">
            <v>3.2051282051282159E-2</v>
          </cell>
          <cell r="X56">
            <v>0.16521739130434776</v>
          </cell>
          <cell r="Y56">
            <v>-6.6098081023454158E-2</v>
          </cell>
          <cell r="Z56">
            <v>0.10730593607305949</v>
          </cell>
          <cell r="AA56">
            <v>-0.12577319587628866</v>
          </cell>
        </row>
        <row r="57">
          <cell r="A57" t="str">
            <v>ALUA.BA</v>
          </cell>
          <cell r="B57">
            <v>13.724919279</v>
          </cell>
          <cell r="C57">
            <v>15.001655957000001</v>
          </cell>
          <cell r="D57">
            <v>19.536407449999999</v>
          </cell>
          <cell r="E57">
            <v>18.6376381</v>
          </cell>
          <cell r="F57">
            <v>21.759678999999998</v>
          </cell>
          <cell r="G57">
            <v>21.381249799999999</v>
          </cell>
          <cell r="H57">
            <v>17.455046849999999</v>
          </cell>
          <cell r="I57">
            <v>19</v>
          </cell>
          <cell r="J57">
            <v>17.3</v>
          </cell>
          <cell r="K57">
            <v>19.05</v>
          </cell>
          <cell r="L57">
            <v>18.7</v>
          </cell>
          <cell r="M57">
            <v>17.25</v>
          </cell>
          <cell r="N57">
            <v>14.4</v>
          </cell>
          <cell r="P57">
            <v>9.3023255878341704E-2</v>
          </cell>
          <cell r="Q57">
            <v>0.30228339497973988</v>
          </cell>
          <cell r="R57">
            <v>-4.6004842615012032E-2</v>
          </cell>
          <cell r="S57">
            <v>0.1675126903553299</v>
          </cell>
          <cell r="T57">
            <v>-1.7391304347826098E-2</v>
          </cell>
          <cell r="U57">
            <v>-0.1836283185840708</v>
          </cell>
          <cell r="V57">
            <v>8.8510398355075237E-2</v>
          </cell>
          <cell r="W57">
            <v>-8.9473684210526261E-2</v>
          </cell>
          <cell r="X57">
            <v>0.10115606936416177</v>
          </cell>
          <cell r="Y57">
            <v>-1.8372703412073532E-2</v>
          </cell>
          <cell r="Z57">
            <v>-7.7540106951871635E-2</v>
          </cell>
          <cell r="AA57">
            <v>-0.16521739130434776</v>
          </cell>
        </row>
        <row r="58">
          <cell r="A58" t="str">
            <v>HARG.BA</v>
          </cell>
          <cell r="B58">
            <v>89.538487500000002</v>
          </cell>
          <cell r="C58">
            <v>58.15</v>
          </cell>
          <cell r="D58">
            <v>55.05</v>
          </cell>
          <cell r="E58">
            <v>57</v>
          </cell>
          <cell r="F58">
            <v>47.5</v>
          </cell>
          <cell r="G58">
            <v>55.25</v>
          </cell>
          <cell r="H58">
            <v>44.2</v>
          </cell>
          <cell r="I58">
            <v>55</v>
          </cell>
          <cell r="J58">
            <v>58.5</v>
          </cell>
          <cell r="K58">
            <v>71.5</v>
          </cell>
          <cell r="L58">
            <v>72</v>
          </cell>
          <cell r="M58">
            <v>72</v>
          </cell>
          <cell r="N58">
            <v>80.900000000000006</v>
          </cell>
          <cell r="P58">
            <v>-0.35055860754851376</v>
          </cell>
          <cell r="Q58">
            <v>-5.3310404127257072E-2</v>
          </cell>
          <cell r="R58">
            <v>3.5422343324250649E-2</v>
          </cell>
          <cell r="S58">
            <v>-0.16666666666666663</v>
          </cell>
          <cell r="T58">
            <v>0.16315789473684217</v>
          </cell>
          <cell r="U58">
            <v>-0.19999999999999996</v>
          </cell>
          <cell r="V58">
            <v>0.24434389140271495</v>
          </cell>
          <cell r="W58">
            <v>6.3636363636363713E-2</v>
          </cell>
          <cell r="X58">
            <v>0.22222222222222232</v>
          </cell>
          <cell r="Y58">
            <v>6.9930069930070893E-3</v>
          </cell>
          <cell r="Z58">
            <v>0</v>
          </cell>
          <cell r="AA58">
            <v>0.12361111111111112</v>
          </cell>
        </row>
        <row r="59">
          <cell r="A59" t="str">
            <v>INDU.BA</v>
          </cell>
          <cell r="B59">
            <v>14.8</v>
          </cell>
          <cell r="C59">
            <v>15</v>
          </cell>
          <cell r="D59">
            <v>13.2</v>
          </cell>
          <cell r="E59">
            <v>15.35</v>
          </cell>
          <cell r="F59">
            <v>19.5</v>
          </cell>
          <cell r="G59">
            <v>22.4</v>
          </cell>
          <cell r="H59">
            <v>15.05</v>
          </cell>
          <cell r="I59">
            <v>17.05</v>
          </cell>
          <cell r="J59">
            <v>16.3</v>
          </cell>
          <cell r="K59">
            <v>18</v>
          </cell>
          <cell r="L59">
            <v>17.75</v>
          </cell>
          <cell r="M59">
            <v>18.5</v>
          </cell>
          <cell r="N59">
            <v>20</v>
          </cell>
          <cell r="P59">
            <v>1.3513513513513375E-2</v>
          </cell>
          <cell r="Q59">
            <v>-0.12</v>
          </cell>
          <cell r="R59">
            <v>0.16287878787878785</v>
          </cell>
          <cell r="S59">
            <v>0.2703583061889252</v>
          </cell>
          <cell r="T59">
            <v>0.14871794871794863</v>
          </cell>
          <cell r="U59">
            <v>-0.32812499999999989</v>
          </cell>
          <cell r="V59">
            <v>0.13289036544850497</v>
          </cell>
          <cell r="W59">
            <v>-4.3988269794721369E-2</v>
          </cell>
          <cell r="X59">
            <v>0.1042944785276072</v>
          </cell>
          <cell r="Y59">
            <v>-1.388888888888884E-2</v>
          </cell>
          <cell r="Z59">
            <v>4.2253521126760507E-2</v>
          </cell>
          <cell r="AA59">
            <v>8.1081081081081141E-2</v>
          </cell>
        </row>
        <row r="60">
          <cell r="A60" t="str">
            <v>RIGO.BA</v>
          </cell>
          <cell r="B60">
            <v>68.077446232</v>
          </cell>
          <cell r="C60">
            <v>66.654620292999994</v>
          </cell>
          <cell r="D60">
            <v>71.199632395999998</v>
          </cell>
          <cell r="E60">
            <v>73.759570421999996</v>
          </cell>
          <cell r="F60">
            <v>79.816300698999996</v>
          </cell>
          <cell r="G60">
            <v>86.870070546999997</v>
          </cell>
          <cell r="H60">
            <v>89.932770000000005</v>
          </cell>
          <cell r="I60">
            <v>92</v>
          </cell>
          <cell r="J60">
            <v>91.05</v>
          </cell>
          <cell r="K60">
            <v>94</v>
          </cell>
          <cell r="L60">
            <v>90</v>
          </cell>
          <cell r="M60">
            <v>80</v>
          </cell>
          <cell r="N60">
            <v>77</v>
          </cell>
          <cell r="P60">
            <v>-2.0900107418118763E-2</v>
          </cell>
          <cell r="Q60">
            <v>6.8187502727058869E-2</v>
          </cell>
          <cell r="R60">
            <v>3.5954371390038542E-2</v>
          </cell>
          <cell r="S60">
            <v>8.2114500428184245E-2</v>
          </cell>
          <cell r="T60">
            <v>8.8375053544524684E-2</v>
          </cell>
          <cell r="U60">
            <v>3.5256094921011671E-2</v>
          </cell>
          <cell r="V60">
            <v>2.2986393057836452E-2</v>
          </cell>
          <cell r="W60">
            <v>-1.0326086956521818E-2</v>
          </cell>
          <cell r="X60">
            <v>3.2399780340472306E-2</v>
          </cell>
          <cell r="Y60">
            <v>-4.2553191489361653E-2</v>
          </cell>
          <cell r="Z60">
            <v>-0.11111111111111116</v>
          </cell>
          <cell r="AA60">
            <v>-3.7499999999999978E-2</v>
          </cell>
        </row>
        <row r="61">
          <cell r="A61" t="str">
            <v>CELU.BA</v>
          </cell>
          <cell r="B61">
            <v>12.35</v>
          </cell>
          <cell r="C61">
            <v>9.94</v>
          </cell>
          <cell r="D61">
            <v>9.6999999999999993</v>
          </cell>
          <cell r="E61">
            <v>10.3</v>
          </cell>
          <cell r="F61">
            <v>10.4</v>
          </cell>
          <cell r="G61">
            <v>17.95</v>
          </cell>
          <cell r="H61">
            <v>14.75</v>
          </cell>
          <cell r="I61">
            <v>17.899999999999999</v>
          </cell>
          <cell r="J61">
            <v>18.2</v>
          </cell>
          <cell r="K61">
            <v>18.5</v>
          </cell>
          <cell r="L61">
            <v>18.95</v>
          </cell>
          <cell r="M61">
            <v>18.8</v>
          </cell>
          <cell r="N61">
            <v>19.8</v>
          </cell>
          <cell r="P61">
            <v>-0.19514170040485834</v>
          </cell>
          <cell r="Q61">
            <v>-2.4144869215291798E-2</v>
          </cell>
          <cell r="R61">
            <v>6.1855670103093008E-2</v>
          </cell>
          <cell r="S61">
            <v>9.7087378640776656E-3</v>
          </cell>
          <cell r="T61">
            <v>0.72596153846153832</v>
          </cell>
          <cell r="U61">
            <v>-0.17827298050139273</v>
          </cell>
          <cell r="V61">
            <v>0.21355932203389827</v>
          </cell>
          <cell r="W61">
            <v>1.6759776536312998E-2</v>
          </cell>
          <cell r="X61">
            <v>1.6483516483516425E-2</v>
          </cell>
          <cell r="Y61">
            <v>2.4324324324324298E-2</v>
          </cell>
          <cell r="Z61">
            <v>-7.9155672823217893E-3</v>
          </cell>
          <cell r="AA61">
            <v>5.3191489361702038E-2</v>
          </cell>
        </row>
        <row r="62">
          <cell r="A62" t="str">
            <v>MERA.BA</v>
          </cell>
          <cell r="B62">
            <v>47</v>
          </cell>
          <cell r="C62">
            <v>44</v>
          </cell>
          <cell r="D62">
            <v>44</v>
          </cell>
          <cell r="E62">
            <v>43</v>
          </cell>
          <cell r="F62">
            <v>43</v>
          </cell>
          <cell r="G62">
            <v>43</v>
          </cell>
          <cell r="H62">
            <v>44</v>
          </cell>
          <cell r="I62">
            <v>43</v>
          </cell>
          <cell r="J62">
            <v>46</v>
          </cell>
          <cell r="K62">
            <v>46</v>
          </cell>
          <cell r="L62">
            <v>45</v>
          </cell>
          <cell r="M62">
            <v>47</v>
          </cell>
          <cell r="N62" t="str">
            <v>NULL</v>
          </cell>
          <cell r="P62">
            <v>-6.3829787234042534E-2</v>
          </cell>
          <cell r="Q62">
            <v>0</v>
          </cell>
          <cell r="R62">
            <v>-2.2727272727272707E-2</v>
          </cell>
          <cell r="S62">
            <v>0</v>
          </cell>
          <cell r="T62">
            <v>0</v>
          </cell>
          <cell r="U62">
            <v>2.3255813953488413E-2</v>
          </cell>
          <cell r="V62">
            <v>-2.2727272727272707E-2</v>
          </cell>
          <cell r="W62">
            <v>6.9767441860465018E-2</v>
          </cell>
          <cell r="X62">
            <v>0</v>
          </cell>
          <cell r="Y62">
            <v>-2.1739130434782594E-2</v>
          </cell>
          <cell r="Z62">
            <v>4.4444444444444509E-2</v>
          </cell>
          <cell r="AA62" t="e">
            <v>#VALUE!</v>
          </cell>
        </row>
        <row r="63">
          <cell r="A63" t="str">
            <v>COLO.BA</v>
          </cell>
          <cell r="B63">
            <v>12.9</v>
          </cell>
          <cell r="C63">
            <v>11.7</v>
          </cell>
          <cell r="D63">
            <v>12.6</v>
          </cell>
          <cell r="E63">
            <v>11.55</v>
          </cell>
          <cell r="F63">
            <v>12</v>
          </cell>
          <cell r="G63">
            <v>14</v>
          </cell>
          <cell r="H63">
            <v>15.05</v>
          </cell>
          <cell r="I63">
            <v>14.9</v>
          </cell>
          <cell r="J63">
            <v>14.9</v>
          </cell>
          <cell r="K63">
            <v>10.55</v>
          </cell>
          <cell r="L63">
            <v>11.1</v>
          </cell>
          <cell r="M63">
            <v>10.1</v>
          </cell>
          <cell r="N63">
            <v>10</v>
          </cell>
          <cell r="P63">
            <v>-9.3023255813953543E-2</v>
          </cell>
          <cell r="Q63">
            <v>7.6923076923076872E-2</v>
          </cell>
          <cell r="R63">
            <v>-8.3333333333333259E-2</v>
          </cell>
          <cell r="S63">
            <v>3.8961038961038863E-2</v>
          </cell>
          <cell r="T63">
            <v>0.16666666666666674</v>
          </cell>
          <cell r="U63">
            <v>7.4999999999999956E-2</v>
          </cell>
          <cell r="V63">
            <v>-9.966777408637939E-3</v>
          </cell>
          <cell r="W63">
            <v>0</v>
          </cell>
          <cell r="X63">
            <v>-0.29194630872483218</v>
          </cell>
          <cell r="Y63">
            <v>5.2132701421800931E-2</v>
          </cell>
          <cell r="Z63">
            <v>-9.0090090090090058E-2</v>
          </cell>
          <cell r="AA63">
            <v>-9.9009900990099098E-3</v>
          </cell>
        </row>
        <row r="64">
          <cell r="A64" t="str">
            <v>FIPL.BA</v>
          </cell>
          <cell r="B64">
            <v>7.7274079499999999</v>
          </cell>
          <cell r="C64">
            <v>5.9486461200000003</v>
          </cell>
          <cell r="D64">
            <v>5.7348058999999996</v>
          </cell>
          <cell r="E64">
            <v>5.0058051499999996</v>
          </cell>
          <cell r="F64">
            <v>5.0544051999999997</v>
          </cell>
          <cell r="G64">
            <v>5.6278857899999997</v>
          </cell>
          <cell r="H64">
            <v>3.9463240599999998</v>
          </cell>
          <cell r="I64">
            <v>3.888004</v>
          </cell>
          <cell r="J64">
            <v>3.3922834900000001</v>
          </cell>
          <cell r="K64">
            <v>3.5</v>
          </cell>
          <cell r="L64">
            <v>3.65</v>
          </cell>
          <cell r="M64">
            <v>3.4</v>
          </cell>
          <cell r="N64">
            <v>3.4</v>
          </cell>
          <cell r="P64">
            <v>-0.23018867924528297</v>
          </cell>
          <cell r="Q64">
            <v>-3.5947712418300748E-2</v>
          </cell>
          <cell r="R64">
            <v>-0.1271186440677966</v>
          </cell>
          <cell r="S64">
            <v>9.7087378640776656E-3</v>
          </cell>
          <cell r="T64">
            <v>0.1134615384615385</v>
          </cell>
          <cell r="U64">
            <v>-0.29879101899827287</v>
          </cell>
          <cell r="V64">
            <v>-1.4778325123152691E-2</v>
          </cell>
          <cell r="W64">
            <v>-0.12749999999999995</v>
          </cell>
          <cell r="X64">
            <v>3.1753392756688426E-2</v>
          </cell>
          <cell r="Y64">
            <v>4.2857142857142927E-2</v>
          </cell>
          <cell r="Z64">
            <v>-6.8493150684931559E-2</v>
          </cell>
          <cell r="AA64">
            <v>0</v>
          </cell>
        </row>
        <row r="65">
          <cell r="A65" t="str">
            <v>IRSA.BA</v>
          </cell>
          <cell r="B65">
            <v>46.399129000000002</v>
          </cell>
          <cell r="C65">
            <v>45.736284300000001</v>
          </cell>
          <cell r="D65">
            <v>46.9672816</v>
          </cell>
          <cell r="E65">
            <v>48.6717394</v>
          </cell>
          <cell r="F65">
            <v>54.732033800000004</v>
          </cell>
          <cell r="G65">
            <v>63.917167499999998</v>
          </cell>
          <cell r="H65">
            <v>45.49955405</v>
          </cell>
          <cell r="I65">
            <v>50.45</v>
          </cell>
          <cell r="J65">
            <v>48.05</v>
          </cell>
          <cell r="K65">
            <v>55.5</v>
          </cell>
          <cell r="L65">
            <v>52.65</v>
          </cell>
          <cell r="M65">
            <v>49</v>
          </cell>
          <cell r="N65">
            <v>43</v>
          </cell>
          <cell r="P65">
            <v>-1.4285714285714346E-2</v>
          </cell>
          <cell r="Q65">
            <v>2.6915113871635477E-2</v>
          </cell>
          <cell r="R65">
            <v>3.629032258064524E-2</v>
          </cell>
          <cell r="S65">
            <v>0.1245136186770428</v>
          </cell>
          <cell r="T65">
            <v>0.16782006920415204</v>
          </cell>
          <cell r="U65">
            <v>-0.28814814814814815</v>
          </cell>
          <cell r="V65">
            <v>0.10880207627002014</v>
          </cell>
          <cell r="W65">
            <v>-4.757185332011904E-2</v>
          </cell>
          <cell r="X65">
            <v>0.15504682622268473</v>
          </cell>
          <cell r="Y65">
            <v>-5.1351351351351382E-2</v>
          </cell>
          <cell r="Z65">
            <v>-6.9325735992402659E-2</v>
          </cell>
          <cell r="AA65">
            <v>-0.12244897959183676</v>
          </cell>
        </row>
        <row r="66">
          <cell r="A66" t="str">
            <v>IRCP.BA</v>
          </cell>
          <cell r="B66">
            <v>229.50205199999999</v>
          </cell>
          <cell r="C66">
            <v>215.77116000000001</v>
          </cell>
          <cell r="D66">
            <v>233.425164</v>
          </cell>
          <cell r="E66">
            <v>213.80960400000001</v>
          </cell>
          <cell r="F66">
            <v>250.09838999999999</v>
          </cell>
          <cell r="G66">
            <v>235.38672</v>
          </cell>
          <cell r="H66">
            <v>214.79038199999999</v>
          </cell>
          <cell r="I66">
            <v>194.3</v>
          </cell>
          <cell r="J66">
            <v>189.5</v>
          </cell>
          <cell r="K66">
            <v>195</v>
          </cell>
          <cell r="L66">
            <v>216.15</v>
          </cell>
          <cell r="M66">
            <v>210</v>
          </cell>
          <cell r="N66">
            <v>200</v>
          </cell>
          <cell r="P66">
            <v>-5.9829059829059728E-2</v>
          </cell>
          <cell r="Q66">
            <v>8.181818181818179E-2</v>
          </cell>
          <cell r="R66">
            <v>-8.4033613445378075E-2</v>
          </cell>
          <cell r="S66">
            <v>0.16972477064220182</v>
          </cell>
          <cell r="T66">
            <v>-5.8823529411764719E-2</v>
          </cell>
          <cell r="U66">
            <v>-8.7500000000000022E-2</v>
          </cell>
          <cell r="V66">
            <v>-9.5397111403247026E-2</v>
          </cell>
          <cell r="W66">
            <v>-2.4704065877509063E-2</v>
          </cell>
          <cell r="X66">
            <v>2.9023746701847042E-2</v>
          </cell>
          <cell r="Y66">
            <v>0.10846153846153839</v>
          </cell>
          <cell r="Z66">
            <v>-2.8452463566967401E-2</v>
          </cell>
          <cell r="AA66">
            <v>-4.7619047619047672E-2</v>
          </cell>
        </row>
        <row r="67">
          <cell r="A67" t="str">
            <v>CRES.BA</v>
          </cell>
          <cell r="B67">
            <v>40.558212900000001</v>
          </cell>
          <cell r="C67">
            <v>40.366448300000002</v>
          </cell>
          <cell r="D67">
            <v>40.510271750000001</v>
          </cell>
          <cell r="E67">
            <v>44.537328350000003</v>
          </cell>
          <cell r="F67">
            <v>52.687323849999999</v>
          </cell>
          <cell r="G67">
            <v>55.27614595</v>
          </cell>
          <cell r="H67">
            <v>40.270566000000002</v>
          </cell>
          <cell r="I67">
            <v>43.8</v>
          </cell>
          <cell r="J67">
            <v>44.9</v>
          </cell>
          <cell r="K67">
            <v>50</v>
          </cell>
          <cell r="L67">
            <v>48.25</v>
          </cell>
          <cell r="M67">
            <v>50.95</v>
          </cell>
          <cell r="N67">
            <v>44.45</v>
          </cell>
          <cell r="P67">
            <v>-4.7281323877068626E-3</v>
          </cell>
          <cell r="Q67">
            <v>3.5629453681709222E-3</v>
          </cell>
          <cell r="R67">
            <v>9.9408284023668747E-2</v>
          </cell>
          <cell r="S67">
            <v>0.1829924650161463</v>
          </cell>
          <cell r="T67">
            <v>4.9135577797998264E-2</v>
          </cell>
          <cell r="U67">
            <v>-0.27146574154379877</v>
          </cell>
          <cell r="V67">
            <v>8.7643019469852756E-2</v>
          </cell>
          <cell r="W67">
            <v>2.5114155251141579E-2</v>
          </cell>
          <cell r="X67">
            <v>0.11358574610244987</v>
          </cell>
          <cell r="Y67">
            <v>-3.5000000000000031E-2</v>
          </cell>
          <cell r="Z67">
            <v>5.5958549222798082E-2</v>
          </cell>
          <cell r="AA67">
            <v>-0.12757605495583901</v>
          </cell>
        </row>
        <row r="68">
          <cell r="A68" t="str">
            <v>CTIO.BA</v>
          </cell>
          <cell r="B68">
            <v>49.255938800000003</v>
          </cell>
          <cell r="C68">
            <v>39.450000000000003</v>
          </cell>
          <cell r="D68">
            <v>37.4</v>
          </cell>
          <cell r="E68">
            <v>43</v>
          </cell>
          <cell r="F68">
            <v>41.65</v>
          </cell>
          <cell r="G68">
            <v>46</v>
          </cell>
          <cell r="H68">
            <v>37.5</v>
          </cell>
          <cell r="I68">
            <v>39.200000000000003</v>
          </cell>
          <cell r="J68">
            <v>37.299999999999997</v>
          </cell>
          <cell r="K68">
            <v>42.5</v>
          </cell>
          <cell r="L68">
            <v>46</v>
          </cell>
          <cell r="M68">
            <v>47</v>
          </cell>
          <cell r="N68">
            <v>42.8</v>
          </cell>
          <cell r="P68">
            <v>-0.19908135016604334</v>
          </cell>
          <cell r="Q68">
            <v>-5.1964512040557742E-2</v>
          </cell>
          <cell r="R68">
            <v>0.14973262032085577</v>
          </cell>
          <cell r="S68">
            <v>-3.1395348837209291E-2</v>
          </cell>
          <cell r="T68">
            <v>0.10444177671068422</v>
          </cell>
          <cell r="U68">
            <v>-0.18478260869565222</v>
          </cell>
          <cell r="V68">
            <v>4.5333333333333448E-2</v>
          </cell>
          <cell r="W68">
            <v>-4.8469387755102233E-2</v>
          </cell>
          <cell r="X68">
            <v>0.13941018766756041</v>
          </cell>
          <cell r="Y68">
            <v>8.2352941176470518E-2</v>
          </cell>
          <cell r="Z68">
            <v>2.1739130434782705E-2</v>
          </cell>
          <cell r="AA68">
            <v>-8.9361702127659592E-2</v>
          </cell>
        </row>
        <row r="69">
          <cell r="A69" t="str">
            <v>PAMP.BA</v>
          </cell>
          <cell r="B69">
            <v>45.15</v>
          </cell>
          <cell r="C69">
            <v>47.9</v>
          </cell>
          <cell r="D69">
            <v>40.950000000000003</v>
          </cell>
          <cell r="E69">
            <v>46.45</v>
          </cell>
          <cell r="F69">
            <v>46.35</v>
          </cell>
          <cell r="G69">
            <v>50.95</v>
          </cell>
          <cell r="H69">
            <v>47.7</v>
          </cell>
          <cell r="I69">
            <v>53.75</v>
          </cell>
          <cell r="J69">
            <v>46.75</v>
          </cell>
          <cell r="K69">
            <v>53.25</v>
          </cell>
          <cell r="L69">
            <v>50.75</v>
          </cell>
          <cell r="M69">
            <v>48.1</v>
          </cell>
          <cell r="N69">
            <v>38.700000000000003</v>
          </cell>
          <cell r="P69">
            <v>6.0908084163898035E-2</v>
          </cell>
          <cell r="Q69">
            <v>-0.14509394572025047</v>
          </cell>
          <cell r="R69">
            <v>0.13431013431013428</v>
          </cell>
          <cell r="S69">
            <v>-2.1528525296017342E-3</v>
          </cell>
          <cell r="T69">
            <v>9.9244875943905075E-2</v>
          </cell>
          <cell r="U69">
            <v>-6.3788027477919562E-2</v>
          </cell>
          <cell r="V69">
            <v>0.12683438155136262</v>
          </cell>
          <cell r="W69">
            <v>-0.13023255813953494</v>
          </cell>
          <cell r="X69">
            <v>0.1390374331550801</v>
          </cell>
          <cell r="Y69">
            <v>-4.6948356807511749E-2</v>
          </cell>
          <cell r="Z69">
            <v>-5.2216748768472931E-2</v>
          </cell>
          <cell r="AA69">
            <v>-0.19542619542619544</v>
          </cell>
        </row>
        <row r="70">
          <cell r="A70" t="str">
            <v>EDN.BA</v>
          </cell>
          <cell r="B70">
            <v>54.05</v>
          </cell>
          <cell r="C70">
            <v>55.35</v>
          </cell>
          <cell r="D70">
            <v>47.25</v>
          </cell>
          <cell r="E70">
            <v>47.55</v>
          </cell>
          <cell r="F70">
            <v>45.4</v>
          </cell>
          <cell r="G70">
            <v>51.3</v>
          </cell>
          <cell r="H70">
            <v>40.5</v>
          </cell>
          <cell r="I70">
            <v>48.15</v>
          </cell>
          <cell r="J70">
            <v>50.95</v>
          </cell>
          <cell r="K70">
            <v>53.5</v>
          </cell>
          <cell r="L70">
            <v>50.25</v>
          </cell>
          <cell r="M70">
            <v>43.1</v>
          </cell>
          <cell r="N70">
            <v>39.799999999999997</v>
          </cell>
          <cell r="P70">
            <v>2.4051803885291489E-2</v>
          </cell>
          <cell r="Q70">
            <v>-0.14634146341463417</v>
          </cell>
          <cell r="R70">
            <v>6.3492063492063266E-3</v>
          </cell>
          <cell r="S70">
            <v>-4.5215562565720235E-2</v>
          </cell>
          <cell r="T70">
            <v>0.12995594713656389</v>
          </cell>
          <cell r="U70">
            <v>-0.21052631578947367</v>
          </cell>
          <cell r="V70">
            <v>0.18888888888888888</v>
          </cell>
          <cell r="W70">
            <v>5.8151609553478867E-2</v>
          </cell>
          <cell r="X70">
            <v>5.0049067713444417E-2</v>
          </cell>
          <cell r="Y70">
            <v>-6.074766355140182E-2</v>
          </cell>
          <cell r="Z70">
            <v>-0.1422885572139303</v>
          </cell>
          <cell r="AA70">
            <v>-7.6566125290023268E-2</v>
          </cell>
        </row>
        <row r="71">
          <cell r="A71" t="str">
            <v>TRAN.BA</v>
          </cell>
          <cell r="B71">
            <v>48.964552650000002</v>
          </cell>
          <cell r="C71">
            <v>47.011550550000003</v>
          </cell>
          <cell r="D71">
            <v>38.037040900000001</v>
          </cell>
          <cell r="E71">
            <v>48.732052400000001</v>
          </cell>
          <cell r="F71">
            <v>41.106044199999999</v>
          </cell>
          <cell r="G71">
            <v>45.012048399999998</v>
          </cell>
          <cell r="H71">
            <v>37.618540449999998</v>
          </cell>
          <cell r="I71">
            <v>40.966544050000003</v>
          </cell>
          <cell r="J71">
            <v>45.05</v>
          </cell>
          <cell r="K71">
            <v>57.1</v>
          </cell>
          <cell r="L71">
            <v>55</v>
          </cell>
          <cell r="M71">
            <v>46.15</v>
          </cell>
          <cell r="N71">
            <v>38.85</v>
          </cell>
          <cell r="P71">
            <v>-3.9886039886039892E-2</v>
          </cell>
          <cell r="Q71">
            <v>-0.19090009891196835</v>
          </cell>
          <cell r="R71">
            <v>0.28117359413202925</v>
          </cell>
          <cell r="S71">
            <v>-0.15648854961832059</v>
          </cell>
          <cell r="T71">
            <v>9.5022624434389025E-2</v>
          </cell>
          <cell r="U71">
            <v>-0.16425619834710747</v>
          </cell>
          <cell r="V71">
            <v>8.8998763906056988E-2</v>
          </cell>
          <cell r="W71">
            <v>9.967782356783883E-2</v>
          </cell>
          <cell r="X71">
            <v>0.26748057713651519</v>
          </cell>
          <cell r="Y71">
            <v>-3.677758318739055E-2</v>
          </cell>
          <cell r="Z71">
            <v>-0.16090909090909089</v>
          </cell>
          <cell r="AA71">
            <v>-0.15817984832069332</v>
          </cell>
        </row>
        <row r="72">
          <cell r="A72" t="str">
            <v>METR.BA</v>
          </cell>
          <cell r="B72">
            <v>45.05</v>
          </cell>
          <cell r="C72">
            <v>39.299999999999997</v>
          </cell>
          <cell r="D72">
            <v>29.85</v>
          </cell>
          <cell r="E72">
            <v>36.9</v>
          </cell>
          <cell r="F72">
            <v>30</v>
          </cell>
          <cell r="G72">
            <v>37.65</v>
          </cell>
          <cell r="H72">
            <v>30.1</v>
          </cell>
          <cell r="I72">
            <v>28.05</v>
          </cell>
          <cell r="J72">
            <v>26.5</v>
          </cell>
          <cell r="K72">
            <v>30.65</v>
          </cell>
          <cell r="L72">
            <v>26.9</v>
          </cell>
          <cell r="M72">
            <v>22.8</v>
          </cell>
          <cell r="N72">
            <v>16.8</v>
          </cell>
          <cell r="P72">
            <v>-0.12763596004439515</v>
          </cell>
          <cell r="Q72">
            <v>-0.24045801526717547</v>
          </cell>
          <cell r="R72">
            <v>0.23618090452261287</v>
          </cell>
          <cell r="S72">
            <v>-0.18699186991869921</v>
          </cell>
          <cell r="T72">
            <v>0.25499999999999989</v>
          </cell>
          <cell r="U72">
            <v>-0.20053120849933592</v>
          </cell>
          <cell r="V72">
            <v>-6.8106312292358862E-2</v>
          </cell>
          <cell r="W72">
            <v>-5.5258467023172941E-2</v>
          </cell>
          <cell r="X72">
            <v>0.15660377358490551</v>
          </cell>
          <cell r="Y72">
            <v>-0.12234910277324629</v>
          </cell>
          <cell r="Z72">
            <v>-0.15241635687732336</v>
          </cell>
          <cell r="AA72">
            <v>-0.26315789473684215</v>
          </cell>
        </row>
        <row r="73">
          <cell r="A73" t="str">
            <v>GBAN.BA</v>
          </cell>
          <cell r="B73">
            <v>64.099999999999994</v>
          </cell>
          <cell r="C73">
            <v>53.5</v>
          </cell>
          <cell r="D73">
            <v>48</v>
          </cell>
          <cell r="E73">
            <v>48</v>
          </cell>
          <cell r="F73">
            <v>42</v>
          </cell>
          <cell r="G73">
            <v>48</v>
          </cell>
          <cell r="H73">
            <v>42</v>
          </cell>
          <cell r="I73">
            <v>38</v>
          </cell>
          <cell r="J73">
            <v>38.5</v>
          </cell>
          <cell r="K73">
            <v>39</v>
          </cell>
          <cell r="L73">
            <v>35.799999999999997</v>
          </cell>
          <cell r="M73">
            <v>38</v>
          </cell>
          <cell r="N73">
            <v>33.799999999999997</v>
          </cell>
          <cell r="P73">
            <v>-0.16536661466458646</v>
          </cell>
          <cell r="Q73">
            <v>-0.10280373831775702</v>
          </cell>
          <cell r="R73">
            <v>0</v>
          </cell>
          <cell r="S73">
            <v>-0.125</v>
          </cell>
          <cell r="T73">
            <v>0.14285714285714279</v>
          </cell>
          <cell r="U73">
            <v>-0.125</v>
          </cell>
          <cell r="V73">
            <v>-9.5238095238095233E-2</v>
          </cell>
          <cell r="W73">
            <v>1.3157894736842035E-2</v>
          </cell>
          <cell r="X73">
            <v>1.298701298701288E-2</v>
          </cell>
          <cell r="Y73">
            <v>-8.2051282051282093E-2</v>
          </cell>
          <cell r="Z73">
            <v>6.1452513966480549E-2</v>
          </cell>
          <cell r="AA73">
            <v>-0.11052631578947381</v>
          </cell>
        </row>
        <row r="74">
          <cell r="A74" t="str">
            <v>CAPX.BA</v>
          </cell>
          <cell r="B74">
            <v>76.400000000000006</v>
          </cell>
          <cell r="C74">
            <v>66.5</v>
          </cell>
          <cell r="D74">
            <v>49</v>
          </cell>
          <cell r="E74">
            <v>58</v>
          </cell>
          <cell r="F74">
            <v>50</v>
          </cell>
          <cell r="G74">
            <v>74.599999999999994</v>
          </cell>
          <cell r="H74">
            <v>68</v>
          </cell>
          <cell r="I74">
            <v>69.5</v>
          </cell>
          <cell r="J74">
            <v>61.9</v>
          </cell>
          <cell r="K74">
            <v>72</v>
          </cell>
          <cell r="L74">
            <v>63.1</v>
          </cell>
          <cell r="M74">
            <v>53.6</v>
          </cell>
          <cell r="N74">
            <v>43.95</v>
          </cell>
          <cell r="P74">
            <v>-0.12958115183246077</v>
          </cell>
          <cell r="Q74">
            <v>-0.26315789473684215</v>
          </cell>
          <cell r="R74">
            <v>0.18367346938775508</v>
          </cell>
          <cell r="S74">
            <v>-0.13793103448275867</v>
          </cell>
          <cell r="T74">
            <v>0.49199999999999999</v>
          </cell>
          <cell r="U74">
            <v>-8.8471849865951691E-2</v>
          </cell>
          <cell r="V74">
            <v>2.2058823529411686E-2</v>
          </cell>
          <cell r="W74">
            <v>-0.10935251798561152</v>
          </cell>
          <cell r="X74">
            <v>0.16316639741518579</v>
          </cell>
          <cell r="Y74">
            <v>-0.12361111111111112</v>
          </cell>
          <cell r="Z74">
            <v>-0.150554675118859</v>
          </cell>
          <cell r="AA74">
            <v>-0.1800373134328358</v>
          </cell>
        </row>
        <row r="75">
          <cell r="A75" t="str">
            <v>CGPA2.BA</v>
          </cell>
          <cell r="B75">
            <v>56.44294</v>
          </cell>
          <cell r="C75">
            <v>55.007950000000001</v>
          </cell>
          <cell r="D75">
            <v>39.366559000000002</v>
          </cell>
          <cell r="E75">
            <v>44.341191000000002</v>
          </cell>
          <cell r="F75">
            <v>37</v>
          </cell>
          <cell r="G75">
            <v>47.45</v>
          </cell>
          <cell r="H75">
            <v>37.950000000000003</v>
          </cell>
          <cell r="I75">
            <v>34</v>
          </cell>
          <cell r="J75">
            <v>30.35</v>
          </cell>
          <cell r="K75">
            <v>37</v>
          </cell>
          <cell r="L75">
            <v>32.4</v>
          </cell>
          <cell r="M75">
            <v>26.8</v>
          </cell>
          <cell r="N75">
            <v>19.95</v>
          </cell>
          <cell r="P75">
            <v>-2.5423728813559254E-2</v>
          </cell>
          <cell r="Q75">
            <v>-0.28434782608695652</v>
          </cell>
          <cell r="R75">
            <v>0.12636695018225996</v>
          </cell>
          <cell r="S75">
            <v>-0.1655614302286107</v>
          </cell>
          <cell r="T75">
            <v>0.28243243243243255</v>
          </cell>
          <cell r="U75">
            <v>-0.20021074815595363</v>
          </cell>
          <cell r="V75">
            <v>-0.10408432147562585</v>
          </cell>
          <cell r="W75">
            <v>-0.10735294117647054</v>
          </cell>
          <cell r="X75">
            <v>0.21911037891268537</v>
          </cell>
          <cell r="Y75">
            <v>-0.12432432432432439</v>
          </cell>
          <cell r="Z75">
            <v>-0.1728395061728395</v>
          </cell>
          <cell r="AA75">
            <v>-0.25559701492537323</v>
          </cell>
        </row>
        <row r="76">
          <cell r="A76" t="str">
            <v>DGCU2.BA</v>
          </cell>
          <cell r="B76">
            <v>50.45</v>
          </cell>
          <cell r="C76">
            <v>47.2</v>
          </cell>
          <cell r="D76">
            <v>41.5</v>
          </cell>
          <cell r="E76">
            <v>50</v>
          </cell>
          <cell r="F76">
            <v>46.8</v>
          </cell>
          <cell r="G76">
            <v>50.8</v>
          </cell>
          <cell r="H76">
            <v>43</v>
          </cell>
          <cell r="I76">
            <v>40.549999999999997</v>
          </cell>
          <cell r="J76">
            <v>38.25</v>
          </cell>
          <cell r="K76">
            <v>45.4</v>
          </cell>
          <cell r="L76">
            <v>39.799999999999997</v>
          </cell>
          <cell r="M76">
            <v>34.4</v>
          </cell>
          <cell r="N76">
            <v>24.8</v>
          </cell>
          <cell r="P76">
            <v>-6.442021803766107E-2</v>
          </cell>
          <cell r="Q76">
            <v>-0.12076271186440679</v>
          </cell>
          <cell r="R76">
            <v>0.20481927710843384</v>
          </cell>
          <cell r="S76">
            <v>-6.4000000000000057E-2</v>
          </cell>
          <cell r="T76">
            <v>8.5470085470085388E-2</v>
          </cell>
          <cell r="U76">
            <v>-0.15354330708661412</v>
          </cell>
          <cell r="V76">
            <v>-5.6976744186046591E-2</v>
          </cell>
          <cell r="W76">
            <v>-5.6720098643649797E-2</v>
          </cell>
          <cell r="X76">
            <v>0.1869281045751634</v>
          </cell>
          <cell r="Y76">
            <v>-0.12334801762114544</v>
          </cell>
          <cell r="Z76">
            <v>-0.13567839195979892</v>
          </cell>
          <cell r="AA76">
            <v>-0.27906976744186041</v>
          </cell>
        </row>
        <row r="77">
          <cell r="A77" t="str">
            <v>CEPU.BA</v>
          </cell>
          <cell r="B77">
            <v>31.0555302</v>
          </cell>
          <cell r="C77">
            <v>33.4</v>
          </cell>
          <cell r="D77">
            <v>28.2</v>
          </cell>
          <cell r="E77">
            <v>31.55</v>
          </cell>
          <cell r="F77">
            <v>35.9</v>
          </cell>
          <cell r="G77">
            <v>41.15</v>
          </cell>
          <cell r="H77">
            <v>34.049999999999997</v>
          </cell>
          <cell r="I77">
            <v>35.299999999999997</v>
          </cell>
          <cell r="J77">
            <v>33.299999999999997</v>
          </cell>
          <cell r="K77">
            <v>38.450000000000003</v>
          </cell>
          <cell r="L77">
            <v>39.799999999999997</v>
          </cell>
          <cell r="M77">
            <v>39.85</v>
          </cell>
          <cell r="N77">
            <v>33.450000000000003</v>
          </cell>
          <cell r="P77">
            <v>7.5492828005235602E-2</v>
          </cell>
          <cell r="Q77">
            <v>-0.15568862275449102</v>
          </cell>
          <cell r="R77">
            <v>0.11879432624113484</v>
          </cell>
          <cell r="S77">
            <v>0.137876386687797</v>
          </cell>
          <cell r="T77">
            <v>0.14623955431754876</v>
          </cell>
          <cell r="U77">
            <v>-0.172539489671932</v>
          </cell>
          <cell r="V77">
            <v>3.6710719530102853E-2</v>
          </cell>
          <cell r="W77">
            <v>-5.6657223796033995E-2</v>
          </cell>
          <cell r="X77">
            <v>0.15465465465465478</v>
          </cell>
          <cell r="Y77">
            <v>3.5110533159947943E-2</v>
          </cell>
          <cell r="Z77">
            <v>1.2562814070353756E-3</v>
          </cell>
          <cell r="AA77">
            <v>-0.16060225846925968</v>
          </cell>
        </row>
        <row r="78">
          <cell r="A78" t="str">
            <v>CECO2.BA</v>
          </cell>
          <cell r="B78">
            <v>13.2</v>
          </cell>
          <cell r="C78">
            <v>12.15</v>
          </cell>
          <cell r="D78">
            <v>8.5</v>
          </cell>
          <cell r="E78">
            <v>10</v>
          </cell>
          <cell r="F78">
            <v>8</v>
          </cell>
          <cell r="G78">
            <v>9.9499999999999993</v>
          </cell>
          <cell r="H78">
            <v>9.6</v>
          </cell>
          <cell r="I78">
            <v>8.75</v>
          </cell>
          <cell r="J78">
            <v>8.24</v>
          </cell>
          <cell r="K78">
            <v>9</v>
          </cell>
          <cell r="L78">
            <v>9.5</v>
          </cell>
          <cell r="M78">
            <v>7.73</v>
          </cell>
          <cell r="N78">
            <v>7.23</v>
          </cell>
          <cell r="P78">
            <v>-7.9545454545454475E-2</v>
          </cell>
          <cell r="Q78">
            <v>-0.30041152263374493</v>
          </cell>
          <cell r="R78">
            <v>0.17647058823529416</v>
          </cell>
          <cell r="S78">
            <v>-0.19999999999999996</v>
          </cell>
          <cell r="T78">
            <v>0.24374999999999991</v>
          </cell>
          <cell r="U78">
            <v>-3.5175879396984855E-2</v>
          </cell>
          <cell r="V78">
            <v>-8.854166666666663E-2</v>
          </cell>
          <cell r="W78">
            <v>-5.8285714285714274E-2</v>
          </cell>
          <cell r="X78">
            <v>9.2233009708737823E-2</v>
          </cell>
          <cell r="Y78">
            <v>5.555555555555558E-2</v>
          </cell>
          <cell r="Z78">
            <v>-0.18631578947368421</v>
          </cell>
          <cell r="AA78">
            <v>-6.4683053040103466E-2</v>
          </cell>
        </row>
      </sheetData>
      <sheetData sheetId="7" refreshError="1"/>
      <sheetData sheetId="8">
        <row r="1">
          <cell r="B1">
            <v>2019</v>
          </cell>
        </row>
      </sheetData>
      <sheetData sheetId="9">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1810972507708</v>
          </cell>
        </row>
        <row r="5">
          <cell r="A5" t="str">
            <v>TECO2</v>
          </cell>
          <cell r="B5" t="str">
            <v>TECO2.BA</v>
          </cell>
          <cell r="C5" t="str">
            <v>Communication Services</v>
          </cell>
          <cell r="D5" t="str">
            <v>TELECOM ARGENTINA S. A.</v>
          </cell>
          <cell r="E5">
            <v>263522490156</v>
          </cell>
        </row>
        <row r="6">
          <cell r="A6" t="str">
            <v>CVH</v>
          </cell>
          <cell r="B6" t="str">
            <v>CVH.BA</v>
          </cell>
          <cell r="C6" t="str">
            <v>Communication Services</v>
          </cell>
          <cell r="D6" t="str">
            <v>CABLEVISION HOLDING S.A.</v>
          </cell>
          <cell r="E6">
            <v>34818857295</v>
          </cell>
        </row>
        <row r="7">
          <cell r="A7" t="str">
            <v>GCLA</v>
          </cell>
          <cell r="B7" t="str">
            <v>GCLA.BA</v>
          </cell>
          <cell r="C7" t="str">
            <v>Communication Services</v>
          </cell>
          <cell r="D7" t="str">
            <v>GRUPO CLARIN S.A.</v>
          </cell>
          <cell r="E7">
            <v>3843936144</v>
          </cell>
        </row>
        <row r="8">
          <cell r="A8" t="str">
            <v>MIRG</v>
          </cell>
          <cell r="B8" t="str">
            <v>MIRG.BA</v>
          </cell>
          <cell r="C8" t="str">
            <v>Consumer Discretionary</v>
          </cell>
          <cell r="D8" t="str">
            <v>MIRGOR S.A.</v>
          </cell>
          <cell r="E8">
            <v>4761000000</v>
          </cell>
        </row>
        <row r="9">
          <cell r="A9" t="str">
            <v>HAVA</v>
          </cell>
          <cell r="B9" t="str">
            <v>HAVA.BA</v>
          </cell>
          <cell r="C9" t="str">
            <v>Consumer Discretionary</v>
          </cell>
          <cell r="D9" t="str">
            <v>HAVANNA HOLDING S.A.</v>
          </cell>
          <cell r="E9">
            <v>4180876015</v>
          </cell>
        </row>
        <row r="10">
          <cell r="A10" t="str">
            <v>GRIM</v>
          </cell>
          <cell r="B10" t="str">
            <v>GRIM.BA</v>
          </cell>
          <cell r="C10" t="str">
            <v>Consumer Discretionary</v>
          </cell>
          <cell r="D10" t="str">
            <v>GRIMOLDI S.A.</v>
          </cell>
          <cell r="E10">
            <v>1096610971.5</v>
          </cell>
        </row>
        <row r="11">
          <cell r="A11" t="str">
            <v>TGLT</v>
          </cell>
          <cell r="B11" t="str">
            <v>TGLT.BA</v>
          </cell>
          <cell r="C11" t="str">
            <v>Consumer Discretionary</v>
          </cell>
          <cell r="D11" t="str">
            <v>TGLT S.A.</v>
          </cell>
          <cell r="E11">
            <v>275409012.10000002</v>
          </cell>
        </row>
        <row r="12">
          <cell r="A12" t="str">
            <v>LONG</v>
          </cell>
          <cell r="B12" t="str">
            <v>LONG.BA</v>
          </cell>
          <cell r="C12" t="str">
            <v>Consumer Discretionary</v>
          </cell>
          <cell r="D12" t="str">
            <v>LONGVIE S.A.</v>
          </cell>
          <cell r="E12">
            <v>324183592.43000001</v>
          </cell>
        </row>
        <row r="13">
          <cell r="A13" t="str">
            <v>PSUR</v>
          </cell>
          <cell r="B13" t="str">
            <v>PSUR.BA</v>
          </cell>
          <cell r="C13" t="str">
            <v>Consumer Discretionary</v>
          </cell>
          <cell r="D13" t="str">
            <v>PETROLERA DEL CONOSUR S.A.</v>
          </cell>
          <cell r="E13">
            <v>366346678.44999999</v>
          </cell>
        </row>
        <row r="14">
          <cell r="A14" t="str">
            <v>DOME</v>
          </cell>
          <cell r="B14" t="str">
            <v>DOME.BA</v>
          </cell>
          <cell r="C14" t="str">
            <v>Consumer Discretionary</v>
          </cell>
          <cell r="D14" t="str">
            <v>DOMEC S.A.</v>
          </cell>
          <cell r="E14">
            <v>133000000</v>
          </cell>
        </row>
        <row r="15">
          <cell r="A15" t="str">
            <v>PATA</v>
          </cell>
          <cell r="B15" t="str">
            <v>PATA.BA</v>
          </cell>
          <cell r="C15" t="str">
            <v>Consumer Staples</v>
          </cell>
          <cell r="D15" t="str">
            <v>IMPORTADORA Y EXPORTADORA DE LA PATAGONIA S.A.</v>
          </cell>
          <cell r="E15">
            <v>11425000000</v>
          </cell>
        </row>
        <row r="16">
          <cell r="A16" t="str">
            <v>MOLA</v>
          </cell>
          <cell r="B16" t="str">
            <v>MOLA.BA</v>
          </cell>
          <cell r="C16" t="str">
            <v>Consumer Staples</v>
          </cell>
          <cell r="D16" t="str">
            <v>MOLINOS AGRO S.A.</v>
          </cell>
          <cell r="E16">
            <v>10282684028</v>
          </cell>
        </row>
        <row r="17">
          <cell r="A17" t="str">
            <v>MOLI</v>
          </cell>
          <cell r="B17" t="str">
            <v>MOLI.BA</v>
          </cell>
          <cell r="C17" t="str">
            <v>Consumer Staples</v>
          </cell>
          <cell r="D17" t="str">
            <v>MOLINOS RIO DE LA PLATA S.A.</v>
          </cell>
          <cell r="E17">
            <v>7643704069.6499996</v>
          </cell>
        </row>
        <row r="18">
          <cell r="A18" t="str">
            <v>ESME</v>
          </cell>
          <cell r="B18" t="str">
            <v>ESME.BA</v>
          </cell>
          <cell r="C18" t="str">
            <v>Consumer Staples</v>
          </cell>
          <cell r="D18" t="str">
            <v>BODEGAS ESMERALDA S.A.</v>
          </cell>
          <cell r="E18">
            <v>7484986808</v>
          </cell>
        </row>
        <row r="19">
          <cell r="A19" t="str">
            <v>SAMI</v>
          </cell>
          <cell r="B19" t="str">
            <v>SAMI.BA</v>
          </cell>
          <cell r="C19" t="str">
            <v>Consumer Staples</v>
          </cell>
          <cell r="D19" t="str">
            <v>S.A. SAN MIGUEL</v>
          </cell>
          <cell r="E19">
            <v>5336324100</v>
          </cell>
        </row>
        <row r="20">
          <cell r="A20" t="str">
            <v>LEDE</v>
          </cell>
          <cell r="B20" t="str">
            <v>LEDE.BA</v>
          </cell>
          <cell r="C20" t="str">
            <v>Consumer Staples</v>
          </cell>
          <cell r="D20" t="str">
            <v>LEDESMA S.A.</v>
          </cell>
          <cell r="E20">
            <v>5346000000</v>
          </cell>
        </row>
        <row r="21">
          <cell r="A21" t="str">
            <v>INVJ</v>
          </cell>
          <cell r="B21" t="str">
            <v>INVJ.BA</v>
          </cell>
          <cell r="C21" t="str">
            <v>Consumer Staples</v>
          </cell>
          <cell r="D21" t="str">
            <v>INVERSORA JURAMENTO S.A.</v>
          </cell>
          <cell r="E21">
            <v>4785590635</v>
          </cell>
        </row>
        <row r="22">
          <cell r="A22" t="str">
            <v>PATY</v>
          </cell>
          <cell r="B22" t="str">
            <v>PATY.BA</v>
          </cell>
          <cell r="C22" t="str">
            <v>Consumer Staples</v>
          </cell>
          <cell r="D22" t="str">
            <v>QUICKFOOD S.A.</v>
          </cell>
          <cell r="E22">
            <v>2654079664.5999999</v>
          </cell>
        </row>
        <row r="23">
          <cell r="A23" t="str">
            <v>INTR</v>
          </cell>
          <cell r="B23" t="str">
            <v>INTR.BA</v>
          </cell>
          <cell r="C23" t="str">
            <v>Consumer Staples</v>
          </cell>
          <cell r="D23" t="str">
            <v>COMPAÑIA INTRODUCTORA DE BUENOS AIRES S.A.</v>
          </cell>
          <cell r="E23">
            <v>447646196.39999998</v>
          </cell>
        </row>
        <row r="24">
          <cell r="A24" t="str">
            <v>SEMI</v>
          </cell>
          <cell r="B24" t="str">
            <v>SEMI.BA</v>
          </cell>
          <cell r="C24" t="str">
            <v>Consumer Staples</v>
          </cell>
          <cell r="D24" t="str">
            <v>MOLINOS JUAN SEMINO S.A.</v>
          </cell>
          <cell r="E24">
            <v>384491000</v>
          </cell>
        </row>
        <row r="25">
          <cell r="A25" t="str">
            <v>MORI</v>
          </cell>
          <cell r="B25" t="str">
            <v>MORI.BA</v>
          </cell>
          <cell r="C25" t="str">
            <v>Consumer Staples</v>
          </cell>
          <cell r="D25" t="str">
            <v>MORIXE HERMANOS S.A.</v>
          </cell>
          <cell r="E25">
            <v>377233430.60000002</v>
          </cell>
        </row>
        <row r="26">
          <cell r="A26" t="str">
            <v>APBR</v>
          </cell>
          <cell r="B26" t="str">
            <v>APBR.BA</v>
          </cell>
          <cell r="C26" t="str">
            <v>Energy</v>
          </cell>
          <cell r="D26" t="str">
            <v>PETROLEO BRASILEIRO S.A. - PETROBRAS (Sociedad de Economía Mixta)</v>
          </cell>
          <cell r="E26">
            <v>3864105472467.04</v>
          </cell>
        </row>
        <row r="27">
          <cell r="A27" t="str">
            <v>TS</v>
          </cell>
          <cell r="B27" t="str">
            <v>TS.BA</v>
          </cell>
          <cell r="C27" t="str">
            <v>Energy</v>
          </cell>
          <cell r="D27" t="str">
            <v>TENARIS S.A.</v>
          </cell>
          <cell r="E27">
            <v>756901188554.5</v>
          </cell>
        </row>
        <row r="28">
          <cell r="A28" t="str">
            <v>YPFD</v>
          </cell>
          <cell r="B28" t="str">
            <v>YPFD.BA</v>
          </cell>
          <cell r="C28" t="str">
            <v>Energy</v>
          </cell>
          <cell r="D28" t="str">
            <v>YPF S.A.</v>
          </cell>
          <cell r="E28">
            <v>247551071914.20001</v>
          </cell>
        </row>
        <row r="29">
          <cell r="A29" t="str">
            <v>TGSU2</v>
          </cell>
          <cell r="B29" t="str">
            <v>TGSU2.BA</v>
          </cell>
          <cell r="C29" t="str">
            <v>Energy</v>
          </cell>
          <cell r="D29" t="str">
            <v>TRANSPORTADORA DE GAS DEL SUR S.A.</v>
          </cell>
          <cell r="E29">
            <v>76668794809.5</v>
          </cell>
        </row>
        <row r="30">
          <cell r="A30" t="str">
            <v>TGNO4</v>
          </cell>
          <cell r="B30" t="str">
            <v>TGNO4.BA</v>
          </cell>
          <cell r="C30" t="str">
            <v>Energy</v>
          </cell>
          <cell r="D30" t="str">
            <v>TRANSPORTADORA DE GAS DEL NORTE S.A.</v>
          </cell>
          <cell r="E30">
            <v>22847444828</v>
          </cell>
        </row>
        <row r="31">
          <cell r="A31" t="str">
            <v>PGR</v>
          </cell>
          <cell r="B31" t="str">
            <v>PGR.BA</v>
          </cell>
          <cell r="C31" t="str">
            <v>Energy</v>
          </cell>
          <cell r="D31" t="str">
            <v>PHOENIX GLOBAL RESOURCES P.L.C.</v>
          </cell>
          <cell r="E31">
            <v>5692051296.8000002</v>
          </cell>
        </row>
        <row r="32">
          <cell r="A32" t="str">
            <v>COME</v>
          </cell>
          <cell r="B32" t="str">
            <v>COME.BA</v>
          </cell>
          <cell r="C32" t="str">
            <v>Energy</v>
          </cell>
          <cell r="D32" t="str">
            <v>SOCIEDAD COMERCIAL DEL PLATA S.A.</v>
          </cell>
          <cell r="E32">
            <v>4258381438.8000002</v>
          </cell>
        </row>
        <row r="33">
          <cell r="A33" t="str">
            <v>CARC</v>
          </cell>
          <cell r="B33" t="str">
            <v>CARC.BA</v>
          </cell>
          <cell r="C33" t="str">
            <v>Energy</v>
          </cell>
          <cell r="D33" t="str">
            <v>CARBOCLOR S. A.</v>
          </cell>
          <cell r="E33">
            <v>659739538.08000004</v>
          </cell>
        </row>
        <row r="34">
          <cell r="A34" t="str">
            <v>GGAL</v>
          </cell>
          <cell r="B34" t="str">
            <v>GGAL.BA</v>
          </cell>
          <cell r="C34" t="str">
            <v>Financials</v>
          </cell>
          <cell r="D34" t="str">
            <v>GRUPO FINANCIERO GALICIA S.A.</v>
          </cell>
          <cell r="E34">
            <v>148383518088</v>
          </cell>
        </row>
        <row r="35">
          <cell r="A35" t="str">
            <v>BMA</v>
          </cell>
          <cell r="B35" t="str">
            <v>BMA.BA</v>
          </cell>
          <cell r="C35" t="str">
            <v>Financials</v>
          </cell>
          <cell r="D35" t="str">
            <v>BANCO MACRO S.A.</v>
          </cell>
          <cell r="E35">
            <v>133731705293.7</v>
          </cell>
        </row>
        <row r="36">
          <cell r="A36" t="str">
            <v>FRAN</v>
          </cell>
          <cell r="B36" t="str">
            <v>FRAN.BA</v>
          </cell>
          <cell r="C36" t="str">
            <v>Financials</v>
          </cell>
          <cell r="D36" t="str">
            <v>BBVA BANCO FRANCES S. A.</v>
          </cell>
          <cell r="E36">
            <v>76000428093.899994</v>
          </cell>
        </row>
        <row r="37">
          <cell r="A37" t="str">
            <v>BRIO</v>
          </cell>
          <cell r="B37" t="str">
            <v>BRIO.BA</v>
          </cell>
          <cell r="C37" t="str">
            <v>Financials</v>
          </cell>
          <cell r="D37" t="str">
            <v>BANCO SANTANDER RIO S.A.</v>
          </cell>
          <cell r="E37">
            <v>33833486101</v>
          </cell>
        </row>
        <row r="38">
          <cell r="A38" t="str">
            <v>BYMA</v>
          </cell>
          <cell r="B38" t="str">
            <v>BYMA.BA</v>
          </cell>
          <cell r="C38" t="str">
            <v>Financials</v>
          </cell>
          <cell r="D38" t="str">
            <v>BOLSAS Y MERCADOS ARGENTINOS S.A. (BYMA)</v>
          </cell>
          <cell r="E38">
            <v>22188750000</v>
          </cell>
        </row>
        <row r="39">
          <cell r="A39" t="str">
            <v>BPAT</v>
          </cell>
          <cell r="B39" t="str">
            <v>BPAT.BA</v>
          </cell>
          <cell r="C39" t="str">
            <v>Financials</v>
          </cell>
          <cell r="D39" t="str">
            <v>BANCO PATAGONIA S.A.</v>
          </cell>
          <cell r="E39">
            <v>25817314008.299999</v>
          </cell>
        </row>
        <row r="40">
          <cell r="A40" t="str">
            <v>BHIP</v>
          </cell>
          <cell r="B40" t="str">
            <v>BHIP.BA</v>
          </cell>
          <cell r="C40" t="str">
            <v>Financials</v>
          </cell>
          <cell r="D40" t="str">
            <v>BANCO HIPOTECARIO S.A.</v>
          </cell>
          <cell r="E40">
            <v>16800000000</v>
          </cell>
        </row>
        <row r="41">
          <cell r="A41" t="str">
            <v>VALO</v>
          </cell>
          <cell r="B41" t="str">
            <v>VALO.BA</v>
          </cell>
          <cell r="C41" t="str">
            <v>Financials</v>
          </cell>
          <cell r="D41" t="str">
            <v>GRUPO FINANCIERO VALORES SOCIEDAD ANONIMA</v>
          </cell>
          <cell r="E41">
            <v>5270901420</v>
          </cell>
        </row>
        <row r="42">
          <cell r="A42" t="str">
            <v>RICH</v>
          </cell>
          <cell r="B42" t="str">
            <v>RICH.BA</v>
          </cell>
          <cell r="C42" t="str">
            <v>Health Care</v>
          </cell>
          <cell r="D42" t="str">
            <v>LABORATORIOS RICHMOND S.A.C.I.F.</v>
          </cell>
          <cell r="E42">
            <v>3149307993</v>
          </cell>
        </row>
        <row r="43">
          <cell r="A43" t="str">
            <v>ROSE</v>
          </cell>
          <cell r="B43" t="str">
            <v>ROSE.BA</v>
          </cell>
          <cell r="C43" t="str">
            <v>Health Care</v>
          </cell>
          <cell r="D43" t="str">
            <v>INSTITUTO ROSENBUSCH S.A.</v>
          </cell>
          <cell r="E43">
            <v>195911539</v>
          </cell>
        </row>
        <row r="44">
          <cell r="A44" t="str">
            <v>AUSO</v>
          </cell>
          <cell r="B44" t="str">
            <v>AUSO.BA</v>
          </cell>
          <cell r="C44" t="str">
            <v>Industrials</v>
          </cell>
          <cell r="D44" t="str">
            <v>AUTOPISTAS DEL SOL S.A.</v>
          </cell>
          <cell r="E44">
            <v>9783679160</v>
          </cell>
        </row>
        <row r="45">
          <cell r="A45" t="str">
            <v>OEST</v>
          </cell>
          <cell r="B45" t="str">
            <v>OEST.BA</v>
          </cell>
          <cell r="C45" t="str">
            <v>Industrials</v>
          </cell>
          <cell r="D45" t="str">
            <v>GRUPO CONCESIONARIO DEL OESTE S.A.</v>
          </cell>
          <cell r="E45">
            <v>5864000000</v>
          </cell>
        </row>
        <row r="46">
          <cell r="A46" t="str">
            <v>CAPU</v>
          </cell>
          <cell r="B46" t="str">
            <v>CAPU.BA</v>
          </cell>
          <cell r="C46" t="str">
            <v>Industrials</v>
          </cell>
          <cell r="D46" t="str">
            <v>CAPUTO S.A.</v>
          </cell>
          <cell r="E46">
            <v>1108529928</v>
          </cell>
        </row>
        <row r="47">
          <cell r="A47" t="str">
            <v>CADO</v>
          </cell>
          <cell r="B47" t="str">
            <v>CADO.BA</v>
          </cell>
          <cell r="C47" t="str">
            <v>Industrials</v>
          </cell>
          <cell r="D47" t="str">
            <v>CARLOS CASADO S.A.</v>
          </cell>
          <cell r="E47">
            <v>1478400000</v>
          </cell>
        </row>
        <row r="48">
          <cell r="A48" t="str">
            <v>FERR</v>
          </cell>
          <cell r="B48" t="str">
            <v>FERR.BA</v>
          </cell>
          <cell r="C48" t="str">
            <v>Industrials</v>
          </cell>
          <cell r="D48" t="str">
            <v>FERRUM S.A.</v>
          </cell>
          <cell r="E48">
            <v>1253550000</v>
          </cell>
        </row>
        <row r="49">
          <cell r="A49" t="str">
            <v>DYCA</v>
          </cell>
          <cell r="B49" t="str">
            <v>DYCA.BA</v>
          </cell>
          <cell r="C49" t="str">
            <v>Industrials</v>
          </cell>
          <cell r="D49" t="str">
            <v>DYCASA SOCIEDAD ANONIMA</v>
          </cell>
          <cell r="E49">
            <v>1050000000</v>
          </cell>
        </row>
        <row r="50">
          <cell r="A50" t="str">
            <v>AGRO</v>
          </cell>
          <cell r="B50" t="str">
            <v>AGRO.BA</v>
          </cell>
          <cell r="C50" t="str">
            <v>Industrials</v>
          </cell>
          <cell r="D50" t="str">
            <v>AGROMETAL S.A.</v>
          </cell>
          <cell r="E50">
            <v>952500000</v>
          </cell>
        </row>
        <row r="51">
          <cell r="A51" t="str">
            <v>GARO</v>
          </cell>
          <cell r="B51" t="str">
            <v>GARO.BA</v>
          </cell>
          <cell r="C51" t="str">
            <v>Industrials</v>
          </cell>
          <cell r="D51" t="str">
            <v>GAROVAGLIO Y ZORRAQUIN S. A.</v>
          </cell>
          <cell r="E51">
            <v>195800000</v>
          </cell>
        </row>
        <row r="52">
          <cell r="A52" t="str">
            <v>INAG</v>
          </cell>
          <cell r="B52" t="str">
            <v>INAG.BA</v>
          </cell>
          <cell r="C52" t="str">
            <v>Industrials</v>
          </cell>
          <cell r="D52" t="str">
            <v>INSUMOS AGROQUIMICOS S.A.</v>
          </cell>
          <cell r="E52">
            <v>143000000</v>
          </cell>
        </row>
        <row r="53">
          <cell r="A53" t="str">
            <v>POLL</v>
          </cell>
          <cell r="B53" t="str">
            <v>POLL.BA</v>
          </cell>
          <cell r="C53" t="str">
            <v>Industrials</v>
          </cell>
          <cell r="D53" t="str">
            <v>POLLEDO S.A.</v>
          </cell>
          <cell r="E53">
            <v>66130058.200000003</v>
          </cell>
        </row>
        <row r="54">
          <cell r="A54" t="str">
            <v>BOLT</v>
          </cell>
          <cell r="B54" t="str">
            <v>BOLT.BA</v>
          </cell>
          <cell r="C54" t="str">
            <v>Information Technology</v>
          </cell>
          <cell r="D54" t="str">
            <v>BOLDT S.A.</v>
          </cell>
          <cell r="E54">
            <v>3525000000</v>
          </cell>
        </row>
        <row r="55">
          <cell r="A55" t="str">
            <v>TXAR</v>
          </cell>
          <cell r="B55" t="str">
            <v>TXAR.BA</v>
          </cell>
          <cell r="C55" t="str">
            <v>Materials</v>
          </cell>
          <cell r="D55" t="str">
            <v>TERNIUM ARGENTINA S.A.</v>
          </cell>
          <cell r="E55">
            <v>52325164880.540901</v>
          </cell>
        </row>
        <row r="56">
          <cell r="A56" t="str">
            <v>LOMA</v>
          </cell>
          <cell r="B56" t="str">
            <v>LOMA.BA</v>
          </cell>
          <cell r="C56" t="str">
            <v>Materials</v>
          </cell>
          <cell r="D56" t="str">
            <v>LOMA NEGRA COMPAÑIA INDUSTRIAL ARGENTINA SOCIEDAD ANONIMA</v>
          </cell>
          <cell r="E56">
            <v>57516556285</v>
          </cell>
        </row>
        <row r="57">
          <cell r="A57" t="str">
            <v>ALUA</v>
          </cell>
          <cell r="B57" t="str">
            <v>ALUA.BA</v>
          </cell>
          <cell r="C57" t="str">
            <v>Materials</v>
          </cell>
          <cell r="D57" t="str">
            <v>ALUAR ALUMINIO ARGENTINO S.A.</v>
          </cell>
          <cell r="E57">
            <v>41440000000</v>
          </cell>
        </row>
        <row r="58">
          <cell r="A58" t="str">
            <v>HARG</v>
          </cell>
          <cell r="B58" t="str">
            <v>HARG.BA</v>
          </cell>
          <cell r="C58" t="str">
            <v>Materials</v>
          </cell>
          <cell r="D58" t="str">
            <v>HOLCIM (Argentina) S.A.</v>
          </cell>
          <cell r="E58">
            <v>26580295874.5</v>
          </cell>
        </row>
        <row r="59">
          <cell r="A59" t="str">
            <v>INDU</v>
          </cell>
          <cell r="B59" t="str">
            <v>INDU.BA</v>
          </cell>
          <cell r="C59" t="str">
            <v>Materials</v>
          </cell>
          <cell r="D59" t="str">
            <v>UNIPAR INDUPA SOCIEDAD ANONIMA INDUSTRIAL Y COMERCIAL</v>
          </cell>
          <cell r="E59">
            <v>7457097348</v>
          </cell>
        </row>
        <row r="60">
          <cell r="A60" t="str">
            <v>RIGO</v>
          </cell>
          <cell r="B60" t="str">
            <v>RIGO.BA</v>
          </cell>
          <cell r="C60" t="str">
            <v>Materials</v>
          </cell>
          <cell r="D60" t="str">
            <v>RIGOLLEAU S.A.</v>
          </cell>
          <cell r="E60">
            <v>5584976397</v>
          </cell>
        </row>
        <row r="61">
          <cell r="A61" t="str">
            <v>CELU</v>
          </cell>
          <cell r="B61" t="str">
            <v>CELU.BA</v>
          </cell>
          <cell r="C61" t="str">
            <v>Materials</v>
          </cell>
          <cell r="D61" t="str">
            <v>CELULOSA ARGENTINA S.A.</v>
          </cell>
          <cell r="E61">
            <v>1867423452.71</v>
          </cell>
        </row>
        <row r="62">
          <cell r="A62" t="str">
            <v>MERA</v>
          </cell>
          <cell r="B62" t="str">
            <v>MERA.BA</v>
          </cell>
          <cell r="C62" t="str">
            <v>Materials</v>
          </cell>
          <cell r="E62">
            <v>916795540.47165096</v>
          </cell>
        </row>
        <row r="63">
          <cell r="A63" t="str">
            <v>COLO</v>
          </cell>
          <cell r="B63" t="str">
            <v>COLO.BA</v>
          </cell>
          <cell r="C63" t="str">
            <v>Materials</v>
          </cell>
          <cell r="D63" t="str">
            <v>COLORIN S.A.</v>
          </cell>
          <cell r="E63">
            <v>194089547</v>
          </cell>
        </row>
        <row r="64">
          <cell r="A64" t="str">
            <v>FIPL</v>
          </cell>
          <cell r="B64" t="str">
            <v>FIPL.BA</v>
          </cell>
          <cell r="C64" t="str">
            <v>Materials</v>
          </cell>
          <cell r="D64" t="str">
            <v>FIPLASTO S.A.</v>
          </cell>
          <cell r="E64">
            <v>236062000</v>
          </cell>
        </row>
        <row r="65">
          <cell r="A65" t="str">
            <v>IRSA</v>
          </cell>
          <cell r="B65" t="str">
            <v>IRSA.BA</v>
          </cell>
          <cell r="C65" t="str">
            <v>Real Estate</v>
          </cell>
          <cell r="D65" t="str">
            <v>IRSA INVERSIONES Y REPRESENTACIONES S.A.</v>
          </cell>
          <cell r="E65">
            <v>24304411320</v>
          </cell>
        </row>
        <row r="66">
          <cell r="A66" t="str">
            <v>IRCP</v>
          </cell>
          <cell r="B66" t="str">
            <v>IRCP.BA</v>
          </cell>
          <cell r="C66" t="str">
            <v>Real Estate</v>
          </cell>
          <cell r="D66" t="str">
            <v>IRSA PROPIEDADES COMERCIALES S.A.</v>
          </cell>
          <cell r="E66">
            <v>26602669500</v>
          </cell>
        </row>
        <row r="67">
          <cell r="A67" t="str">
            <v>CRES</v>
          </cell>
          <cell r="B67" t="str">
            <v>CRES.BA</v>
          </cell>
          <cell r="C67" t="str">
            <v>Real Estate</v>
          </cell>
          <cell r="D67" t="str">
            <v>CRESUD S.A.</v>
          </cell>
          <cell r="E67">
            <v>21219490609.200001</v>
          </cell>
        </row>
        <row r="68">
          <cell r="A68" t="str">
            <v>CTIO</v>
          </cell>
          <cell r="B68" t="str">
            <v>CTIO.BA</v>
          </cell>
          <cell r="C68" t="str">
            <v>Real Estate</v>
          </cell>
          <cell r="D68" t="str">
            <v>CONSULTATIO S.A.</v>
          </cell>
          <cell r="E68">
            <v>17830942711.5</v>
          </cell>
        </row>
        <row r="69">
          <cell r="A69" t="str">
            <v>PAMP</v>
          </cell>
          <cell r="B69" t="str">
            <v>PAMP.BA</v>
          </cell>
          <cell r="C69" t="str">
            <v>Utilities</v>
          </cell>
          <cell r="D69" t="str">
            <v>PAMPA ENERGIA S.A</v>
          </cell>
          <cell r="E69">
            <v>77243981975.350006</v>
          </cell>
        </row>
        <row r="70">
          <cell r="A70" t="str">
            <v>EDN</v>
          </cell>
          <cell r="B70" t="str">
            <v>EDN.BA</v>
          </cell>
          <cell r="C70" t="str">
            <v>Utilities</v>
          </cell>
          <cell r="D70" t="str">
            <v>EMPRESA DISTRIB. Y COMERCIALZADORA NORTE S.A. (EDENOR S.A.)</v>
          </cell>
          <cell r="E70">
            <v>34717230330</v>
          </cell>
        </row>
        <row r="71">
          <cell r="A71" t="str">
            <v>TRAN</v>
          </cell>
          <cell r="B71" t="str">
            <v>TRAN.BA</v>
          </cell>
          <cell r="C71" t="str">
            <v>Utilities</v>
          </cell>
          <cell r="D71" t="str">
            <v>TRANSENER CIA. DE TRANSP. DE ENERGIA ELECTR. EN ALTA TENSION</v>
          </cell>
          <cell r="E71">
            <v>17698017041</v>
          </cell>
        </row>
        <row r="72">
          <cell r="A72" t="str">
            <v>METR</v>
          </cell>
          <cell r="B72" t="str">
            <v>METR.BA</v>
          </cell>
          <cell r="C72" t="str">
            <v>Utilities</v>
          </cell>
          <cell r="D72" t="str">
            <v>METROGAS S.A.</v>
          </cell>
          <cell r="E72">
            <v>9411798022.1000004</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8001201549</v>
          </cell>
        </row>
        <row r="75">
          <cell r="A75" t="str">
            <v>CGPA2</v>
          </cell>
          <cell r="B75" t="str">
            <v>CGPA2.BA</v>
          </cell>
          <cell r="C75" t="str">
            <v>Utilities</v>
          </cell>
          <cell r="D75" t="str">
            <v>CAMUZZI GAS PAMPEANA S.A.</v>
          </cell>
          <cell r="E75">
            <v>6998902029</v>
          </cell>
        </row>
        <row r="76">
          <cell r="A76" t="str">
            <v>DGCU2</v>
          </cell>
          <cell r="B76" t="str">
            <v>DGCU2.BA</v>
          </cell>
          <cell r="C76" t="str">
            <v>Utilities</v>
          </cell>
          <cell r="D76" t="str">
            <v>DISTRIBUIDORA DE GAS CUYANA S.A.</v>
          </cell>
          <cell r="E76">
            <v>5058782200</v>
          </cell>
        </row>
        <row r="77">
          <cell r="A77" t="str">
            <v>CEPU</v>
          </cell>
          <cell r="B77" t="str">
            <v>CEPU.BA</v>
          </cell>
          <cell r="C77" t="str">
            <v>Utilities</v>
          </cell>
          <cell r="D77" t="str">
            <v>CENTRAL PUERTO S.A.</v>
          </cell>
          <cell r="E77">
            <v>7050898177.3999996</v>
          </cell>
        </row>
        <row r="78">
          <cell r="A78" t="str">
            <v>CECO2</v>
          </cell>
          <cell r="B78" t="str">
            <v>CECO2.BA</v>
          </cell>
          <cell r="C78" t="str">
            <v>Utilities</v>
          </cell>
          <cell r="D78" t="str">
            <v>ENEL GENERACION COSTANERA S.A.</v>
          </cell>
          <cell r="E78">
            <v>4373387594.9399996</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21876999223.799999</v>
          </cell>
        </row>
      </sheetData>
      <sheetData sheetId="10">
        <row r="4">
          <cell r="F4" t="str">
            <v>TEF</v>
          </cell>
        </row>
      </sheetData>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ado"/>
      <sheetName val="Datos"/>
      <sheetName val="Fundamentals"/>
      <sheetName val="Earnings"/>
      <sheetName val="Glosario (2)"/>
      <sheetName val="Disclaimer"/>
      <sheetName val="Glosario"/>
      <sheetName val="Mkt cap"/>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G4" t="str">
            <v>AGRO</v>
          </cell>
          <cell r="H4" t="str">
            <v>AGROMETAL S.A.</v>
          </cell>
        </row>
        <row r="5">
          <cell r="G5" t="str">
            <v>ALUA</v>
          </cell>
          <cell r="H5" t="str">
            <v>ALUAR ALUMINIO ARGENTINO S.A.</v>
          </cell>
        </row>
        <row r="6">
          <cell r="G6" t="str">
            <v>APBR</v>
          </cell>
          <cell r="H6" t="str">
            <v>PETROLEO BRASILEIRO S.A. - PETROBRAS (Sociedad de Economía Mixta)</v>
          </cell>
        </row>
        <row r="7">
          <cell r="G7" t="str">
            <v>AUSO</v>
          </cell>
          <cell r="H7" t="str">
            <v>AUTOPISTAS DEL SOL S.A.</v>
          </cell>
        </row>
        <row r="8">
          <cell r="G8" t="str">
            <v>BHIP</v>
          </cell>
          <cell r="H8" t="str">
            <v>BANCO HIPOTECARIO S.A.</v>
          </cell>
        </row>
        <row r="9">
          <cell r="G9" t="str">
            <v>BMA</v>
          </cell>
          <cell r="H9" t="str">
            <v>BANCO MACRO S.A.</v>
          </cell>
        </row>
        <row r="10">
          <cell r="G10" t="str">
            <v>BOLT</v>
          </cell>
          <cell r="H10" t="str">
            <v>BOLDT S.A.</v>
          </cell>
        </row>
        <row r="11">
          <cell r="G11" t="str">
            <v>BPAT</v>
          </cell>
          <cell r="H11" t="str">
            <v>BANCO PATAGONIA S.A.</v>
          </cell>
        </row>
        <row r="12">
          <cell r="G12" t="str">
            <v>BRIO</v>
          </cell>
          <cell r="H12" t="str">
            <v>BANCO SANTANDER RIO S.A.</v>
          </cell>
        </row>
        <row r="13">
          <cell r="G13" t="str">
            <v>BYMA</v>
          </cell>
          <cell r="H13" t="str">
            <v>BOLSAS Y MERCADOS ARGENTINOS S.A. (BYMA)</v>
          </cell>
        </row>
        <row r="14">
          <cell r="G14" t="str">
            <v>CADO</v>
          </cell>
          <cell r="H14" t="str">
            <v>CARLOS CASADO S.A.</v>
          </cell>
        </row>
        <row r="15">
          <cell r="G15" t="str">
            <v>CAPU</v>
          </cell>
          <cell r="H15" t="str">
            <v>CAPUTO S.A.</v>
          </cell>
        </row>
        <row r="16">
          <cell r="G16" t="str">
            <v>CAPX</v>
          </cell>
          <cell r="H16" t="str">
            <v>CAPEX S.A.</v>
          </cell>
        </row>
        <row r="17">
          <cell r="G17" t="str">
            <v>CARC</v>
          </cell>
          <cell r="H17" t="str">
            <v>CARBOCLOR S. A.</v>
          </cell>
        </row>
        <row r="18">
          <cell r="G18" t="str">
            <v>CECO2</v>
          </cell>
          <cell r="H18" t="str">
            <v>ENEL GENERACION COSTANERA S.A.</v>
          </cell>
        </row>
        <row r="19">
          <cell r="G19" t="str">
            <v>CELU</v>
          </cell>
          <cell r="H19" t="str">
            <v>CELULOSA ARGENTINA S.A.</v>
          </cell>
        </row>
        <row r="20">
          <cell r="G20" t="str">
            <v>CEPU</v>
          </cell>
          <cell r="H20" t="str">
            <v>CENTRAL PUERTO S.A.</v>
          </cell>
        </row>
        <row r="21">
          <cell r="G21" t="str">
            <v>CGPA2</v>
          </cell>
          <cell r="H21" t="str">
            <v>CAMUZZI GAS PAMPEANA S.A.</v>
          </cell>
        </row>
        <row r="22">
          <cell r="G22" t="str">
            <v>COLO</v>
          </cell>
          <cell r="H22" t="str">
            <v>COLORIN S.A.</v>
          </cell>
        </row>
        <row r="23">
          <cell r="G23" t="str">
            <v>COME</v>
          </cell>
          <cell r="H23" t="str">
            <v>SOCIEDAD COMERCIAL DEL PLATA S.A.</v>
          </cell>
        </row>
        <row r="24">
          <cell r="G24" t="str">
            <v>CRES</v>
          </cell>
          <cell r="H24" t="str">
            <v>CRESUD S.A.</v>
          </cell>
        </row>
        <row r="25">
          <cell r="G25" t="str">
            <v>CTIO</v>
          </cell>
          <cell r="H25" t="str">
            <v>CONSULTATIO S.A.</v>
          </cell>
        </row>
        <row r="26">
          <cell r="G26" t="str">
            <v>CVH</v>
          </cell>
          <cell r="H26" t="str">
            <v>CABLEVISION HOLDING S.A.</v>
          </cell>
        </row>
        <row r="27">
          <cell r="G27" t="str">
            <v>DGCU2</v>
          </cell>
          <cell r="H27" t="str">
            <v>DISTRIBUIDORA DE GAS CUYANA S.A.</v>
          </cell>
        </row>
        <row r="28">
          <cell r="G28" t="str">
            <v>DOME</v>
          </cell>
          <cell r="H28" t="str">
            <v>DOMEC S.A.</v>
          </cell>
        </row>
        <row r="29">
          <cell r="G29" t="str">
            <v>DYCA</v>
          </cell>
          <cell r="H29" t="str">
            <v>DYCASA SOCIEDAD ANONIMA</v>
          </cell>
        </row>
        <row r="30">
          <cell r="G30" t="str">
            <v>EDN</v>
          </cell>
          <cell r="H30" t="str">
            <v>EMPRESA DISTRIB. Y COMERCIALZADORA NORTE S.A. (EDENOR S.A.)</v>
          </cell>
        </row>
        <row r="31">
          <cell r="G31" t="str">
            <v>ESME</v>
          </cell>
          <cell r="H31" t="str">
            <v>BODEGAS ESMERALDA S.A.</v>
          </cell>
        </row>
        <row r="32">
          <cell r="G32" t="str">
            <v>FERR</v>
          </cell>
          <cell r="H32" t="str">
            <v>FERRUM S.A.</v>
          </cell>
        </row>
        <row r="33">
          <cell r="G33" t="str">
            <v>FIPL</v>
          </cell>
          <cell r="H33" t="str">
            <v>FIPLASTO S.A.</v>
          </cell>
        </row>
        <row r="34">
          <cell r="G34" t="str">
            <v>FRAN</v>
          </cell>
          <cell r="H34" t="str">
            <v>BBVA BANCO FRANCES S. A.</v>
          </cell>
        </row>
        <row r="35">
          <cell r="G35" t="str">
            <v>GARO</v>
          </cell>
          <cell r="H35" t="str">
            <v>GAROVAGLIO Y ZORRAQUIN S. A.</v>
          </cell>
        </row>
        <row r="36">
          <cell r="G36" t="str">
            <v>GBAN</v>
          </cell>
          <cell r="H36" t="str">
            <v>GAS NATURAL BAN S.A.</v>
          </cell>
        </row>
        <row r="37">
          <cell r="G37" t="str">
            <v>GCLA</v>
          </cell>
          <cell r="H37" t="str">
            <v>GRUPO CLARIN S.A.</v>
          </cell>
        </row>
        <row r="38">
          <cell r="G38" t="str">
            <v>GGAL</v>
          </cell>
          <cell r="H38" t="str">
            <v>GRUPO FINANCIERO GALICIA S.A.</v>
          </cell>
        </row>
        <row r="39">
          <cell r="G39" t="str">
            <v>GRIM</v>
          </cell>
          <cell r="H39" t="str">
            <v>GRIMOLDI S.A.</v>
          </cell>
        </row>
        <row r="40">
          <cell r="G40" t="str">
            <v>HARG</v>
          </cell>
          <cell r="H40" t="str">
            <v>HOLCIM (Argentina) S.A.</v>
          </cell>
        </row>
        <row r="41">
          <cell r="G41" t="str">
            <v>HAVA</v>
          </cell>
          <cell r="H41" t="str">
            <v>HAVANNA HOLDING S.A.</v>
          </cell>
        </row>
        <row r="42">
          <cell r="G42" t="str">
            <v>INAG</v>
          </cell>
          <cell r="H42" t="str">
            <v>INSUMOS AGROQUIMICOS S.A.</v>
          </cell>
        </row>
        <row r="43">
          <cell r="G43" t="str">
            <v>INDU</v>
          </cell>
          <cell r="H43" t="str">
            <v>UNIPAR INDUPA SOCIEDAD ANONIMA INDUSTRIAL Y COMERCIAL</v>
          </cell>
        </row>
        <row r="44">
          <cell r="G44" t="str">
            <v>INTR</v>
          </cell>
          <cell r="H44" t="str">
            <v>COMPAÑIA INTRODUCTORA DE BUENOS AIRES S.A.</v>
          </cell>
        </row>
        <row r="45">
          <cell r="G45" t="str">
            <v>INVJ</v>
          </cell>
          <cell r="H45" t="str">
            <v>INVERSORA JURAMENTO S.A.</v>
          </cell>
        </row>
        <row r="46">
          <cell r="G46" t="str">
            <v>IRCP</v>
          </cell>
          <cell r="H46" t="str">
            <v>IRSA PROPIEDADES COMERCIALES S.A.</v>
          </cell>
        </row>
        <row r="47">
          <cell r="G47" t="str">
            <v>IRSA</v>
          </cell>
          <cell r="H47" t="str">
            <v>IRSA INVERSIONES Y REPRESENTACIONES S.A.</v>
          </cell>
        </row>
        <row r="48">
          <cell r="G48" t="str">
            <v>LEDE</v>
          </cell>
          <cell r="H48" t="str">
            <v>LEDESMA S.A.</v>
          </cell>
        </row>
        <row r="49">
          <cell r="G49" t="str">
            <v>LOMA</v>
          </cell>
          <cell r="H49" t="str">
            <v>LOMA NEGRA COMPAÑIA INDUSTRIAL ARGENTINA SOCIEDAD ANONIMA</v>
          </cell>
        </row>
        <row r="50">
          <cell r="G50" t="str">
            <v>LONG</v>
          </cell>
          <cell r="H50" t="str">
            <v>LONGVIE S.A.</v>
          </cell>
        </row>
        <row r="51">
          <cell r="G51" t="str">
            <v>METR</v>
          </cell>
          <cell r="H51" t="str">
            <v>METROGAS S.A.</v>
          </cell>
        </row>
        <row r="52">
          <cell r="G52" t="str">
            <v>MIRG</v>
          </cell>
          <cell r="H52" t="str">
            <v>MIRGOR S.A.</v>
          </cell>
        </row>
        <row r="53">
          <cell r="G53" t="str">
            <v>MOLA</v>
          </cell>
          <cell r="H53" t="str">
            <v>MOLINOS AGRO S.A.</v>
          </cell>
        </row>
        <row r="54">
          <cell r="G54" t="str">
            <v>MOLI</v>
          </cell>
          <cell r="H54" t="str">
            <v>MOLINOS RIO DE LA PLATA S.A.</v>
          </cell>
        </row>
        <row r="55">
          <cell r="G55" t="str">
            <v>MORI</v>
          </cell>
          <cell r="H55" t="str">
            <v>MORIXE HERMANOS S.A.</v>
          </cell>
        </row>
        <row r="56">
          <cell r="G56" t="str">
            <v>OEST</v>
          </cell>
          <cell r="H56" t="str">
            <v>GRUPO CONCESIONARIO DEL OESTE S.A.</v>
          </cell>
        </row>
        <row r="57">
          <cell r="G57" t="str">
            <v>OVOP</v>
          </cell>
          <cell r="H57" t="str">
            <v>OVOPROT INTERNATIONAL S.A</v>
          </cell>
        </row>
        <row r="58">
          <cell r="G58" t="str">
            <v>PAMP</v>
          </cell>
          <cell r="H58" t="str">
            <v>PAMPA ENERGIA S.A</v>
          </cell>
        </row>
        <row r="59">
          <cell r="G59" t="str">
            <v>PATA</v>
          </cell>
          <cell r="H59" t="str">
            <v>IMPORTADORA Y EXPORTADORA DE LA PATAGONIA S.A.</v>
          </cell>
        </row>
        <row r="60">
          <cell r="G60" t="str">
            <v>PATY</v>
          </cell>
          <cell r="H60" t="str">
            <v>QUICKFOOD S.A.</v>
          </cell>
        </row>
        <row r="61">
          <cell r="G61" t="str">
            <v>PESA</v>
          </cell>
          <cell r="H61" t="str">
            <v>PETROBRAS ARGENTINA S.A.</v>
          </cell>
        </row>
        <row r="62">
          <cell r="G62" t="str">
            <v>PETR</v>
          </cell>
          <cell r="H62" t="str">
            <v>PETROLERA PAMPA S.A.</v>
          </cell>
        </row>
        <row r="63">
          <cell r="G63" t="str">
            <v>PGR</v>
          </cell>
          <cell r="H63" t="str">
            <v>PHOENIX GLOBAL RESOURCES P.L.C.</v>
          </cell>
        </row>
        <row r="64">
          <cell r="G64" t="str">
            <v>POLL</v>
          </cell>
          <cell r="H64" t="str">
            <v>POLLEDO S.A.</v>
          </cell>
        </row>
        <row r="65">
          <cell r="G65" t="str">
            <v>PSUR</v>
          </cell>
          <cell r="H65" t="str">
            <v>PETROLERA DEL CONOSUR S.A.</v>
          </cell>
        </row>
        <row r="66">
          <cell r="G66" t="str">
            <v>RICH</v>
          </cell>
          <cell r="H66" t="str">
            <v>LABORATORIOS RICHMOND S.A.C.I.F.</v>
          </cell>
        </row>
        <row r="67">
          <cell r="G67" t="str">
            <v>RIGO</v>
          </cell>
          <cell r="H67" t="str">
            <v>RIGOLLEAU S.A.</v>
          </cell>
        </row>
        <row r="68">
          <cell r="G68" t="str">
            <v>ROSE</v>
          </cell>
          <cell r="H68" t="str">
            <v>INSTITUTO ROSENBUSCH S.A.</v>
          </cell>
        </row>
        <row r="69">
          <cell r="G69" t="str">
            <v>SAMI</v>
          </cell>
          <cell r="H69" t="str">
            <v>S.A. SAN MIGUEL</v>
          </cell>
        </row>
        <row r="70">
          <cell r="G70" t="str">
            <v>SEMI</v>
          </cell>
          <cell r="H70" t="str">
            <v>MOLINOS JUAN SEMINO S.A.</v>
          </cell>
        </row>
        <row r="71">
          <cell r="G71" t="str">
            <v>STD</v>
          </cell>
          <cell r="H71" t="str">
            <v>BANCO SANTANDER S.A.</v>
          </cell>
        </row>
        <row r="72">
          <cell r="G72" t="str">
            <v>SUPV</v>
          </cell>
          <cell r="H72" t="str">
            <v>GRUPO SUPERVIELLE S.A.</v>
          </cell>
        </row>
        <row r="73">
          <cell r="G73" t="str">
            <v>TECO2</v>
          </cell>
          <cell r="H73" t="str">
            <v>TELECOM ARGENTINA S. A.</v>
          </cell>
        </row>
        <row r="74">
          <cell r="G74" t="str">
            <v>TEF</v>
          </cell>
          <cell r="H74" t="str">
            <v>TELEFONICA S.A.</v>
          </cell>
        </row>
        <row r="75">
          <cell r="G75" t="str">
            <v>TGLT</v>
          </cell>
          <cell r="H75" t="str">
            <v>TGLT S.A.</v>
          </cell>
        </row>
        <row r="76">
          <cell r="G76" t="str">
            <v>TGNO4</v>
          </cell>
          <cell r="H76" t="str">
            <v>TRANSPORTADORA DE GAS DEL NORTE S.A.</v>
          </cell>
        </row>
        <row r="77">
          <cell r="G77" t="str">
            <v>TGSU2</v>
          </cell>
          <cell r="H77" t="str">
            <v>TRANSPORTADORA DE GAS DEL SUR S.A.</v>
          </cell>
        </row>
        <row r="78">
          <cell r="G78" t="str">
            <v>TRAN</v>
          </cell>
          <cell r="H78" t="str">
            <v>TRANSENER CIA. DE TRANSP. DE ENERGIA ELECTR. EN ALTA TENSION</v>
          </cell>
        </row>
        <row r="79">
          <cell r="G79" t="str">
            <v>TS</v>
          </cell>
          <cell r="H79" t="str">
            <v>TENARIS S.A.</v>
          </cell>
        </row>
        <row r="80">
          <cell r="G80" t="str">
            <v>TXAR</v>
          </cell>
          <cell r="H80" t="str">
            <v>TERNIUM ARGENTINA S.A.</v>
          </cell>
        </row>
        <row r="81">
          <cell r="G81" t="str">
            <v>VALO</v>
          </cell>
          <cell r="H81" t="str">
            <v>GRUPO FINANCIERO VALORES SOCIEDAD ANONIMA</v>
          </cell>
        </row>
        <row r="82">
          <cell r="G82" t="str">
            <v>YPFD</v>
          </cell>
          <cell r="H82" t="str">
            <v>YPF S.A.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B1:AE109"/>
  <sheetViews>
    <sheetView tabSelected="1" view="pageBreakPreview" zoomScale="70" zoomScaleNormal="80" zoomScaleSheetLayoutView="70" workbookViewId="0">
      <selection activeCell="Q6" sqref="Q6"/>
    </sheetView>
  </sheetViews>
  <sheetFormatPr baseColWidth="10" defaultRowHeight="15" x14ac:dyDescent="0.25"/>
  <cols>
    <col min="2" max="2" width="8.5703125" bestFit="1" customWidth="1"/>
    <col min="3" max="3" width="10.28515625" bestFit="1" customWidth="1"/>
    <col min="4" max="4" width="10.7109375" bestFit="1" customWidth="1"/>
    <col min="5" max="5" width="10.28515625" bestFit="1" customWidth="1"/>
    <col min="6" max="6" width="10.7109375" bestFit="1" customWidth="1"/>
    <col min="7" max="8" width="10.28515625" bestFit="1" customWidth="1"/>
    <col min="9" max="9" width="10.7109375" bestFit="1" customWidth="1"/>
    <col min="10" max="12" width="11.140625" bestFit="1" customWidth="1"/>
    <col min="13" max="13" width="10" bestFit="1" customWidth="1"/>
    <col min="14" max="14" width="2.85546875" customWidth="1"/>
    <col min="16" max="16" width="9.42578125" bestFit="1" customWidth="1"/>
    <col min="17" max="17" width="24.140625" customWidth="1"/>
    <col min="18" max="18" width="13" customWidth="1"/>
    <col min="20" max="20" width="12.7109375" bestFit="1" customWidth="1"/>
  </cols>
  <sheetData>
    <row r="1" spans="2:31" x14ac:dyDescent="0.25">
      <c r="C1" s="1"/>
      <c r="D1" s="1"/>
      <c r="E1" s="1"/>
      <c r="F1" s="1"/>
      <c r="G1" s="1"/>
      <c r="H1" s="1"/>
      <c r="I1" s="1"/>
      <c r="J1" s="1"/>
      <c r="K1" s="1"/>
      <c r="L1" s="1"/>
      <c r="M1" s="1"/>
      <c r="N1" s="1"/>
      <c r="O1" s="1"/>
      <c r="T1" s="1"/>
      <c r="U1" s="1"/>
      <c r="V1" s="1"/>
      <c r="W1" s="1"/>
      <c r="X1" s="1"/>
      <c r="Y1" s="1"/>
      <c r="Z1" s="1"/>
      <c r="AA1" s="1"/>
      <c r="AB1" s="1"/>
      <c r="AC1" s="1"/>
      <c r="AD1" s="1"/>
      <c r="AE1" s="1"/>
    </row>
    <row r="3" spans="2:31" ht="35.25" customHeight="1" x14ac:dyDescent="0.6">
      <c r="B3" s="2" t="s">
        <v>0</v>
      </c>
    </row>
    <row r="4" spans="2:31" x14ac:dyDescent="0.25">
      <c r="B4" t="s">
        <v>451</v>
      </c>
    </row>
    <row r="6" spans="2:31" ht="28.5" x14ac:dyDescent="0.45">
      <c r="B6" s="3" t="s">
        <v>1</v>
      </c>
    </row>
    <row r="7" spans="2:31" ht="18.75" x14ac:dyDescent="0.25">
      <c r="B7" s="4" t="s">
        <v>2</v>
      </c>
    </row>
    <row r="8" spans="2:31" ht="15.75" thickBot="1" x14ac:dyDescent="0.3">
      <c r="B8" s="5"/>
    </row>
    <row r="9" spans="2:31" ht="27" thickBot="1" x14ac:dyDescent="0.45">
      <c r="B9" s="6"/>
      <c r="C9" s="7">
        <v>-0.2</v>
      </c>
      <c r="D9" s="8">
        <v>-0.15000000000000002</v>
      </c>
      <c r="E9" s="8">
        <v>-0.1</v>
      </c>
      <c r="F9" s="8">
        <v>-0.05</v>
      </c>
      <c r="G9" s="8">
        <v>0</v>
      </c>
      <c r="H9" s="8">
        <v>5.0000000000000017E-2</v>
      </c>
      <c r="I9" s="8">
        <v>0.10000000000000002</v>
      </c>
      <c r="J9" s="8">
        <v>0.15000000000000002</v>
      </c>
      <c r="K9" s="9">
        <v>0.2</v>
      </c>
    </row>
    <row r="10" spans="2:31" ht="11.25" customHeight="1" x14ac:dyDescent="0.25"/>
    <row r="11" spans="2:31" ht="12" customHeight="1" x14ac:dyDescent="0.25">
      <c r="C11" s="10" t="s">
        <v>3</v>
      </c>
      <c r="D11" s="11"/>
      <c r="E11" s="11"/>
      <c r="F11" s="11"/>
      <c r="G11" s="11"/>
      <c r="H11" s="11"/>
      <c r="I11" s="11"/>
      <c r="J11" s="11"/>
      <c r="K11" s="11"/>
      <c r="L11" s="11"/>
      <c r="M11" s="12"/>
    </row>
    <row r="12" spans="2:31" x14ac:dyDescent="0.25">
      <c r="B12" s="13" t="s">
        <v>4</v>
      </c>
      <c r="C12" s="14" t="s">
        <v>452</v>
      </c>
      <c r="D12" s="14" t="s">
        <v>453</v>
      </c>
      <c r="E12" s="14" t="s">
        <v>454</v>
      </c>
      <c r="F12" s="14" t="s">
        <v>455</v>
      </c>
      <c r="G12" s="14" t="s">
        <v>456</v>
      </c>
      <c r="H12" s="14" t="s">
        <v>457</v>
      </c>
      <c r="I12" s="14" t="s">
        <v>458</v>
      </c>
      <c r="J12" s="14" t="s">
        <v>459</v>
      </c>
      <c r="K12" s="14" t="s">
        <v>460</v>
      </c>
      <c r="L12" s="14" t="s">
        <v>461</v>
      </c>
      <c r="M12" s="15" t="s">
        <v>462</v>
      </c>
      <c r="O12" s="16" t="s">
        <v>463</v>
      </c>
      <c r="P12" s="17" t="s">
        <v>4</v>
      </c>
      <c r="Q12" s="18" t="s">
        <v>5</v>
      </c>
      <c r="R12" s="19" t="s">
        <v>6</v>
      </c>
    </row>
    <row r="13" spans="2:31" x14ac:dyDescent="0.25">
      <c r="B13" s="20"/>
      <c r="C13" s="21"/>
      <c r="D13" s="21"/>
      <c r="E13" s="21"/>
      <c r="F13" s="21"/>
      <c r="G13" s="21"/>
      <c r="H13" s="21"/>
      <c r="I13" s="21"/>
      <c r="J13" s="21"/>
      <c r="K13" s="21"/>
      <c r="L13" s="21"/>
      <c r="M13" s="22"/>
      <c r="O13" s="23"/>
      <c r="P13" s="24"/>
      <c r="Q13" s="25"/>
      <c r="R13" s="26"/>
    </row>
    <row r="14" spans="2:31" x14ac:dyDescent="0.25">
      <c r="B14" s="27" t="s">
        <v>7</v>
      </c>
      <c r="C14" s="28">
        <v>-0.16666666666666674</v>
      </c>
      <c r="D14" s="28">
        <v>-0.12333333333333341</v>
      </c>
      <c r="E14" s="28">
        <v>3.8022813688213031E-2</v>
      </c>
      <c r="F14" s="28">
        <v>6.5934065934065922E-2</v>
      </c>
      <c r="G14" s="28">
        <v>0.63573883161512001</v>
      </c>
      <c r="H14" s="28">
        <v>-0.42226890756302515</v>
      </c>
      <c r="I14" s="28">
        <v>-4.7272727272727244E-2</v>
      </c>
      <c r="J14" s="28">
        <v>6.8702290076335659E-2</v>
      </c>
      <c r="K14" s="28">
        <v>0.32142857142857162</v>
      </c>
      <c r="L14" s="28">
        <v>0.17567567567567544</v>
      </c>
      <c r="M14" s="28">
        <v>-0.16091954022988497</v>
      </c>
      <c r="N14" s="29"/>
      <c r="O14" s="28" t="s">
        <v>464</v>
      </c>
      <c r="P14" s="30" t="s">
        <v>7</v>
      </c>
      <c r="Q14" s="31"/>
      <c r="R14" s="28" t="s">
        <v>464</v>
      </c>
      <c r="T14" s="32"/>
      <c r="U14" s="32"/>
      <c r="V14" s="32"/>
      <c r="W14" s="32"/>
      <c r="X14" s="32"/>
      <c r="Y14" s="32"/>
      <c r="Z14" s="32"/>
      <c r="AA14" s="32"/>
      <c r="AB14" s="32"/>
      <c r="AC14" s="32"/>
      <c r="AD14" s="32"/>
      <c r="AE14" s="32"/>
    </row>
    <row r="15" spans="2:31" x14ac:dyDescent="0.25">
      <c r="B15" s="33" t="s">
        <v>8</v>
      </c>
      <c r="C15" s="28">
        <v>-6.3829787234042534E-2</v>
      </c>
      <c r="D15" s="28">
        <v>0</v>
      </c>
      <c r="E15" s="28">
        <v>-2.2727272727272707E-2</v>
      </c>
      <c r="F15" s="28">
        <v>0</v>
      </c>
      <c r="G15" s="28">
        <v>0</v>
      </c>
      <c r="H15" s="28">
        <v>2.3255813953488413E-2</v>
      </c>
      <c r="I15" s="28">
        <v>-2.2727272727272707E-2</v>
      </c>
      <c r="J15" s="28">
        <v>6.9767441860465018E-2</v>
      </c>
      <c r="K15" s="28">
        <v>0</v>
      </c>
      <c r="L15" s="28">
        <v>-2.1739130434782594E-2</v>
      </c>
      <c r="M15" s="28">
        <v>4.4444444444444509E-2</v>
      </c>
      <c r="N15" s="29"/>
      <c r="O15" s="28" t="s">
        <v>464</v>
      </c>
      <c r="P15" s="30" t="s">
        <v>8</v>
      </c>
      <c r="Q15" s="31"/>
      <c r="R15" s="28" t="s">
        <v>464</v>
      </c>
      <c r="T15" s="32"/>
      <c r="U15" s="32"/>
      <c r="V15" s="32"/>
      <c r="W15" s="32"/>
      <c r="X15" s="32"/>
      <c r="Y15" s="32"/>
      <c r="Z15" s="32"/>
      <c r="AA15" s="32"/>
      <c r="AB15" s="32"/>
      <c r="AC15" s="32"/>
      <c r="AD15" s="32"/>
      <c r="AE15" s="32"/>
    </row>
    <row r="16" spans="2:31" x14ac:dyDescent="0.25">
      <c r="B16" s="33" t="s">
        <v>9</v>
      </c>
      <c r="C16" s="28">
        <v>-0.11009174311926617</v>
      </c>
      <c r="D16" s="28">
        <v>-2.0618556701030855E-2</v>
      </c>
      <c r="E16" s="28">
        <v>0</v>
      </c>
      <c r="F16" s="28">
        <v>0</v>
      </c>
      <c r="G16" s="28">
        <v>7.3684210526315796E-2</v>
      </c>
      <c r="H16" s="28">
        <v>-0.16666666666666663</v>
      </c>
      <c r="I16" s="28">
        <v>-5.8823529411764719E-2</v>
      </c>
      <c r="J16" s="28">
        <v>0</v>
      </c>
      <c r="K16" s="28">
        <v>0</v>
      </c>
      <c r="L16" s="28">
        <v>0</v>
      </c>
      <c r="M16" s="28">
        <v>0</v>
      </c>
      <c r="N16" s="29"/>
      <c r="O16" s="28" t="s">
        <v>464</v>
      </c>
      <c r="P16" s="30" t="s">
        <v>9</v>
      </c>
      <c r="Q16" s="31"/>
      <c r="R16" s="28" t="s">
        <v>464</v>
      </c>
      <c r="T16" s="32"/>
      <c r="U16" s="32"/>
      <c r="V16" s="32"/>
      <c r="W16" s="32"/>
      <c r="X16" s="32"/>
      <c r="Y16" s="32"/>
      <c r="Z16" s="32"/>
      <c r="AA16" s="32"/>
      <c r="AB16" s="32"/>
      <c r="AC16" s="32"/>
      <c r="AD16" s="32"/>
      <c r="AE16" s="32"/>
    </row>
    <row r="17" spans="2:31" x14ac:dyDescent="0.25">
      <c r="B17" s="33" t="s">
        <v>10</v>
      </c>
      <c r="C17" s="28">
        <v>6.0240963855420215E-3</v>
      </c>
      <c r="D17" s="28">
        <v>0.49700598802395213</v>
      </c>
      <c r="E17" s="28">
        <v>-5.5999999999999939E-2</v>
      </c>
      <c r="F17" s="28">
        <v>-0.25000000000000011</v>
      </c>
      <c r="G17" s="28">
        <v>-3.9548022598870025E-2</v>
      </c>
      <c r="H17" s="28">
        <v>-5.8823529411764719E-2</v>
      </c>
      <c r="I17" s="28">
        <v>0</v>
      </c>
      <c r="J17" s="28">
        <v>0.1875</v>
      </c>
      <c r="K17" s="28">
        <v>-5.2631578947368474E-2</v>
      </c>
      <c r="L17" s="28">
        <v>-0.15555555555555556</v>
      </c>
      <c r="M17" s="28">
        <v>-5.921052631578938E-2</v>
      </c>
      <c r="N17" s="29"/>
      <c r="O17" s="28">
        <v>0.44055944055944063</v>
      </c>
      <c r="P17" s="30" t="s">
        <v>10</v>
      </c>
      <c r="Q17" s="31"/>
      <c r="R17" s="28">
        <v>0.24096385542168663</v>
      </c>
      <c r="T17" s="32"/>
      <c r="U17" s="32"/>
      <c r="V17" s="32"/>
      <c r="W17" s="32"/>
      <c r="X17" s="32"/>
      <c r="Y17" s="32"/>
      <c r="Z17" s="32"/>
      <c r="AA17" s="32"/>
      <c r="AB17" s="32"/>
      <c r="AC17" s="32"/>
      <c r="AD17" s="32"/>
      <c r="AE17" s="32"/>
    </row>
    <row r="18" spans="2:31" x14ac:dyDescent="0.25">
      <c r="B18" s="33" t="s">
        <v>11</v>
      </c>
      <c r="C18" s="28">
        <v>-7.1428571428571397E-2</v>
      </c>
      <c r="D18" s="28">
        <v>-0.19230769230769229</v>
      </c>
      <c r="E18" s="28">
        <v>-2.3809523809523836E-2</v>
      </c>
      <c r="F18" s="28">
        <v>8.4709875361411724E-2</v>
      </c>
      <c r="G18" s="28">
        <v>0.5</v>
      </c>
      <c r="H18" s="28">
        <v>6.0606060606060552E-2</v>
      </c>
      <c r="I18" s="28">
        <v>0.1100000000000001</v>
      </c>
      <c r="J18" s="28">
        <v>0.28700128700128702</v>
      </c>
      <c r="K18" s="28">
        <v>0.10000000000000009</v>
      </c>
      <c r="L18" s="28">
        <v>0.18181818181818188</v>
      </c>
      <c r="M18" s="28">
        <v>-0.16923076923076918</v>
      </c>
      <c r="N18" s="29"/>
      <c r="O18" s="28">
        <v>0.20370370370370372</v>
      </c>
      <c r="P18" s="30" t="s">
        <v>11</v>
      </c>
      <c r="Q18" s="31"/>
      <c r="R18" s="28">
        <v>1.346389462530976</v>
      </c>
      <c r="T18" s="32"/>
      <c r="U18" s="32"/>
      <c r="V18" s="32"/>
      <c r="W18" s="32"/>
      <c r="X18" s="32"/>
      <c r="Y18" s="32"/>
      <c r="Z18" s="32"/>
      <c r="AA18" s="32"/>
      <c r="AB18" s="32"/>
      <c r="AC18" s="32"/>
      <c r="AD18" s="32"/>
      <c r="AE18" s="32"/>
    </row>
    <row r="19" spans="2:31" x14ac:dyDescent="0.25">
      <c r="B19" s="33" t="s">
        <v>12</v>
      </c>
      <c r="C19" s="28">
        <v>-0.35055860754851376</v>
      </c>
      <c r="D19" s="28">
        <v>-5.3310404127257072E-2</v>
      </c>
      <c r="E19" s="28">
        <v>3.5422343324250649E-2</v>
      </c>
      <c r="F19" s="28">
        <v>-0.16666666666666663</v>
      </c>
      <c r="G19" s="28">
        <v>0.16315789473684217</v>
      </c>
      <c r="H19" s="28">
        <v>-0.19999999999999996</v>
      </c>
      <c r="I19" s="28">
        <v>0.24434389140271495</v>
      </c>
      <c r="J19" s="28">
        <v>6.3636363636363713E-2</v>
      </c>
      <c r="K19" s="28">
        <v>0.22222222222222232</v>
      </c>
      <c r="L19" s="28">
        <v>6.9930069930070893E-3</v>
      </c>
      <c r="M19" s="28">
        <v>0</v>
      </c>
      <c r="N19" s="29"/>
      <c r="O19" s="28">
        <v>0.12361111111111112</v>
      </c>
      <c r="P19" s="30" t="s">
        <v>12</v>
      </c>
      <c r="Q19" s="31"/>
      <c r="R19" s="28">
        <v>-9.6477925205068593E-2</v>
      </c>
      <c r="T19" s="32"/>
      <c r="U19" s="32"/>
      <c r="V19" s="32"/>
      <c r="W19" s="32"/>
      <c r="X19" s="32"/>
      <c r="Y19" s="32"/>
      <c r="Z19" s="32"/>
      <c r="AA19" s="32"/>
      <c r="AB19" s="32"/>
      <c r="AC19" s="32"/>
      <c r="AD19" s="32"/>
      <c r="AE19" s="32"/>
    </row>
    <row r="20" spans="2:31" x14ac:dyDescent="0.25">
      <c r="B20" s="33" t="s">
        <v>13</v>
      </c>
      <c r="C20" s="28">
        <v>1.3513513513513375E-2</v>
      </c>
      <c r="D20" s="28">
        <v>-0.12</v>
      </c>
      <c r="E20" s="28">
        <v>0.16287878787878785</v>
      </c>
      <c r="F20" s="28">
        <v>0.2703583061889252</v>
      </c>
      <c r="G20" s="28">
        <v>0.14871794871794863</v>
      </c>
      <c r="H20" s="28">
        <v>-0.32812499999999989</v>
      </c>
      <c r="I20" s="28">
        <v>0.13289036544850497</v>
      </c>
      <c r="J20" s="28">
        <v>-4.3988269794721369E-2</v>
      </c>
      <c r="K20" s="28">
        <v>0.1042944785276072</v>
      </c>
      <c r="L20" s="28">
        <v>-1.388888888888884E-2</v>
      </c>
      <c r="M20" s="28">
        <v>4.2253521126760507E-2</v>
      </c>
      <c r="N20" s="29"/>
      <c r="O20" s="28">
        <v>8.1081081081081141E-2</v>
      </c>
      <c r="P20" s="30" t="s">
        <v>13</v>
      </c>
      <c r="Q20" s="31"/>
      <c r="R20" s="28">
        <v>0.35135135135135109</v>
      </c>
      <c r="T20" s="32"/>
      <c r="U20" s="32"/>
      <c r="V20" s="32"/>
      <c r="W20" s="32"/>
      <c r="X20" s="32"/>
      <c r="Y20" s="32"/>
      <c r="Z20" s="32"/>
      <c r="AA20" s="32"/>
      <c r="AB20" s="32"/>
      <c r="AC20" s="32"/>
      <c r="AD20" s="32"/>
      <c r="AE20" s="32"/>
    </row>
    <row r="21" spans="2:31" x14ac:dyDescent="0.25">
      <c r="B21" s="33" t="s">
        <v>14</v>
      </c>
      <c r="C21" s="28">
        <v>-0.19514170040485834</v>
      </c>
      <c r="D21" s="28">
        <v>-2.4144869215291798E-2</v>
      </c>
      <c r="E21" s="28">
        <v>6.1855670103093008E-2</v>
      </c>
      <c r="F21" s="28">
        <v>9.7087378640776656E-3</v>
      </c>
      <c r="G21" s="28">
        <v>0.72596153846153832</v>
      </c>
      <c r="H21" s="28">
        <v>-0.17827298050139273</v>
      </c>
      <c r="I21" s="28">
        <v>0.21355932203389827</v>
      </c>
      <c r="J21" s="28">
        <v>1.6759776536312998E-2</v>
      </c>
      <c r="K21" s="28">
        <v>1.6483516483516425E-2</v>
      </c>
      <c r="L21" s="28">
        <v>2.4324324324324298E-2</v>
      </c>
      <c r="M21" s="28">
        <v>-7.9155672823217893E-3</v>
      </c>
      <c r="N21" s="29"/>
      <c r="O21" s="28">
        <v>5.3191489361702038E-2</v>
      </c>
      <c r="P21" s="30" t="s">
        <v>14</v>
      </c>
      <c r="Q21" s="31"/>
      <c r="R21" s="28">
        <v>0.60323886639676161</v>
      </c>
      <c r="T21" s="32"/>
      <c r="U21" s="32"/>
      <c r="V21" s="32"/>
      <c r="W21" s="32"/>
      <c r="X21" s="32"/>
      <c r="Y21" s="32"/>
      <c r="Z21" s="32"/>
      <c r="AA21" s="32"/>
      <c r="AB21" s="32"/>
      <c r="AC21" s="32"/>
      <c r="AD21" s="32"/>
      <c r="AE21" s="32"/>
    </row>
    <row r="22" spans="2:31" x14ac:dyDescent="0.25">
      <c r="B22" s="33" t="s">
        <v>15</v>
      </c>
      <c r="C22" s="28">
        <v>6.1946902654867131E-2</v>
      </c>
      <c r="D22" s="28">
        <v>-9.9999999999999978E-2</v>
      </c>
      <c r="E22" s="28">
        <v>3.240740740740744E-2</v>
      </c>
      <c r="F22" s="28">
        <v>-0.2376681614349776</v>
      </c>
      <c r="G22" s="28">
        <v>0.20000000000000018</v>
      </c>
      <c r="H22" s="28">
        <v>1.4316466820967211E-3</v>
      </c>
      <c r="I22" s="28">
        <v>0.30588235294117649</v>
      </c>
      <c r="J22" s="28">
        <v>-0.19999999999999996</v>
      </c>
      <c r="K22" s="28">
        <v>2.2522522522521182E-3</v>
      </c>
      <c r="L22" s="28">
        <v>-3.3707865168539408E-2</v>
      </c>
      <c r="M22" s="28">
        <v>2.3255813953488413E-2</v>
      </c>
      <c r="N22" s="29"/>
      <c r="O22" s="28">
        <v>4.5454545454545192E-2</v>
      </c>
      <c r="P22" s="30" t="s">
        <v>15</v>
      </c>
      <c r="Q22" s="31"/>
      <c r="R22" s="28">
        <v>-2.1610143418553607E-2</v>
      </c>
      <c r="T22" s="32"/>
      <c r="U22" s="32"/>
      <c r="V22" s="32"/>
      <c r="W22" s="32"/>
      <c r="X22" s="32"/>
      <c r="Y22" s="32"/>
      <c r="Z22" s="32"/>
      <c r="AA22" s="32"/>
      <c r="AB22" s="32"/>
      <c r="AC22" s="32"/>
      <c r="AD22" s="32"/>
      <c r="AE22" s="32"/>
    </row>
    <row r="23" spans="2:31" x14ac:dyDescent="0.25">
      <c r="B23" s="33" t="s">
        <v>16</v>
      </c>
      <c r="C23" s="28">
        <v>-0.12300683371298393</v>
      </c>
      <c r="D23" s="28">
        <v>-6.4935064935064957E-2</v>
      </c>
      <c r="E23" s="28">
        <v>-0.10833333333333339</v>
      </c>
      <c r="F23" s="28">
        <v>-6.230529595015577E-3</v>
      </c>
      <c r="G23" s="28">
        <v>8.1504702194357348E-2</v>
      </c>
      <c r="H23" s="28">
        <v>-0.23188405797101452</v>
      </c>
      <c r="I23" s="28">
        <v>-5.6603773584905648E-2</v>
      </c>
      <c r="J23" s="28">
        <v>-0.124</v>
      </c>
      <c r="K23" s="28">
        <v>9.5890410958904049E-2</v>
      </c>
      <c r="L23" s="28">
        <v>4.1666666666666741E-2</v>
      </c>
      <c r="M23" s="28">
        <v>-0.11599999999999999</v>
      </c>
      <c r="N23" s="29"/>
      <c r="O23" s="28">
        <v>4.0723981900452344E-2</v>
      </c>
      <c r="P23" s="30" t="s">
        <v>16</v>
      </c>
      <c r="Q23" s="31"/>
      <c r="R23" s="28">
        <v>-0.47608200455580862</v>
      </c>
      <c r="T23" s="32"/>
      <c r="U23" s="32"/>
      <c r="V23" s="32"/>
      <c r="W23" s="32"/>
      <c r="X23" s="32"/>
      <c r="Y23" s="32"/>
      <c r="Z23" s="32"/>
      <c r="AA23" s="32"/>
      <c r="AB23" s="32"/>
      <c r="AC23" s="32"/>
      <c r="AD23" s="32"/>
      <c r="AE23" s="32"/>
    </row>
    <row r="24" spans="2:31" x14ac:dyDescent="0.25">
      <c r="B24" s="33" t="s">
        <v>17</v>
      </c>
      <c r="C24" s="28">
        <v>0.17336454675510482</v>
      </c>
      <c r="D24" s="28">
        <v>0.15706051873198845</v>
      </c>
      <c r="E24" s="28">
        <v>-3.2665964172813644E-2</v>
      </c>
      <c r="F24" s="28">
        <v>0.23717567835214903</v>
      </c>
      <c r="G24" s="28">
        <v>0.11358360681981927</v>
      </c>
      <c r="H24" s="28">
        <v>-0.24166187464059807</v>
      </c>
      <c r="I24" s="28">
        <v>-0.11981042654028429</v>
      </c>
      <c r="J24" s="28">
        <v>-0.11565797975446912</v>
      </c>
      <c r="K24" s="28">
        <v>0.13395031660983925</v>
      </c>
      <c r="L24" s="28">
        <v>0.11941580756013748</v>
      </c>
      <c r="M24" s="28">
        <v>0.18016116653875658</v>
      </c>
      <c r="N24" s="29"/>
      <c r="O24" s="28">
        <v>3.8530320273126195E-2</v>
      </c>
      <c r="P24" s="30" t="s">
        <v>17</v>
      </c>
      <c r="Q24" s="31"/>
      <c r="R24" s="28">
        <v>0.66159448562882028</v>
      </c>
      <c r="T24" s="32"/>
      <c r="U24" s="32"/>
      <c r="V24" s="32"/>
      <c r="W24" s="32"/>
      <c r="X24" s="32"/>
      <c r="Y24" s="32"/>
      <c r="Z24" s="32"/>
      <c r="AA24" s="32"/>
      <c r="AB24" s="32"/>
      <c r="AC24" s="32"/>
      <c r="AD24" s="32"/>
      <c r="AE24" s="32"/>
    </row>
    <row r="25" spans="2:31" x14ac:dyDescent="0.25">
      <c r="B25" s="33" t="s">
        <v>18</v>
      </c>
      <c r="C25" s="28">
        <v>-1.4925373134328401E-2</v>
      </c>
      <c r="D25" s="28">
        <v>-3.0303030303030387E-2</v>
      </c>
      <c r="E25" s="28">
        <v>6.7708333333333481E-2</v>
      </c>
      <c r="F25" s="28">
        <v>2.4390243902439046E-2</v>
      </c>
      <c r="G25" s="28">
        <v>-5.2380952380952417E-2</v>
      </c>
      <c r="H25" s="28">
        <v>-0.12060301507537685</v>
      </c>
      <c r="I25" s="28">
        <v>5.7142857142857828E-3</v>
      </c>
      <c r="J25" s="28">
        <v>-1.1363636363636576E-2</v>
      </c>
      <c r="K25" s="28">
        <v>6.7816091954022939E-2</v>
      </c>
      <c r="L25" s="28">
        <v>-4.1980624327233484E-2</v>
      </c>
      <c r="M25" s="28">
        <v>-5.6179775280898903E-2</v>
      </c>
      <c r="N25" s="29"/>
      <c r="O25" s="28">
        <v>2.3809523809523725E-2</v>
      </c>
      <c r="P25" s="30" t="s">
        <v>18</v>
      </c>
      <c r="Q25" s="31"/>
      <c r="R25" s="28">
        <v>-0.14427860696517425</v>
      </c>
      <c r="T25" s="32"/>
      <c r="U25" s="32"/>
      <c r="V25" s="32"/>
      <c r="W25" s="32"/>
      <c r="X25" s="32"/>
      <c r="Y25" s="32"/>
      <c r="Z25" s="32"/>
      <c r="AA25" s="32"/>
      <c r="AB25" s="32"/>
      <c r="AC25" s="32"/>
      <c r="AD25" s="32"/>
      <c r="AE25" s="32"/>
    </row>
    <row r="26" spans="2:31" x14ac:dyDescent="0.25">
      <c r="B26" s="33" t="s">
        <v>19</v>
      </c>
      <c r="C26" s="28">
        <v>4.7961630695443569E-2</v>
      </c>
      <c r="D26" s="28">
        <v>0.12151029748283748</v>
      </c>
      <c r="E26" s="28">
        <v>4.060395837584152E-2</v>
      </c>
      <c r="F26" s="28">
        <v>0.19999999999999996</v>
      </c>
      <c r="G26" s="28">
        <v>6.2091503267973858E-2</v>
      </c>
      <c r="H26" s="28">
        <v>-8.4461538461538477E-2</v>
      </c>
      <c r="I26" s="28">
        <v>0.10015123508654011</v>
      </c>
      <c r="J26" s="28">
        <v>-2.5507866198258844E-2</v>
      </c>
      <c r="K26" s="28">
        <v>4.7021943573667624E-2</v>
      </c>
      <c r="L26" s="28">
        <v>1.646706586826352E-2</v>
      </c>
      <c r="M26" s="28">
        <v>8.9837997054491803E-2</v>
      </c>
      <c r="N26" s="29"/>
      <c r="O26" s="28">
        <v>1.08108108108107E-2</v>
      </c>
      <c r="P26" s="34" t="s">
        <v>19</v>
      </c>
      <c r="Q26" s="31"/>
      <c r="R26" s="28">
        <v>0.79376498800959094</v>
      </c>
      <c r="T26" s="32"/>
      <c r="U26" s="32"/>
      <c r="V26" s="32"/>
      <c r="W26" s="32"/>
      <c r="X26" s="32"/>
      <c r="Y26" s="32"/>
      <c r="Z26" s="32"/>
      <c r="AA26" s="32"/>
      <c r="AB26" s="32"/>
      <c r="AC26" s="32"/>
      <c r="AD26" s="32"/>
      <c r="AE26" s="32"/>
    </row>
    <row r="27" spans="2:31" x14ac:dyDescent="0.25">
      <c r="B27" s="33" t="s">
        <v>20</v>
      </c>
      <c r="C27" s="28">
        <v>3.4132574940089144E-2</v>
      </c>
      <c r="D27" s="28">
        <v>-3.8012670894834732E-2</v>
      </c>
      <c r="E27" s="28">
        <v>0.10814558059350099</v>
      </c>
      <c r="F27" s="28">
        <v>0.27838598686282756</v>
      </c>
      <c r="G27" s="28">
        <v>0.21874235380253459</v>
      </c>
      <c r="H27" s="28">
        <v>0.16803854647978356</v>
      </c>
      <c r="I27" s="28">
        <v>-7.2929222361677315E-2</v>
      </c>
      <c r="J27" s="28">
        <v>-6.8971544206638535E-2</v>
      </c>
      <c r="K27" s="28">
        <v>0.20949329060684962</v>
      </c>
      <c r="L27" s="28">
        <v>2.4672959099188541E-2</v>
      </c>
      <c r="M27" s="28">
        <v>0.11958629605688431</v>
      </c>
      <c r="N27" s="29"/>
      <c r="O27" s="28">
        <v>5.7736720554273369E-3</v>
      </c>
      <c r="P27" s="30" t="s">
        <v>20</v>
      </c>
      <c r="Q27" s="31"/>
      <c r="R27" s="28">
        <v>1.4165505949169312</v>
      </c>
      <c r="T27" s="32"/>
      <c r="U27" s="32"/>
      <c r="V27" s="32"/>
      <c r="W27" s="32"/>
      <c r="X27" s="32"/>
      <c r="Y27" s="32"/>
      <c r="Z27" s="32"/>
      <c r="AA27" s="32"/>
      <c r="AB27" s="32"/>
      <c r="AC27" s="32"/>
      <c r="AD27" s="32"/>
      <c r="AE27" s="32"/>
    </row>
    <row r="28" spans="2:31" x14ac:dyDescent="0.25">
      <c r="B28" s="33" t="s">
        <v>21</v>
      </c>
      <c r="C28" s="28">
        <v>-6.1329536742963375E-3</v>
      </c>
      <c r="D28" s="28">
        <v>-0.14049586776859502</v>
      </c>
      <c r="E28" s="28">
        <v>0.15666666666666651</v>
      </c>
      <c r="F28" s="28">
        <v>0.25626246951895371</v>
      </c>
      <c r="G28" s="28">
        <v>0.13649197106052591</v>
      </c>
      <c r="H28" s="28">
        <v>-0.15868333203943796</v>
      </c>
      <c r="I28" s="28">
        <v>4.6691888899141665E-2</v>
      </c>
      <c r="J28" s="28">
        <v>-0.10912030946742302</v>
      </c>
      <c r="K28" s="28">
        <v>0.20740814497660054</v>
      </c>
      <c r="L28" s="28">
        <v>-8.5931057232393027E-2</v>
      </c>
      <c r="M28" s="28">
        <v>0.10068567304222298</v>
      </c>
      <c r="N28" s="29"/>
      <c r="O28" s="28">
        <v>4.098360655737654E-3</v>
      </c>
      <c r="P28" s="30" t="s">
        <v>21</v>
      </c>
      <c r="Q28" s="31"/>
      <c r="R28" s="28">
        <v>0.34989899405571045</v>
      </c>
      <c r="T28" s="32"/>
      <c r="U28" s="32"/>
      <c r="V28" s="32"/>
      <c r="W28" s="32"/>
      <c r="X28" s="32"/>
      <c r="Y28" s="32"/>
      <c r="Z28" s="32"/>
      <c r="AA28" s="32"/>
      <c r="AB28" s="32"/>
      <c r="AC28" s="32"/>
      <c r="AD28" s="32"/>
      <c r="AE28" s="32"/>
    </row>
    <row r="29" spans="2:31" x14ac:dyDescent="0.25">
      <c r="B29" s="33" t="s">
        <v>22</v>
      </c>
      <c r="C29" s="28">
        <v>-3.1578947368421151E-2</v>
      </c>
      <c r="D29" s="28">
        <v>8.6956521739130599E-2</v>
      </c>
      <c r="E29" s="28">
        <v>7.2085918921722669E-3</v>
      </c>
      <c r="F29" s="28">
        <v>5.0000000000000044E-2</v>
      </c>
      <c r="G29" s="28">
        <v>0.17142857142857149</v>
      </c>
      <c r="H29" s="28">
        <v>-2.4390243902439046E-2</v>
      </c>
      <c r="I29" s="28">
        <v>0</v>
      </c>
      <c r="J29" s="28">
        <v>5.8333333333333348E-2</v>
      </c>
      <c r="K29" s="28">
        <v>6.1023622047243986E-2</v>
      </c>
      <c r="L29" s="28">
        <v>2.4118738404452778E-2</v>
      </c>
      <c r="M29" s="28">
        <v>-9.4202898550724612E-2</v>
      </c>
      <c r="N29" s="29"/>
      <c r="O29" s="28">
        <v>0</v>
      </c>
      <c r="P29" s="30" t="s">
        <v>22</v>
      </c>
      <c r="Q29" s="31"/>
      <c r="R29" s="28">
        <v>0.32527446301601604</v>
      </c>
      <c r="T29" s="32"/>
      <c r="U29" s="32"/>
      <c r="V29" s="32"/>
      <c r="W29" s="32"/>
      <c r="X29" s="32"/>
      <c r="Y29" s="32"/>
      <c r="Z29" s="32"/>
      <c r="AA29" s="32"/>
      <c r="AB29" s="32"/>
      <c r="AC29" s="32"/>
      <c r="AD29" s="32"/>
      <c r="AE29" s="32"/>
    </row>
    <row r="30" spans="2:31" x14ac:dyDescent="0.25">
      <c r="B30" s="33" t="s">
        <v>23</v>
      </c>
      <c r="C30" s="28">
        <v>-0.23018867924528297</v>
      </c>
      <c r="D30" s="28">
        <v>-3.5947712418300748E-2</v>
      </c>
      <c r="E30" s="28">
        <v>-0.1271186440677966</v>
      </c>
      <c r="F30" s="28">
        <v>9.7087378640776656E-3</v>
      </c>
      <c r="G30" s="28">
        <v>0.1134615384615385</v>
      </c>
      <c r="H30" s="28">
        <v>-0.29879101899827287</v>
      </c>
      <c r="I30" s="28">
        <v>-1.4778325123152691E-2</v>
      </c>
      <c r="J30" s="28">
        <v>-0.12749999999999995</v>
      </c>
      <c r="K30" s="28">
        <v>3.1753392756688426E-2</v>
      </c>
      <c r="L30" s="28">
        <v>4.2857142857142927E-2</v>
      </c>
      <c r="M30" s="28">
        <v>-6.8493150684931559E-2</v>
      </c>
      <c r="N30" s="29"/>
      <c r="O30" s="28">
        <v>0</v>
      </c>
      <c r="P30" s="30" t="s">
        <v>23</v>
      </c>
      <c r="Q30" s="31"/>
      <c r="R30" s="28">
        <v>-0.56000769960643793</v>
      </c>
      <c r="T30" s="32"/>
      <c r="U30" s="32"/>
      <c r="V30" s="32"/>
      <c r="W30" s="32"/>
      <c r="X30" s="32"/>
      <c r="Y30" s="32"/>
      <c r="Z30" s="32"/>
      <c r="AA30" s="32"/>
      <c r="AB30" s="32"/>
      <c r="AC30" s="32"/>
      <c r="AD30" s="32"/>
      <c r="AE30" s="32"/>
    </row>
    <row r="31" spans="2:31" x14ac:dyDescent="0.25">
      <c r="B31" s="33" t="s">
        <v>24</v>
      </c>
      <c r="C31" s="28">
        <v>-9.2651757188498496E-2</v>
      </c>
      <c r="D31" s="28">
        <v>-7.0422535211267512E-3</v>
      </c>
      <c r="E31" s="28">
        <v>3.5460992907801359E-2</v>
      </c>
      <c r="F31" s="28">
        <v>-4.7945205479452024E-2</v>
      </c>
      <c r="G31" s="28">
        <v>0.18705035971223016</v>
      </c>
      <c r="H31" s="28">
        <v>-0.19696969696969702</v>
      </c>
      <c r="I31" s="28">
        <v>3.7735849056603765E-3</v>
      </c>
      <c r="J31" s="28">
        <v>-9.7744360902255689E-2</v>
      </c>
      <c r="K31" s="28">
        <v>5.4166666666666696E-2</v>
      </c>
      <c r="L31" s="28">
        <v>2.3715415019762709E-2</v>
      </c>
      <c r="M31" s="28">
        <v>-5.4054054054054057E-2</v>
      </c>
      <c r="N31" s="29"/>
      <c r="O31" s="28">
        <v>0</v>
      </c>
      <c r="P31" s="30" t="s">
        <v>24</v>
      </c>
      <c r="Q31" s="31"/>
      <c r="R31" s="28">
        <v>-0.21725239616613445</v>
      </c>
      <c r="T31" s="32"/>
      <c r="U31" s="32"/>
      <c r="V31" s="32"/>
      <c r="W31" s="32"/>
      <c r="X31" s="32"/>
      <c r="Y31" s="32"/>
      <c r="Z31" s="32"/>
      <c r="AA31" s="32"/>
      <c r="AB31" s="32"/>
      <c r="AC31" s="32"/>
      <c r="AD31" s="32"/>
      <c r="AE31" s="32"/>
    </row>
    <row r="32" spans="2:31" x14ac:dyDescent="0.25">
      <c r="B32" s="33" t="s">
        <v>25</v>
      </c>
      <c r="C32" s="28">
        <v>-9.3023255813953543E-2</v>
      </c>
      <c r="D32" s="28">
        <v>7.6923076923076872E-2</v>
      </c>
      <c r="E32" s="28">
        <v>-8.3333333333333259E-2</v>
      </c>
      <c r="F32" s="28">
        <v>3.8961038961038863E-2</v>
      </c>
      <c r="G32" s="28">
        <v>0.16666666666666674</v>
      </c>
      <c r="H32" s="28">
        <v>7.4999999999999956E-2</v>
      </c>
      <c r="I32" s="28">
        <v>-9.966777408637939E-3</v>
      </c>
      <c r="J32" s="28">
        <v>0</v>
      </c>
      <c r="K32" s="28">
        <v>-0.29194630872483218</v>
      </c>
      <c r="L32" s="28">
        <v>5.2132701421800931E-2</v>
      </c>
      <c r="M32" s="28">
        <v>-9.0090090090090058E-2</v>
      </c>
      <c r="N32" s="29"/>
      <c r="O32" s="28">
        <v>-9.9009900990099098E-3</v>
      </c>
      <c r="P32" s="30" t="s">
        <v>25</v>
      </c>
      <c r="Q32" s="31"/>
      <c r="R32" s="28">
        <v>-0.22480620155038766</v>
      </c>
      <c r="T32" s="32"/>
      <c r="U32" s="32"/>
      <c r="V32" s="32"/>
      <c r="W32" s="32"/>
      <c r="X32" s="32"/>
      <c r="Y32" s="32"/>
      <c r="Z32" s="32"/>
      <c r="AA32" s="32"/>
      <c r="AB32" s="32"/>
      <c r="AC32" s="32"/>
      <c r="AD32" s="32"/>
      <c r="AE32" s="32"/>
    </row>
    <row r="33" spans="2:31" x14ac:dyDescent="0.25">
      <c r="B33" s="33" t="s">
        <v>26</v>
      </c>
      <c r="C33" s="28">
        <v>-6.956521739130439E-2</v>
      </c>
      <c r="D33" s="28">
        <v>0.1588785046728971</v>
      </c>
      <c r="E33" s="28">
        <v>-4.8387096774193505E-2</v>
      </c>
      <c r="F33" s="28">
        <v>-0.14350636503244829</v>
      </c>
      <c r="G33" s="28">
        <v>1.9900000000000002</v>
      </c>
      <c r="H33" s="28">
        <v>-0.35785953177257535</v>
      </c>
      <c r="I33" s="28">
        <v>-7.291666666666663E-2</v>
      </c>
      <c r="J33" s="28">
        <v>-0.1292134831460674</v>
      </c>
      <c r="K33" s="28">
        <v>-1.9354838709677469E-2</v>
      </c>
      <c r="L33" s="28">
        <v>8.5526315789473673E-2</v>
      </c>
      <c r="M33" s="28">
        <v>-0.16969696969696957</v>
      </c>
      <c r="N33" s="29"/>
      <c r="O33" s="28">
        <v>-1.4598540145985384E-2</v>
      </c>
      <c r="P33" s="30" t="s">
        <v>26</v>
      </c>
      <c r="Q33" s="31"/>
      <c r="R33" s="28">
        <v>0.18642987869852989</v>
      </c>
      <c r="T33" s="32"/>
      <c r="U33" s="32"/>
      <c r="V33" s="32"/>
      <c r="W33" s="32"/>
      <c r="X33" s="32"/>
      <c r="Y33" s="32"/>
      <c r="Z33" s="32"/>
      <c r="AA33" s="32"/>
      <c r="AB33" s="32"/>
      <c r="AC33" s="32"/>
      <c r="AD33" s="32"/>
      <c r="AE33" s="32"/>
    </row>
    <row r="34" spans="2:31" x14ac:dyDescent="0.25">
      <c r="B34" s="33" t="s">
        <v>27</v>
      </c>
      <c r="C34" s="28">
        <v>-0.23199999999999998</v>
      </c>
      <c r="D34" s="28">
        <v>-0.17708333333333326</v>
      </c>
      <c r="E34" s="28">
        <v>-8.9873417721519022E-2</v>
      </c>
      <c r="F34" s="28">
        <v>-0.22809457579972192</v>
      </c>
      <c r="G34" s="28">
        <v>0.25045045045045056</v>
      </c>
      <c r="H34" s="28">
        <v>-0.17146974063400577</v>
      </c>
      <c r="I34" s="28">
        <v>-0.10608695652173916</v>
      </c>
      <c r="J34" s="28">
        <v>-7.9766536964980372E-2</v>
      </c>
      <c r="K34" s="28">
        <v>2.5369978858350795E-2</v>
      </c>
      <c r="L34" s="28">
        <v>3.0927835051546504E-2</v>
      </c>
      <c r="M34" s="28">
        <v>-0.1359999999999999</v>
      </c>
      <c r="N34" s="29"/>
      <c r="O34" s="28">
        <v>-1.851851851851849E-2</v>
      </c>
      <c r="P34" s="30" t="s">
        <v>27</v>
      </c>
      <c r="Q34" s="31"/>
      <c r="R34" s="28">
        <v>-0.66079999999999983</v>
      </c>
      <c r="T34" s="32"/>
      <c r="U34" s="32"/>
      <c r="V34" s="32"/>
      <c r="W34" s="32"/>
      <c r="X34" s="32"/>
      <c r="Y34" s="32"/>
      <c r="Z34" s="32"/>
      <c r="AA34" s="32"/>
      <c r="AB34" s="32"/>
      <c r="AC34" s="32"/>
      <c r="AD34" s="32"/>
      <c r="AE34" s="32"/>
    </row>
    <row r="35" spans="2:31" x14ac:dyDescent="0.25">
      <c r="B35" s="33" t="s">
        <v>28</v>
      </c>
      <c r="C35" s="28">
        <v>-0.19077058242690559</v>
      </c>
      <c r="D35" s="28">
        <v>-8.5714285714285632E-2</v>
      </c>
      <c r="E35" s="28">
        <v>0.11328125</v>
      </c>
      <c r="F35" s="28">
        <v>8.0701754385964941E-2</v>
      </c>
      <c r="G35" s="28">
        <v>7.7922077922077948E-2</v>
      </c>
      <c r="H35" s="28">
        <v>0.12951807228915646</v>
      </c>
      <c r="I35" s="28">
        <v>0</v>
      </c>
      <c r="J35" s="28">
        <v>-3.2000000000000028E-2</v>
      </c>
      <c r="K35" s="28">
        <v>0.12947658402203865</v>
      </c>
      <c r="L35" s="28">
        <v>-4.2682926829268331E-2</v>
      </c>
      <c r="M35" s="28">
        <v>-6.3694267515923553E-3</v>
      </c>
      <c r="N35" s="29"/>
      <c r="O35" s="28">
        <v>-2.5641025641025661E-2</v>
      </c>
      <c r="P35" s="30" t="s">
        <v>28</v>
      </c>
      <c r="Q35" s="31"/>
      <c r="R35" s="28">
        <v>9.8239923849199329E-2</v>
      </c>
      <c r="T35" s="32"/>
      <c r="U35" s="32"/>
      <c r="V35" s="32"/>
      <c r="W35" s="32"/>
      <c r="X35" s="32"/>
      <c r="Y35" s="32"/>
      <c r="Z35" s="32"/>
      <c r="AA35" s="32"/>
      <c r="AB35" s="32"/>
      <c r="AC35" s="32"/>
      <c r="AD35" s="32"/>
      <c r="AE35" s="32"/>
    </row>
    <row r="36" spans="2:31" x14ac:dyDescent="0.25">
      <c r="B36" s="33" t="s">
        <v>29</v>
      </c>
      <c r="C36" s="28">
        <v>-3.0188679245283012E-2</v>
      </c>
      <c r="D36" s="28">
        <v>3.8910505836575959E-2</v>
      </c>
      <c r="E36" s="28">
        <v>2.2471910112359605E-2</v>
      </c>
      <c r="F36" s="28">
        <v>-1.0989010989011061E-2</v>
      </c>
      <c r="G36" s="28">
        <v>-3.703703703703709E-2</v>
      </c>
      <c r="H36" s="28">
        <v>3.8461538461538547E-2</v>
      </c>
      <c r="I36" s="28">
        <v>-3.703703703703709E-2</v>
      </c>
      <c r="J36" s="28">
        <v>-6.9230769230769207E-2</v>
      </c>
      <c r="K36" s="28">
        <v>1.2396694214876103E-2</v>
      </c>
      <c r="L36" s="28">
        <v>-4.0816326530612734E-3</v>
      </c>
      <c r="M36" s="28">
        <v>-3.688524590163933E-2</v>
      </c>
      <c r="N36" s="29"/>
      <c r="O36" s="28">
        <v>-2.7659574468085091E-2</v>
      </c>
      <c r="P36" s="30" t="s">
        <v>29</v>
      </c>
      <c r="Q36" s="31"/>
      <c r="R36" s="28">
        <v>-0.13773584905660374</v>
      </c>
      <c r="T36" s="32"/>
      <c r="U36" s="32"/>
      <c r="V36" s="32"/>
      <c r="W36" s="32"/>
      <c r="X36" s="32"/>
      <c r="Y36" s="32"/>
      <c r="Z36" s="32"/>
      <c r="AA36" s="32"/>
      <c r="AB36" s="32"/>
      <c r="AC36" s="32"/>
      <c r="AD36" s="32"/>
      <c r="AE36" s="32"/>
    </row>
    <row r="37" spans="2:31" x14ac:dyDescent="0.25">
      <c r="B37" s="33" t="s">
        <v>30</v>
      </c>
      <c r="C37" s="28">
        <v>-6.2790697674418583E-2</v>
      </c>
      <c r="D37" s="28">
        <v>4.2183622828784184E-2</v>
      </c>
      <c r="E37" s="28">
        <v>-7.1428571428571508E-2</v>
      </c>
      <c r="F37" s="28">
        <v>2.560903416656557E-2</v>
      </c>
      <c r="G37" s="28">
        <v>3.2110091743119185E-2</v>
      </c>
      <c r="H37" s="28">
        <v>-0.11555555555555552</v>
      </c>
      <c r="I37" s="28">
        <v>-2.010050251256279E-2</v>
      </c>
      <c r="J37" s="28">
        <v>-4.1025641025640991E-2</v>
      </c>
      <c r="K37" s="28">
        <v>1.6042780748662944E-2</v>
      </c>
      <c r="L37" s="28">
        <v>-3.1578947368420929E-2</v>
      </c>
      <c r="M37" s="28">
        <v>-4.8913043478260865E-2</v>
      </c>
      <c r="N37" s="29"/>
      <c r="O37" s="28">
        <v>-2.8571428571428581E-2</v>
      </c>
      <c r="P37" s="30" t="s">
        <v>30</v>
      </c>
      <c r="Q37" s="31"/>
      <c r="R37" s="28">
        <v>-0.27461191630847781</v>
      </c>
      <c r="T37" s="32"/>
      <c r="U37" s="32"/>
      <c r="V37" s="32"/>
      <c r="W37" s="32"/>
      <c r="X37" s="32"/>
      <c r="Y37" s="32"/>
      <c r="Z37" s="32"/>
      <c r="AA37" s="32"/>
      <c r="AB37" s="32"/>
      <c r="AC37" s="32"/>
      <c r="AD37" s="32"/>
      <c r="AE37" s="32"/>
    </row>
    <row r="38" spans="2:31" x14ac:dyDescent="0.25">
      <c r="B38" s="33" t="s">
        <v>31</v>
      </c>
      <c r="C38" s="28">
        <v>5.6962025316455556E-2</v>
      </c>
      <c r="D38" s="28">
        <v>0.10778443113772451</v>
      </c>
      <c r="E38" s="28">
        <v>5.4054054054055722E-3</v>
      </c>
      <c r="F38" s="28">
        <v>0</v>
      </c>
      <c r="G38" s="28">
        <v>0.19892473118279574</v>
      </c>
      <c r="H38" s="28">
        <v>4.484304932735439E-3</v>
      </c>
      <c r="I38" s="28">
        <v>3.5714285714285809E-2</v>
      </c>
      <c r="J38" s="28">
        <v>0.10775862068965525</v>
      </c>
      <c r="K38" s="28">
        <v>3.8910505836575737E-3</v>
      </c>
      <c r="L38" s="28">
        <v>-3.8759689922480578E-2</v>
      </c>
      <c r="M38" s="28">
        <v>0</v>
      </c>
      <c r="N38" s="29"/>
      <c r="O38" s="28">
        <v>-3.2258064516129115E-2</v>
      </c>
      <c r="P38" s="30" t="s">
        <v>31</v>
      </c>
      <c r="Q38" s="31"/>
      <c r="R38" s="28">
        <v>0.51898734177215244</v>
      </c>
      <c r="T38" s="32"/>
      <c r="U38" s="32"/>
      <c r="V38" s="32"/>
      <c r="W38" s="32"/>
      <c r="X38" s="32"/>
      <c r="Y38" s="32"/>
      <c r="Z38" s="32"/>
      <c r="AA38" s="32"/>
      <c r="AB38" s="32"/>
      <c r="AC38" s="32"/>
      <c r="AD38" s="32"/>
      <c r="AE38" s="32"/>
    </row>
    <row r="39" spans="2:31" x14ac:dyDescent="0.25">
      <c r="B39" s="33" t="s">
        <v>32</v>
      </c>
      <c r="C39" s="28">
        <v>-0.16481994459833793</v>
      </c>
      <c r="D39" s="28">
        <v>-4.809286898839138E-2</v>
      </c>
      <c r="E39" s="28">
        <v>1.7421602787455193E-3</v>
      </c>
      <c r="F39" s="28">
        <v>-7.478260869565212E-2</v>
      </c>
      <c r="G39" s="28">
        <v>0.13157894736842102</v>
      </c>
      <c r="H39" s="28">
        <v>-0.15946843853820603</v>
      </c>
      <c r="I39" s="28">
        <v>0.11660079051383421</v>
      </c>
      <c r="J39" s="28">
        <v>-6.7256637168141675E-2</v>
      </c>
      <c r="K39" s="28">
        <v>0.1688804554079697</v>
      </c>
      <c r="L39" s="28">
        <v>0.12175324675324672</v>
      </c>
      <c r="M39" s="28">
        <v>-0.10130246020260492</v>
      </c>
      <c r="N39" s="29"/>
      <c r="O39" s="28">
        <v>-3.7037037037036979E-2</v>
      </c>
      <c r="P39" s="30" t="s">
        <v>32</v>
      </c>
      <c r="Q39" s="31"/>
      <c r="R39" s="28">
        <v>-0.17174515235457055</v>
      </c>
      <c r="T39" s="32"/>
      <c r="U39" s="32"/>
      <c r="V39" s="32"/>
      <c r="W39" s="32"/>
      <c r="X39" s="32"/>
      <c r="Y39" s="32"/>
      <c r="Z39" s="32"/>
      <c r="AA39" s="32"/>
      <c r="AB39" s="32"/>
      <c r="AC39" s="32"/>
      <c r="AD39" s="32"/>
      <c r="AE39" s="32"/>
    </row>
    <row r="40" spans="2:31" x14ac:dyDescent="0.25">
      <c r="B40" s="33" t="s">
        <v>33</v>
      </c>
      <c r="C40" s="28">
        <v>-2.0900107418118763E-2</v>
      </c>
      <c r="D40" s="28">
        <v>6.8187502727058869E-2</v>
      </c>
      <c r="E40" s="28">
        <v>3.5954371390038542E-2</v>
      </c>
      <c r="F40" s="28">
        <v>8.2114500428184245E-2</v>
      </c>
      <c r="G40" s="28">
        <v>8.8375053544524684E-2</v>
      </c>
      <c r="H40" s="28">
        <v>3.5256094921011671E-2</v>
      </c>
      <c r="I40" s="28">
        <v>2.2986393057836452E-2</v>
      </c>
      <c r="J40" s="28">
        <v>-1.0326086956521818E-2</v>
      </c>
      <c r="K40" s="28">
        <v>3.2399780340472306E-2</v>
      </c>
      <c r="L40" s="28">
        <v>-4.2553191489361653E-2</v>
      </c>
      <c r="M40" s="28">
        <v>-0.11111111111111116</v>
      </c>
      <c r="N40" s="29"/>
      <c r="O40" s="28">
        <v>-3.7499999999999978E-2</v>
      </c>
      <c r="P40" s="30" t="s">
        <v>33</v>
      </c>
      <c r="Q40" s="31"/>
      <c r="R40" s="28">
        <v>0.13106475436215725</v>
      </c>
      <c r="T40" s="32"/>
      <c r="U40" s="32"/>
      <c r="V40" s="32"/>
      <c r="W40" s="32"/>
      <c r="X40" s="32"/>
      <c r="Y40" s="32"/>
      <c r="Z40" s="32"/>
      <c r="AA40" s="32"/>
      <c r="AB40" s="32"/>
      <c r="AC40" s="32"/>
      <c r="AD40" s="32"/>
      <c r="AE40" s="32"/>
    </row>
    <row r="41" spans="2:31" x14ac:dyDescent="0.25">
      <c r="B41" s="33" t="s">
        <v>34</v>
      </c>
      <c r="C41" s="28">
        <v>-0.10853658536585364</v>
      </c>
      <c r="D41" s="28">
        <v>-6.4751481988144177E-2</v>
      </c>
      <c r="E41" s="28">
        <v>7.9473427596294499E-2</v>
      </c>
      <c r="F41" s="28">
        <v>0.12827461607949409</v>
      </c>
      <c r="G41" s="28">
        <v>0.15212169735788628</v>
      </c>
      <c r="H41" s="28">
        <v>-9.7289784572619831E-2</v>
      </c>
      <c r="I41" s="28">
        <v>0</v>
      </c>
      <c r="J41" s="28">
        <v>-8.391070053887606E-2</v>
      </c>
      <c r="K41" s="28">
        <v>4.0336134453781591E-2</v>
      </c>
      <c r="L41" s="28">
        <v>-5.5331179321486235E-2</v>
      </c>
      <c r="M41" s="28">
        <v>8.4224027362120424E-2</v>
      </c>
      <c r="N41" s="29"/>
      <c r="O41" s="28">
        <v>-4.6529968454258608E-2</v>
      </c>
      <c r="P41" s="34" t="s">
        <v>34</v>
      </c>
      <c r="Q41" s="31"/>
      <c r="R41" s="28">
        <v>-1.7073170731707332E-2</v>
      </c>
      <c r="T41" s="32"/>
      <c r="U41" s="32"/>
      <c r="V41" s="32"/>
      <c r="W41" s="32"/>
      <c r="X41" s="32"/>
      <c r="Y41" s="32"/>
      <c r="Z41" s="32"/>
      <c r="AA41" s="32"/>
      <c r="AB41" s="32"/>
      <c r="AC41" s="32"/>
      <c r="AD41" s="32"/>
      <c r="AE41" s="32"/>
    </row>
    <row r="42" spans="2:31" x14ac:dyDescent="0.25">
      <c r="B42" s="33" t="s">
        <v>35</v>
      </c>
      <c r="C42" s="28">
        <v>-5.9829059829059728E-2</v>
      </c>
      <c r="D42" s="28">
        <v>8.181818181818179E-2</v>
      </c>
      <c r="E42" s="28">
        <v>-8.4033613445378075E-2</v>
      </c>
      <c r="F42" s="28">
        <v>0.16972477064220182</v>
      </c>
      <c r="G42" s="28">
        <v>-5.8823529411764719E-2</v>
      </c>
      <c r="H42" s="28">
        <v>-8.7500000000000022E-2</v>
      </c>
      <c r="I42" s="28">
        <v>-9.5397111403247026E-2</v>
      </c>
      <c r="J42" s="28">
        <v>-2.4704065877509063E-2</v>
      </c>
      <c r="K42" s="28">
        <v>2.9023746701847042E-2</v>
      </c>
      <c r="L42" s="28">
        <v>0.10846153846153839</v>
      </c>
      <c r="M42" s="28">
        <v>-2.8452463566967401E-2</v>
      </c>
      <c r="N42" s="29"/>
      <c r="O42" s="28">
        <v>-4.7619047619047672E-2</v>
      </c>
      <c r="P42" s="30" t="s">
        <v>35</v>
      </c>
      <c r="Q42" s="31"/>
      <c r="R42" s="28">
        <v>-0.12854809681614487</v>
      </c>
      <c r="T42" s="32"/>
      <c r="U42" s="32"/>
      <c r="V42" s="32"/>
      <c r="W42" s="32"/>
      <c r="X42" s="32"/>
      <c r="Y42" s="32"/>
      <c r="Z42" s="32"/>
      <c r="AA42" s="32"/>
      <c r="AB42" s="32"/>
      <c r="AC42" s="32"/>
      <c r="AD42" s="32"/>
      <c r="AE42" s="32"/>
    </row>
    <row r="43" spans="2:31" x14ac:dyDescent="0.25">
      <c r="B43" s="33" t="s">
        <v>36</v>
      </c>
      <c r="C43" s="28">
        <v>-0.17647058823529416</v>
      </c>
      <c r="D43" s="28">
        <v>-0.16883116883116878</v>
      </c>
      <c r="E43" s="28">
        <v>-0.11250000000000004</v>
      </c>
      <c r="F43" s="28">
        <v>-0.15492957746478864</v>
      </c>
      <c r="G43" s="28">
        <v>0.60416666666666674</v>
      </c>
      <c r="H43" s="28">
        <v>-1.2987012987012991E-2</v>
      </c>
      <c r="I43" s="28">
        <v>3.289473684210531E-2</v>
      </c>
      <c r="J43" s="28">
        <v>-3.1847133757961776E-2</v>
      </c>
      <c r="K43" s="28">
        <v>0.18421052631578938</v>
      </c>
      <c r="L43" s="28">
        <v>-4.4444444444444398E-2</v>
      </c>
      <c r="M43" s="28">
        <v>-0.14186046511627914</v>
      </c>
      <c r="N43" s="29"/>
      <c r="O43" s="28">
        <v>-5.2845528455284452E-2</v>
      </c>
      <c r="P43" s="30" t="s">
        <v>36</v>
      </c>
      <c r="Q43" s="31"/>
      <c r="R43" s="28">
        <v>-0.2524064171122995</v>
      </c>
      <c r="T43" s="32"/>
      <c r="U43" s="32"/>
      <c r="V43" s="32"/>
      <c r="W43" s="32"/>
      <c r="X43" s="32"/>
      <c r="Y43" s="32"/>
      <c r="Z43" s="32"/>
      <c r="AA43" s="32"/>
      <c r="AB43" s="32"/>
      <c r="AC43" s="32"/>
      <c r="AD43" s="32"/>
      <c r="AE43" s="32"/>
    </row>
    <row r="44" spans="2:31" x14ac:dyDescent="0.25">
      <c r="B44" s="33" t="s">
        <v>37</v>
      </c>
      <c r="C44" s="28">
        <v>-0.14090909090909098</v>
      </c>
      <c r="D44" s="28">
        <v>-4.0564373897707173E-2</v>
      </c>
      <c r="E44" s="28">
        <v>0.30514705882352922</v>
      </c>
      <c r="F44" s="28">
        <v>-1.9718309859154903E-2</v>
      </c>
      <c r="G44" s="28">
        <v>0.15660919540229901</v>
      </c>
      <c r="H44" s="28">
        <v>-0.10310559006211184</v>
      </c>
      <c r="I44" s="28">
        <v>0.24441440518277435</v>
      </c>
      <c r="J44" s="28">
        <v>-6.417112299465233E-2</v>
      </c>
      <c r="K44" s="28">
        <v>7.9999999999999849E-2</v>
      </c>
      <c r="L44" s="28">
        <v>3.9682539682539764E-2</v>
      </c>
      <c r="M44" s="28">
        <v>2.5445292620864812E-3</v>
      </c>
      <c r="N44" s="29"/>
      <c r="O44" s="28">
        <v>-5.456852791878164E-2</v>
      </c>
      <c r="P44" s="30" t="s">
        <v>37</v>
      </c>
      <c r="Q44" s="31"/>
      <c r="R44" s="28">
        <v>0.35585412494685298</v>
      </c>
      <c r="T44" s="32"/>
      <c r="U44" s="32"/>
      <c r="V44" s="32"/>
      <c r="W44" s="32"/>
      <c r="X44" s="32"/>
      <c r="Y44" s="32"/>
      <c r="Z44" s="32"/>
      <c r="AA44" s="32"/>
      <c r="AB44" s="32"/>
      <c r="AC44" s="32"/>
      <c r="AD44" s="32"/>
      <c r="AE44" s="32"/>
    </row>
    <row r="45" spans="2:31" x14ac:dyDescent="0.25">
      <c r="B45" s="33" t="s">
        <v>38</v>
      </c>
      <c r="C45" s="28">
        <v>-2.1646340912182538E-3</v>
      </c>
      <c r="D45" s="28">
        <v>-7.2164948443826704E-2</v>
      </c>
      <c r="E45" s="28">
        <v>-0.13888888888888895</v>
      </c>
      <c r="F45" s="28">
        <v>-9.5898892177788575E-2</v>
      </c>
      <c r="G45" s="28">
        <v>-0.10909090909090913</v>
      </c>
      <c r="H45" s="28">
        <v>-0.22448979591836737</v>
      </c>
      <c r="I45" s="28">
        <v>-1.9205899504810553E-3</v>
      </c>
      <c r="J45" s="28">
        <v>-1.8518518518518379E-2</v>
      </c>
      <c r="K45" s="28">
        <v>-0.16442048517520214</v>
      </c>
      <c r="L45" s="28">
        <v>1.0580645161290323</v>
      </c>
      <c r="M45" s="28">
        <v>-0.21630094043887149</v>
      </c>
      <c r="N45" s="29"/>
      <c r="O45" s="28">
        <v>-5.799999999999994E-2</v>
      </c>
      <c r="P45" s="30" t="s">
        <v>38</v>
      </c>
      <c r="Q45" s="31"/>
      <c r="R45" s="28">
        <v>-0.38067163235033286</v>
      </c>
      <c r="T45" s="32"/>
      <c r="U45" s="32"/>
      <c r="V45" s="32"/>
      <c r="W45" s="32"/>
      <c r="X45" s="32"/>
      <c r="Y45" s="32"/>
      <c r="Z45" s="32"/>
      <c r="AA45" s="32"/>
      <c r="AB45" s="32"/>
      <c r="AC45" s="32"/>
      <c r="AD45" s="32"/>
      <c r="AE45" s="32"/>
    </row>
    <row r="46" spans="2:31" x14ac:dyDescent="0.25">
      <c r="B46" s="33" t="s">
        <v>39</v>
      </c>
      <c r="C46" s="28">
        <v>-4.451038575667654E-2</v>
      </c>
      <c r="D46" s="28">
        <v>-0.13664596273291929</v>
      </c>
      <c r="E46" s="28">
        <v>-3.597122302158251E-3</v>
      </c>
      <c r="F46" s="28">
        <v>-0.23465703971119134</v>
      </c>
      <c r="G46" s="28">
        <v>0.179245283018868</v>
      </c>
      <c r="H46" s="28">
        <v>-0.12</v>
      </c>
      <c r="I46" s="28">
        <v>0.13636363636363624</v>
      </c>
      <c r="J46" s="28">
        <v>-5.9999999999999942E-2</v>
      </c>
      <c r="K46" s="28">
        <v>0.15319148936170213</v>
      </c>
      <c r="L46" s="28">
        <v>2.2140221402213944E-2</v>
      </c>
      <c r="M46" s="28">
        <v>-7.2202166064981976E-2</v>
      </c>
      <c r="N46" s="29"/>
      <c r="O46" s="28">
        <v>-6.0489321320302381E-2</v>
      </c>
      <c r="P46" s="30" t="s">
        <v>39</v>
      </c>
      <c r="Q46" s="31"/>
      <c r="R46" s="28">
        <v>-0.28351856254990426</v>
      </c>
      <c r="T46" s="32"/>
      <c r="U46" s="32"/>
      <c r="V46" s="32"/>
      <c r="W46" s="32"/>
      <c r="X46" s="32"/>
      <c r="Y46" s="32"/>
      <c r="Z46" s="32"/>
      <c r="AA46" s="32"/>
      <c r="AB46" s="32"/>
      <c r="AC46" s="32"/>
      <c r="AD46" s="32"/>
      <c r="AE46" s="32"/>
    </row>
    <row r="47" spans="2:31" x14ac:dyDescent="0.25">
      <c r="B47" s="33" t="s">
        <v>40</v>
      </c>
      <c r="C47" s="28">
        <v>1.712309050644989E-2</v>
      </c>
      <c r="D47" s="28">
        <v>-0.15008903586873568</v>
      </c>
      <c r="E47" s="28">
        <v>0.1209218796767435</v>
      </c>
      <c r="F47" s="28">
        <v>-0.12763684913217621</v>
      </c>
      <c r="G47" s="28">
        <v>5.3259871441689643E-2</v>
      </c>
      <c r="H47" s="28">
        <v>-7.3815751235106197E-2</v>
      </c>
      <c r="I47" s="28">
        <v>6.5892689049262598E-2</v>
      </c>
      <c r="J47" s="28">
        <v>-3.4736532234324491E-2</v>
      </c>
      <c r="K47" s="28">
        <v>0.30832570905763967</v>
      </c>
      <c r="L47" s="28">
        <v>-8.2983682983683082E-2</v>
      </c>
      <c r="M47" s="28">
        <v>1.0421962379257854E-2</v>
      </c>
      <c r="N47" s="29"/>
      <c r="O47" s="28">
        <v>-6.3899371069182309E-2</v>
      </c>
      <c r="P47" s="30" t="s">
        <v>40</v>
      </c>
      <c r="Q47" s="31"/>
      <c r="R47" s="28">
        <v>-3.7213172278173334E-2</v>
      </c>
      <c r="T47" s="32"/>
      <c r="U47" s="32"/>
      <c r="V47" s="32"/>
      <c r="W47" s="32"/>
      <c r="X47" s="32"/>
      <c r="Y47" s="32"/>
      <c r="Z47" s="32"/>
      <c r="AA47" s="32"/>
      <c r="AB47" s="32"/>
      <c r="AC47" s="32"/>
      <c r="AD47" s="32"/>
      <c r="AE47" s="32"/>
    </row>
    <row r="48" spans="2:31" x14ac:dyDescent="0.25">
      <c r="B48" s="33" t="s">
        <v>41</v>
      </c>
      <c r="C48" s="28">
        <v>-7.9545454545454475E-2</v>
      </c>
      <c r="D48" s="28">
        <v>-0.30041152263374493</v>
      </c>
      <c r="E48" s="28">
        <v>0.17647058823529416</v>
      </c>
      <c r="F48" s="28">
        <v>-0.19999999999999996</v>
      </c>
      <c r="G48" s="28">
        <v>0.24374999999999991</v>
      </c>
      <c r="H48" s="28">
        <v>-3.5175879396984855E-2</v>
      </c>
      <c r="I48" s="28">
        <v>-8.854166666666663E-2</v>
      </c>
      <c r="J48" s="28">
        <v>-5.8285714285714274E-2</v>
      </c>
      <c r="K48" s="28">
        <v>9.2233009708737823E-2</v>
      </c>
      <c r="L48" s="28">
        <v>5.555555555555558E-2</v>
      </c>
      <c r="M48" s="28">
        <v>-0.18631578947368421</v>
      </c>
      <c r="N48" s="29"/>
      <c r="O48" s="28">
        <v>-6.4683053040103466E-2</v>
      </c>
      <c r="P48" s="30" t="s">
        <v>41</v>
      </c>
      <c r="Q48" s="31"/>
      <c r="R48" s="28">
        <v>-0.45227272727272705</v>
      </c>
      <c r="T48" s="32"/>
      <c r="U48" s="32"/>
      <c r="V48" s="32"/>
      <c r="W48" s="32"/>
      <c r="X48" s="32"/>
      <c r="Y48" s="32"/>
      <c r="Z48" s="32"/>
      <c r="AA48" s="32"/>
      <c r="AB48" s="32"/>
      <c r="AC48" s="32"/>
      <c r="AD48" s="32"/>
      <c r="AE48" s="32"/>
    </row>
    <row r="49" spans="2:31" x14ac:dyDescent="0.25">
      <c r="B49" s="33" t="s">
        <v>42</v>
      </c>
      <c r="C49" s="28">
        <v>-0.16189624329159202</v>
      </c>
      <c r="D49" s="28">
        <v>4.4290288153681745E-2</v>
      </c>
      <c r="E49" s="28">
        <v>5.160960654062352E-2</v>
      </c>
      <c r="F49" s="28">
        <v>-0.13508260447035958</v>
      </c>
      <c r="G49" s="28">
        <v>0.21573033707865163</v>
      </c>
      <c r="H49" s="28">
        <v>-5.4528650646950005E-2</v>
      </c>
      <c r="I49" s="28">
        <v>0.33919843597262944</v>
      </c>
      <c r="J49" s="28">
        <v>-6.4672392333379181E-3</v>
      </c>
      <c r="K49" s="28">
        <v>6.8001668752607491E-2</v>
      </c>
      <c r="L49" s="28">
        <v>-6.25E-2</v>
      </c>
      <c r="M49" s="28">
        <v>-6.25E-2</v>
      </c>
      <c r="N49" s="29"/>
      <c r="O49" s="28">
        <v>-6.6666666666666652E-2</v>
      </c>
      <c r="P49" s="30" t="s">
        <v>42</v>
      </c>
      <c r="Q49" s="31"/>
      <c r="R49" s="28">
        <v>6.6626124309264956E-2</v>
      </c>
      <c r="T49" s="32"/>
      <c r="U49" s="32"/>
      <c r="V49" s="32"/>
      <c r="W49" s="32"/>
      <c r="X49" s="32"/>
      <c r="Y49" s="32"/>
      <c r="Z49" s="32"/>
      <c r="AA49" s="32"/>
      <c r="AB49" s="32"/>
      <c r="AC49" s="32"/>
      <c r="AD49" s="32"/>
      <c r="AE49" s="32"/>
    </row>
    <row r="50" spans="2:31" x14ac:dyDescent="0.25">
      <c r="B50" s="33" t="s">
        <v>43</v>
      </c>
      <c r="C50" s="28">
        <v>0</v>
      </c>
      <c r="D50" s="28">
        <v>-4.0000000000000036E-2</v>
      </c>
      <c r="E50" s="28">
        <v>3.3333333333333437E-2</v>
      </c>
      <c r="F50" s="28">
        <v>6.4516129032258007E-2</v>
      </c>
      <c r="G50" s="28">
        <v>0.14015151515151536</v>
      </c>
      <c r="H50" s="28">
        <v>-0.16279069767441867</v>
      </c>
      <c r="I50" s="28">
        <v>1.1904761904761862E-2</v>
      </c>
      <c r="J50" s="28">
        <v>-4.3137254901960853E-2</v>
      </c>
      <c r="K50" s="28">
        <v>0.10245901639344268</v>
      </c>
      <c r="L50" s="28">
        <v>-3.7174721189591087E-2</v>
      </c>
      <c r="M50" s="28">
        <v>-5.791505791505791E-2</v>
      </c>
      <c r="N50" s="29"/>
      <c r="O50" s="28">
        <v>-7.3770491803278548E-2</v>
      </c>
      <c r="P50" s="30" t="s">
        <v>43</v>
      </c>
      <c r="Q50" s="31"/>
      <c r="R50" s="28">
        <v>-9.5999999999999752E-2</v>
      </c>
      <c r="T50" s="32"/>
      <c r="U50" s="32"/>
      <c r="V50" s="32"/>
      <c r="W50" s="32"/>
      <c r="X50" s="32"/>
      <c r="Y50" s="32"/>
      <c r="Z50" s="32"/>
      <c r="AA50" s="32"/>
      <c r="AB50" s="32"/>
      <c r="AC50" s="32"/>
      <c r="AD50" s="32"/>
      <c r="AE50" s="32"/>
    </row>
    <row r="51" spans="2:31" x14ac:dyDescent="0.25">
      <c r="B51" s="33" t="s">
        <v>44</v>
      </c>
      <c r="C51" s="28">
        <v>2.4051803885291489E-2</v>
      </c>
      <c r="D51" s="28">
        <v>-0.14634146341463417</v>
      </c>
      <c r="E51" s="28">
        <v>6.3492063492063266E-3</v>
      </c>
      <c r="F51" s="28">
        <v>-4.5215562565720235E-2</v>
      </c>
      <c r="G51" s="28">
        <v>0.12995594713656389</v>
      </c>
      <c r="H51" s="28">
        <v>-0.21052631578947367</v>
      </c>
      <c r="I51" s="28">
        <v>0.18888888888888888</v>
      </c>
      <c r="J51" s="28">
        <v>5.8151609553478867E-2</v>
      </c>
      <c r="K51" s="28">
        <v>5.0049067713444417E-2</v>
      </c>
      <c r="L51" s="28">
        <v>-6.074766355140182E-2</v>
      </c>
      <c r="M51" s="28">
        <v>-0.1422885572139303</v>
      </c>
      <c r="N51" s="29"/>
      <c r="O51" s="28">
        <v>-7.6566125290023268E-2</v>
      </c>
      <c r="P51" s="30" t="s">
        <v>44</v>
      </c>
      <c r="Q51" s="31"/>
      <c r="R51" s="28">
        <v>-0.26364477335800174</v>
      </c>
      <c r="T51" s="32"/>
      <c r="U51" s="32"/>
      <c r="V51" s="32"/>
      <c r="W51" s="32"/>
      <c r="X51" s="32"/>
      <c r="Y51" s="32"/>
      <c r="Z51" s="32"/>
      <c r="AA51" s="32"/>
      <c r="AB51" s="32"/>
      <c r="AC51" s="32"/>
      <c r="AD51" s="32"/>
      <c r="AE51" s="32"/>
    </row>
    <row r="52" spans="2:31" x14ac:dyDescent="0.25">
      <c r="B52" s="33" t="s">
        <v>45</v>
      </c>
      <c r="C52" s="28">
        <v>0</v>
      </c>
      <c r="D52" s="28">
        <v>-3.6363636363636376E-2</v>
      </c>
      <c r="E52" s="28">
        <v>-3.7735849056603765E-2</v>
      </c>
      <c r="F52" s="28">
        <v>0</v>
      </c>
      <c r="G52" s="28">
        <v>0.34117647058823541</v>
      </c>
      <c r="H52" s="28">
        <v>-0.1520467836257311</v>
      </c>
      <c r="I52" s="28">
        <v>-0.13793103448275867</v>
      </c>
      <c r="J52" s="28">
        <v>-1.0000000000000009E-2</v>
      </c>
      <c r="K52" s="28">
        <v>-1.0101010101010055E-2</v>
      </c>
      <c r="L52" s="28">
        <v>-5.1020408163265252E-2</v>
      </c>
      <c r="M52" s="28">
        <v>-0.15268817204301077</v>
      </c>
      <c r="N52" s="29"/>
      <c r="O52" s="28">
        <v>-8.6294416243654748E-2</v>
      </c>
      <c r="P52" s="30" t="s">
        <v>45</v>
      </c>
      <c r="Q52" s="31"/>
      <c r="R52" s="28">
        <v>-0.34545454545454557</v>
      </c>
      <c r="T52" s="32"/>
      <c r="U52" s="32"/>
      <c r="V52" s="32"/>
      <c r="W52" s="32"/>
      <c r="X52" s="32"/>
      <c r="Y52" s="32"/>
      <c r="Z52" s="32"/>
      <c r="AA52" s="32"/>
      <c r="AB52" s="32"/>
      <c r="AC52" s="32"/>
      <c r="AD52" s="32"/>
      <c r="AE52" s="32"/>
    </row>
    <row r="53" spans="2:31" x14ac:dyDescent="0.25">
      <c r="B53" s="33" t="s">
        <v>46</v>
      </c>
      <c r="C53" s="28">
        <v>-0.19908135016604334</v>
      </c>
      <c r="D53" s="28">
        <v>-5.1964512040557742E-2</v>
      </c>
      <c r="E53" s="28">
        <v>0.14973262032085577</v>
      </c>
      <c r="F53" s="28">
        <v>-3.1395348837209291E-2</v>
      </c>
      <c r="G53" s="28">
        <v>0.10444177671068422</v>
      </c>
      <c r="H53" s="28">
        <v>-0.18478260869565222</v>
      </c>
      <c r="I53" s="28">
        <v>4.5333333333333448E-2</v>
      </c>
      <c r="J53" s="28">
        <v>-4.8469387755102233E-2</v>
      </c>
      <c r="K53" s="28">
        <v>0.13941018766756041</v>
      </c>
      <c r="L53" s="28">
        <v>8.2352941176470518E-2</v>
      </c>
      <c r="M53" s="28">
        <v>2.1739130434782705E-2</v>
      </c>
      <c r="N53" s="29"/>
      <c r="O53" s="28">
        <v>-8.9361702127659592E-2</v>
      </c>
      <c r="P53" s="30" t="s">
        <v>46</v>
      </c>
      <c r="Q53" s="31"/>
      <c r="R53" s="28">
        <v>-0.13106924682146148</v>
      </c>
      <c r="T53" s="32"/>
      <c r="U53" s="32"/>
      <c r="V53" s="32"/>
      <c r="W53" s="32"/>
      <c r="X53" s="32"/>
      <c r="Y53" s="32"/>
      <c r="Z53" s="32"/>
      <c r="AA53" s="32"/>
      <c r="AB53" s="32"/>
      <c r="AC53" s="32"/>
      <c r="AD53" s="32"/>
      <c r="AE53" s="32"/>
    </row>
    <row r="54" spans="2:31" x14ac:dyDescent="0.25">
      <c r="B54" s="33" t="s">
        <v>47</v>
      </c>
      <c r="C54" s="28">
        <v>-1.826484018264829E-2</v>
      </c>
      <c r="D54" s="28">
        <v>0</v>
      </c>
      <c r="E54" s="28">
        <v>5.5813953488372148E-2</v>
      </c>
      <c r="F54" s="28">
        <v>-4.7356828193832579E-2</v>
      </c>
      <c r="G54" s="28">
        <v>0.17687861271676297</v>
      </c>
      <c r="H54" s="28">
        <v>-0.15520628683693516</v>
      </c>
      <c r="I54" s="28">
        <v>-2.3255813953488413E-2</v>
      </c>
      <c r="J54" s="28">
        <v>-0.11904761904761907</v>
      </c>
      <c r="K54" s="28">
        <v>0.17567567567567566</v>
      </c>
      <c r="L54" s="28">
        <v>-8.2758620689655227E-2</v>
      </c>
      <c r="M54" s="28">
        <v>-2.2556390977443552E-2</v>
      </c>
      <c r="N54" s="29"/>
      <c r="O54" s="28">
        <v>-8.9743589743589758E-2</v>
      </c>
      <c r="P54" s="30" t="s">
        <v>47</v>
      </c>
      <c r="Q54" s="31"/>
      <c r="R54" s="28">
        <v>-0.1894977168949773</v>
      </c>
      <c r="T54" s="32"/>
      <c r="U54" s="32"/>
      <c r="V54" s="32"/>
      <c r="W54" s="32"/>
      <c r="X54" s="32"/>
      <c r="Y54" s="32"/>
      <c r="Z54" s="32"/>
      <c r="AA54" s="32"/>
      <c r="AB54" s="32"/>
      <c r="AC54" s="32"/>
      <c r="AD54" s="32"/>
      <c r="AE54" s="32"/>
    </row>
    <row r="55" spans="2:31" x14ac:dyDescent="0.25">
      <c r="B55" s="33" t="s">
        <v>48</v>
      </c>
      <c r="C55" s="28">
        <v>-0.1858974358974359</v>
      </c>
      <c r="D55" s="28">
        <v>-0.18110236220472442</v>
      </c>
      <c r="E55" s="28">
        <v>-9.6153846153844702E-3</v>
      </c>
      <c r="F55" s="28">
        <v>-0.13592233009708743</v>
      </c>
      <c r="G55" s="28">
        <v>0.24719101123595522</v>
      </c>
      <c r="H55" s="28">
        <v>-0.18918918918918926</v>
      </c>
      <c r="I55" s="28">
        <v>1.1111111111111072E-2</v>
      </c>
      <c r="J55" s="28">
        <v>-4.3394659398027113E-2</v>
      </c>
      <c r="K55" s="28">
        <v>0.10149253731343277</v>
      </c>
      <c r="L55" s="28">
        <v>2.4390243902439046E-2</v>
      </c>
      <c r="M55" s="28">
        <v>-0.14021164021164012</v>
      </c>
      <c r="N55" s="29"/>
      <c r="O55" s="28">
        <v>-9.8461538461538378E-2</v>
      </c>
      <c r="P55" s="30" t="s">
        <v>48</v>
      </c>
      <c r="Q55" s="31"/>
      <c r="R55" s="28">
        <v>-0.51194090707098328</v>
      </c>
      <c r="T55" s="32"/>
      <c r="U55" s="32"/>
      <c r="V55" s="32"/>
      <c r="W55" s="32"/>
      <c r="X55" s="32"/>
      <c r="Y55" s="32"/>
      <c r="Z55" s="32"/>
      <c r="AA55" s="32"/>
      <c r="AB55" s="32"/>
      <c r="AC55" s="32"/>
      <c r="AD55" s="32"/>
      <c r="AE55" s="32"/>
    </row>
    <row r="56" spans="2:31" x14ac:dyDescent="0.25">
      <c r="B56" s="33" t="s">
        <v>49</v>
      </c>
      <c r="C56" s="28">
        <v>-0.16536661466458646</v>
      </c>
      <c r="D56" s="28">
        <v>-0.10280373831775702</v>
      </c>
      <c r="E56" s="28">
        <v>0</v>
      </c>
      <c r="F56" s="28">
        <v>-0.125</v>
      </c>
      <c r="G56" s="28">
        <v>0.14285714285714279</v>
      </c>
      <c r="H56" s="28">
        <v>-0.125</v>
      </c>
      <c r="I56" s="28">
        <v>-9.5238095238095233E-2</v>
      </c>
      <c r="J56" s="28">
        <v>1.3157894736842035E-2</v>
      </c>
      <c r="K56" s="28">
        <v>1.298701298701288E-2</v>
      </c>
      <c r="L56" s="28">
        <v>-8.2051282051282093E-2</v>
      </c>
      <c r="M56" s="28">
        <v>6.1452513966480549E-2</v>
      </c>
      <c r="N56" s="29"/>
      <c r="O56" s="28">
        <v>-0.11052631578947381</v>
      </c>
      <c r="P56" s="30" t="s">
        <v>49</v>
      </c>
      <c r="Q56" s="31"/>
      <c r="R56" s="28">
        <v>-0.47269890795631841</v>
      </c>
      <c r="T56" s="32"/>
      <c r="U56" s="32"/>
      <c r="V56" s="32"/>
      <c r="W56" s="32"/>
      <c r="X56" s="32"/>
      <c r="Y56" s="32"/>
      <c r="Z56" s="32"/>
      <c r="AA56" s="32"/>
      <c r="AB56" s="32"/>
      <c r="AC56" s="32"/>
      <c r="AD56" s="32"/>
      <c r="AE56" s="32"/>
    </row>
    <row r="57" spans="2:31" x14ac:dyDescent="0.25">
      <c r="B57" s="33" t="s">
        <v>50</v>
      </c>
      <c r="C57" s="28">
        <v>-1.4285714285714346E-2</v>
      </c>
      <c r="D57" s="28">
        <v>2.6915113871635477E-2</v>
      </c>
      <c r="E57" s="28">
        <v>3.629032258064524E-2</v>
      </c>
      <c r="F57" s="28">
        <v>0.1245136186770428</v>
      </c>
      <c r="G57" s="28">
        <v>0.16782006920415204</v>
      </c>
      <c r="H57" s="28">
        <v>-0.28814814814814815</v>
      </c>
      <c r="I57" s="28">
        <v>0.10880207627002014</v>
      </c>
      <c r="J57" s="28">
        <v>-4.757185332011904E-2</v>
      </c>
      <c r="K57" s="28">
        <v>0.15504682622268473</v>
      </c>
      <c r="L57" s="28">
        <v>-5.1351351351351382E-2</v>
      </c>
      <c r="M57" s="28">
        <v>-6.9325735992402659E-2</v>
      </c>
      <c r="N57" s="29"/>
      <c r="O57" s="28">
        <v>-0.12244897959183676</v>
      </c>
      <c r="P57" s="30" t="s">
        <v>50</v>
      </c>
      <c r="Q57" s="31"/>
      <c r="R57" s="28">
        <v>-7.3258465692319641E-2</v>
      </c>
      <c r="T57" s="32"/>
      <c r="U57" s="32"/>
      <c r="V57" s="32"/>
      <c r="W57" s="32"/>
      <c r="X57" s="32"/>
      <c r="Y57" s="32"/>
      <c r="Z57" s="32"/>
      <c r="AA57" s="32"/>
      <c r="AB57" s="32"/>
      <c r="AC57" s="32"/>
      <c r="AD57" s="32"/>
      <c r="AE57" s="32"/>
    </row>
    <row r="58" spans="2:31" x14ac:dyDescent="0.25">
      <c r="B58" s="33" t="s">
        <v>51</v>
      </c>
      <c r="C58" s="28">
        <v>6.3829787234042534E-2</v>
      </c>
      <c r="D58" s="28">
        <v>0.43333333333333335</v>
      </c>
      <c r="E58" s="28">
        <v>0.15348837209302313</v>
      </c>
      <c r="F58" s="28">
        <v>0.19023154171384848</v>
      </c>
      <c r="G58" s="28">
        <v>4.2105263157894646E-2</v>
      </c>
      <c r="H58" s="28">
        <v>-0.2087542087542088</v>
      </c>
      <c r="I58" s="28">
        <v>2.1276595744680771E-2</v>
      </c>
      <c r="J58" s="28">
        <v>-0.11250000000000004</v>
      </c>
      <c r="K58" s="28">
        <v>0.15023474178403751</v>
      </c>
      <c r="L58" s="28">
        <v>-6.1224489795918324E-2</v>
      </c>
      <c r="M58" s="28">
        <v>-3.1521739130434767E-2</v>
      </c>
      <c r="N58" s="29"/>
      <c r="O58" s="28">
        <v>-0.12457912457912457</v>
      </c>
      <c r="P58" s="30" t="s">
        <v>51</v>
      </c>
      <c r="Q58" s="31"/>
      <c r="R58" s="28">
        <v>0.4323652446754187</v>
      </c>
      <c r="T58" s="32"/>
      <c r="U58" s="32"/>
      <c r="V58" s="32"/>
      <c r="W58" s="32"/>
      <c r="X58" s="32"/>
      <c r="Y58" s="32"/>
      <c r="Z58" s="32"/>
      <c r="AA58" s="32"/>
      <c r="AB58" s="32"/>
      <c r="AC58" s="32"/>
      <c r="AD58" s="32"/>
      <c r="AE58" s="32"/>
    </row>
    <row r="59" spans="2:31" x14ac:dyDescent="0.25">
      <c r="B59" s="33" t="s">
        <v>52</v>
      </c>
      <c r="C59" s="28">
        <v>-0.23992890995260663</v>
      </c>
      <c r="D59" s="28">
        <v>-7.8721745908028162E-2</v>
      </c>
      <c r="E59" s="28">
        <v>4.9915397631133507E-2</v>
      </c>
      <c r="F59" s="28">
        <v>-9.0249798549556726E-2</v>
      </c>
      <c r="G59" s="28">
        <v>0.28343666961913194</v>
      </c>
      <c r="H59" s="28">
        <v>-0.11663216011042099</v>
      </c>
      <c r="I59" s="28">
        <v>0.21875</v>
      </c>
      <c r="J59" s="28">
        <v>3.2051282051282159E-2</v>
      </c>
      <c r="K59" s="28">
        <v>0.16521739130434776</v>
      </c>
      <c r="L59" s="28">
        <v>-6.6098081023454158E-2</v>
      </c>
      <c r="M59" s="28">
        <v>0.10730593607305949</v>
      </c>
      <c r="N59" s="29"/>
      <c r="O59" s="28">
        <v>-0.12577319587628866</v>
      </c>
      <c r="P59" s="30" t="s">
        <v>52</v>
      </c>
      <c r="Q59" s="31"/>
      <c r="R59" s="28">
        <v>4.7393364928909332E-3</v>
      </c>
      <c r="T59" s="32"/>
      <c r="U59" s="32"/>
      <c r="V59" s="32"/>
      <c r="W59" s="32"/>
      <c r="X59" s="32"/>
      <c r="Y59" s="32"/>
      <c r="Z59" s="32"/>
      <c r="AA59" s="32"/>
      <c r="AB59" s="32"/>
      <c r="AC59" s="32"/>
      <c r="AD59" s="32"/>
      <c r="AE59" s="32"/>
    </row>
    <row r="60" spans="2:31" x14ac:dyDescent="0.25">
      <c r="B60" s="33" t="s">
        <v>53</v>
      </c>
      <c r="C60" s="28">
        <v>8.0076873788619496E-2</v>
      </c>
      <c r="D60" s="28">
        <v>-0.17971530248697842</v>
      </c>
      <c r="E60" s="28">
        <v>0.3349200608645706</v>
      </c>
      <c r="F60" s="28">
        <v>0.10208234813617101</v>
      </c>
      <c r="G60" s="28">
        <v>0.2393441796498601</v>
      </c>
      <c r="H60" s="28">
        <v>-0.13411078717201164</v>
      </c>
      <c r="I60" s="28">
        <v>0.11063011063011063</v>
      </c>
      <c r="J60" s="28">
        <v>-5.0238198354266017E-2</v>
      </c>
      <c r="K60" s="28">
        <v>0.14774281805745559</v>
      </c>
      <c r="L60" s="28">
        <v>-9.0186730234406043E-2</v>
      </c>
      <c r="M60" s="28">
        <v>-3.4934497816594412E-3</v>
      </c>
      <c r="N60" s="29"/>
      <c r="O60" s="28">
        <v>-0.12610444809612775</v>
      </c>
      <c r="P60" s="30" t="s">
        <v>53</v>
      </c>
      <c r="Q60" s="31"/>
      <c r="R60" s="28">
        <v>0.34172503546001098</v>
      </c>
      <c r="T60" s="32"/>
      <c r="U60" s="32"/>
      <c r="V60" s="32"/>
      <c r="W60" s="32"/>
      <c r="X60" s="32"/>
      <c r="Y60" s="32"/>
      <c r="Z60" s="32"/>
      <c r="AA60" s="32"/>
      <c r="AB60" s="32"/>
      <c r="AC60" s="32"/>
      <c r="AD60" s="32"/>
      <c r="AE60" s="32"/>
    </row>
    <row r="61" spans="2:31" x14ac:dyDescent="0.25">
      <c r="B61" s="33" t="s">
        <v>54</v>
      </c>
      <c r="C61" s="28">
        <v>-4.7281323877068626E-3</v>
      </c>
      <c r="D61" s="28">
        <v>3.5629453681709222E-3</v>
      </c>
      <c r="E61" s="28">
        <v>9.9408284023668747E-2</v>
      </c>
      <c r="F61" s="28">
        <v>0.1829924650161463</v>
      </c>
      <c r="G61" s="28">
        <v>4.9135577797998264E-2</v>
      </c>
      <c r="H61" s="28">
        <v>-0.27146574154379877</v>
      </c>
      <c r="I61" s="28">
        <v>8.7643019469852756E-2</v>
      </c>
      <c r="J61" s="28">
        <v>2.5114155251141579E-2</v>
      </c>
      <c r="K61" s="28">
        <v>0.11358574610244987</v>
      </c>
      <c r="L61" s="28">
        <v>-3.5000000000000031E-2</v>
      </c>
      <c r="M61" s="28">
        <v>5.5958549222798082E-2</v>
      </c>
      <c r="N61" s="29"/>
      <c r="O61" s="28">
        <v>-0.12757605495583901</v>
      </c>
      <c r="P61" s="30" t="s">
        <v>54</v>
      </c>
      <c r="Q61" s="31"/>
      <c r="R61" s="28">
        <v>9.5955586346853083E-2</v>
      </c>
      <c r="T61" s="32"/>
      <c r="U61" s="32"/>
      <c r="V61" s="32"/>
      <c r="W61" s="32"/>
      <c r="X61" s="32"/>
      <c r="Y61" s="32"/>
      <c r="Z61" s="32"/>
      <c r="AA61" s="32"/>
      <c r="AB61" s="32"/>
      <c r="AC61" s="32"/>
      <c r="AD61" s="32"/>
      <c r="AE61" s="32"/>
    </row>
    <row r="62" spans="2:31" x14ac:dyDescent="0.25">
      <c r="B62" s="33" t="s">
        <v>55</v>
      </c>
      <c r="C62" s="28">
        <v>2.7359781121751858E-3</v>
      </c>
      <c r="D62" s="28">
        <v>-0.16780354706684864</v>
      </c>
      <c r="E62" s="28">
        <v>0.35737704918032787</v>
      </c>
      <c r="F62" s="28">
        <v>0.3647342995169085</v>
      </c>
      <c r="G62" s="28">
        <v>6.1946902654867131E-2</v>
      </c>
      <c r="H62" s="28">
        <v>-0.29166666666666663</v>
      </c>
      <c r="I62" s="28">
        <v>-7.0588235294117618E-2</v>
      </c>
      <c r="J62" s="28">
        <v>0.39873417721519</v>
      </c>
      <c r="K62" s="28">
        <v>6.3348416289592757E-2</v>
      </c>
      <c r="L62" s="28">
        <v>3.8297872340425476E-2</v>
      </c>
      <c r="M62" s="28">
        <v>-0.12295081967213117</v>
      </c>
      <c r="N62" s="29"/>
      <c r="O62" s="28">
        <v>-0.13738317757009333</v>
      </c>
      <c r="P62" s="30" t="s">
        <v>55</v>
      </c>
      <c r="Q62" s="31"/>
      <c r="R62" s="28">
        <v>0.26265389876881029</v>
      </c>
      <c r="T62" s="32"/>
      <c r="U62" s="32"/>
      <c r="V62" s="32"/>
      <c r="W62" s="32"/>
      <c r="X62" s="32"/>
      <c r="Y62" s="32"/>
      <c r="Z62" s="32"/>
      <c r="AA62" s="32"/>
      <c r="AB62" s="32"/>
      <c r="AC62" s="32"/>
      <c r="AD62" s="32"/>
      <c r="AE62" s="32"/>
    </row>
    <row r="63" spans="2:31" x14ac:dyDescent="0.25">
      <c r="B63" s="33" t="s">
        <v>56</v>
      </c>
      <c r="C63" s="28">
        <v>-0.16994475723457481</v>
      </c>
      <c r="D63" s="28">
        <v>-0.1016068052930057</v>
      </c>
      <c r="E63" s="28">
        <v>2.4723829563387811E-2</v>
      </c>
      <c r="F63" s="28">
        <v>-0.11601642710472293</v>
      </c>
      <c r="G63" s="28">
        <v>0.22706155632984926</v>
      </c>
      <c r="H63" s="28">
        <v>-0.21202082347373408</v>
      </c>
      <c r="I63" s="28">
        <v>0.2240240240240241</v>
      </c>
      <c r="J63" s="28">
        <v>1.3738959764474812E-2</v>
      </c>
      <c r="K63" s="28">
        <v>0.31026137463697956</v>
      </c>
      <c r="L63" s="28">
        <v>-0.10749907646841517</v>
      </c>
      <c r="M63" s="28">
        <v>-8.3609271523178763E-2</v>
      </c>
      <c r="N63" s="29"/>
      <c r="O63" s="28">
        <v>-0.13956639566395668</v>
      </c>
      <c r="P63" s="30" t="s">
        <v>56</v>
      </c>
      <c r="Q63" s="31"/>
      <c r="R63" s="28">
        <v>-0.25271491613037089</v>
      </c>
      <c r="T63" s="32"/>
      <c r="U63" s="32"/>
      <c r="V63" s="32"/>
      <c r="W63" s="32"/>
      <c r="X63" s="32"/>
      <c r="Y63" s="32"/>
      <c r="Z63" s="32"/>
      <c r="AA63" s="32"/>
      <c r="AB63" s="32"/>
      <c r="AC63" s="32"/>
      <c r="AD63" s="32"/>
      <c r="AE63" s="32"/>
    </row>
    <row r="64" spans="2:31" x14ac:dyDescent="0.25">
      <c r="B64" s="33" t="s">
        <v>57</v>
      </c>
      <c r="C64" s="28">
        <v>1.1538461538461497E-2</v>
      </c>
      <c r="D64" s="28">
        <v>-0.14448669201520914</v>
      </c>
      <c r="E64" s="28">
        <v>6.6666666666666652E-2</v>
      </c>
      <c r="F64" s="28">
        <v>8.3333333333333259E-2</v>
      </c>
      <c r="G64" s="28">
        <v>0.21153846153846145</v>
      </c>
      <c r="H64" s="28">
        <v>-0.23809523809523814</v>
      </c>
      <c r="I64" s="28">
        <v>0.13749999999999996</v>
      </c>
      <c r="J64" s="28">
        <v>-1.0989010989011061E-2</v>
      </c>
      <c r="K64" s="28">
        <v>0.29629629629629628</v>
      </c>
      <c r="L64" s="28">
        <v>5.7142857142857162E-2</v>
      </c>
      <c r="M64" s="28">
        <v>0.28378378378378377</v>
      </c>
      <c r="N64" s="29"/>
      <c r="O64" s="28">
        <v>-0.14210526315789473</v>
      </c>
      <c r="P64" s="30" t="s">
        <v>57</v>
      </c>
      <c r="Q64" s="31"/>
      <c r="R64" s="28">
        <v>0.5673076923076914</v>
      </c>
      <c r="T64" s="32"/>
      <c r="U64" s="32"/>
      <c r="V64" s="32"/>
      <c r="W64" s="32"/>
      <c r="X64" s="32"/>
      <c r="Y64" s="32"/>
      <c r="Z64" s="32"/>
      <c r="AA64" s="32"/>
      <c r="AB64" s="32"/>
      <c r="AC64" s="32"/>
      <c r="AD64" s="32"/>
      <c r="AE64" s="32"/>
    </row>
    <row r="65" spans="2:31" x14ac:dyDescent="0.25">
      <c r="B65" s="33" t="s">
        <v>58</v>
      </c>
      <c r="C65" s="28">
        <v>-1.9047619254009773E-2</v>
      </c>
      <c r="D65" s="28">
        <v>2.9126213726739847E-2</v>
      </c>
      <c r="E65" s="28">
        <v>-2.5157232615158676E-2</v>
      </c>
      <c r="F65" s="28">
        <v>2.9032257818906837E-2</v>
      </c>
      <c r="G65" s="28">
        <v>0.17241379337859986</v>
      </c>
      <c r="H65" s="28">
        <v>-5.0176422536083898E-2</v>
      </c>
      <c r="I65" s="28">
        <v>-7.999999999999996E-2</v>
      </c>
      <c r="J65" s="28">
        <v>-8.0745341614906874E-2</v>
      </c>
      <c r="K65" s="28">
        <v>5.7432432432432456E-2</v>
      </c>
      <c r="L65" s="28">
        <v>-5.7507987220447254E-2</v>
      </c>
      <c r="M65" s="28">
        <v>8.5052973588739533E-4</v>
      </c>
      <c r="N65" s="29"/>
      <c r="O65" s="28">
        <v>-0.14671814671814665</v>
      </c>
      <c r="P65" s="30" t="s">
        <v>58</v>
      </c>
      <c r="Q65" s="31"/>
      <c r="R65" s="28">
        <v>-0.1882548567305119</v>
      </c>
      <c r="T65" s="32"/>
      <c r="U65" s="32"/>
      <c r="V65" s="32"/>
      <c r="W65" s="32"/>
      <c r="X65" s="32"/>
      <c r="Y65" s="32"/>
      <c r="Z65" s="32"/>
      <c r="AA65" s="32"/>
      <c r="AB65" s="32"/>
      <c r="AC65" s="32"/>
      <c r="AD65" s="32"/>
      <c r="AE65" s="32"/>
    </row>
    <row r="66" spans="2:31" x14ac:dyDescent="0.25">
      <c r="B66" s="33" t="s">
        <v>59</v>
      </c>
      <c r="C66" s="28">
        <v>-6.0161327144271803E-2</v>
      </c>
      <c r="D66" s="28">
        <v>-0.12244897959183676</v>
      </c>
      <c r="E66" s="28">
        <v>-2.3255813953488413E-2</v>
      </c>
      <c r="F66" s="28">
        <v>-0.18809523809523809</v>
      </c>
      <c r="G66" s="28">
        <v>0.18768328445747806</v>
      </c>
      <c r="H66" s="28">
        <v>-0.1728395061728395</v>
      </c>
      <c r="I66" s="28">
        <v>8.9552238805970186E-2</v>
      </c>
      <c r="J66" s="28">
        <v>-6.438356164383563E-2</v>
      </c>
      <c r="K66" s="28">
        <v>0.15812591508052698</v>
      </c>
      <c r="L66" s="28">
        <v>5.1833122629582951E-2</v>
      </c>
      <c r="M66" s="28">
        <v>-5.8894230769230838E-2</v>
      </c>
      <c r="N66" s="29"/>
      <c r="O66" s="28">
        <v>-0.14687100893997451</v>
      </c>
      <c r="P66" s="30" t="s">
        <v>59</v>
      </c>
      <c r="Q66" s="31"/>
      <c r="R66" s="28">
        <v>-0.35937527197180974</v>
      </c>
      <c r="T66" s="32"/>
      <c r="U66" s="32"/>
      <c r="V66" s="32"/>
      <c r="W66" s="32"/>
      <c r="X66" s="32"/>
      <c r="Y66" s="32"/>
      <c r="Z66" s="32"/>
      <c r="AA66" s="32"/>
      <c r="AB66" s="32"/>
      <c r="AC66" s="32"/>
      <c r="AD66" s="32"/>
      <c r="AE66" s="32"/>
    </row>
    <row r="67" spans="2:31" x14ac:dyDescent="0.25">
      <c r="B67" s="33" t="s">
        <v>60</v>
      </c>
      <c r="C67" s="28">
        <v>9.1269841301296006E-2</v>
      </c>
      <c r="D67" s="28">
        <v>-3.6363636277110256E-2</v>
      </c>
      <c r="E67" s="28">
        <v>8.1132075518287827E-2</v>
      </c>
      <c r="F67" s="28">
        <v>-0.20244328104570308</v>
      </c>
      <c r="G67" s="28">
        <v>0.21444201312118749</v>
      </c>
      <c r="H67" s="28">
        <v>-0.12792792790377749</v>
      </c>
      <c r="I67" s="28">
        <v>-0.11157024797387294</v>
      </c>
      <c r="J67" s="28">
        <v>-5.348837194848477E-2</v>
      </c>
      <c r="K67" s="28">
        <v>5.4054054017462327E-2</v>
      </c>
      <c r="L67" s="28">
        <v>5.3070538067549577E-2</v>
      </c>
      <c r="M67" s="28">
        <v>-5.1569506726457326E-2</v>
      </c>
      <c r="N67" s="29"/>
      <c r="O67" s="28">
        <v>-0.14799040741368985</v>
      </c>
      <c r="P67" s="30" t="s">
        <v>60</v>
      </c>
      <c r="Q67" s="31"/>
      <c r="R67" s="28">
        <v>-0.27567377179027941</v>
      </c>
      <c r="T67" s="32"/>
      <c r="U67" s="32"/>
      <c r="V67" s="32"/>
      <c r="W67" s="32"/>
      <c r="X67" s="32"/>
      <c r="Y67" s="32"/>
      <c r="Z67" s="32"/>
      <c r="AA67" s="32"/>
      <c r="AB67" s="32"/>
      <c r="AC67" s="32"/>
      <c r="AD67" s="32"/>
      <c r="AE67" s="32"/>
    </row>
    <row r="68" spans="2:31" x14ac:dyDescent="0.25">
      <c r="B68" s="33" t="s">
        <v>61</v>
      </c>
      <c r="C68" s="28">
        <v>-0.2522070421286251</v>
      </c>
      <c r="D68" s="28">
        <v>-0.23769751693002261</v>
      </c>
      <c r="E68" s="28">
        <v>0.17234231566479119</v>
      </c>
      <c r="F68" s="28">
        <v>-0.12389492296034355</v>
      </c>
      <c r="G68" s="28">
        <v>6.8473403488539697E-2</v>
      </c>
      <c r="H68" s="28">
        <v>-0.1457722532786091</v>
      </c>
      <c r="I68" s="28">
        <v>-3.0379746835443089E-2</v>
      </c>
      <c r="J68" s="28">
        <v>0.16024804177545704</v>
      </c>
      <c r="K68" s="28">
        <v>8.1575246132208123E-2</v>
      </c>
      <c r="L68" s="28">
        <v>-3.3810143042912855E-2</v>
      </c>
      <c r="M68" s="28">
        <v>-0.16150740242261108</v>
      </c>
      <c r="N68" s="29"/>
      <c r="O68" s="28">
        <v>-0.1540930979133226</v>
      </c>
      <c r="P68" s="30" t="s">
        <v>61</v>
      </c>
      <c r="Q68" s="31"/>
      <c r="R68" s="28">
        <v>-0.55439477907278156</v>
      </c>
      <c r="T68" s="32"/>
      <c r="U68" s="32"/>
      <c r="V68" s="32"/>
      <c r="W68" s="32"/>
      <c r="X68" s="32"/>
      <c r="Y68" s="32"/>
      <c r="Z68" s="32"/>
      <c r="AA68" s="32"/>
      <c r="AB68" s="32"/>
      <c r="AC68" s="32"/>
      <c r="AD68" s="32"/>
      <c r="AE68" s="32"/>
    </row>
    <row r="69" spans="2:31" x14ac:dyDescent="0.25">
      <c r="B69" s="33" t="s">
        <v>62</v>
      </c>
      <c r="C69" s="28">
        <v>-0.1912769284071536</v>
      </c>
      <c r="D69" s="28">
        <v>-4.170141784820669E-3</v>
      </c>
      <c r="E69" s="28">
        <v>6.365159128978215E-2</v>
      </c>
      <c r="F69" s="28">
        <v>-0.13385826771653542</v>
      </c>
      <c r="G69" s="28">
        <v>0.45454545454545459</v>
      </c>
      <c r="H69" s="28">
        <v>-0.17500000000000004</v>
      </c>
      <c r="I69" s="28">
        <v>0.13560606060606073</v>
      </c>
      <c r="J69" s="28">
        <v>-6.1040693795863965E-2</v>
      </c>
      <c r="K69" s="28">
        <v>0.1936056838365896</v>
      </c>
      <c r="L69" s="28">
        <v>-0.13988095238095233</v>
      </c>
      <c r="M69" s="28">
        <v>-4.5328719723183419E-2</v>
      </c>
      <c r="N69" s="29"/>
      <c r="O69" s="28">
        <v>-0.1558535701341065</v>
      </c>
      <c r="P69" s="30" t="s">
        <v>62</v>
      </c>
      <c r="Q69" s="31"/>
      <c r="R69" s="28">
        <v>-0.21454710853221892</v>
      </c>
      <c r="T69" s="32"/>
      <c r="U69" s="32"/>
      <c r="V69" s="32"/>
      <c r="W69" s="32"/>
      <c r="X69" s="32"/>
      <c r="Y69" s="32"/>
      <c r="Z69" s="32"/>
      <c r="AA69" s="32"/>
      <c r="AB69" s="32"/>
      <c r="AC69" s="32"/>
      <c r="AD69" s="32"/>
      <c r="AE69" s="32"/>
    </row>
    <row r="70" spans="2:31" x14ac:dyDescent="0.25">
      <c r="B70" s="33" t="s">
        <v>63</v>
      </c>
      <c r="C70" s="28">
        <v>-3.9886039886039892E-2</v>
      </c>
      <c r="D70" s="28">
        <v>-0.19090009891196835</v>
      </c>
      <c r="E70" s="28">
        <v>0.28117359413202925</v>
      </c>
      <c r="F70" s="28">
        <v>-0.15648854961832059</v>
      </c>
      <c r="G70" s="28">
        <v>9.5022624434389025E-2</v>
      </c>
      <c r="H70" s="28">
        <v>-0.16425619834710747</v>
      </c>
      <c r="I70" s="28">
        <v>8.8998763906056988E-2</v>
      </c>
      <c r="J70" s="28">
        <v>9.967782356783883E-2</v>
      </c>
      <c r="K70" s="28">
        <v>0.26748057713651519</v>
      </c>
      <c r="L70" s="28">
        <v>-3.677758318739055E-2</v>
      </c>
      <c r="M70" s="28">
        <v>-0.16090909090909089</v>
      </c>
      <c r="N70" s="29"/>
      <c r="O70" s="28">
        <v>-0.15817984832069332</v>
      </c>
      <c r="P70" s="30" t="s">
        <v>63</v>
      </c>
      <c r="Q70" s="31"/>
      <c r="R70" s="28">
        <v>-0.20656887692407</v>
      </c>
      <c r="T70" s="32"/>
      <c r="U70" s="32"/>
      <c r="V70" s="32"/>
      <c r="W70" s="32"/>
      <c r="X70" s="32"/>
      <c r="Y70" s="32"/>
      <c r="Z70" s="32"/>
      <c r="AA70" s="32"/>
      <c r="AB70" s="32"/>
      <c r="AC70" s="32"/>
      <c r="AD70" s="32"/>
      <c r="AE70" s="32"/>
    </row>
    <row r="71" spans="2:31" x14ac:dyDescent="0.25">
      <c r="B71" s="33" t="s">
        <v>64</v>
      </c>
      <c r="C71" s="28">
        <v>-3.4739454094292799E-2</v>
      </c>
      <c r="D71" s="28">
        <v>-0.17737789203084831</v>
      </c>
      <c r="E71" s="28">
        <v>0.26874999999999982</v>
      </c>
      <c r="F71" s="28">
        <v>3.9408866995073843E-2</v>
      </c>
      <c r="G71" s="28">
        <v>6.3981042654028597E-2</v>
      </c>
      <c r="H71" s="28">
        <v>-0.20712694877505566</v>
      </c>
      <c r="I71" s="28">
        <v>-2.8089887640449507E-2</v>
      </c>
      <c r="J71" s="28">
        <v>-3.4682080924855474E-2</v>
      </c>
      <c r="K71" s="28">
        <v>3.8922155688622784E-2</v>
      </c>
      <c r="L71" s="28">
        <v>-5.187319884726227E-2</v>
      </c>
      <c r="M71" s="28">
        <v>9.1185410334346795E-3</v>
      </c>
      <c r="N71" s="29"/>
      <c r="O71" s="28">
        <v>-0.15963855421686746</v>
      </c>
      <c r="P71" s="30" t="s">
        <v>64</v>
      </c>
      <c r="Q71" s="31"/>
      <c r="R71" s="28">
        <v>-0.3076923076923076</v>
      </c>
      <c r="T71" s="32"/>
      <c r="U71" s="32"/>
      <c r="V71" s="32"/>
      <c r="W71" s="32"/>
      <c r="X71" s="32"/>
      <c r="Y71" s="32"/>
      <c r="Z71" s="32"/>
      <c r="AA71" s="32"/>
      <c r="AB71" s="32"/>
      <c r="AC71" s="32"/>
      <c r="AD71" s="32"/>
      <c r="AE71" s="32"/>
    </row>
    <row r="72" spans="2:31" x14ac:dyDescent="0.25">
      <c r="B72" s="33" t="s">
        <v>65</v>
      </c>
      <c r="C72" s="28">
        <v>7.5492828005235602E-2</v>
      </c>
      <c r="D72" s="28">
        <v>-0.15568862275449102</v>
      </c>
      <c r="E72" s="28">
        <v>0.11879432624113484</v>
      </c>
      <c r="F72" s="28">
        <v>0.137876386687797</v>
      </c>
      <c r="G72" s="28">
        <v>0.14623955431754876</v>
      </c>
      <c r="H72" s="28">
        <v>-0.172539489671932</v>
      </c>
      <c r="I72" s="28">
        <v>3.6710719530102853E-2</v>
      </c>
      <c r="J72" s="28">
        <v>-5.6657223796033995E-2</v>
      </c>
      <c r="K72" s="28">
        <v>0.15465465465465478</v>
      </c>
      <c r="L72" s="28">
        <v>3.5110533159947943E-2</v>
      </c>
      <c r="M72" s="28">
        <v>1.2562814070353756E-3</v>
      </c>
      <c r="N72" s="29"/>
      <c r="O72" s="28">
        <v>-0.16060225846925968</v>
      </c>
      <c r="P72" s="30" t="s">
        <v>65</v>
      </c>
      <c r="Q72" s="31"/>
      <c r="R72" s="28">
        <v>7.71028472088362E-2</v>
      </c>
      <c r="T72" s="32"/>
      <c r="U72" s="32"/>
      <c r="V72" s="32"/>
      <c r="W72" s="32"/>
      <c r="X72" s="32"/>
      <c r="Y72" s="32"/>
      <c r="Z72" s="32"/>
      <c r="AA72" s="32"/>
      <c r="AB72" s="32"/>
      <c r="AC72" s="32"/>
      <c r="AD72" s="32"/>
      <c r="AE72" s="32"/>
    </row>
    <row r="73" spans="2:31" x14ac:dyDescent="0.25">
      <c r="B73" s="33" t="s">
        <v>66</v>
      </c>
      <c r="C73" s="28">
        <v>-6.2499999999999778E-3</v>
      </c>
      <c r="D73" s="28">
        <v>8.4905660377358361E-2</v>
      </c>
      <c r="E73" s="28">
        <v>7.2463768115942129E-2</v>
      </c>
      <c r="F73" s="28">
        <v>-2.3423423423423406E-2</v>
      </c>
      <c r="G73" s="28">
        <v>0.14944649446494451</v>
      </c>
      <c r="H73" s="28">
        <v>-0.15730337078651679</v>
      </c>
      <c r="I73" s="28">
        <v>-1.4285714285714235E-2</v>
      </c>
      <c r="J73" s="28">
        <v>-7.7294685990338174E-2</v>
      </c>
      <c r="K73" s="28">
        <v>2.6178010471204161E-2</v>
      </c>
      <c r="L73" s="28">
        <v>-3.0612244897959218E-2</v>
      </c>
      <c r="M73" s="28">
        <v>-0.10526315789473684</v>
      </c>
      <c r="N73" s="29"/>
      <c r="O73" s="28">
        <v>-0.16470588235294115</v>
      </c>
      <c r="P73" s="30" t="s">
        <v>66</v>
      </c>
      <c r="Q73" s="31"/>
      <c r="R73" s="28">
        <v>-0.26041666666666685</v>
      </c>
      <c r="T73" s="32"/>
      <c r="U73" s="32"/>
      <c r="V73" s="32"/>
      <c r="W73" s="32"/>
      <c r="X73" s="32"/>
      <c r="Y73" s="32"/>
      <c r="Z73" s="32"/>
      <c r="AA73" s="32"/>
      <c r="AB73" s="32"/>
      <c r="AC73" s="32"/>
      <c r="AD73" s="32"/>
      <c r="AE73" s="32"/>
    </row>
    <row r="74" spans="2:31" x14ac:dyDescent="0.25">
      <c r="B74" s="33" t="s">
        <v>67</v>
      </c>
      <c r="C74" s="28">
        <v>9.3023255878341704E-2</v>
      </c>
      <c r="D74" s="28">
        <v>0.30228339497973988</v>
      </c>
      <c r="E74" s="28">
        <v>-4.6004842615012032E-2</v>
      </c>
      <c r="F74" s="28">
        <v>0.1675126903553299</v>
      </c>
      <c r="G74" s="28">
        <v>-1.7391304347826098E-2</v>
      </c>
      <c r="H74" s="28">
        <v>-0.1836283185840708</v>
      </c>
      <c r="I74" s="28">
        <v>8.8510398355075237E-2</v>
      </c>
      <c r="J74" s="28">
        <v>-8.9473684210526261E-2</v>
      </c>
      <c r="K74" s="28">
        <v>0.10115606936416177</v>
      </c>
      <c r="L74" s="28">
        <v>-1.8372703412073532E-2</v>
      </c>
      <c r="M74" s="28">
        <v>-7.7540106951871635E-2</v>
      </c>
      <c r="N74" s="29"/>
      <c r="O74" s="28">
        <v>-0.16521739130434776</v>
      </c>
      <c r="P74" s="30" t="s">
        <v>67</v>
      </c>
      <c r="Q74" s="31"/>
      <c r="R74" s="28">
        <v>4.9186498461445849E-2</v>
      </c>
      <c r="T74" s="32"/>
      <c r="U74" s="32"/>
      <c r="V74" s="32"/>
      <c r="W74" s="32"/>
      <c r="X74" s="32"/>
      <c r="Y74" s="32"/>
      <c r="Z74" s="32"/>
      <c r="AA74" s="32"/>
      <c r="AB74" s="32"/>
      <c r="AC74" s="32"/>
      <c r="AD74" s="32"/>
      <c r="AE74" s="32"/>
    </row>
    <row r="75" spans="2:31" x14ac:dyDescent="0.25">
      <c r="B75" s="33" t="s">
        <v>68</v>
      </c>
      <c r="C75" s="28">
        <v>-0.12213740458015265</v>
      </c>
      <c r="D75" s="28">
        <v>-0.15652173913043488</v>
      </c>
      <c r="E75" s="28">
        <v>4.1237113402061931E-2</v>
      </c>
      <c r="F75" s="28">
        <v>-0.1633663366336634</v>
      </c>
      <c r="G75" s="28">
        <v>0.4023668639053255</v>
      </c>
      <c r="H75" s="28">
        <v>-0.27426160337552741</v>
      </c>
      <c r="I75" s="28">
        <v>-8.1395348837209225E-2</v>
      </c>
      <c r="J75" s="28">
        <v>-7.8481012658227822E-2</v>
      </c>
      <c r="K75" s="28">
        <v>-9.3406593406593519E-2</v>
      </c>
      <c r="L75" s="28">
        <v>-0.12878787878787878</v>
      </c>
      <c r="M75" s="28">
        <v>-0.20869565217391306</v>
      </c>
      <c r="N75" s="29"/>
      <c r="O75" s="28">
        <v>-0.16703296703296699</v>
      </c>
      <c r="P75" s="30" t="s">
        <v>68</v>
      </c>
      <c r="Q75" s="31"/>
      <c r="R75" s="28">
        <v>-0.71068702290076335</v>
      </c>
      <c r="T75" s="32"/>
      <c r="U75" s="32"/>
      <c r="V75" s="32"/>
      <c r="W75" s="32"/>
      <c r="X75" s="32"/>
      <c r="Y75" s="32"/>
      <c r="Z75" s="32"/>
      <c r="AA75" s="32"/>
      <c r="AB75" s="32"/>
      <c r="AC75" s="32"/>
      <c r="AD75" s="32"/>
      <c r="AE75" s="32"/>
    </row>
    <row r="76" spans="2:31" x14ac:dyDescent="0.25">
      <c r="B76" s="33" t="s">
        <v>69</v>
      </c>
      <c r="C76" s="28">
        <v>-0.11441525536738217</v>
      </c>
      <c r="D76" s="28">
        <v>3.8397831651859615E-2</v>
      </c>
      <c r="E76" s="28">
        <v>0.11861948955916479</v>
      </c>
      <c r="F76" s="28">
        <v>-3.9927404718693382E-2</v>
      </c>
      <c r="G76" s="28">
        <v>-2.8220361868754984E-2</v>
      </c>
      <c r="H76" s="28">
        <v>-6.5443934972905349E-2</v>
      </c>
      <c r="I76" s="28">
        <v>7.0918822479928645E-2</v>
      </c>
      <c r="J76" s="28">
        <v>5.0673330556712637E-2</v>
      </c>
      <c r="K76" s="28">
        <v>1.0835095137420758E-2</v>
      </c>
      <c r="L76" s="28">
        <v>-6.9281045751633963E-2</v>
      </c>
      <c r="M76" s="28">
        <v>-9.550561797752799E-2</v>
      </c>
      <c r="N76" s="29"/>
      <c r="O76" s="28">
        <v>-0.1677603064784734</v>
      </c>
      <c r="P76" s="30" t="s">
        <v>69</v>
      </c>
      <c r="Q76" s="31"/>
      <c r="R76" s="28">
        <v>-0.28528822159239475</v>
      </c>
      <c r="T76" s="32"/>
      <c r="U76" s="32"/>
      <c r="V76" s="32"/>
      <c r="W76" s="32"/>
      <c r="X76" s="32"/>
      <c r="Y76" s="32"/>
      <c r="Z76" s="32"/>
      <c r="AA76" s="32"/>
      <c r="AB76" s="32"/>
      <c r="AC76" s="32"/>
      <c r="AD76" s="32"/>
      <c r="AE76" s="32"/>
    </row>
    <row r="77" spans="2:31" x14ac:dyDescent="0.25">
      <c r="B77" s="33" t="s">
        <v>70</v>
      </c>
      <c r="C77" s="28">
        <v>-0.12958115183246077</v>
      </c>
      <c r="D77" s="28">
        <v>-0.26315789473684215</v>
      </c>
      <c r="E77" s="28">
        <v>0.18367346938775508</v>
      </c>
      <c r="F77" s="28">
        <v>-0.13793103448275867</v>
      </c>
      <c r="G77" s="28">
        <v>0.49199999999999999</v>
      </c>
      <c r="H77" s="28">
        <v>-8.8471849865951691E-2</v>
      </c>
      <c r="I77" s="28">
        <v>2.2058823529411686E-2</v>
      </c>
      <c r="J77" s="28">
        <v>-0.10935251798561152</v>
      </c>
      <c r="K77" s="28">
        <v>0.16316639741518579</v>
      </c>
      <c r="L77" s="28">
        <v>-0.12361111111111112</v>
      </c>
      <c r="M77" s="28">
        <v>-0.150554675118859</v>
      </c>
      <c r="N77" s="29"/>
      <c r="O77" s="28">
        <v>-0.1800373134328358</v>
      </c>
      <c r="P77" s="30" t="s">
        <v>70</v>
      </c>
      <c r="Q77" s="31"/>
      <c r="R77" s="28">
        <v>-0.42473821989528793</v>
      </c>
      <c r="T77" s="32"/>
      <c r="U77" s="32"/>
      <c r="V77" s="32"/>
      <c r="W77" s="32"/>
      <c r="X77" s="32"/>
      <c r="Y77" s="32"/>
      <c r="Z77" s="32"/>
      <c r="AA77" s="32"/>
      <c r="AB77" s="32"/>
      <c r="AC77" s="32"/>
      <c r="AD77" s="32"/>
      <c r="AE77" s="32"/>
    </row>
    <row r="78" spans="2:31" x14ac:dyDescent="0.25">
      <c r="B78" s="33" t="s">
        <v>71</v>
      </c>
      <c r="C78" s="28">
        <v>0.21830985915492973</v>
      </c>
      <c r="D78" s="28">
        <v>8.0924855491329328E-2</v>
      </c>
      <c r="E78" s="28">
        <v>9.625668449197855E-2</v>
      </c>
      <c r="F78" s="28">
        <v>0.38536585365853648</v>
      </c>
      <c r="G78" s="28">
        <v>-0.22887323943661975</v>
      </c>
      <c r="H78" s="28">
        <v>-0.33789954337899542</v>
      </c>
      <c r="I78" s="28">
        <v>-4.8275862068965503E-2</v>
      </c>
      <c r="J78" s="28">
        <v>-1.449275362318847E-2</v>
      </c>
      <c r="K78" s="28">
        <v>-0.11764705882352944</v>
      </c>
      <c r="L78" s="28">
        <v>-0.12916666666666676</v>
      </c>
      <c r="M78" s="28">
        <v>-0.23062200956937806</v>
      </c>
      <c r="N78" s="29"/>
      <c r="O78" s="28">
        <v>-0.19278606965174117</v>
      </c>
      <c r="P78" s="30" t="s">
        <v>71</v>
      </c>
      <c r="Q78" s="31"/>
      <c r="R78" s="28">
        <v>-0.5429577464788734</v>
      </c>
      <c r="T78" s="32"/>
      <c r="U78" s="32"/>
      <c r="V78" s="32"/>
      <c r="W78" s="32"/>
      <c r="X78" s="32"/>
      <c r="Y78" s="32"/>
      <c r="Z78" s="32"/>
      <c r="AA78" s="32"/>
      <c r="AB78" s="32"/>
      <c r="AC78" s="32"/>
      <c r="AD78" s="32"/>
      <c r="AE78" s="32"/>
    </row>
    <row r="79" spans="2:31" x14ac:dyDescent="0.25">
      <c r="B79" s="33" t="s">
        <v>72</v>
      </c>
      <c r="C79" s="28">
        <v>0.10394736842105279</v>
      </c>
      <c r="D79" s="28">
        <v>-0.15375446960667472</v>
      </c>
      <c r="E79" s="28">
        <v>-1.4084507042253502E-2</v>
      </c>
      <c r="F79" s="28">
        <v>4.2857142857142927E-2</v>
      </c>
      <c r="G79" s="28">
        <v>9.5890410958904049E-2</v>
      </c>
      <c r="H79" s="28">
        <v>-0.17500000000000004</v>
      </c>
      <c r="I79" s="28">
        <v>-9.0909090909090828E-2</v>
      </c>
      <c r="J79" s="28">
        <v>5.0000000000000044E-2</v>
      </c>
      <c r="K79" s="28">
        <v>-9.5238095238095233E-2</v>
      </c>
      <c r="L79" s="28">
        <v>3.5087719298245723E-2</v>
      </c>
      <c r="M79" s="28">
        <v>-5.0847457627118731E-2</v>
      </c>
      <c r="N79" s="29"/>
      <c r="O79" s="28">
        <v>-0.19464285714285712</v>
      </c>
      <c r="P79" s="30" t="s">
        <v>72</v>
      </c>
      <c r="Q79" s="31"/>
      <c r="R79" s="28">
        <v>-0.40657894736842093</v>
      </c>
      <c r="T79" s="32"/>
      <c r="U79" s="32"/>
      <c r="V79" s="32"/>
      <c r="W79" s="32"/>
      <c r="X79" s="32"/>
      <c r="Y79" s="32"/>
      <c r="Z79" s="32"/>
      <c r="AA79" s="32"/>
      <c r="AB79" s="32"/>
      <c r="AC79" s="32"/>
      <c r="AD79" s="32"/>
      <c r="AE79" s="32"/>
    </row>
    <row r="80" spans="2:31" x14ac:dyDescent="0.25">
      <c r="B80" s="33" t="s">
        <v>73</v>
      </c>
      <c r="C80" s="28">
        <v>6.0908084163898035E-2</v>
      </c>
      <c r="D80" s="28">
        <v>-0.14509394572025047</v>
      </c>
      <c r="E80" s="28">
        <v>0.13431013431013428</v>
      </c>
      <c r="F80" s="28">
        <v>-2.1528525296017342E-3</v>
      </c>
      <c r="G80" s="28">
        <v>9.9244875943905075E-2</v>
      </c>
      <c r="H80" s="28">
        <v>-6.3788027477919562E-2</v>
      </c>
      <c r="I80" s="28">
        <v>0.12683438155136262</v>
      </c>
      <c r="J80" s="28">
        <v>-0.13023255813953494</v>
      </c>
      <c r="K80" s="28">
        <v>0.1390374331550801</v>
      </c>
      <c r="L80" s="28">
        <v>-4.6948356807511749E-2</v>
      </c>
      <c r="M80" s="28">
        <v>-5.2216748768472931E-2</v>
      </c>
      <c r="N80" s="29"/>
      <c r="O80" s="28">
        <v>-0.19542619542619544</v>
      </c>
      <c r="P80" s="30" t="s">
        <v>73</v>
      </c>
      <c r="Q80" s="31"/>
      <c r="R80" s="28">
        <v>-0.14285714285714324</v>
      </c>
      <c r="T80" s="32"/>
      <c r="U80" s="32"/>
      <c r="V80" s="32"/>
      <c r="W80" s="32"/>
      <c r="X80" s="32"/>
      <c r="Y80" s="32"/>
      <c r="Z80" s="32"/>
      <c r="AA80" s="32"/>
      <c r="AB80" s="32"/>
      <c r="AC80" s="32"/>
      <c r="AD80" s="32"/>
      <c r="AE80" s="32"/>
    </row>
    <row r="81" spans="2:31" x14ac:dyDescent="0.25">
      <c r="B81" s="33" t="s">
        <v>74</v>
      </c>
      <c r="C81" s="28">
        <v>-0.28609821646713907</v>
      </c>
      <c r="D81" s="28">
        <v>3.2511978097193639E-2</v>
      </c>
      <c r="E81" s="28">
        <v>0.14352005303281401</v>
      </c>
      <c r="F81" s="28">
        <v>-0.16072463768115941</v>
      </c>
      <c r="G81" s="28">
        <v>0.16646520462787073</v>
      </c>
      <c r="H81" s="28">
        <v>-0.14537379718726873</v>
      </c>
      <c r="I81" s="28">
        <v>-7.9681274900398447E-2</v>
      </c>
      <c r="J81" s="28">
        <v>-0.10239036325992845</v>
      </c>
      <c r="K81" s="28">
        <v>0.14908785908995603</v>
      </c>
      <c r="L81" s="28">
        <v>-5.6569343065693389E-2</v>
      </c>
      <c r="M81" s="28">
        <v>-0.13442940038684714</v>
      </c>
      <c r="N81" s="29"/>
      <c r="O81" s="28">
        <v>-0.20223463687150833</v>
      </c>
      <c r="P81" s="34" t="s">
        <v>74</v>
      </c>
      <c r="Q81" s="31"/>
      <c r="R81" s="28">
        <v>-0.56388956755436115</v>
      </c>
      <c r="T81" s="32"/>
      <c r="U81" s="32"/>
      <c r="V81" s="32"/>
      <c r="W81" s="32"/>
      <c r="X81" s="32"/>
      <c r="Y81" s="32"/>
      <c r="Z81" s="32"/>
      <c r="AA81" s="32"/>
      <c r="AB81" s="32"/>
      <c r="AC81" s="32"/>
      <c r="AD81" s="32"/>
      <c r="AE81" s="32"/>
    </row>
    <row r="82" spans="2:31" x14ac:dyDescent="0.25">
      <c r="B82" s="33" t="s">
        <v>75</v>
      </c>
      <c r="C82" s="28">
        <v>4.1300527240773377E-2</v>
      </c>
      <c r="D82" s="28">
        <v>-0.25822784810126576</v>
      </c>
      <c r="E82" s="28">
        <v>0.41524459613196818</v>
      </c>
      <c r="F82" s="28">
        <v>-0.21141479099678462</v>
      </c>
      <c r="G82" s="28">
        <v>0.32925586136595331</v>
      </c>
      <c r="H82" s="28">
        <v>-0.22852760736196331</v>
      </c>
      <c r="I82" s="28">
        <v>2.1868787276341894E-2</v>
      </c>
      <c r="J82" s="28">
        <v>0.10019455252918275</v>
      </c>
      <c r="K82" s="28">
        <v>0.17948717948717952</v>
      </c>
      <c r="L82" s="28">
        <v>6.1469265367316339E-2</v>
      </c>
      <c r="M82" s="28">
        <v>-8.4745762711864403E-2</v>
      </c>
      <c r="N82" s="29"/>
      <c r="O82" s="28">
        <v>-0.20679012345679015</v>
      </c>
      <c r="P82" s="30" t="s">
        <v>75</v>
      </c>
      <c r="Q82" s="31"/>
      <c r="R82" s="28">
        <v>-9.666080843585223E-2</v>
      </c>
      <c r="T82" s="32"/>
      <c r="U82" s="32"/>
      <c r="V82" s="32"/>
      <c r="W82" s="32"/>
      <c r="X82" s="32"/>
      <c r="Y82" s="32"/>
      <c r="Z82" s="32"/>
      <c r="AA82" s="32"/>
      <c r="AB82" s="32"/>
      <c r="AC82" s="32"/>
      <c r="AD82" s="32"/>
      <c r="AE82" s="32"/>
    </row>
    <row r="83" spans="2:31" x14ac:dyDescent="0.25">
      <c r="B83" s="33" t="s">
        <v>76</v>
      </c>
      <c r="C83" s="28">
        <v>-6.6326530720096422E-2</v>
      </c>
      <c r="D83" s="28">
        <v>-0.16939890712259631</v>
      </c>
      <c r="E83" s="28">
        <v>0.16447368434162213</v>
      </c>
      <c r="F83" s="28">
        <v>-5.084745764900811E-2</v>
      </c>
      <c r="G83" s="28">
        <v>4.7619047659543501E-2</v>
      </c>
      <c r="H83" s="28">
        <v>2.2727272664545772E-2</v>
      </c>
      <c r="I83" s="28">
        <v>4.4457445796832751E-3</v>
      </c>
      <c r="J83" s="28">
        <v>-4.49438202247191E-2</v>
      </c>
      <c r="K83" s="28">
        <v>4.705882352941182E-2</v>
      </c>
      <c r="L83" s="28">
        <v>5.6179775280898792E-2</v>
      </c>
      <c r="M83" s="28">
        <v>-4.233487376761591E-2</v>
      </c>
      <c r="N83" s="29"/>
      <c r="O83" s="28">
        <v>-0.21718750000000009</v>
      </c>
      <c r="P83" s="30" t="s">
        <v>76</v>
      </c>
      <c r="Q83" s="31"/>
      <c r="R83" s="28">
        <v>-0.26961442320710061</v>
      </c>
      <c r="T83" s="32"/>
      <c r="U83" s="32"/>
      <c r="V83" s="32"/>
      <c r="W83" s="32"/>
      <c r="X83" s="32"/>
      <c r="Y83" s="32"/>
      <c r="Z83" s="32"/>
      <c r="AA83" s="32"/>
      <c r="AB83" s="32"/>
      <c r="AC83" s="32"/>
      <c r="AD83" s="32"/>
      <c r="AE83" s="32"/>
    </row>
    <row r="84" spans="2:31" x14ac:dyDescent="0.25">
      <c r="B84" s="33" t="s">
        <v>77</v>
      </c>
      <c r="C84" s="28">
        <v>-0.17063870352716881</v>
      </c>
      <c r="D84" s="28">
        <v>-4.5977011494252817E-2</v>
      </c>
      <c r="E84" s="28">
        <v>6.024096385542177E-2</v>
      </c>
      <c r="F84" s="28">
        <v>-9.5454545454545459E-2</v>
      </c>
      <c r="G84" s="28">
        <v>0.23869346733668317</v>
      </c>
      <c r="H84" s="28">
        <v>-0.19066937119675442</v>
      </c>
      <c r="I84" s="28">
        <v>-3.2581453634085267E-2</v>
      </c>
      <c r="J84" s="28">
        <v>-9.3264248704663322E-2</v>
      </c>
      <c r="K84" s="28">
        <v>0.21381564972517197</v>
      </c>
      <c r="L84" s="28">
        <v>-6.9047619047619024E-2</v>
      </c>
      <c r="M84" s="28">
        <v>-6.9053708439897776E-2</v>
      </c>
      <c r="N84" s="29"/>
      <c r="O84" s="28">
        <v>-0.24175824175824168</v>
      </c>
      <c r="P84" s="30" t="s">
        <v>77</v>
      </c>
      <c r="Q84" s="31"/>
      <c r="R84" s="28">
        <v>-0.46772621651708401</v>
      </c>
      <c r="T84" s="32"/>
      <c r="U84" s="32"/>
      <c r="V84" s="32"/>
      <c r="W84" s="32"/>
      <c r="X84" s="32"/>
      <c r="Y84" s="32"/>
      <c r="Z84" s="32"/>
      <c r="AA84" s="32"/>
      <c r="AB84" s="32"/>
      <c r="AC84" s="32"/>
      <c r="AD84" s="32"/>
      <c r="AE84" s="32"/>
    </row>
    <row r="85" spans="2:31" x14ac:dyDescent="0.25">
      <c r="B85" s="33" t="s">
        <v>78</v>
      </c>
      <c r="C85" s="28">
        <v>-2.3728813559322104E-2</v>
      </c>
      <c r="D85" s="28">
        <v>-7.986111111111116E-2</v>
      </c>
      <c r="E85" s="28">
        <v>0.11698113207547167</v>
      </c>
      <c r="F85" s="28">
        <v>-6.7567567567567544E-2</v>
      </c>
      <c r="G85" s="28">
        <v>0.22101449275362328</v>
      </c>
      <c r="H85" s="28">
        <v>-7.4183976261127604E-2</v>
      </c>
      <c r="I85" s="28">
        <v>-4.8076923076923128E-2</v>
      </c>
      <c r="J85" s="28">
        <v>-0.11111111111111105</v>
      </c>
      <c r="K85" s="28">
        <v>0.14772727272727271</v>
      </c>
      <c r="L85" s="28">
        <v>-3.6303630363036299E-2</v>
      </c>
      <c r="M85" s="28">
        <v>6.8493150684931559E-2</v>
      </c>
      <c r="N85" s="29"/>
      <c r="O85" s="28">
        <v>-0.24761381392860848</v>
      </c>
      <c r="P85" s="30" t="s">
        <v>78</v>
      </c>
      <c r="Q85" s="31"/>
      <c r="R85" s="28">
        <v>-0.20425596591771444</v>
      </c>
      <c r="T85" s="32"/>
      <c r="U85" s="32"/>
      <c r="V85" s="32"/>
      <c r="W85" s="32"/>
      <c r="X85" s="32"/>
      <c r="Y85" s="32"/>
      <c r="Z85" s="32"/>
      <c r="AA85" s="32"/>
      <c r="AB85" s="32"/>
      <c r="AC85" s="32"/>
      <c r="AD85" s="32"/>
      <c r="AE85" s="32"/>
    </row>
    <row r="86" spans="2:31" x14ac:dyDescent="0.25">
      <c r="B86" s="33" t="s">
        <v>79</v>
      </c>
      <c r="C86" s="28">
        <v>-2.5423728813559254E-2</v>
      </c>
      <c r="D86" s="28">
        <v>-0.28434782608695652</v>
      </c>
      <c r="E86" s="28">
        <v>0.12636695018225996</v>
      </c>
      <c r="F86" s="28">
        <v>-0.1655614302286107</v>
      </c>
      <c r="G86" s="28">
        <v>0.28243243243243255</v>
      </c>
      <c r="H86" s="28">
        <v>-0.20021074815595363</v>
      </c>
      <c r="I86" s="28">
        <v>-0.10408432147562585</v>
      </c>
      <c r="J86" s="28">
        <v>-0.10735294117647054</v>
      </c>
      <c r="K86" s="28">
        <v>0.21911037891268537</v>
      </c>
      <c r="L86" s="28">
        <v>-0.12432432432432439</v>
      </c>
      <c r="M86" s="28">
        <v>-0.1728395061728395</v>
      </c>
      <c r="N86" s="29"/>
      <c r="O86" s="28">
        <v>-0.25559701492537323</v>
      </c>
      <c r="P86" s="30" t="s">
        <v>79</v>
      </c>
      <c r="Q86" s="31"/>
      <c r="R86" s="28">
        <v>-0.64654569730067224</v>
      </c>
      <c r="T86" s="32"/>
      <c r="U86" s="32"/>
      <c r="V86" s="32"/>
      <c r="W86" s="32"/>
      <c r="X86" s="32"/>
      <c r="Y86" s="32"/>
      <c r="Z86" s="32"/>
      <c r="AA86" s="32"/>
      <c r="AB86" s="32"/>
      <c r="AC86" s="32"/>
      <c r="AD86" s="32"/>
      <c r="AE86" s="32"/>
    </row>
    <row r="87" spans="2:31" x14ac:dyDescent="0.25">
      <c r="B87" s="33" t="s">
        <v>80</v>
      </c>
      <c r="C87" s="28">
        <v>-0.12763596004439515</v>
      </c>
      <c r="D87" s="28">
        <v>-0.24045801526717547</v>
      </c>
      <c r="E87" s="28">
        <v>0.23618090452261287</v>
      </c>
      <c r="F87" s="28">
        <v>-0.18699186991869921</v>
      </c>
      <c r="G87" s="28">
        <v>0.25499999999999989</v>
      </c>
      <c r="H87" s="28">
        <v>-0.20053120849933592</v>
      </c>
      <c r="I87" s="28">
        <v>-6.8106312292358862E-2</v>
      </c>
      <c r="J87" s="28">
        <v>-5.5258467023172941E-2</v>
      </c>
      <c r="K87" s="28">
        <v>0.15660377358490551</v>
      </c>
      <c r="L87" s="28">
        <v>-0.12234910277324629</v>
      </c>
      <c r="M87" s="28">
        <v>-0.15241635687732336</v>
      </c>
      <c r="N87" s="29"/>
      <c r="O87" s="28">
        <v>-0.26315789473684215</v>
      </c>
      <c r="P87" s="30" t="s">
        <v>80</v>
      </c>
      <c r="Q87" s="31"/>
      <c r="R87" s="28">
        <v>-0.62708102108768038</v>
      </c>
      <c r="T87" s="32"/>
      <c r="U87" s="32"/>
      <c r="V87" s="32"/>
      <c r="W87" s="32"/>
      <c r="X87" s="32"/>
      <c r="Y87" s="32"/>
      <c r="Z87" s="32"/>
      <c r="AA87" s="32"/>
      <c r="AB87" s="32"/>
      <c r="AC87" s="32"/>
      <c r="AD87" s="32"/>
      <c r="AE87" s="32"/>
    </row>
    <row r="88" spans="2:31" x14ac:dyDescent="0.25">
      <c r="B88" s="35" t="s">
        <v>81</v>
      </c>
      <c r="C88" s="28">
        <v>-6.442021803766107E-2</v>
      </c>
      <c r="D88" s="28">
        <v>-0.12076271186440679</v>
      </c>
      <c r="E88" s="28">
        <v>0.20481927710843384</v>
      </c>
      <c r="F88" s="28">
        <v>-6.4000000000000057E-2</v>
      </c>
      <c r="G88" s="28">
        <v>8.5470085470085388E-2</v>
      </c>
      <c r="H88" s="28">
        <v>-0.15354330708661412</v>
      </c>
      <c r="I88" s="28">
        <v>-5.6976744186046591E-2</v>
      </c>
      <c r="J88" s="28">
        <v>-5.6720098643649797E-2</v>
      </c>
      <c r="K88" s="28">
        <v>0.1869281045751634</v>
      </c>
      <c r="L88" s="28">
        <v>-0.12334801762114544</v>
      </c>
      <c r="M88" s="28">
        <v>-0.13567839195979892</v>
      </c>
      <c r="N88" s="29"/>
      <c r="O88" s="28">
        <v>-0.27906976744186041</v>
      </c>
      <c r="P88" s="36" t="s">
        <v>81</v>
      </c>
      <c r="Q88" s="37"/>
      <c r="R88" s="28">
        <v>-0.50842418235877096</v>
      </c>
      <c r="T88" s="32"/>
      <c r="U88" s="32"/>
      <c r="V88" s="32"/>
      <c r="W88" s="32"/>
      <c r="X88" s="32"/>
      <c r="Y88" s="32"/>
      <c r="Z88" s="32"/>
      <c r="AA88" s="32"/>
      <c r="AB88" s="32"/>
      <c r="AC88" s="32"/>
      <c r="AD88" s="32"/>
      <c r="AE88" s="32"/>
    </row>
    <row r="89" spans="2:31" x14ac:dyDescent="0.25">
      <c r="B89" s="38"/>
      <c r="O89" s="39"/>
      <c r="P89" s="30"/>
    </row>
    <row r="90" spans="2:31" x14ac:dyDescent="0.25">
      <c r="B90" s="38"/>
      <c r="O90" s="31"/>
      <c r="P90" s="30"/>
    </row>
    <row r="91" spans="2:31" x14ac:dyDescent="0.25">
      <c r="O91" s="31"/>
      <c r="P91" s="30"/>
    </row>
    <row r="92" spans="2:31" x14ac:dyDescent="0.25">
      <c r="M92" s="40"/>
    </row>
    <row r="93" spans="2:31" x14ac:dyDescent="0.25">
      <c r="M93" s="40"/>
    </row>
    <row r="94" spans="2:31" x14ac:dyDescent="0.25">
      <c r="M94" s="40"/>
    </row>
    <row r="95" spans="2:31" x14ac:dyDescent="0.25">
      <c r="M95" s="40"/>
    </row>
    <row r="96" spans="2:31" x14ac:dyDescent="0.25">
      <c r="M96" s="40"/>
    </row>
    <row r="97" spans="5:13" x14ac:dyDescent="0.25">
      <c r="M97" s="40"/>
    </row>
    <row r="98" spans="5:13" x14ac:dyDescent="0.25">
      <c r="M98" s="40"/>
    </row>
    <row r="99" spans="5:13" x14ac:dyDescent="0.25">
      <c r="M99" s="40"/>
    </row>
    <row r="100" spans="5:13" x14ac:dyDescent="0.25">
      <c r="M100" s="40"/>
    </row>
    <row r="101" spans="5:13" x14ac:dyDescent="0.25">
      <c r="E101" s="40"/>
    </row>
    <row r="102" spans="5:13" x14ac:dyDescent="0.25">
      <c r="E102" s="40"/>
    </row>
    <row r="103" spans="5:13" x14ac:dyDescent="0.25">
      <c r="E103" s="40"/>
    </row>
    <row r="104" spans="5:13" x14ac:dyDescent="0.25">
      <c r="E104" s="40"/>
    </row>
    <row r="105" spans="5:13" x14ac:dyDescent="0.25">
      <c r="E105" s="40"/>
    </row>
    <row r="106" spans="5:13" x14ac:dyDescent="0.25">
      <c r="E106" s="40"/>
    </row>
    <row r="107" spans="5:13" x14ac:dyDescent="0.25">
      <c r="E107" s="40"/>
    </row>
    <row r="108" spans="5:13" x14ac:dyDescent="0.25">
      <c r="E108" s="40"/>
    </row>
    <row r="109" spans="5:13" x14ac:dyDescent="0.25">
      <c r="E109" s="40"/>
    </row>
  </sheetData>
  <mergeCells count="17">
    <mergeCell ref="R12:R13"/>
    <mergeCell ref="K12:K13"/>
    <mergeCell ref="L12:L13"/>
    <mergeCell ref="M12:M13"/>
    <mergeCell ref="O12:O13"/>
    <mergeCell ref="P12:P13"/>
    <mergeCell ref="Q12:Q13"/>
    <mergeCell ref="C11:M11"/>
    <mergeCell ref="B12:B13"/>
    <mergeCell ref="C12:C13"/>
    <mergeCell ref="D12:D13"/>
    <mergeCell ref="E12:E13"/>
    <mergeCell ref="F12:F13"/>
    <mergeCell ref="G12:G13"/>
    <mergeCell ref="H12:H13"/>
    <mergeCell ref="I12:I13"/>
    <mergeCell ref="J12:J13"/>
  </mergeCells>
  <conditionalFormatting sqref="C9:K9">
    <cfRule type="expression" dxfId="35" priority="28">
      <formula>C9&lt;-0.175</formula>
    </cfRule>
    <cfRule type="expression" dxfId="34" priority="29">
      <formula>AND(C9&lt;-0.125,C9&gt;=-0.175)</formula>
    </cfRule>
    <cfRule type="expression" dxfId="33" priority="30">
      <formula>AND(C9&lt;-0.075,C9&gt;=-0.125)</formula>
    </cfRule>
    <cfRule type="expression" dxfId="32" priority="31">
      <formula>AND(C9&lt;-0.025,C9&gt;=-0.075)</formula>
    </cfRule>
    <cfRule type="expression" dxfId="31" priority="32">
      <formula>C9&gt;0.175</formula>
    </cfRule>
    <cfRule type="expression" dxfId="30" priority="33">
      <formula>AND(C9&lt;0.175,C9&gt;=0.125)</formula>
    </cfRule>
    <cfRule type="expression" dxfId="29" priority="34">
      <formula>AND(C9&lt;0.125,C9&gt;=0.075)</formula>
    </cfRule>
    <cfRule type="expression" dxfId="28" priority="35">
      <formula>AND(C9&lt;0.075,C9&gt;=0.025)</formula>
    </cfRule>
    <cfRule type="expression" dxfId="27" priority="36">
      <formula>AND(C9&lt;0.025,C9&gt;-0.025)</formula>
    </cfRule>
  </conditionalFormatting>
  <conditionalFormatting sqref="C14:M88">
    <cfRule type="expression" dxfId="26" priority="19">
      <formula>C14&lt;-0.175</formula>
    </cfRule>
    <cfRule type="expression" dxfId="25" priority="20">
      <formula>AND(C14&lt;-0.125,C14&gt;=-0.175)</formula>
    </cfRule>
    <cfRule type="expression" dxfId="24" priority="21">
      <formula>AND(C14&lt;-0.075,C14&gt;=-0.125)</formula>
    </cfRule>
    <cfRule type="expression" dxfId="23" priority="22">
      <formula>AND(C14&lt;-0.025,C14&gt;=-0.075)</formula>
    </cfRule>
    <cfRule type="expression" dxfId="22" priority="23">
      <formula>C14&gt;0.175</formula>
    </cfRule>
    <cfRule type="expression" dxfId="21" priority="24">
      <formula>AND(C14&lt;0.175,C14&gt;=0.125)</formula>
    </cfRule>
    <cfRule type="expression" dxfId="20" priority="25">
      <formula>AND(C14&lt;0.125,C14&gt;=0.075)</formula>
    </cfRule>
    <cfRule type="expression" dxfId="19" priority="26">
      <formula>AND(C14&lt;0.075,C14&gt;=0.025)</formula>
    </cfRule>
    <cfRule type="expression" dxfId="18" priority="27">
      <formula>AND(C14&lt;0.025,C14&gt;-0.025)</formula>
    </cfRule>
  </conditionalFormatting>
  <conditionalFormatting sqref="R14:R88">
    <cfRule type="expression" dxfId="17" priority="1">
      <formula>R14&lt;-0.175</formula>
    </cfRule>
    <cfRule type="expression" dxfId="16" priority="2">
      <formula>AND(R14&lt;-0.125,R14&gt;=-0.175)</formula>
    </cfRule>
    <cfRule type="expression" dxfId="15" priority="3">
      <formula>AND(R14&lt;-0.075,R14&gt;=-0.125)</formula>
    </cfRule>
    <cfRule type="expression" dxfId="14" priority="4">
      <formula>AND(R14&lt;-0.025,R14&gt;=-0.075)</formula>
    </cfRule>
    <cfRule type="expression" dxfId="13" priority="5">
      <formula>R14&gt;0.175</formula>
    </cfRule>
    <cfRule type="expression" dxfId="12" priority="6">
      <formula>AND(R14&lt;0.175,R14&gt;=0.125)</formula>
    </cfRule>
    <cfRule type="expression" dxfId="11" priority="7">
      <formula>AND(R14&lt;0.125,R14&gt;=0.075)</formula>
    </cfRule>
    <cfRule type="expression" dxfId="10" priority="8">
      <formula>AND(R14&lt;0.075,R14&gt;=0.025)</formula>
    </cfRule>
    <cfRule type="expression" dxfId="9" priority="9">
      <formula>AND(R14&lt;0.025,R14&gt;-0.025)</formula>
    </cfRule>
  </conditionalFormatting>
  <conditionalFormatting sqref="O14:O88">
    <cfRule type="expression" dxfId="8" priority="10">
      <formula>O14&lt;-0.175</formula>
    </cfRule>
    <cfRule type="expression" dxfId="7" priority="11">
      <formula>AND(O14&lt;-0.125,O14&gt;=-0.175)</formula>
    </cfRule>
    <cfRule type="expression" dxfId="6" priority="12">
      <formula>AND(O14&lt;-0.075,O14&gt;=-0.125)</formula>
    </cfRule>
    <cfRule type="expression" dxfId="5" priority="13">
      <formula>AND(O14&lt;-0.025,O14&gt;=-0.075)</formula>
    </cfRule>
    <cfRule type="expression" dxfId="4" priority="14">
      <formula>O14&gt;0.175</formula>
    </cfRule>
    <cfRule type="expression" dxfId="3" priority="15">
      <formula>AND(O14&lt;0.175,O14&gt;=0.125)</formula>
    </cfRule>
    <cfRule type="expression" dxfId="2" priority="16">
      <formula>AND(O14&lt;0.125,O14&gt;=0.075)</formula>
    </cfRule>
    <cfRule type="expression" dxfId="1" priority="17">
      <formula>AND(O14&lt;0.075,O14&gt;=0.025)</formula>
    </cfRule>
    <cfRule type="expression" dxfId="0" priority="18">
      <formula>AND(O14&lt;0.025,O14&gt;-0.025)</formula>
    </cfRule>
  </conditionalFormatting>
  <printOptions horizontalCentered="1" verticalCentered="1"/>
  <pageMargins left="0" right="0" top="0.84000000000000008" bottom="0" header="0.25" footer="0.5"/>
  <pageSetup paperSize="9" scale="52"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Heatmap!T14:AE14</xm:f>
              <xm:sqref>Q14</xm:sqref>
            </x14:sparkline>
            <x14:sparkline>
              <xm:f>Heatmap!T15:AE15</xm:f>
              <xm:sqref>Q15</xm:sqref>
            </x14:sparkline>
            <x14:sparkline>
              <xm:f>Heatmap!T16:AE16</xm:f>
              <xm:sqref>Q16</xm:sqref>
            </x14:sparkline>
            <x14:sparkline>
              <xm:f>Heatmap!T17:AE17</xm:f>
              <xm:sqref>Q17</xm:sqref>
            </x14:sparkline>
            <x14:sparkline>
              <xm:f>Heatmap!T18:AE18</xm:f>
              <xm:sqref>Q18</xm:sqref>
            </x14:sparkline>
            <x14:sparkline>
              <xm:f>Heatmap!T19:AE19</xm:f>
              <xm:sqref>Q19</xm:sqref>
            </x14:sparkline>
            <x14:sparkline>
              <xm:f>Heatmap!T20:AE20</xm:f>
              <xm:sqref>Q20</xm:sqref>
            </x14:sparkline>
            <x14:sparkline>
              <xm:f>Heatmap!T21:AE21</xm:f>
              <xm:sqref>Q21</xm:sqref>
            </x14:sparkline>
            <x14:sparkline>
              <xm:f>Heatmap!T22:AE22</xm:f>
              <xm:sqref>Q22</xm:sqref>
            </x14:sparkline>
            <x14:sparkline>
              <xm:f>Heatmap!T23:AE23</xm:f>
              <xm:sqref>Q23</xm:sqref>
            </x14:sparkline>
            <x14:sparkline>
              <xm:f>Heatmap!T24:AE24</xm:f>
              <xm:sqref>Q24</xm:sqref>
            </x14:sparkline>
            <x14:sparkline>
              <xm:f>Heatmap!T25:AE25</xm:f>
              <xm:sqref>Q25</xm:sqref>
            </x14:sparkline>
            <x14:sparkline>
              <xm:f>Heatmap!T26:AE26</xm:f>
              <xm:sqref>Q26</xm:sqref>
            </x14:sparkline>
            <x14:sparkline>
              <xm:f>Heatmap!T27:AE27</xm:f>
              <xm:sqref>Q27</xm:sqref>
            </x14:sparkline>
            <x14:sparkline>
              <xm:f>Heatmap!T28:AE28</xm:f>
              <xm:sqref>Q28</xm:sqref>
            </x14:sparkline>
            <x14:sparkline>
              <xm:f>Heatmap!T29:AE29</xm:f>
              <xm:sqref>Q29</xm:sqref>
            </x14:sparkline>
            <x14:sparkline>
              <xm:f>Heatmap!T30:AE30</xm:f>
              <xm:sqref>Q30</xm:sqref>
            </x14:sparkline>
            <x14:sparkline>
              <xm:f>Heatmap!T31:AE31</xm:f>
              <xm:sqref>Q31</xm:sqref>
            </x14:sparkline>
            <x14:sparkline>
              <xm:f>Heatmap!T32:AE32</xm:f>
              <xm:sqref>Q32</xm:sqref>
            </x14:sparkline>
            <x14:sparkline>
              <xm:f>Heatmap!T33:AE33</xm:f>
              <xm:sqref>Q33</xm:sqref>
            </x14:sparkline>
            <x14:sparkline>
              <xm:f>Heatmap!T34:AE34</xm:f>
              <xm:sqref>Q34</xm:sqref>
            </x14:sparkline>
            <x14:sparkline>
              <xm:f>Heatmap!T35:AE35</xm:f>
              <xm:sqref>Q35</xm:sqref>
            </x14:sparkline>
            <x14:sparkline>
              <xm:f>Heatmap!T36:AE36</xm:f>
              <xm:sqref>Q36</xm:sqref>
            </x14:sparkline>
            <x14:sparkline>
              <xm:f>Heatmap!T37:AE37</xm:f>
              <xm:sqref>Q37</xm:sqref>
            </x14:sparkline>
            <x14:sparkline>
              <xm:f>Heatmap!T38:AE38</xm:f>
              <xm:sqref>Q38</xm:sqref>
            </x14:sparkline>
            <x14:sparkline>
              <xm:f>Heatmap!T39:AE39</xm:f>
              <xm:sqref>Q39</xm:sqref>
            </x14:sparkline>
            <x14:sparkline>
              <xm:f>Heatmap!T40:AE40</xm:f>
              <xm:sqref>Q40</xm:sqref>
            </x14:sparkline>
            <x14:sparkline>
              <xm:f>Heatmap!T41:AE41</xm:f>
              <xm:sqref>Q41</xm:sqref>
            </x14:sparkline>
            <x14:sparkline>
              <xm:f>Heatmap!T42:AE42</xm:f>
              <xm:sqref>Q42</xm:sqref>
            </x14:sparkline>
            <x14:sparkline>
              <xm:f>Heatmap!T43:AE43</xm:f>
              <xm:sqref>Q43</xm:sqref>
            </x14:sparkline>
            <x14:sparkline>
              <xm:f>Heatmap!T44:AE44</xm:f>
              <xm:sqref>Q44</xm:sqref>
            </x14:sparkline>
            <x14:sparkline>
              <xm:f>Heatmap!T45:AE45</xm:f>
              <xm:sqref>Q45</xm:sqref>
            </x14:sparkline>
            <x14:sparkline>
              <xm:f>Heatmap!T46:AE46</xm:f>
              <xm:sqref>Q46</xm:sqref>
            </x14:sparkline>
            <x14:sparkline>
              <xm:f>Heatmap!T47:AE47</xm:f>
              <xm:sqref>Q47</xm:sqref>
            </x14:sparkline>
            <x14:sparkline>
              <xm:f>Heatmap!T48:AE48</xm:f>
              <xm:sqref>Q48</xm:sqref>
            </x14:sparkline>
            <x14:sparkline>
              <xm:f>Heatmap!T49:AE49</xm:f>
              <xm:sqref>Q49</xm:sqref>
            </x14:sparkline>
            <x14:sparkline>
              <xm:f>Heatmap!T50:AE50</xm:f>
              <xm:sqref>Q50</xm:sqref>
            </x14:sparkline>
            <x14:sparkline>
              <xm:f>Heatmap!T51:AE51</xm:f>
              <xm:sqref>Q51</xm:sqref>
            </x14:sparkline>
            <x14:sparkline>
              <xm:f>Heatmap!T52:AE52</xm:f>
              <xm:sqref>Q52</xm:sqref>
            </x14:sparkline>
            <x14:sparkline>
              <xm:f>Heatmap!T53:AE53</xm:f>
              <xm:sqref>Q53</xm:sqref>
            </x14:sparkline>
            <x14:sparkline>
              <xm:f>Heatmap!T54:AE54</xm:f>
              <xm:sqref>Q54</xm:sqref>
            </x14:sparkline>
            <x14:sparkline>
              <xm:f>Heatmap!T55:AE55</xm:f>
              <xm:sqref>Q55</xm:sqref>
            </x14:sparkline>
            <x14:sparkline>
              <xm:f>Heatmap!T56:AE56</xm:f>
              <xm:sqref>Q56</xm:sqref>
            </x14:sparkline>
            <x14:sparkline>
              <xm:f>Heatmap!T57:AE57</xm:f>
              <xm:sqref>Q57</xm:sqref>
            </x14:sparkline>
            <x14:sparkline>
              <xm:f>Heatmap!T58:AE58</xm:f>
              <xm:sqref>Q58</xm:sqref>
            </x14:sparkline>
            <x14:sparkline>
              <xm:f>Heatmap!T59:AE59</xm:f>
              <xm:sqref>Q59</xm:sqref>
            </x14:sparkline>
            <x14:sparkline>
              <xm:f>Heatmap!T60:AE60</xm:f>
              <xm:sqref>Q60</xm:sqref>
            </x14:sparkline>
            <x14:sparkline>
              <xm:f>Heatmap!T61:AE61</xm:f>
              <xm:sqref>Q61</xm:sqref>
            </x14:sparkline>
            <x14:sparkline>
              <xm:f>Heatmap!T62:AE62</xm:f>
              <xm:sqref>Q62</xm:sqref>
            </x14:sparkline>
            <x14:sparkline>
              <xm:f>Heatmap!T63:AE63</xm:f>
              <xm:sqref>Q63</xm:sqref>
            </x14:sparkline>
            <x14:sparkline>
              <xm:f>Heatmap!T64:AE64</xm:f>
              <xm:sqref>Q64</xm:sqref>
            </x14:sparkline>
            <x14:sparkline>
              <xm:f>Heatmap!T65:AE65</xm:f>
              <xm:sqref>Q65</xm:sqref>
            </x14:sparkline>
            <x14:sparkline>
              <xm:f>Heatmap!T66:AE66</xm:f>
              <xm:sqref>Q66</xm:sqref>
            </x14:sparkline>
            <x14:sparkline>
              <xm:f>Heatmap!T67:AE67</xm:f>
              <xm:sqref>Q67</xm:sqref>
            </x14:sparkline>
            <x14:sparkline>
              <xm:f>Heatmap!T68:AE68</xm:f>
              <xm:sqref>Q68</xm:sqref>
            </x14:sparkline>
            <x14:sparkline>
              <xm:f>Heatmap!T69:AE69</xm:f>
              <xm:sqref>Q69</xm:sqref>
            </x14:sparkline>
            <x14:sparkline>
              <xm:f>Heatmap!T70:AE70</xm:f>
              <xm:sqref>Q70</xm:sqref>
            </x14:sparkline>
            <x14:sparkline>
              <xm:f>Heatmap!T71:AE71</xm:f>
              <xm:sqref>Q71</xm:sqref>
            </x14:sparkline>
            <x14:sparkline>
              <xm:f>Heatmap!T72:AE72</xm:f>
              <xm:sqref>Q72</xm:sqref>
            </x14:sparkline>
            <x14:sparkline>
              <xm:f>Heatmap!T73:AE73</xm:f>
              <xm:sqref>Q73</xm:sqref>
            </x14:sparkline>
            <x14:sparkline>
              <xm:f>Heatmap!T74:AE74</xm:f>
              <xm:sqref>Q74</xm:sqref>
            </x14:sparkline>
            <x14:sparkline>
              <xm:f>Heatmap!T75:AE75</xm:f>
              <xm:sqref>Q75</xm:sqref>
            </x14:sparkline>
            <x14:sparkline>
              <xm:f>Heatmap!T76:AE76</xm:f>
              <xm:sqref>Q76</xm:sqref>
            </x14:sparkline>
            <x14:sparkline>
              <xm:f>Heatmap!T77:AE77</xm:f>
              <xm:sqref>Q77</xm:sqref>
            </x14:sparkline>
            <x14:sparkline>
              <xm:f>Heatmap!T78:AE78</xm:f>
              <xm:sqref>Q78</xm:sqref>
            </x14:sparkline>
            <x14:sparkline>
              <xm:f>Heatmap!T79:AE79</xm:f>
              <xm:sqref>Q79</xm:sqref>
            </x14:sparkline>
            <x14:sparkline>
              <xm:f>Heatmap!T80:AE80</xm:f>
              <xm:sqref>Q80</xm:sqref>
            </x14:sparkline>
            <x14:sparkline>
              <xm:f>Heatmap!T81:AE81</xm:f>
              <xm:sqref>Q81</xm:sqref>
            </x14:sparkline>
            <x14:sparkline>
              <xm:f>Heatmap!T82:AE82</xm:f>
              <xm:sqref>Q82</xm:sqref>
            </x14:sparkline>
            <x14:sparkline>
              <xm:f>Heatmap!T83:AE83</xm:f>
              <xm:sqref>Q83</xm:sqref>
            </x14:sparkline>
            <x14:sparkline>
              <xm:f>Heatmap!T84:AE84</xm:f>
              <xm:sqref>Q84</xm:sqref>
            </x14:sparkline>
            <x14:sparkline>
              <xm:f>Heatmap!T85:AE85</xm:f>
              <xm:sqref>Q85</xm:sqref>
            </x14:sparkline>
            <x14:sparkline>
              <xm:f>Heatmap!T86:AE86</xm:f>
              <xm:sqref>Q86</xm:sqref>
            </x14:sparkline>
            <x14:sparkline>
              <xm:f>Heatmap!T87:AE87</xm:f>
              <xm:sqref>Q87</xm:sqref>
            </x14:sparkline>
            <x14:sparkline>
              <xm:f>Heatmap!T88:AE88</xm:f>
              <xm:sqref>Q88</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564585"/>
  </sheetPr>
  <dimension ref="A1:Y124"/>
  <sheetViews>
    <sheetView view="pageBreakPreview" zoomScale="90" zoomScaleNormal="100" zoomScaleSheetLayoutView="90" workbookViewId="0">
      <selection activeCell="A21" sqref="A21"/>
    </sheetView>
  </sheetViews>
  <sheetFormatPr baseColWidth="10" defaultRowHeight="15" x14ac:dyDescent="0.25"/>
  <cols>
    <col min="1" max="1" width="1.28515625" customWidth="1"/>
    <col min="2" max="2" width="7" customWidth="1"/>
    <col min="3" max="3" width="9" bestFit="1" customWidth="1"/>
    <col min="4" max="4" width="9.7109375" customWidth="1"/>
    <col min="5" max="5" width="10.140625" customWidth="1"/>
    <col min="6" max="7" width="8.42578125" bestFit="1" customWidth="1"/>
    <col min="8" max="8" width="6.85546875" bestFit="1" customWidth="1"/>
    <col min="9" max="10" width="6.42578125" bestFit="1" customWidth="1"/>
    <col min="11" max="11" width="12.85546875" bestFit="1" customWidth="1"/>
    <col min="12" max="12" width="11.42578125" bestFit="1" customWidth="1"/>
    <col min="13" max="13" width="6.7109375" bestFit="1" customWidth="1"/>
    <col min="14" max="14" width="8.42578125" bestFit="1" customWidth="1"/>
    <col min="15" max="15" width="6.85546875" bestFit="1" customWidth="1"/>
    <col min="16" max="16" width="9.42578125" bestFit="1" customWidth="1"/>
    <col min="17" max="17" width="9" bestFit="1" customWidth="1"/>
    <col min="18" max="18" width="7" bestFit="1" customWidth="1"/>
    <col min="19" max="19" width="8.140625" bestFit="1" customWidth="1"/>
    <col min="20" max="20" width="6" bestFit="1" customWidth="1"/>
    <col min="21" max="21" width="9.140625" customWidth="1"/>
    <col min="22" max="23" width="7" bestFit="1" customWidth="1"/>
    <col min="24" max="24" width="7" customWidth="1"/>
    <col min="25" max="25" width="8.85546875" style="67" customWidth="1"/>
  </cols>
  <sheetData>
    <row r="1" spans="1:25" ht="10.5" customHeight="1" x14ac:dyDescent="0.5">
      <c r="B1" s="41"/>
      <c r="Y1"/>
    </row>
    <row r="2" spans="1:25" ht="10.5" customHeight="1" x14ac:dyDescent="0.25">
      <c r="Y2"/>
    </row>
    <row r="3" spans="1:25" ht="9.75" customHeight="1" x14ac:dyDescent="0.25">
      <c r="Y3"/>
    </row>
    <row r="4" spans="1:25" ht="26.25" x14ac:dyDescent="0.4">
      <c r="B4" s="6" t="s">
        <v>82</v>
      </c>
      <c r="Y4"/>
    </row>
    <row r="5" spans="1:25" ht="26.25" customHeight="1" x14ac:dyDescent="0.25">
      <c r="Y5"/>
    </row>
    <row r="6" spans="1:25" ht="20.25" customHeight="1" x14ac:dyDescent="0.25">
      <c r="B6" s="42" t="s">
        <v>4</v>
      </c>
      <c r="C6" s="42" t="s">
        <v>83</v>
      </c>
      <c r="D6" s="43" t="s">
        <v>84</v>
      </c>
      <c r="E6" s="43"/>
      <c r="F6" s="44" t="s">
        <v>85</v>
      </c>
      <c r="G6" s="45"/>
      <c r="H6" s="46"/>
      <c r="I6" s="43" t="s">
        <v>86</v>
      </c>
      <c r="J6" s="43"/>
      <c r="K6" s="47" t="s">
        <v>87</v>
      </c>
      <c r="L6" s="47" t="s">
        <v>88</v>
      </c>
      <c r="M6" s="48" t="s">
        <v>89</v>
      </c>
      <c r="N6" s="43" t="s">
        <v>90</v>
      </c>
      <c r="O6" s="43"/>
      <c r="P6" s="43" t="s">
        <v>91</v>
      </c>
      <c r="Q6" s="43"/>
      <c r="R6" s="43"/>
      <c r="S6" s="48" t="s">
        <v>92</v>
      </c>
      <c r="T6" s="43" t="s">
        <v>93</v>
      </c>
      <c r="U6" s="43"/>
      <c r="V6" s="43"/>
      <c r="W6" s="43"/>
      <c r="X6" s="43"/>
      <c r="Y6" s="49" t="s">
        <v>4</v>
      </c>
    </row>
    <row r="7" spans="1:25" ht="30.75" customHeight="1" x14ac:dyDescent="0.25">
      <c r="B7" s="50"/>
      <c r="C7" s="50"/>
      <c r="D7" s="51" t="s">
        <v>94</v>
      </c>
      <c r="E7" s="51" t="s">
        <v>95</v>
      </c>
      <c r="F7" s="52" t="s">
        <v>96</v>
      </c>
      <c r="G7" s="52" t="s">
        <v>97</v>
      </c>
      <c r="H7" s="52">
        <v>2019</v>
      </c>
      <c r="I7" s="52" t="s">
        <v>98</v>
      </c>
      <c r="J7" s="52" t="s">
        <v>99</v>
      </c>
      <c r="K7" s="53"/>
      <c r="L7" s="53"/>
      <c r="M7" s="48"/>
      <c r="N7" s="52" t="s">
        <v>97</v>
      </c>
      <c r="O7" s="52">
        <v>2019</v>
      </c>
      <c r="P7" s="54" t="s">
        <v>100</v>
      </c>
      <c r="Q7" s="52" t="s">
        <v>101</v>
      </c>
      <c r="R7" s="52" t="s">
        <v>102</v>
      </c>
      <c r="S7" s="48"/>
      <c r="T7" s="55" t="s">
        <v>103</v>
      </c>
      <c r="U7" s="52" t="s">
        <v>104</v>
      </c>
      <c r="V7" s="52" t="s">
        <v>105</v>
      </c>
      <c r="W7" s="52" t="s">
        <v>106</v>
      </c>
      <c r="X7" s="52" t="s">
        <v>107</v>
      </c>
      <c r="Y7" s="56"/>
    </row>
    <row r="8" spans="1:25" x14ac:dyDescent="0.25">
      <c r="B8" s="57" t="s">
        <v>108</v>
      </c>
      <c r="C8" s="58"/>
      <c r="D8" s="58"/>
      <c r="E8" s="58"/>
      <c r="F8" s="58"/>
      <c r="G8" s="58"/>
      <c r="H8" s="58"/>
      <c r="I8" s="58"/>
      <c r="J8" s="58"/>
      <c r="K8" s="58"/>
      <c r="L8" s="58"/>
      <c r="M8" s="58"/>
      <c r="N8" s="58"/>
      <c r="O8" s="58"/>
      <c r="P8" s="58"/>
      <c r="Q8" s="58"/>
      <c r="R8" s="58"/>
      <c r="S8" s="58"/>
      <c r="T8" s="58"/>
      <c r="U8" s="58"/>
      <c r="V8" s="58"/>
      <c r="W8" s="58"/>
      <c r="X8" s="58"/>
      <c r="Y8" s="58"/>
    </row>
    <row r="9" spans="1:25" x14ac:dyDescent="0.25">
      <c r="A9" t="s">
        <v>179</v>
      </c>
      <c r="B9" t="s">
        <v>29</v>
      </c>
      <c r="C9" s="59">
        <v>22.85</v>
      </c>
      <c r="D9" s="60">
        <v>28</v>
      </c>
      <c r="E9" s="60">
        <v>22.5</v>
      </c>
      <c r="F9" s="61">
        <v>2.1929824561404132E-3</v>
      </c>
      <c r="G9" s="61" t="s">
        <v>464</v>
      </c>
      <c r="H9" s="61">
        <v>-5.5785123966942018E-2</v>
      </c>
      <c r="I9" s="62">
        <v>0.154415606105029</v>
      </c>
      <c r="J9" s="62">
        <v>0.277113957534873</v>
      </c>
      <c r="K9" s="63">
        <v>0.32032828056840307</v>
      </c>
      <c r="L9" s="63">
        <v>6.6887475934457763E-2</v>
      </c>
      <c r="M9" s="64">
        <v>1.2177500949763999E-2</v>
      </c>
      <c r="N9" s="61" t="s">
        <v>464</v>
      </c>
      <c r="O9" s="65">
        <v>-3.7762573273040334E-2</v>
      </c>
      <c r="P9" s="64">
        <v>11.425000000000001</v>
      </c>
      <c r="Q9" s="64">
        <v>14.383922999999999</v>
      </c>
      <c r="R9" s="66">
        <v>12.2809670459523</v>
      </c>
      <c r="S9" s="61">
        <v>6.03938730853392E-3</v>
      </c>
      <c r="T9" s="66">
        <v>0.24815093345584599</v>
      </c>
      <c r="U9" s="66">
        <v>103.778726496503</v>
      </c>
      <c r="V9" s="66" t="s">
        <v>464</v>
      </c>
      <c r="W9" s="66">
        <v>1.2737867835897001</v>
      </c>
      <c r="X9" s="66">
        <v>6.0235850374675</v>
      </c>
      <c r="Y9" s="67" t="s">
        <v>29</v>
      </c>
    </row>
    <row r="10" spans="1:25" x14ac:dyDescent="0.25">
      <c r="A10" t="s">
        <v>180</v>
      </c>
      <c r="B10" t="s">
        <v>51</v>
      </c>
      <c r="C10" s="59">
        <v>195</v>
      </c>
      <c r="D10" s="60">
        <v>322</v>
      </c>
      <c r="E10" s="60">
        <v>127.49704805</v>
      </c>
      <c r="F10" s="61">
        <v>-7.582938388625593E-2</v>
      </c>
      <c r="G10" s="61">
        <v>-0.12457912457912457</v>
      </c>
      <c r="H10" s="61">
        <v>-8.4507042253521125E-2</v>
      </c>
      <c r="I10" s="62">
        <v>0.31442884641320601</v>
      </c>
      <c r="J10" s="62">
        <v>0.40452432275995298</v>
      </c>
      <c r="K10" s="62" t="s">
        <v>464</v>
      </c>
      <c r="L10" s="62" t="s">
        <v>464</v>
      </c>
      <c r="M10" s="64">
        <v>0.39341591841546802</v>
      </c>
      <c r="N10" s="61">
        <v>-1.3438663640076842E-2</v>
      </c>
      <c r="O10" s="65">
        <v>-6.6484491559619441E-2</v>
      </c>
      <c r="P10" s="64">
        <v>10.282684028</v>
      </c>
      <c r="Q10" s="64">
        <v>8.0867925100000093</v>
      </c>
      <c r="R10" s="66">
        <v>5.2204514415193799</v>
      </c>
      <c r="S10" s="61">
        <v>4.4160519640394094E-2</v>
      </c>
      <c r="T10" s="66">
        <v>0.18824782735019199</v>
      </c>
      <c r="U10" s="66">
        <v>10.3670300798049</v>
      </c>
      <c r="V10" s="66" t="s">
        <v>464</v>
      </c>
      <c r="W10" s="66">
        <v>3.0592368811662198</v>
      </c>
      <c r="X10" s="66">
        <v>24.59916695367</v>
      </c>
      <c r="Y10" s="67" t="s">
        <v>51</v>
      </c>
    </row>
    <row r="11" spans="1:25" x14ac:dyDescent="0.25">
      <c r="A11" t="s">
        <v>181</v>
      </c>
      <c r="B11" t="s">
        <v>47</v>
      </c>
      <c r="C11" s="59">
        <v>35.5</v>
      </c>
      <c r="D11" s="60">
        <v>54</v>
      </c>
      <c r="E11" s="60">
        <v>34.049999999999997</v>
      </c>
      <c r="F11" s="61">
        <v>-6.5789473684210509E-2</v>
      </c>
      <c r="G11" s="61">
        <v>-8.9743589743589758E-2</v>
      </c>
      <c r="H11" s="61">
        <v>-4.0540540540540571E-2</v>
      </c>
      <c r="I11" s="62">
        <v>0.253854065383816</v>
      </c>
      <c r="J11" s="62">
        <v>0.38364328356434102</v>
      </c>
      <c r="K11" s="63">
        <v>0.43198784399977391</v>
      </c>
      <c r="L11" s="63">
        <v>-5.374608408231929E-2</v>
      </c>
      <c r="M11" s="64">
        <v>0.45862882900365898</v>
      </c>
      <c r="N11" s="61">
        <v>2.1396871195457967E-2</v>
      </c>
      <c r="O11" s="65">
        <v>-2.2517989846638886E-2</v>
      </c>
      <c r="P11" s="64">
        <v>7.64370406965</v>
      </c>
      <c r="Q11" s="64">
        <v>12.9397800085</v>
      </c>
      <c r="R11" s="66">
        <v>18.5911838482393</v>
      </c>
      <c r="S11" s="61" t="s">
        <v>464</v>
      </c>
      <c r="T11" s="66">
        <v>0.33457868948046499</v>
      </c>
      <c r="U11" s="66" t="s">
        <v>464</v>
      </c>
      <c r="V11" s="66" t="s">
        <v>464</v>
      </c>
      <c r="W11" s="66">
        <v>1.2578577642272</v>
      </c>
      <c r="X11" s="66">
        <v>11.448127306160799</v>
      </c>
      <c r="Y11" s="67" t="s">
        <v>47</v>
      </c>
    </row>
    <row r="12" spans="1:25" x14ac:dyDescent="0.25">
      <c r="A12" t="s">
        <v>182</v>
      </c>
      <c r="B12" t="s">
        <v>22</v>
      </c>
      <c r="C12" s="59">
        <v>125</v>
      </c>
      <c r="D12" s="60">
        <v>138</v>
      </c>
      <c r="E12" s="60">
        <v>89.355869999999996</v>
      </c>
      <c r="F12" s="61">
        <v>-1.5748031496062964E-2</v>
      </c>
      <c r="G12" s="61">
        <v>0</v>
      </c>
      <c r="H12" s="61">
        <v>-1.5748031496062964E-2</v>
      </c>
      <c r="I12" s="62">
        <v>0.14226780605439601</v>
      </c>
      <c r="J12" s="62">
        <v>0.38490169952991204</v>
      </c>
      <c r="K12" s="62">
        <v>0.35091417973233491</v>
      </c>
      <c r="L12" s="62">
        <v>0.11891833571903931</v>
      </c>
      <c r="M12" s="64" t="s">
        <v>464</v>
      </c>
      <c r="N12" s="61">
        <v>0.11114046093904772</v>
      </c>
      <c r="O12" s="65">
        <v>2.2745191978387203E-3</v>
      </c>
      <c r="P12" s="64">
        <v>7.4849868080000004</v>
      </c>
      <c r="Q12" s="64">
        <v>6.2146886400000092</v>
      </c>
      <c r="R12" s="66">
        <v>7.6888078765347503</v>
      </c>
      <c r="S12" s="61">
        <v>5.8398724168000002E-3</v>
      </c>
      <c r="T12" s="66">
        <v>1.4266290446455301</v>
      </c>
      <c r="U12" s="66">
        <v>1605.0333846944</v>
      </c>
      <c r="V12" s="66" t="s">
        <v>464</v>
      </c>
      <c r="W12" s="66">
        <v>221.65575125786401</v>
      </c>
      <c r="X12" s="66">
        <v>29.775008339865298</v>
      </c>
      <c r="Y12" s="67" t="s">
        <v>22</v>
      </c>
    </row>
    <row r="13" spans="1:25" x14ac:dyDescent="0.25">
      <c r="A13" t="s">
        <v>183</v>
      </c>
      <c r="B13" t="s">
        <v>66</v>
      </c>
      <c r="C13" s="59">
        <v>71</v>
      </c>
      <c r="D13" s="60">
        <v>131</v>
      </c>
      <c r="E13" s="60">
        <v>70</v>
      </c>
      <c r="F13" s="61">
        <v>-7.7922077922077948E-2</v>
      </c>
      <c r="G13" s="61">
        <v>-0.16470588235294115</v>
      </c>
      <c r="H13" s="61">
        <v>-0.25654450261780104</v>
      </c>
      <c r="I13" s="62">
        <v>0.38305006704292305</v>
      </c>
      <c r="J13" s="62">
        <v>0.316452174424115</v>
      </c>
      <c r="K13" s="62">
        <v>0.60713846227223089</v>
      </c>
      <c r="L13" s="62">
        <v>0.24298238415004514</v>
      </c>
      <c r="M13" s="64">
        <v>0.66290577083757096</v>
      </c>
      <c r="N13" s="61">
        <v>-5.3565421413893421E-2</v>
      </c>
      <c r="O13" s="65">
        <v>-0.23852195192389936</v>
      </c>
      <c r="P13" s="64">
        <v>5.3363240999999997</v>
      </c>
      <c r="Q13" s="64">
        <v>8.7452716299999995</v>
      </c>
      <c r="R13" s="66">
        <v>8.5293760630910391</v>
      </c>
      <c r="S13" s="61" t="s">
        <v>464</v>
      </c>
      <c r="T13" s="66">
        <v>0.29027258098285502</v>
      </c>
      <c r="U13" s="66" t="s">
        <v>464</v>
      </c>
      <c r="V13" s="66">
        <v>85.5421686746988</v>
      </c>
      <c r="W13" s="66">
        <v>4.7565496081529401</v>
      </c>
      <c r="X13" s="66" t="s">
        <v>464</v>
      </c>
      <c r="Y13" s="67" t="s">
        <v>66</v>
      </c>
    </row>
    <row r="14" spans="1:25" x14ac:dyDescent="0.25">
      <c r="A14" t="s">
        <v>184</v>
      </c>
      <c r="B14" t="s">
        <v>43</v>
      </c>
      <c r="C14" s="59">
        <v>11.3</v>
      </c>
      <c r="D14" s="60">
        <v>16</v>
      </c>
      <c r="E14" s="60">
        <v>10.4</v>
      </c>
      <c r="F14" s="61">
        <v>-4.6413502109704519E-2</v>
      </c>
      <c r="G14" s="61">
        <v>-7.3770491803278548E-2</v>
      </c>
      <c r="H14" s="61">
        <v>-7.3770491803278548E-2</v>
      </c>
      <c r="I14" s="62">
        <v>0.24759814473427302</v>
      </c>
      <c r="J14" s="62">
        <v>0.24640697031689998</v>
      </c>
      <c r="K14" s="62">
        <v>0.40407947819686652</v>
      </c>
      <c r="L14" s="62">
        <v>-7.2820439001793247E-2</v>
      </c>
      <c r="M14" s="64">
        <v>0.38002446270191997</v>
      </c>
      <c r="N14" s="61">
        <v>3.7369969135769177E-2</v>
      </c>
      <c r="O14" s="65">
        <v>-5.5747941109376864E-2</v>
      </c>
      <c r="P14" s="64">
        <v>5.3460000000000001</v>
      </c>
      <c r="Q14" s="64">
        <v>13.590490000000001</v>
      </c>
      <c r="R14" s="66">
        <v>10.210621217642201</v>
      </c>
      <c r="S14" s="61" t="s">
        <v>464</v>
      </c>
      <c r="T14" s="66">
        <v>0.34384418630158498</v>
      </c>
      <c r="U14" s="66" t="s">
        <v>464</v>
      </c>
      <c r="V14" s="66" t="s">
        <v>464</v>
      </c>
      <c r="W14" s="66">
        <v>0.98016886845022899</v>
      </c>
      <c r="X14" s="66" t="s">
        <v>464</v>
      </c>
      <c r="Y14" s="67" t="s">
        <v>43</v>
      </c>
    </row>
    <row r="15" spans="1:25" x14ac:dyDescent="0.25">
      <c r="A15" t="s">
        <v>185</v>
      </c>
      <c r="B15" t="s">
        <v>18</v>
      </c>
      <c r="C15" s="59">
        <v>8.6</v>
      </c>
      <c r="D15" s="60">
        <v>11.5</v>
      </c>
      <c r="E15" s="60">
        <v>7.5</v>
      </c>
      <c r="F15" s="61">
        <v>0</v>
      </c>
      <c r="G15" s="61">
        <v>2.3809523809523725E-2</v>
      </c>
      <c r="H15" s="61">
        <v>-1.1494252873563204E-2</v>
      </c>
      <c r="I15" s="62">
        <v>0.23327398374826799</v>
      </c>
      <c r="J15" s="62">
        <v>0.278807144822799</v>
      </c>
      <c r="K15" s="62" t="s">
        <v>464</v>
      </c>
      <c r="L15" s="62" t="s">
        <v>464</v>
      </c>
      <c r="M15" s="64">
        <v>0.33155835640658199</v>
      </c>
      <c r="N15" s="61">
        <v>0.13494998474857145</v>
      </c>
      <c r="O15" s="65">
        <v>6.5282978203384801E-3</v>
      </c>
      <c r="P15" s="64">
        <v>4.7855906350000001</v>
      </c>
      <c r="Q15" s="64">
        <v>4.9071892712</v>
      </c>
      <c r="R15" s="66">
        <v>14.426396951564399</v>
      </c>
      <c r="S15" s="61" t="s">
        <v>464</v>
      </c>
      <c r="T15" s="66">
        <v>1.22962163812334</v>
      </c>
      <c r="U15" s="66" t="s">
        <v>464</v>
      </c>
      <c r="V15" s="66" t="s">
        <v>464</v>
      </c>
      <c r="W15" s="66">
        <v>0.50783971155639596</v>
      </c>
      <c r="X15" s="66" t="s">
        <v>464</v>
      </c>
      <c r="Y15" s="67" t="s">
        <v>18</v>
      </c>
    </row>
    <row r="16" spans="1:25" x14ac:dyDescent="0.25">
      <c r="A16" t="s">
        <v>186</v>
      </c>
      <c r="B16" t="s">
        <v>15</v>
      </c>
      <c r="C16" s="59">
        <v>4.5999999999999996</v>
      </c>
      <c r="D16" s="60">
        <v>7.4</v>
      </c>
      <c r="E16" s="60">
        <v>3.2453538000000002</v>
      </c>
      <c r="F16" s="61">
        <v>0</v>
      </c>
      <c r="G16" s="61">
        <v>4.5454545454545192E-2</v>
      </c>
      <c r="H16" s="61">
        <v>3.603603603603589E-2</v>
      </c>
      <c r="I16" s="62">
        <v>0.31213409618550597</v>
      </c>
      <c r="J16" s="62">
        <v>0.33163653661888398</v>
      </c>
      <c r="K16" s="62">
        <v>0.54664166885257681</v>
      </c>
      <c r="L16" s="62">
        <v>-0.13990352167384879</v>
      </c>
      <c r="M16" s="64">
        <v>0.26760653541025198</v>
      </c>
      <c r="N16" s="61">
        <v>0.15659500639359292</v>
      </c>
      <c r="O16" s="65">
        <v>5.4058586729937574E-2</v>
      </c>
      <c r="P16" s="64">
        <v>2.6540796645999998</v>
      </c>
      <c r="Q16" s="64">
        <v>2.828483259</v>
      </c>
      <c r="R16" s="66">
        <v>3.6389315346771598</v>
      </c>
      <c r="S16" s="61" t="s">
        <v>464</v>
      </c>
      <c r="T16" s="66">
        <v>0.27265238096753902</v>
      </c>
      <c r="U16" s="66" t="s">
        <v>464</v>
      </c>
      <c r="V16" s="66" t="s">
        <v>464</v>
      </c>
      <c r="W16" s="66">
        <v>0.99884035514181801</v>
      </c>
      <c r="X16" s="66">
        <v>29.8465207602734</v>
      </c>
      <c r="Y16" s="67" t="s">
        <v>15</v>
      </c>
    </row>
    <row r="17" spans="1:25" x14ac:dyDescent="0.25">
      <c r="A17" t="s">
        <v>187</v>
      </c>
      <c r="B17" t="s">
        <v>76</v>
      </c>
      <c r="C17" s="59">
        <v>5.01</v>
      </c>
      <c r="D17" s="60">
        <v>7.4193409120128004</v>
      </c>
      <c r="E17" s="60">
        <v>5</v>
      </c>
      <c r="F17" s="61">
        <v>-0.12105263157894741</v>
      </c>
      <c r="G17" s="61">
        <v>-0.21718750000000009</v>
      </c>
      <c r="H17" s="61">
        <v>-0.17095077714676998</v>
      </c>
      <c r="I17" s="62">
        <v>0.473884408988619</v>
      </c>
      <c r="J17" s="62">
        <v>0.418236578873875</v>
      </c>
      <c r="K17" s="62">
        <v>0.42408200205366603</v>
      </c>
      <c r="L17" s="62">
        <v>9.3489698687835299E-2</v>
      </c>
      <c r="M17" s="64">
        <v>0.105946101776789</v>
      </c>
      <c r="N17" s="61">
        <v>-0.10604703906095236</v>
      </c>
      <c r="O17" s="65">
        <v>-0.1529282264528683</v>
      </c>
      <c r="P17" s="64">
        <v>0.44764619639999997</v>
      </c>
      <c r="Q17" s="64">
        <v>0.62427135307000103</v>
      </c>
      <c r="R17" s="66">
        <v>2.6446784643605099</v>
      </c>
      <c r="S17" s="61">
        <v>1.9820661060000001E-2</v>
      </c>
      <c r="T17" s="66">
        <v>0.39507808135086597</v>
      </c>
      <c r="U17" s="66">
        <v>7.0354299195349004</v>
      </c>
      <c r="V17" s="66" t="s">
        <v>464</v>
      </c>
      <c r="W17" s="66">
        <v>0.91713721579591001</v>
      </c>
      <c r="X17" s="66">
        <v>9.0111927380148007</v>
      </c>
      <c r="Y17" s="67" t="s">
        <v>76</v>
      </c>
    </row>
    <row r="18" spans="1:25" x14ac:dyDescent="0.25">
      <c r="A18" t="s">
        <v>188</v>
      </c>
      <c r="B18" t="s">
        <v>58</v>
      </c>
      <c r="C18" s="59">
        <v>2.21</v>
      </c>
      <c r="D18" s="60">
        <v>3.377297</v>
      </c>
      <c r="E18" s="60">
        <v>2.1800000000000002</v>
      </c>
      <c r="F18" s="61">
        <v>-5.1502145922746823E-2</v>
      </c>
      <c r="G18" s="61">
        <v>-0.14671814671814665</v>
      </c>
      <c r="H18" s="61">
        <v>-0.14887750036490432</v>
      </c>
      <c r="I18" s="62">
        <v>0.48453000873494095</v>
      </c>
      <c r="J18" s="62">
        <v>0.359348357421794</v>
      </c>
      <c r="K18" s="62">
        <v>0.47653789415731856</v>
      </c>
      <c r="L18" s="62">
        <v>-0.10523636028004102</v>
      </c>
      <c r="M18" s="64">
        <v>0.54669425674051397</v>
      </c>
      <c r="N18" s="61">
        <v>-3.5577685779098922E-2</v>
      </c>
      <c r="O18" s="65">
        <v>-0.13085494967100264</v>
      </c>
      <c r="P18" s="64">
        <v>0.38449100000000003</v>
      </c>
      <c r="Q18" s="64">
        <v>0.65089116000000002</v>
      </c>
      <c r="R18" s="66">
        <v>3.8833613099437501</v>
      </c>
      <c r="S18" s="61">
        <v>1.97330952232143E-2</v>
      </c>
      <c r="T18" s="66">
        <v>0.32590355403175097</v>
      </c>
      <c r="U18" s="66">
        <v>4.7040292884357502</v>
      </c>
      <c r="V18" s="66" t="s">
        <v>464</v>
      </c>
      <c r="W18" s="66">
        <v>1.7716969478623501</v>
      </c>
      <c r="X18" s="66" t="s">
        <v>464</v>
      </c>
      <c r="Y18" s="67" t="s">
        <v>58</v>
      </c>
    </row>
    <row r="19" spans="1:25" x14ac:dyDescent="0.25">
      <c r="A19" t="s">
        <v>189</v>
      </c>
      <c r="B19" t="s">
        <v>30</v>
      </c>
      <c r="C19" s="59">
        <v>1.7</v>
      </c>
      <c r="D19" s="60">
        <v>2.8</v>
      </c>
      <c r="E19" s="60">
        <v>1.6</v>
      </c>
      <c r="F19" s="61">
        <v>-1.7341040462427793E-2</v>
      </c>
      <c r="G19" s="61">
        <v>-2.8571428571428581E-2</v>
      </c>
      <c r="H19" s="61">
        <v>-9.0909090909090939E-2</v>
      </c>
      <c r="I19" s="62">
        <v>0.35920856543851798</v>
      </c>
      <c r="J19" s="62">
        <v>0.29369071023938298</v>
      </c>
      <c r="K19" s="62">
        <v>0.55396707573795745</v>
      </c>
      <c r="L19" s="62">
        <v>-0.13235333016287343</v>
      </c>
      <c r="M19" s="64">
        <v>0.61960377272145195</v>
      </c>
      <c r="N19" s="61">
        <v>8.2569032367619144E-2</v>
      </c>
      <c r="O19" s="65">
        <v>-7.2886540215189255E-2</v>
      </c>
      <c r="P19" s="64">
        <v>0.37723343060000003</v>
      </c>
      <c r="Q19" s="64">
        <v>0.62317810060000001</v>
      </c>
      <c r="R19" s="66">
        <v>8.1402430898898803</v>
      </c>
      <c r="S19" s="61" t="s">
        <v>464</v>
      </c>
      <c r="T19" s="66">
        <v>0.30163312634834899</v>
      </c>
      <c r="U19" s="68" t="s">
        <v>464</v>
      </c>
      <c r="V19" s="66" t="s">
        <v>464</v>
      </c>
      <c r="W19" s="66">
        <v>1.0083773278831301</v>
      </c>
      <c r="X19" s="66" t="s">
        <v>464</v>
      </c>
      <c r="Y19" s="67" t="s">
        <v>30</v>
      </c>
    </row>
    <row r="20" spans="1:25" x14ac:dyDescent="0.25">
      <c r="B20" s="69" t="s">
        <v>109</v>
      </c>
      <c r="C20" s="70"/>
      <c r="D20" s="70"/>
      <c r="E20" s="70"/>
      <c r="F20" s="71">
        <v>-4.2673209509663045E-2</v>
      </c>
      <c r="G20" s="71">
        <v>-7.7601209450444047E-2</v>
      </c>
      <c r="H20" s="71">
        <v>-8.3008301630585354E-2</v>
      </c>
      <c r="I20" s="72">
        <v>0.3053314180754087</v>
      </c>
      <c r="J20" s="72">
        <v>0.33588743055516629</v>
      </c>
      <c r="K20" s="72">
        <v>0.45729743173012533</v>
      </c>
      <c r="L20" s="72">
        <v>2.0242399211668604E-3</v>
      </c>
      <c r="M20" s="73">
        <v>0.37785615049639709</v>
      </c>
      <c r="N20" s="71">
        <v>3.3539251488603684E-2</v>
      </c>
      <c r="O20" s="71">
        <v>-6.498575093668367E-2</v>
      </c>
      <c r="P20" s="73">
        <v>5.1061581756590906</v>
      </c>
      <c r="Q20" s="73">
        <v>6.6904508120336379</v>
      </c>
      <c r="R20" s="74">
        <v>8.6595471675831508</v>
      </c>
      <c r="S20" s="72">
        <v>1.9118707129788463E-2</v>
      </c>
      <c r="T20" s="74">
        <v>0.48696473118530181</v>
      </c>
      <c r="U20" s="66">
        <v>346.18372009573568</v>
      </c>
      <c r="V20" s="75">
        <v>85.5421686746988</v>
      </c>
      <c r="W20" s="76">
        <v>21.653385701971811</v>
      </c>
      <c r="X20" s="77">
        <v>18.450600189241964</v>
      </c>
      <c r="Y20" s="78" t="s">
        <v>110</v>
      </c>
    </row>
    <row r="21" spans="1:25" ht="9.75" customHeight="1" x14ac:dyDescent="0.25">
      <c r="I21" s="40"/>
      <c r="J21" s="40"/>
      <c r="K21" s="40"/>
      <c r="L21" s="40"/>
      <c r="M21" s="32"/>
      <c r="N21" s="79"/>
      <c r="O21" s="79"/>
      <c r="Q21" s="32"/>
      <c r="R21" s="80"/>
      <c r="S21" s="81"/>
      <c r="T21" s="80"/>
      <c r="U21" s="80"/>
      <c r="V21" s="80"/>
      <c r="W21" s="80"/>
      <c r="X21" s="80"/>
    </row>
    <row r="22" spans="1:25" x14ac:dyDescent="0.25">
      <c r="B22" s="57" t="s">
        <v>111</v>
      </c>
      <c r="C22" s="82"/>
      <c r="D22" s="82"/>
      <c r="E22" s="82"/>
      <c r="F22" s="82"/>
      <c r="G22" s="82"/>
      <c r="H22" s="82"/>
      <c r="I22" s="83"/>
      <c r="J22" s="83"/>
      <c r="K22" s="83"/>
      <c r="L22" s="83"/>
      <c r="M22" s="84"/>
      <c r="N22" s="85"/>
      <c r="O22" s="85"/>
      <c r="P22" s="82"/>
      <c r="Q22" s="84"/>
      <c r="R22" s="86"/>
      <c r="S22" s="87"/>
      <c r="T22" s="86"/>
      <c r="U22" s="86"/>
      <c r="V22" s="86"/>
      <c r="W22" s="86"/>
      <c r="X22" s="86"/>
      <c r="Y22" s="88"/>
    </row>
    <row r="23" spans="1:25" x14ac:dyDescent="0.25">
      <c r="A23" t="s">
        <v>190</v>
      </c>
      <c r="B23" t="s">
        <v>61</v>
      </c>
      <c r="C23" s="59">
        <v>263.5</v>
      </c>
      <c r="D23" s="60">
        <v>633.11263770386097</v>
      </c>
      <c r="E23" s="60">
        <v>233</v>
      </c>
      <c r="F23" s="61">
        <v>-3.8321167883211715E-2</v>
      </c>
      <c r="G23" s="61">
        <v>-0.1540930979133226</v>
      </c>
      <c r="H23" s="61">
        <v>-0.2587904360056259</v>
      </c>
      <c r="I23" s="62">
        <v>0.42235627255122998</v>
      </c>
      <c r="J23" s="62">
        <v>0.40699913389781001</v>
      </c>
      <c r="K23" s="62">
        <v>0.50053271624337892</v>
      </c>
      <c r="L23" s="62">
        <v>0.18835681165462304</v>
      </c>
      <c r="M23" s="64">
        <v>0.93084736539096002</v>
      </c>
      <c r="N23" s="61">
        <v>-4.2952636974274871E-2</v>
      </c>
      <c r="O23" s="65">
        <v>-0.24076788531172422</v>
      </c>
      <c r="P23" s="64">
        <v>4.7610000000000001</v>
      </c>
      <c r="Q23" s="64">
        <v>4.3101849999999997</v>
      </c>
      <c r="R23" s="66">
        <v>0.69968070929968795</v>
      </c>
      <c r="S23" s="61">
        <v>3.5291058006018099E-3</v>
      </c>
      <c r="T23" s="66">
        <v>0.14068460158539101</v>
      </c>
      <c r="U23" s="66" t="s">
        <v>464</v>
      </c>
      <c r="V23" s="66" t="s">
        <v>464</v>
      </c>
      <c r="W23" s="66">
        <v>10.7195307001664</v>
      </c>
      <c r="X23" s="66">
        <v>28.473147714584201</v>
      </c>
      <c r="Y23" s="67" t="s">
        <v>61</v>
      </c>
    </row>
    <row r="24" spans="1:25" x14ac:dyDescent="0.25">
      <c r="A24" t="s">
        <v>191</v>
      </c>
      <c r="B24" t="s">
        <v>57</v>
      </c>
      <c r="C24" s="59">
        <v>81.5</v>
      </c>
      <c r="D24" s="60">
        <v>99.4</v>
      </c>
      <c r="E24" s="60">
        <v>40</v>
      </c>
      <c r="F24" s="61">
        <v>-0.17593528816986859</v>
      </c>
      <c r="G24" s="61">
        <v>-0.14210526315789473</v>
      </c>
      <c r="H24" s="61">
        <v>0.5092592592592593</v>
      </c>
      <c r="I24" s="62">
        <v>0.46265786608970699</v>
      </c>
      <c r="J24" s="62">
        <v>0.42675654232310301</v>
      </c>
      <c r="K24" s="62" t="s">
        <v>464</v>
      </c>
      <c r="L24" s="62" t="s">
        <v>464</v>
      </c>
      <c r="M24" s="64">
        <v>0.51330479506773796</v>
      </c>
      <c r="N24" s="61">
        <v>-3.096480221884701E-2</v>
      </c>
      <c r="O24" s="65">
        <v>0.52728180995316098</v>
      </c>
      <c r="P24" s="64">
        <v>4.1808760149999999</v>
      </c>
      <c r="Q24" s="64">
        <v>1.2432006995</v>
      </c>
      <c r="R24" s="66">
        <v>3.2549330050230498</v>
      </c>
      <c r="S24" s="61">
        <v>2.2619034362352897E-2</v>
      </c>
      <c r="T24" s="66">
        <v>0.49126025979365401</v>
      </c>
      <c r="U24" s="66">
        <v>27.080370552506</v>
      </c>
      <c r="V24" s="66" t="s">
        <v>464</v>
      </c>
      <c r="W24" s="66">
        <v>0.892539338961988</v>
      </c>
      <c r="X24" s="66">
        <v>4.1741653479042302</v>
      </c>
      <c r="Y24" s="67" t="s">
        <v>57</v>
      </c>
    </row>
    <row r="25" spans="1:25" x14ac:dyDescent="0.25">
      <c r="A25" t="s">
        <v>192</v>
      </c>
      <c r="B25" t="s">
        <v>38</v>
      </c>
      <c r="C25" s="59">
        <v>23.55</v>
      </c>
      <c r="D25" s="60">
        <v>41.437568306325701</v>
      </c>
      <c r="E25" s="60">
        <v>14.5</v>
      </c>
      <c r="F25" s="61">
        <v>-4.8484848484848464E-2</v>
      </c>
      <c r="G25" s="61">
        <v>-5.799999999999994E-2</v>
      </c>
      <c r="H25" s="61" t="s">
        <v>464</v>
      </c>
      <c r="I25" s="62">
        <v>0.97907425689743799</v>
      </c>
      <c r="J25" s="62">
        <v>0.83155030198539603</v>
      </c>
      <c r="K25" s="62">
        <v>0.5220800476186942</v>
      </c>
      <c r="L25" s="62">
        <v>0.21489934853684378</v>
      </c>
      <c r="M25" s="64">
        <v>0.243912639351335</v>
      </c>
      <c r="N25" s="61">
        <v>5.3140460939047784E-2</v>
      </c>
      <c r="O25" s="65" t="s">
        <v>464</v>
      </c>
      <c r="P25" s="64">
        <v>1.0966109715000001</v>
      </c>
      <c r="Q25" s="64">
        <v>1.2646801247000001</v>
      </c>
      <c r="R25" s="66">
        <v>1.9239115549948</v>
      </c>
      <c r="S25" s="61">
        <v>2.96367638828283E-2</v>
      </c>
      <c r="T25" s="66">
        <v>0.18635353811730199</v>
      </c>
      <c r="U25" s="66" t="s">
        <v>464</v>
      </c>
      <c r="V25" s="66" t="s">
        <v>464</v>
      </c>
      <c r="W25" s="66">
        <v>1.10807332893722</v>
      </c>
      <c r="X25" s="66">
        <v>4.3015033702205798</v>
      </c>
      <c r="Y25" s="67" t="s">
        <v>38</v>
      </c>
    </row>
    <row r="26" spans="1:25" x14ac:dyDescent="0.25">
      <c r="A26" t="s">
        <v>193</v>
      </c>
      <c r="B26" t="s">
        <v>68</v>
      </c>
      <c r="C26" s="59">
        <v>3.79</v>
      </c>
      <c r="D26" s="60">
        <v>14.7</v>
      </c>
      <c r="E26" s="60">
        <v>3.79</v>
      </c>
      <c r="F26" s="61">
        <v>-5.9553349875930528E-2</v>
      </c>
      <c r="G26" s="61">
        <v>-0.16703296703296699</v>
      </c>
      <c r="H26" s="61">
        <v>-0.47939560439560436</v>
      </c>
      <c r="I26" s="62">
        <v>0.50701529001016599</v>
      </c>
      <c r="J26" s="62">
        <v>0.46608654197309002</v>
      </c>
      <c r="K26" s="62" t="s">
        <v>464</v>
      </c>
      <c r="L26" s="62" t="s">
        <v>464</v>
      </c>
      <c r="M26" s="64">
        <v>0.77336281919929295</v>
      </c>
      <c r="N26" s="61">
        <v>-5.589250609391927E-2</v>
      </c>
      <c r="O26" s="65">
        <v>-0.46137305370170267</v>
      </c>
      <c r="P26" s="64">
        <v>0.27540901210000002</v>
      </c>
      <c r="Q26" s="64">
        <v>0.101485308149999</v>
      </c>
      <c r="R26" s="66" t="s">
        <v>464</v>
      </c>
      <c r="S26" s="61" t="s">
        <v>464</v>
      </c>
      <c r="T26" s="66">
        <v>4.9886454194302002E-2</v>
      </c>
      <c r="U26" s="66" t="s">
        <v>464</v>
      </c>
      <c r="V26" s="66" t="s">
        <v>464</v>
      </c>
      <c r="W26" s="66">
        <v>-0.209754470292733</v>
      </c>
      <c r="X26" s="66">
        <v>0.56568377917511503</v>
      </c>
      <c r="Y26" s="67" t="s">
        <v>68</v>
      </c>
    </row>
    <row r="27" spans="1:25" x14ac:dyDescent="0.25">
      <c r="A27" t="s">
        <v>194</v>
      </c>
      <c r="B27" t="s">
        <v>16</v>
      </c>
      <c r="C27" s="59">
        <v>2.2999999999999998</v>
      </c>
      <c r="D27" s="60">
        <v>4.7</v>
      </c>
      <c r="E27" s="60">
        <v>2</v>
      </c>
      <c r="F27" s="61">
        <v>6.9767441860465018E-2</v>
      </c>
      <c r="G27" s="61">
        <v>4.0723981900452344E-2</v>
      </c>
      <c r="H27" s="61">
        <v>5.0228310502283158E-2</v>
      </c>
      <c r="I27" s="62">
        <v>0.51235255914129607</v>
      </c>
      <c r="J27" s="62">
        <v>0.57088965994867202</v>
      </c>
      <c r="K27" s="62">
        <v>0.46543507553364305</v>
      </c>
      <c r="L27" s="62">
        <v>-5.7568306797070035E-3</v>
      </c>
      <c r="M27" s="64">
        <v>0.64711230188845803</v>
      </c>
      <c r="N27" s="61">
        <v>0.15186444283950007</v>
      </c>
      <c r="O27" s="65">
        <v>6.8250861196184842E-2</v>
      </c>
      <c r="P27" s="64">
        <v>0.32418359243</v>
      </c>
      <c r="Q27" s="64">
        <v>0.58550248989999998</v>
      </c>
      <c r="R27" s="66" t="s">
        <v>464</v>
      </c>
      <c r="S27" s="61" t="s">
        <v>464</v>
      </c>
      <c r="T27" s="66">
        <v>0.222651134313605</v>
      </c>
      <c r="U27" s="66" t="s">
        <v>464</v>
      </c>
      <c r="V27" s="66" t="s">
        <v>464</v>
      </c>
      <c r="W27" s="66">
        <v>0.75673317200345203</v>
      </c>
      <c r="X27" s="66">
        <v>9.2261982658034505</v>
      </c>
      <c r="Y27" s="67" t="s">
        <v>16</v>
      </c>
    </row>
    <row r="28" spans="1:25" x14ac:dyDescent="0.25">
      <c r="A28" t="s">
        <v>195</v>
      </c>
      <c r="B28" t="s">
        <v>7</v>
      </c>
      <c r="C28" s="59" t="s">
        <v>464</v>
      </c>
      <c r="D28" s="60">
        <v>5.5</v>
      </c>
      <c r="E28" s="60">
        <v>2.42</v>
      </c>
      <c r="F28" s="61" t="s">
        <v>464</v>
      </c>
      <c r="G28" s="61" t="s">
        <v>464</v>
      </c>
      <c r="H28" s="61" t="s">
        <v>464</v>
      </c>
      <c r="I28" s="62">
        <v>0.19941171027252602</v>
      </c>
      <c r="J28" s="62">
        <v>0.87367580530493105</v>
      </c>
      <c r="K28" s="62">
        <v>0.84549469534024257</v>
      </c>
      <c r="L28" s="62">
        <v>-9.9127919354246918E-2</v>
      </c>
      <c r="M28" s="64">
        <v>0.58779054023581401</v>
      </c>
      <c r="N28" s="61" t="s">
        <v>464</v>
      </c>
      <c r="O28" s="65" t="s">
        <v>464</v>
      </c>
      <c r="P28" s="64">
        <v>0.36634667844999996</v>
      </c>
      <c r="Q28" s="64">
        <v>0.36480671845000001</v>
      </c>
      <c r="R28" s="66" t="s">
        <v>464</v>
      </c>
      <c r="S28" s="61" t="s">
        <v>464</v>
      </c>
      <c r="T28" s="66">
        <v>1.9881221631963799</v>
      </c>
      <c r="U28" s="66" t="s">
        <v>464</v>
      </c>
      <c r="V28" s="66" t="s">
        <v>464</v>
      </c>
      <c r="W28" s="66">
        <v>-38.107998194257199</v>
      </c>
      <c r="X28" s="66" t="s">
        <v>464</v>
      </c>
      <c r="Y28" s="67" t="s">
        <v>7</v>
      </c>
    </row>
    <row r="29" spans="1:25" x14ac:dyDescent="0.25">
      <c r="A29" t="s">
        <v>196</v>
      </c>
      <c r="B29" s="38" t="s">
        <v>9</v>
      </c>
      <c r="C29" s="59" t="s">
        <v>464</v>
      </c>
      <c r="D29" s="60">
        <v>11.2</v>
      </c>
      <c r="E29" s="60">
        <v>7</v>
      </c>
      <c r="F29" s="61" t="s">
        <v>464</v>
      </c>
      <c r="G29" s="61" t="s">
        <v>464</v>
      </c>
      <c r="H29" s="61" t="s">
        <v>464</v>
      </c>
      <c r="I29" s="62">
        <v>0.37899294616386797</v>
      </c>
      <c r="J29" s="62">
        <v>0.22131246559409601</v>
      </c>
      <c r="K29" s="62">
        <v>0.41456883887389068</v>
      </c>
      <c r="L29" s="62">
        <v>-0.10490442552953816</v>
      </c>
      <c r="M29" s="64" t="s">
        <v>464</v>
      </c>
      <c r="N29" s="61" t="s">
        <v>464</v>
      </c>
      <c r="O29" s="65" t="s">
        <v>464</v>
      </c>
      <c r="P29" s="64">
        <v>0.13300000000000001</v>
      </c>
      <c r="Q29" s="64">
        <v>0.12748904</v>
      </c>
      <c r="R29" s="66">
        <v>3.05035577383891</v>
      </c>
      <c r="S29" s="61" t="s">
        <v>464</v>
      </c>
      <c r="T29" s="66">
        <v>0.306137138113103</v>
      </c>
      <c r="U29" s="68" t="s">
        <v>464</v>
      </c>
      <c r="V29" s="66" t="s">
        <v>464</v>
      </c>
      <c r="W29" s="66">
        <v>1.3405647224648001</v>
      </c>
      <c r="X29" s="66">
        <v>8.0018049184026605</v>
      </c>
      <c r="Y29" s="67" t="s">
        <v>9</v>
      </c>
    </row>
    <row r="30" spans="1:25" x14ac:dyDescent="0.25">
      <c r="B30" s="69" t="s">
        <v>109</v>
      </c>
      <c r="C30" s="70"/>
      <c r="D30" s="70"/>
      <c r="E30" s="70"/>
      <c r="F30" s="71">
        <v>-5.0505442510678858E-2</v>
      </c>
      <c r="G30" s="71">
        <v>-9.610146924074639E-2</v>
      </c>
      <c r="H30" s="71">
        <v>-4.467461765992195E-2</v>
      </c>
      <c r="I30" s="72">
        <v>0.49455155730374728</v>
      </c>
      <c r="J30" s="72">
        <v>0.54246720728958542</v>
      </c>
      <c r="K30" s="72">
        <v>0.54962227472197001</v>
      </c>
      <c r="L30" s="72">
        <v>3.8693396925594946E-2</v>
      </c>
      <c r="M30" s="73">
        <v>0.61605507685559968</v>
      </c>
      <c r="N30" s="71">
        <v>1.503899169830134E-2</v>
      </c>
      <c r="O30" s="71">
        <v>-2.6652066966020266E-2</v>
      </c>
      <c r="P30" s="73">
        <v>1.5910608956400003</v>
      </c>
      <c r="Q30" s="73">
        <v>1.1424784829571426</v>
      </c>
      <c r="R30" s="74">
        <v>2.232220260789112</v>
      </c>
      <c r="S30" s="72">
        <v>1.8594968015261001E-2</v>
      </c>
      <c r="T30" s="74">
        <v>0.48358504133053387</v>
      </c>
      <c r="U30" s="66">
        <v>27.080370552506</v>
      </c>
      <c r="V30" s="72" t="s">
        <v>464</v>
      </c>
      <c r="W30" s="76">
        <v>-3.3571873431451529</v>
      </c>
      <c r="X30" s="75">
        <v>9.1237505660150386</v>
      </c>
      <c r="Y30" s="78" t="s">
        <v>110</v>
      </c>
    </row>
    <row r="31" spans="1:25" ht="9" customHeight="1" x14ac:dyDescent="0.25">
      <c r="I31" s="40"/>
      <c r="J31" s="40"/>
      <c r="K31" s="40"/>
      <c r="L31" s="40"/>
      <c r="M31" s="32"/>
      <c r="N31" s="79"/>
      <c r="O31" s="79"/>
      <c r="Q31" s="32"/>
      <c r="R31" s="80"/>
      <c r="S31" s="81"/>
      <c r="T31" s="80"/>
      <c r="U31" s="80"/>
      <c r="V31" s="80"/>
      <c r="W31" s="80"/>
      <c r="X31" s="80"/>
    </row>
    <row r="32" spans="1:25" x14ac:dyDescent="0.25">
      <c r="B32" s="57" t="s">
        <v>112</v>
      </c>
      <c r="C32" s="82"/>
      <c r="D32" s="82"/>
      <c r="E32" s="82"/>
      <c r="F32" s="82"/>
      <c r="G32" s="82"/>
      <c r="H32" s="82"/>
      <c r="I32" s="83"/>
      <c r="J32" s="83"/>
      <c r="K32" s="83"/>
      <c r="L32" s="83"/>
      <c r="M32" s="84"/>
      <c r="N32" s="85"/>
      <c r="O32" s="85"/>
      <c r="P32" s="82"/>
      <c r="Q32" s="84"/>
      <c r="R32" s="86"/>
      <c r="S32" s="87"/>
      <c r="T32" s="86"/>
      <c r="U32" s="86"/>
      <c r="V32" s="86"/>
      <c r="W32" s="86"/>
      <c r="X32" s="86"/>
      <c r="Y32" s="88"/>
    </row>
    <row r="33" spans="1:25" x14ac:dyDescent="0.25">
      <c r="A33" t="s">
        <v>197</v>
      </c>
      <c r="B33" t="s">
        <v>20</v>
      </c>
      <c r="C33" s="59">
        <v>348.4</v>
      </c>
      <c r="D33" s="60">
        <v>375</v>
      </c>
      <c r="E33" s="60">
        <v>115.337356070976</v>
      </c>
      <c r="F33" s="61">
        <v>7.1999999999999842E-2</v>
      </c>
      <c r="G33" s="61">
        <v>5.7736720554273369E-3</v>
      </c>
      <c r="H33" s="61">
        <v>0.39555377528539948</v>
      </c>
      <c r="I33" s="62">
        <v>0.50257838744358307</v>
      </c>
      <c r="J33" s="62">
        <v>0.42198729801141704</v>
      </c>
      <c r="K33" s="62">
        <v>0.48873001273173744</v>
      </c>
      <c r="L33" s="62">
        <v>-5.6037902497812486E-2</v>
      </c>
      <c r="M33" s="64">
        <v>0.493427560575941</v>
      </c>
      <c r="N33" s="61">
        <v>0.11691413299447506</v>
      </c>
      <c r="O33" s="65">
        <v>0.41357632597930116</v>
      </c>
      <c r="P33" s="89">
        <v>3864.1054724670398</v>
      </c>
      <c r="Q33" s="64">
        <v>659.06443350011898</v>
      </c>
      <c r="R33" s="66">
        <v>5.0533612953444598</v>
      </c>
      <c r="S33" s="61">
        <v>6.4235191562706292E-3</v>
      </c>
      <c r="T33" s="66">
        <v>1.03659147330177</v>
      </c>
      <c r="U33" s="66">
        <v>14.0671885357474</v>
      </c>
      <c r="V33" s="66">
        <v>11.5882954807907</v>
      </c>
      <c r="W33" s="66">
        <v>1.30809636452072</v>
      </c>
      <c r="X33" s="66">
        <v>3.7835383287148101</v>
      </c>
      <c r="Y33" s="67" t="s">
        <v>20</v>
      </c>
    </row>
    <row r="34" spans="1:25" x14ac:dyDescent="0.25">
      <c r="A34" t="s">
        <v>198</v>
      </c>
      <c r="B34" t="s">
        <v>17</v>
      </c>
      <c r="C34" s="59">
        <v>638.79999999999995</v>
      </c>
      <c r="D34" s="60">
        <v>708.95</v>
      </c>
      <c r="E34" s="60">
        <v>379</v>
      </c>
      <c r="F34" s="61">
        <v>2.4621060229368608E-2</v>
      </c>
      <c r="G34" s="61">
        <v>3.8530320273126195E-2</v>
      </c>
      <c r="H34" s="61">
        <v>0.55577204091573296</v>
      </c>
      <c r="I34" s="62">
        <v>0.33568656165563399</v>
      </c>
      <c r="J34" s="62">
        <v>0.31322257859376101</v>
      </c>
      <c r="K34" s="62">
        <v>0.34538247916851111</v>
      </c>
      <c r="L34" s="62">
        <v>3.5953003652425153E-2</v>
      </c>
      <c r="M34" s="64">
        <v>0.23140871726050899</v>
      </c>
      <c r="N34" s="61">
        <v>0.14967078121217392</v>
      </c>
      <c r="O34" s="65">
        <v>0.57379459160963464</v>
      </c>
      <c r="P34" s="89">
        <v>756.90118855449998</v>
      </c>
      <c r="Q34" s="64">
        <v>16.7317353687409</v>
      </c>
      <c r="R34" s="66">
        <v>10.891851402345401</v>
      </c>
      <c r="S34" s="61">
        <v>2.5117231748002199E-2</v>
      </c>
      <c r="T34" s="66">
        <v>2.2218473390579301</v>
      </c>
      <c r="U34" s="66">
        <v>19.423469264151201</v>
      </c>
      <c r="V34" s="66">
        <v>16.592580500353701</v>
      </c>
      <c r="W34" s="66">
        <v>1.4441469725877001</v>
      </c>
      <c r="X34" s="66">
        <v>27.8588042749385</v>
      </c>
      <c r="Y34" s="67" t="s">
        <v>17</v>
      </c>
    </row>
    <row r="35" spans="1:25" x14ac:dyDescent="0.25">
      <c r="A35" t="s">
        <v>199</v>
      </c>
      <c r="B35" t="s">
        <v>21</v>
      </c>
      <c r="C35" s="59">
        <v>612.5</v>
      </c>
      <c r="D35" s="60">
        <v>66.537588</v>
      </c>
      <c r="E35" s="60">
        <v>37.169615999999998</v>
      </c>
      <c r="F35" s="61">
        <v>-3.070106029435038E-2</v>
      </c>
      <c r="G35" s="61">
        <v>4.098360655737654E-3</v>
      </c>
      <c r="H35" s="61">
        <v>0.21975505327093514</v>
      </c>
      <c r="I35" s="62">
        <v>0.25335227924571802</v>
      </c>
      <c r="J35" s="62">
        <v>0.38246916058472102</v>
      </c>
      <c r="K35" s="62">
        <v>0.44840751236993931</v>
      </c>
      <c r="L35" s="62">
        <v>-2.9774262291950349E-2</v>
      </c>
      <c r="M35" s="64">
        <v>0.77391003686171</v>
      </c>
      <c r="N35" s="61">
        <v>0.11523882159478538</v>
      </c>
      <c r="O35" s="65">
        <v>0.23777760396483683</v>
      </c>
      <c r="P35" s="89">
        <v>247.55107191420001</v>
      </c>
      <c r="Q35" s="64">
        <v>522.01647377500103</v>
      </c>
      <c r="R35" s="66">
        <v>3.9974000396281499</v>
      </c>
      <c r="S35" s="61">
        <v>4.8843352277275296E-3</v>
      </c>
      <c r="T35" s="66">
        <v>0.552408044089302</v>
      </c>
      <c r="U35" s="66">
        <v>0.62186118738428897</v>
      </c>
      <c r="V35" s="66">
        <v>13.7342062234229</v>
      </c>
      <c r="W35" s="66">
        <v>0.68316900712336182</v>
      </c>
      <c r="X35" s="66">
        <v>1.9251105389099401</v>
      </c>
      <c r="Y35" s="67" t="s">
        <v>21</v>
      </c>
    </row>
    <row r="36" spans="1:25" x14ac:dyDescent="0.25">
      <c r="A36" t="s">
        <v>200</v>
      </c>
      <c r="B36" t="s">
        <v>53</v>
      </c>
      <c r="C36" s="59">
        <v>91.1</v>
      </c>
      <c r="D36" s="60">
        <v>123.797678</v>
      </c>
      <c r="E36" s="60">
        <v>57.415067758493301</v>
      </c>
      <c r="F36" s="61">
        <v>-1.6729627630868937E-2</v>
      </c>
      <c r="G36" s="61">
        <v>-0.12610445144933713</v>
      </c>
      <c r="H36" s="61">
        <v>-9.0638551113904509E-2</v>
      </c>
      <c r="I36" s="62">
        <v>0.44920645820549099</v>
      </c>
      <c r="J36" s="62">
        <v>0.41190750407738397</v>
      </c>
      <c r="K36" s="62">
        <v>0.48707123724227963</v>
      </c>
      <c r="L36" s="62">
        <v>0.28498663008288561</v>
      </c>
      <c r="M36" s="64">
        <v>0.98912228392082502</v>
      </c>
      <c r="N36" s="61">
        <v>-1.4963990510289404E-2</v>
      </c>
      <c r="O36" s="65">
        <v>-7.2616000420002824E-2</v>
      </c>
      <c r="P36" s="89">
        <v>76.6687948095</v>
      </c>
      <c r="Q36" s="64">
        <v>37.945850909900003</v>
      </c>
      <c r="R36" s="66">
        <v>2.3025196572881499</v>
      </c>
      <c r="S36" s="61">
        <v>0.144538704501636</v>
      </c>
      <c r="T36" s="66">
        <v>2.08848834290735</v>
      </c>
      <c r="U36" s="66">
        <v>6.2628169476913804</v>
      </c>
      <c r="V36" s="66">
        <v>6.9541984732824398</v>
      </c>
      <c r="W36" s="66">
        <v>2.2988790040640699</v>
      </c>
      <c r="X36" s="66">
        <v>8.1557973958010308</v>
      </c>
      <c r="Y36" s="67" t="s">
        <v>53</v>
      </c>
    </row>
    <row r="37" spans="1:25" x14ac:dyDescent="0.25">
      <c r="A37" t="s">
        <v>201</v>
      </c>
      <c r="B37" t="s">
        <v>75</v>
      </c>
      <c r="C37" s="59">
        <v>51.4</v>
      </c>
      <c r="D37" s="60">
        <v>72.900000000000006</v>
      </c>
      <c r="E37" s="60">
        <v>38.6</v>
      </c>
      <c r="F37" s="61">
        <v>9.8231827111985304E-3</v>
      </c>
      <c r="G37" s="61">
        <v>-0.20679012345679015</v>
      </c>
      <c r="H37" s="61">
        <v>-9.1069849690539328E-2</v>
      </c>
      <c r="I37" s="62">
        <v>0.43733469280509901</v>
      </c>
      <c r="J37" s="62">
        <v>0.39836284908252095</v>
      </c>
      <c r="K37" s="62">
        <v>0.51892764499396071</v>
      </c>
      <c r="L37" s="62">
        <v>0.28969397694270627</v>
      </c>
      <c r="M37" s="64">
        <v>0.90758457245707602</v>
      </c>
      <c r="N37" s="61">
        <v>-9.5649662517742429E-2</v>
      </c>
      <c r="O37" s="65">
        <v>-7.3047298996637644E-2</v>
      </c>
      <c r="P37" s="89">
        <v>22.847444828</v>
      </c>
      <c r="Q37" s="64">
        <v>7.7408553555999902</v>
      </c>
      <c r="R37" s="66">
        <v>1.01262559527368</v>
      </c>
      <c r="S37" s="61">
        <v>1.6504930966469399E-2</v>
      </c>
      <c r="T37" s="66" t="s">
        <v>464</v>
      </c>
      <c r="U37" s="66" t="s">
        <v>464</v>
      </c>
      <c r="V37" s="66">
        <v>5.7366071428571397</v>
      </c>
      <c r="W37" s="66" t="s">
        <v>464</v>
      </c>
      <c r="X37" s="66" t="s">
        <v>464</v>
      </c>
      <c r="Y37" s="67" t="s">
        <v>75</v>
      </c>
    </row>
    <row r="38" spans="1:25" x14ac:dyDescent="0.25">
      <c r="A38" t="s">
        <v>202</v>
      </c>
      <c r="B38" t="s">
        <v>55</v>
      </c>
      <c r="C38" s="59">
        <v>9.23</v>
      </c>
      <c r="D38" s="60">
        <v>12.8</v>
      </c>
      <c r="E38" s="60">
        <v>5.8</v>
      </c>
      <c r="F38" s="61">
        <v>3.260869565217428E-3</v>
      </c>
      <c r="G38" s="61">
        <v>-0.13738317757009333</v>
      </c>
      <c r="H38" s="61">
        <v>-0.16470588235294115</v>
      </c>
      <c r="I38" s="62">
        <v>0.34924497770479596</v>
      </c>
      <c r="J38" s="62">
        <v>0.41645759605486399</v>
      </c>
      <c r="K38" s="62" t="s">
        <v>464</v>
      </c>
      <c r="L38" s="62" t="s">
        <v>464</v>
      </c>
      <c r="M38" s="64">
        <v>0.62024250979154705</v>
      </c>
      <c r="N38" s="61">
        <v>-2.6242716631045604E-2</v>
      </c>
      <c r="O38" s="65">
        <v>-0.14668333165903946</v>
      </c>
      <c r="P38" s="89">
        <v>5.6920512967999999</v>
      </c>
      <c r="Q38" s="64">
        <v>0.62594819779312305</v>
      </c>
      <c r="R38" s="66">
        <v>3.1368931052455702</v>
      </c>
      <c r="S38" s="61" t="s">
        <v>464</v>
      </c>
      <c r="T38" s="66">
        <v>2.8562723300443702</v>
      </c>
      <c r="U38" s="66" t="s">
        <v>464</v>
      </c>
      <c r="V38" s="66" t="s">
        <v>464</v>
      </c>
      <c r="W38" s="66">
        <v>1.4320078854176399</v>
      </c>
      <c r="X38" s="66">
        <v>62.926759584763097</v>
      </c>
      <c r="Y38" s="67" t="s">
        <v>55</v>
      </c>
    </row>
    <row r="39" spans="1:25" x14ac:dyDescent="0.25">
      <c r="A39" t="s">
        <v>203</v>
      </c>
      <c r="B39" t="s">
        <v>64</v>
      </c>
      <c r="C39" s="59">
        <v>2.79</v>
      </c>
      <c r="D39" s="60">
        <v>4.7699999999999996</v>
      </c>
      <c r="E39" s="60">
        <v>2.5499999999999998</v>
      </c>
      <c r="F39" s="61">
        <v>-3.7931034482758585E-2</v>
      </c>
      <c r="G39" s="61">
        <v>-0.15963855421686746</v>
      </c>
      <c r="H39" s="61">
        <v>-0.16467065868263464</v>
      </c>
      <c r="I39" s="62">
        <v>0.40162551206040598</v>
      </c>
      <c r="J39" s="62">
        <v>0.33950304391688901</v>
      </c>
      <c r="K39" s="62">
        <v>0.51293718207713068</v>
      </c>
      <c r="L39" s="62">
        <v>7.2595146823721812E-3</v>
      </c>
      <c r="M39" s="64">
        <v>0.79558412896459996</v>
      </c>
      <c r="N39" s="61">
        <v>-4.8498093277819732E-2</v>
      </c>
      <c r="O39" s="65">
        <v>-0.14664810798873296</v>
      </c>
      <c r="P39" s="89">
        <v>4.2583814387999999</v>
      </c>
      <c r="Q39" s="64">
        <v>5.75687418908716</v>
      </c>
      <c r="R39" s="66" t="s">
        <v>464</v>
      </c>
      <c r="S39" s="61" t="s">
        <v>464</v>
      </c>
      <c r="T39" s="66">
        <v>1.01834249623253</v>
      </c>
      <c r="U39" s="66">
        <v>2.8977980889073498</v>
      </c>
      <c r="V39" s="66">
        <v>5.4705882352941204</v>
      </c>
      <c r="W39" s="66">
        <v>0.38250853347884961</v>
      </c>
      <c r="X39" s="66">
        <v>25.102810647938</v>
      </c>
      <c r="Y39" s="67" t="s">
        <v>64</v>
      </c>
    </row>
    <row r="40" spans="1:25" x14ac:dyDescent="0.25">
      <c r="A40" t="s">
        <v>204</v>
      </c>
      <c r="B40" t="s">
        <v>26</v>
      </c>
      <c r="C40" s="59">
        <v>1.35</v>
      </c>
      <c r="D40" s="60">
        <v>3.02</v>
      </c>
      <c r="E40" s="60">
        <v>0.85</v>
      </c>
      <c r="F40" s="61">
        <v>3.8461538461538547E-2</v>
      </c>
      <c r="G40" s="61">
        <v>-1.4598540145985384E-2</v>
      </c>
      <c r="H40" s="61">
        <v>-0.12903225806451613</v>
      </c>
      <c r="I40" s="62">
        <v>0.47005172294027098</v>
      </c>
      <c r="J40" s="62">
        <v>0.57813915215233203</v>
      </c>
      <c r="K40" s="62">
        <v>0.57299092814365338</v>
      </c>
      <c r="L40" s="62">
        <v>-6.1895378785793764E-2</v>
      </c>
      <c r="M40" s="64">
        <v>0.42646455042151399</v>
      </c>
      <c r="N40" s="61">
        <v>9.6541920793062341E-2</v>
      </c>
      <c r="O40" s="65">
        <v>-0.11100970737061444</v>
      </c>
      <c r="P40" s="89">
        <v>0.65973953808000008</v>
      </c>
      <c r="Q40" s="64">
        <v>0.66161961700000005</v>
      </c>
      <c r="R40" s="66">
        <v>10.398040414111399</v>
      </c>
      <c r="S40" s="61" t="s">
        <v>464</v>
      </c>
      <c r="T40" s="66">
        <v>3.0243113712618999</v>
      </c>
      <c r="U40" s="68">
        <v>35.6482703987325</v>
      </c>
      <c r="V40" s="66" t="s">
        <v>464</v>
      </c>
      <c r="W40" s="66">
        <v>4.6497585427919601</v>
      </c>
      <c r="X40" s="66" t="s">
        <v>464</v>
      </c>
      <c r="Y40" s="67" t="s">
        <v>26</v>
      </c>
    </row>
    <row r="41" spans="1:25" x14ac:dyDescent="0.25">
      <c r="B41" s="69" t="s">
        <v>109</v>
      </c>
      <c r="C41" s="70"/>
      <c r="D41" s="70"/>
      <c r="E41" s="70"/>
      <c r="F41" s="71">
        <v>7.8506160699181315E-3</v>
      </c>
      <c r="G41" s="71">
        <v>-7.4514061731847783E-2</v>
      </c>
      <c r="H41" s="71">
        <v>6.6370458695941478E-2</v>
      </c>
      <c r="I41" s="72">
        <v>0.39988507400762474</v>
      </c>
      <c r="J41" s="72">
        <v>0.40775614780923608</v>
      </c>
      <c r="K41" s="72">
        <v>0.48206385667531604</v>
      </c>
      <c r="L41" s="72">
        <v>6.716936882640466E-2</v>
      </c>
      <c r="M41" s="73">
        <v>0.65471804503171527</v>
      </c>
      <c r="N41" s="71">
        <v>3.6626399207199942E-2</v>
      </c>
      <c r="O41" s="71">
        <v>8.4393009389843177E-2</v>
      </c>
      <c r="P41" s="73">
        <v>622.33551810586505</v>
      </c>
      <c r="Q41" s="73">
        <v>156.31797386415514</v>
      </c>
      <c r="R41" s="74">
        <v>5.2560987870338298</v>
      </c>
      <c r="S41" s="72">
        <v>3.9493744320021153E-2</v>
      </c>
      <c r="T41" s="74">
        <v>1.8283230566993076</v>
      </c>
      <c r="U41" s="66">
        <v>13.153567403769022</v>
      </c>
      <c r="V41" s="74">
        <v>10.012746009333501</v>
      </c>
      <c r="W41" s="76">
        <v>1.7426523299977572</v>
      </c>
      <c r="X41" s="74">
        <v>21.625470128510898</v>
      </c>
      <c r="Y41" s="78" t="s">
        <v>110</v>
      </c>
    </row>
    <row r="42" spans="1:25" ht="8.25" customHeight="1" x14ac:dyDescent="0.25">
      <c r="F42" s="81"/>
      <c r="G42" s="81"/>
      <c r="H42" s="81"/>
      <c r="I42" s="40"/>
      <c r="J42" s="40"/>
      <c r="K42" s="40"/>
      <c r="L42" s="40"/>
      <c r="M42" s="32"/>
      <c r="N42" s="79"/>
      <c r="O42" s="79"/>
      <c r="Q42" s="32"/>
      <c r="R42" s="80"/>
      <c r="S42" s="81"/>
      <c r="T42" s="80"/>
      <c r="U42" s="80"/>
      <c r="V42" s="80"/>
      <c r="W42" s="80"/>
      <c r="X42" s="80"/>
    </row>
    <row r="43" spans="1:25" ht="26.25" customHeight="1" x14ac:dyDescent="0.25">
      <c r="F43" s="81"/>
      <c r="G43" s="81"/>
      <c r="H43" s="81"/>
      <c r="I43" s="40"/>
      <c r="J43" s="40"/>
      <c r="K43" s="40"/>
      <c r="L43" s="40"/>
      <c r="M43" s="32"/>
      <c r="N43" s="79"/>
      <c r="O43" s="79"/>
      <c r="Q43" s="32"/>
      <c r="R43" s="32"/>
      <c r="S43" s="81"/>
      <c r="T43" s="80"/>
      <c r="U43" s="80"/>
      <c r="V43" s="80"/>
      <c r="W43" s="80"/>
      <c r="X43" s="80"/>
    </row>
    <row r="44" spans="1:25" x14ac:dyDescent="0.25">
      <c r="B44" s="42" t="s">
        <v>4</v>
      </c>
      <c r="C44" s="42" t="s">
        <v>83</v>
      </c>
      <c r="D44" s="43" t="s">
        <v>84</v>
      </c>
      <c r="E44" s="43"/>
      <c r="F44" s="44" t="s">
        <v>85</v>
      </c>
      <c r="G44" s="45"/>
      <c r="H44" s="46"/>
      <c r="I44" s="43" t="s">
        <v>86</v>
      </c>
      <c r="J44" s="43"/>
      <c r="K44" s="47" t="s">
        <v>87</v>
      </c>
      <c r="L44" s="47" t="s">
        <v>88</v>
      </c>
      <c r="M44" s="48" t="s">
        <v>89</v>
      </c>
      <c r="N44" s="43" t="s">
        <v>90</v>
      </c>
      <c r="O44" s="43"/>
      <c r="P44" s="43" t="s">
        <v>91</v>
      </c>
      <c r="Q44" s="43"/>
      <c r="R44" s="43"/>
      <c r="S44" s="48" t="s">
        <v>92</v>
      </c>
      <c r="T44" s="43" t="s">
        <v>93</v>
      </c>
      <c r="U44" s="43"/>
      <c r="V44" s="43"/>
      <c r="W44" s="43"/>
      <c r="X44" s="43"/>
      <c r="Y44" s="90" t="s">
        <v>4</v>
      </c>
    </row>
    <row r="45" spans="1:25" ht="33" customHeight="1" x14ac:dyDescent="0.25">
      <c r="B45" s="50"/>
      <c r="C45" s="50"/>
      <c r="D45" s="51" t="s">
        <v>94</v>
      </c>
      <c r="E45" s="51" t="s">
        <v>95</v>
      </c>
      <c r="F45" s="52" t="s">
        <v>96</v>
      </c>
      <c r="G45" s="52" t="s">
        <v>97</v>
      </c>
      <c r="H45" s="52">
        <v>2019</v>
      </c>
      <c r="I45" s="52" t="s">
        <v>98</v>
      </c>
      <c r="J45" s="52" t="s">
        <v>99</v>
      </c>
      <c r="K45" s="53"/>
      <c r="L45" s="53"/>
      <c r="M45" s="48"/>
      <c r="N45" s="52" t="s">
        <v>97</v>
      </c>
      <c r="O45" s="52">
        <v>2019</v>
      </c>
      <c r="P45" s="54" t="s">
        <v>100</v>
      </c>
      <c r="Q45" s="52" t="s">
        <v>101</v>
      </c>
      <c r="R45" s="52" t="s">
        <v>102</v>
      </c>
      <c r="S45" s="48"/>
      <c r="T45" s="55" t="s">
        <v>103</v>
      </c>
      <c r="U45" s="52" t="s">
        <v>104</v>
      </c>
      <c r="V45" s="52" t="s">
        <v>105</v>
      </c>
      <c r="W45" s="52" t="s">
        <v>106</v>
      </c>
      <c r="X45" s="52" t="s">
        <v>107</v>
      </c>
      <c r="Y45" s="91"/>
    </row>
    <row r="46" spans="1:25" x14ac:dyDescent="0.25">
      <c r="B46" s="57" t="s">
        <v>113</v>
      </c>
      <c r="C46" s="82"/>
      <c r="D46" s="82"/>
      <c r="E46" s="82"/>
      <c r="F46" s="87"/>
      <c r="G46" s="87"/>
      <c r="H46" s="87"/>
      <c r="I46" s="83"/>
      <c r="J46" s="83"/>
      <c r="K46" s="83"/>
      <c r="L46" s="83"/>
      <c r="M46" s="84"/>
      <c r="N46" s="85"/>
      <c r="O46" s="85"/>
      <c r="P46" s="82"/>
      <c r="Q46" s="84"/>
      <c r="R46" s="84"/>
      <c r="S46" s="87"/>
      <c r="T46" s="86"/>
      <c r="U46" s="86"/>
      <c r="V46" s="86"/>
      <c r="W46" s="86"/>
      <c r="X46" s="86"/>
      <c r="Y46" s="88"/>
    </row>
    <row r="47" spans="1:25" x14ac:dyDescent="0.25">
      <c r="A47" t="s">
        <v>205</v>
      </c>
      <c r="B47" t="s">
        <v>56</v>
      </c>
      <c r="C47" s="59">
        <v>95.25</v>
      </c>
      <c r="D47" s="60">
        <v>141.80000000000001</v>
      </c>
      <c r="E47" s="60">
        <v>69.650000000000006</v>
      </c>
      <c r="F47" s="61">
        <v>-0.13800904977375561</v>
      </c>
      <c r="G47" s="61">
        <v>-0.13956639566395668</v>
      </c>
      <c r="H47" s="61">
        <v>-7.792836398838332E-2</v>
      </c>
      <c r="I47" s="62">
        <v>0.49524904145030496</v>
      </c>
      <c r="J47" s="62">
        <v>0.484288696120869</v>
      </c>
      <c r="K47" s="62">
        <v>0.48462524204226454</v>
      </c>
      <c r="L47" s="62">
        <v>0.28680619052890521</v>
      </c>
      <c r="M47" s="64">
        <v>1.5071254018340301</v>
      </c>
      <c r="N47" s="61">
        <v>-2.8425934724908952E-2</v>
      </c>
      <c r="O47" s="65">
        <v>-5.9905813294481636E-2</v>
      </c>
      <c r="P47" s="89">
        <v>148.38351808799999</v>
      </c>
      <c r="Q47" s="64">
        <v>1.6148557017502401</v>
      </c>
      <c r="R47" s="66">
        <v>5.8966853750713998E-2</v>
      </c>
      <c r="S47" s="61">
        <v>8.6797085902992795E-3</v>
      </c>
      <c r="T47" s="66">
        <v>1.66103323173844</v>
      </c>
      <c r="U47" s="66">
        <v>9.4537752572121594</v>
      </c>
      <c r="V47" s="66">
        <v>7.7373099992851602</v>
      </c>
      <c r="W47" s="66">
        <v>2.47637587960127</v>
      </c>
      <c r="X47" s="66">
        <v>1.1210843814611999</v>
      </c>
      <c r="Y47" s="67" t="s">
        <v>56</v>
      </c>
    </row>
    <row r="48" spans="1:25" x14ac:dyDescent="0.25">
      <c r="A48" t="s">
        <v>206</v>
      </c>
      <c r="B48" t="s">
        <v>40</v>
      </c>
      <c r="C48" s="59">
        <v>186.05</v>
      </c>
      <c r="D48" s="60">
        <v>226</v>
      </c>
      <c r="E48" s="60">
        <v>125.05</v>
      </c>
      <c r="F48" s="61">
        <v>-0.13384543761638734</v>
      </c>
      <c r="G48" s="61">
        <v>-6.3899371069182309E-2</v>
      </c>
      <c r="H48" s="61">
        <v>0.13479719426654491</v>
      </c>
      <c r="I48" s="62">
        <v>0.58582289425585998</v>
      </c>
      <c r="J48" s="62">
        <v>0.54119932590808506</v>
      </c>
      <c r="K48" s="62">
        <v>0.49635713105855306</v>
      </c>
      <c r="L48" s="62">
        <v>0.18042120195280598</v>
      </c>
      <c r="M48" s="64">
        <v>1.4655451336798699</v>
      </c>
      <c r="N48" s="61">
        <v>4.7241089869865416E-2</v>
      </c>
      <c r="O48" s="65">
        <v>0.15281974496044659</v>
      </c>
      <c r="P48" s="89">
        <v>133.7317052937</v>
      </c>
      <c r="Q48" s="64">
        <v>88.056903057050008</v>
      </c>
      <c r="R48" s="66">
        <v>3.37917923569265</v>
      </c>
      <c r="S48" s="61">
        <v>2.6968659468000998E-2</v>
      </c>
      <c r="T48" s="66">
        <v>1.8999051388945301</v>
      </c>
      <c r="U48" s="66">
        <v>7.7924221050973896</v>
      </c>
      <c r="V48" s="66">
        <v>5.9359479155267199</v>
      </c>
      <c r="W48" s="66">
        <v>2.2803942267328501</v>
      </c>
      <c r="X48" s="66">
        <v>1.8008579257891699</v>
      </c>
      <c r="Y48" s="67" t="s">
        <v>40</v>
      </c>
    </row>
    <row r="49" spans="1:25" x14ac:dyDescent="0.25">
      <c r="A49" t="s">
        <v>207</v>
      </c>
      <c r="B49" t="s">
        <v>62</v>
      </c>
      <c r="C49" s="59">
        <v>116.45</v>
      </c>
      <c r="D49" s="60">
        <v>176</v>
      </c>
      <c r="E49" s="60">
        <v>88.2</v>
      </c>
      <c r="F49" s="61">
        <v>-0.1174687381583932</v>
      </c>
      <c r="G49" s="61">
        <v>-0.1558535701341065</v>
      </c>
      <c r="H49" s="61">
        <v>-0.17264653641207817</v>
      </c>
      <c r="I49" s="62">
        <v>0.485869208503941</v>
      </c>
      <c r="J49" s="62">
        <v>0.45181253822890399</v>
      </c>
      <c r="K49" s="62">
        <v>0.48119170102465292</v>
      </c>
      <c r="L49" s="62">
        <v>0.16027429056202669</v>
      </c>
      <c r="M49" s="64">
        <v>1.3124254531036199</v>
      </c>
      <c r="N49" s="61">
        <v>-4.4713109195058776E-2</v>
      </c>
      <c r="O49" s="65">
        <v>-0.15462398571817648</v>
      </c>
      <c r="P49" s="89">
        <v>76.000428093899998</v>
      </c>
      <c r="Q49" s="64">
        <v>-14.159018154900101</v>
      </c>
      <c r="R49" s="66">
        <v>-0.81700775864402297</v>
      </c>
      <c r="S49" s="61">
        <v>1.37794675369887E-2</v>
      </c>
      <c r="T49" s="66">
        <v>1.5029062865232199</v>
      </c>
      <c r="U49" s="66">
        <v>7.42110653191203</v>
      </c>
      <c r="V49" s="66">
        <v>6.3708972816593104</v>
      </c>
      <c r="W49" s="66">
        <v>1.8506130689299001</v>
      </c>
      <c r="X49" s="66">
        <v>2.09241428038824</v>
      </c>
      <c r="Y49" s="67" t="s">
        <v>62</v>
      </c>
    </row>
    <row r="50" spans="1:25" x14ac:dyDescent="0.25">
      <c r="A50" t="s">
        <v>208</v>
      </c>
      <c r="B50" t="s">
        <v>77</v>
      </c>
      <c r="C50" s="59">
        <v>13.8</v>
      </c>
      <c r="D50" s="60">
        <v>26.692685999999998</v>
      </c>
      <c r="E50" s="60">
        <v>12.2</v>
      </c>
      <c r="F50" s="61">
        <v>-9.8039215686274495E-2</v>
      </c>
      <c r="G50" s="61">
        <v>-0.24175824175824168</v>
      </c>
      <c r="H50" s="61">
        <v>-0.20234971589488704</v>
      </c>
      <c r="I50" s="62">
        <v>0.36557268422577699</v>
      </c>
      <c r="J50" s="62">
        <v>0.34930068311252599</v>
      </c>
      <c r="K50" s="62">
        <v>0.48536145989809143</v>
      </c>
      <c r="L50" s="62">
        <v>1.0200514979401776E-2</v>
      </c>
      <c r="M50" s="64">
        <v>0.84251007966070102</v>
      </c>
      <c r="N50" s="61">
        <v>-0.13061778081919395</v>
      </c>
      <c r="O50" s="65">
        <v>-0.18432716520098535</v>
      </c>
      <c r="P50" s="89">
        <v>33.833486100999998</v>
      </c>
      <c r="Q50" s="64">
        <v>-145.97051782450001</v>
      </c>
      <c r="R50" s="66">
        <v>-4.2866166068200702</v>
      </c>
      <c r="S50" s="61" t="s">
        <v>464</v>
      </c>
      <c r="T50" s="66">
        <v>0.968304304694803</v>
      </c>
      <c r="U50" s="66">
        <v>6.0210474877397502</v>
      </c>
      <c r="V50" s="66" t="s">
        <v>464</v>
      </c>
      <c r="W50" s="66">
        <v>1.39829219546837</v>
      </c>
      <c r="X50" s="66">
        <v>0.49322566574191901</v>
      </c>
      <c r="Y50" s="67" t="s">
        <v>77</v>
      </c>
    </row>
    <row r="51" spans="1:25" x14ac:dyDescent="0.25">
      <c r="A51" t="s">
        <v>210</v>
      </c>
      <c r="B51" t="s">
        <v>59</v>
      </c>
      <c r="C51" s="59">
        <v>33.4</v>
      </c>
      <c r="D51" s="60">
        <v>56.441465000000001</v>
      </c>
      <c r="E51" s="60">
        <v>29</v>
      </c>
      <c r="F51" s="61">
        <v>-0.13246753246753251</v>
      </c>
      <c r="G51" s="61">
        <v>-0.14687100893997451</v>
      </c>
      <c r="H51" s="61">
        <v>-2.1961932650073179E-2</v>
      </c>
      <c r="I51" s="62">
        <v>0.366702142901765</v>
      </c>
      <c r="J51" s="62">
        <v>0.34061556753814698</v>
      </c>
      <c r="K51" s="62">
        <v>0.4506603678126872</v>
      </c>
      <c r="L51" s="62">
        <v>0.13342457559472143</v>
      </c>
      <c r="M51" s="64">
        <v>0.75567831861780099</v>
      </c>
      <c r="N51" s="61">
        <v>-3.5730548000926787E-2</v>
      </c>
      <c r="O51" s="65">
        <v>-3.9393819561714949E-3</v>
      </c>
      <c r="P51" s="89">
        <v>25.817314008299999</v>
      </c>
      <c r="Q51" s="64">
        <v>1.0792583945999801</v>
      </c>
      <c r="R51" s="66">
        <v>0.10759871783802701</v>
      </c>
      <c r="S51" s="61">
        <v>7.2700918588235297E-2</v>
      </c>
      <c r="T51" s="66">
        <v>0.94915363812741704</v>
      </c>
      <c r="U51" s="66">
        <v>4.4890542342264803</v>
      </c>
      <c r="V51" s="66" t="s">
        <v>464</v>
      </c>
      <c r="W51" s="66">
        <v>1.3130247718024299</v>
      </c>
      <c r="X51" s="66">
        <v>0.53530901454466995</v>
      </c>
      <c r="Y51" s="67" t="s">
        <v>59</v>
      </c>
    </row>
    <row r="52" spans="1:25" x14ac:dyDescent="0.25">
      <c r="A52" t="s">
        <v>209</v>
      </c>
      <c r="B52" t="s">
        <v>69</v>
      </c>
      <c r="C52" s="59">
        <v>263.5</v>
      </c>
      <c r="D52" s="60">
        <v>407.61789490000001</v>
      </c>
      <c r="E52" s="60">
        <v>246</v>
      </c>
      <c r="F52" s="61">
        <v>-0.11129848229342332</v>
      </c>
      <c r="G52" s="61">
        <v>-0.1677603064784734</v>
      </c>
      <c r="H52" s="61">
        <v>-0.29180448874741161</v>
      </c>
      <c r="I52" s="62">
        <v>0.31416376657599598</v>
      </c>
      <c r="J52" s="62">
        <v>0.30432565671725603</v>
      </c>
      <c r="K52" s="62" t="s">
        <v>464</v>
      </c>
      <c r="L52" s="62" t="s">
        <v>464</v>
      </c>
      <c r="M52" s="64">
        <v>0.68465579647586905</v>
      </c>
      <c r="N52" s="61">
        <v>-5.6619845539425673E-2</v>
      </c>
      <c r="O52" s="65">
        <v>-0.27378193805350992</v>
      </c>
      <c r="P52" s="89">
        <v>22.188749999999999</v>
      </c>
      <c r="Q52" s="64">
        <v>3.6570039599999999</v>
      </c>
      <c r="R52" s="66">
        <v>3.33261440555783</v>
      </c>
      <c r="S52" s="61">
        <v>1.85185185185185E-2</v>
      </c>
      <c r="T52" s="66">
        <v>11.347893330585</v>
      </c>
      <c r="U52" s="66">
        <v>10.8549856310475</v>
      </c>
      <c r="V52" s="66" t="s">
        <v>464</v>
      </c>
      <c r="W52" s="66">
        <v>2.1588786327793699</v>
      </c>
      <c r="X52" s="66">
        <v>3.9909308055850898</v>
      </c>
      <c r="Y52" s="67" t="s">
        <v>69</v>
      </c>
    </row>
    <row r="53" spans="1:25" x14ac:dyDescent="0.25">
      <c r="A53" t="s">
        <v>211</v>
      </c>
      <c r="B53" t="s">
        <v>39</v>
      </c>
      <c r="C53" s="59">
        <v>11.9</v>
      </c>
      <c r="D53" s="60">
        <v>18.038200199999999</v>
      </c>
      <c r="E53" s="60">
        <v>8.2798295999999993</v>
      </c>
      <c r="F53" s="61">
        <v>3.9301310043668325E-2</v>
      </c>
      <c r="G53" s="61">
        <v>-6.0489328737784009E-2</v>
      </c>
      <c r="H53" s="61">
        <v>2.7464825518772606E-2</v>
      </c>
      <c r="I53" s="62">
        <v>0.41484593477540399</v>
      </c>
      <c r="J53" s="62">
        <v>0.37480999806568499</v>
      </c>
      <c r="K53" s="62">
        <v>0.53694169632839717</v>
      </c>
      <c r="L53" s="62">
        <v>9.8440881535107883E-2</v>
      </c>
      <c r="M53" s="64">
        <v>0.85854923356508595</v>
      </c>
      <c r="N53" s="61">
        <v>5.0651132201263716E-2</v>
      </c>
      <c r="O53" s="65">
        <v>4.5487376212674291E-2</v>
      </c>
      <c r="P53" s="89">
        <v>16.8</v>
      </c>
      <c r="Q53" s="64">
        <v>0.138204502000013</v>
      </c>
      <c r="R53" s="66">
        <v>3.5956877608548002E-2</v>
      </c>
      <c r="S53" s="61">
        <v>1.5015015315315301E-2</v>
      </c>
      <c r="T53" s="66">
        <v>1.19828736003772</v>
      </c>
      <c r="U53" s="66">
        <v>8.4963587034128203</v>
      </c>
      <c r="V53" s="66" t="s">
        <v>464</v>
      </c>
      <c r="W53" s="66">
        <v>1.77716115371312</v>
      </c>
      <c r="X53" s="66">
        <v>1.71857087464856</v>
      </c>
      <c r="Y53" s="67" t="s">
        <v>39</v>
      </c>
    </row>
    <row r="54" spans="1:25" x14ac:dyDescent="0.25">
      <c r="A54" t="s">
        <v>212</v>
      </c>
      <c r="B54" t="s">
        <v>32</v>
      </c>
      <c r="C54" s="59">
        <v>5.98</v>
      </c>
      <c r="D54" s="60">
        <v>7.65</v>
      </c>
      <c r="E54" s="60">
        <v>4.37</v>
      </c>
      <c r="F54" s="61">
        <v>-2.7642276422764178E-2</v>
      </c>
      <c r="G54" s="61">
        <v>-3.7037037037036979E-2</v>
      </c>
      <c r="H54" s="61">
        <v>0.13472485768500975</v>
      </c>
      <c r="I54" s="62">
        <v>0.36239223365917606</v>
      </c>
      <c r="J54" s="62">
        <v>0.381921484611697</v>
      </c>
      <c r="K54" s="62">
        <v>0.54207683652048388</v>
      </c>
      <c r="L54" s="62">
        <v>5.7038328952516704E-3</v>
      </c>
      <c r="M54" s="64">
        <v>0.82334180815170199</v>
      </c>
      <c r="N54" s="61">
        <v>7.4103423902010745E-2</v>
      </c>
      <c r="O54" s="65">
        <v>0.15274740837891143</v>
      </c>
      <c r="P54" s="89">
        <v>5.2709014200000004</v>
      </c>
      <c r="Q54" s="64">
        <v>-7.2213240599999997</v>
      </c>
      <c r="R54" s="66">
        <v>-5.0324779292259603</v>
      </c>
      <c r="S54" s="61">
        <v>7.3333333333333306E-2</v>
      </c>
      <c r="T54" s="66">
        <v>2.21304853744472</v>
      </c>
      <c r="U54" s="66">
        <v>5.1713999100626102</v>
      </c>
      <c r="V54" s="66">
        <v>5.2456140350877201</v>
      </c>
      <c r="W54" s="66">
        <v>2.39317588448194</v>
      </c>
      <c r="X54" s="66">
        <v>0.52591134285752905</v>
      </c>
      <c r="Y54" s="67" t="s">
        <v>32</v>
      </c>
    </row>
    <row r="55" spans="1:25" x14ac:dyDescent="0.25">
      <c r="B55" s="69" t="s">
        <v>109</v>
      </c>
      <c r="C55" s="70"/>
      <c r="D55" s="70"/>
      <c r="E55" s="70"/>
      <c r="F55" s="71">
        <v>-8.9933677796857792E-2</v>
      </c>
      <c r="G55" s="71">
        <v>-0.12665440747734452</v>
      </c>
      <c r="H55" s="71">
        <v>-5.8713020027813256E-2</v>
      </c>
      <c r="I55" s="72">
        <v>0.42382723829352797</v>
      </c>
      <c r="J55" s="72">
        <v>0.40353424378789615</v>
      </c>
      <c r="K55" s="72">
        <v>0.49674491924073289</v>
      </c>
      <c r="L55" s="72">
        <v>0.12503878400688867</v>
      </c>
      <c r="M55" s="92">
        <v>1.0312289031360846</v>
      </c>
      <c r="N55" s="71">
        <v>-1.5513946538296783E-2</v>
      </c>
      <c r="O55" s="71">
        <v>-4.0690469333911572E-2</v>
      </c>
      <c r="P55" s="93">
        <v>57.753262875612499</v>
      </c>
      <c r="Q55" s="73">
        <v>-9.100579302999984</v>
      </c>
      <c r="R55" s="74">
        <v>-0.40272327553028553</v>
      </c>
      <c r="S55" s="71">
        <v>3.2713660192955914E-2</v>
      </c>
      <c r="T55" s="74">
        <v>2.7175664785057312</v>
      </c>
      <c r="U55" s="74">
        <v>7.4625187325888431</v>
      </c>
      <c r="V55" s="74">
        <v>6.3224423078897276</v>
      </c>
      <c r="W55" s="76">
        <v>1.9559894766886563</v>
      </c>
      <c r="X55" s="74">
        <v>1.5347880363770472</v>
      </c>
      <c r="Y55" s="78" t="s">
        <v>110</v>
      </c>
    </row>
    <row r="56" spans="1:25" ht="9" customHeight="1" x14ac:dyDescent="0.25">
      <c r="F56" s="81"/>
      <c r="G56" s="81"/>
      <c r="H56" s="81"/>
      <c r="I56" s="40"/>
      <c r="J56" s="40"/>
      <c r="K56" s="40"/>
      <c r="L56" s="40"/>
      <c r="M56" s="32"/>
      <c r="N56" s="79"/>
      <c r="O56" s="79"/>
      <c r="Q56" s="32"/>
      <c r="R56" s="80"/>
      <c r="S56" s="81"/>
      <c r="T56" s="80"/>
      <c r="U56" s="80"/>
      <c r="V56" s="80"/>
      <c r="W56" s="80"/>
      <c r="X56" s="80"/>
    </row>
    <row r="57" spans="1:25" x14ac:dyDescent="0.25">
      <c r="B57" s="57" t="s">
        <v>114</v>
      </c>
      <c r="C57" s="82"/>
      <c r="D57" s="82"/>
      <c r="E57" s="82"/>
      <c r="F57" s="87"/>
      <c r="G57" s="87"/>
      <c r="H57" s="87"/>
      <c r="I57" s="83"/>
      <c r="J57" s="83"/>
      <c r="K57" s="83"/>
      <c r="L57" s="83"/>
      <c r="M57" s="84"/>
      <c r="N57" s="85"/>
      <c r="O57" s="85"/>
      <c r="P57" s="82"/>
      <c r="Q57" s="84"/>
      <c r="R57" s="86"/>
      <c r="S57" s="87"/>
      <c r="T57" s="86"/>
      <c r="U57" s="86"/>
      <c r="V57" s="86"/>
      <c r="W57" s="86"/>
      <c r="X57" s="86"/>
      <c r="Y57" s="88"/>
    </row>
    <row r="58" spans="1:25" x14ac:dyDescent="0.25">
      <c r="A58" t="s">
        <v>213</v>
      </c>
      <c r="B58" t="s">
        <v>42</v>
      </c>
      <c r="C58" s="59">
        <v>105</v>
      </c>
      <c r="D58" s="60">
        <v>128.5</v>
      </c>
      <c r="E58" s="60">
        <v>61.635840000000002</v>
      </c>
      <c r="F58" s="61">
        <v>-9.4339622641509413E-3</v>
      </c>
      <c r="G58" s="61">
        <v>-6.6666666666666652E-2</v>
      </c>
      <c r="H58" s="61">
        <v>-0.12390488110137665</v>
      </c>
      <c r="I58" s="62">
        <v>0.23846048737514799</v>
      </c>
      <c r="J58" s="62">
        <v>0.23722524796973901</v>
      </c>
      <c r="K58" s="62">
        <v>0.64464930932216979</v>
      </c>
      <c r="L58" s="62">
        <v>0.30979269323515002</v>
      </c>
      <c r="M58" s="64">
        <v>0.61474939208618495</v>
      </c>
      <c r="N58" s="61">
        <v>4.4473794272381073E-2</v>
      </c>
      <c r="O58" s="65">
        <v>-0.10588233040747497</v>
      </c>
      <c r="P58" s="89">
        <v>9.7836791600000002</v>
      </c>
      <c r="Q58" s="64">
        <v>2.5779770950000001</v>
      </c>
      <c r="R58" s="66">
        <v>2.6669998704662401</v>
      </c>
      <c r="S58" s="61">
        <v>0.17395263120849103</v>
      </c>
      <c r="T58" s="66">
        <v>0.86940224564553203</v>
      </c>
      <c r="U58" s="66" t="s">
        <v>464</v>
      </c>
      <c r="V58" s="66" t="s">
        <v>464</v>
      </c>
      <c r="W58" s="66">
        <v>1.0274974554648</v>
      </c>
      <c r="X58" s="66">
        <v>1.8456679937482301</v>
      </c>
      <c r="Y58" s="67" t="s">
        <v>42</v>
      </c>
    </row>
    <row r="59" spans="1:25" x14ac:dyDescent="0.25">
      <c r="A59" t="s">
        <v>214</v>
      </c>
      <c r="B59" t="s">
        <v>37</v>
      </c>
      <c r="C59" s="59">
        <v>37.25</v>
      </c>
      <c r="D59" s="60">
        <v>43</v>
      </c>
      <c r="E59" s="60">
        <v>20.147201800000001</v>
      </c>
      <c r="F59" s="61">
        <v>9.4850948509486166E-3</v>
      </c>
      <c r="G59" s="61">
        <v>-5.456852791878164E-2</v>
      </c>
      <c r="H59" s="61">
        <v>6.4285714285714279E-2</v>
      </c>
      <c r="I59" s="62">
        <v>0.22408337600479603</v>
      </c>
      <c r="J59" s="62">
        <v>0.27727589196250102</v>
      </c>
      <c r="K59" s="62">
        <v>0.40075914460314882</v>
      </c>
      <c r="L59" s="62">
        <v>0.30151963702480011</v>
      </c>
      <c r="M59" s="64">
        <v>0.63480791202598397</v>
      </c>
      <c r="N59" s="61">
        <v>5.6571933020266085E-2</v>
      </c>
      <c r="O59" s="65">
        <v>8.2308264979615964E-2</v>
      </c>
      <c r="P59" s="89">
        <v>5.8639999999999999</v>
      </c>
      <c r="Q59" s="64">
        <v>5.2894537699999908</v>
      </c>
      <c r="R59" s="66">
        <v>5.6238650381376196</v>
      </c>
      <c r="S59" s="61">
        <v>0.238808430894309</v>
      </c>
      <c r="T59" s="66">
        <v>2.08415810131015</v>
      </c>
      <c r="U59" s="66">
        <v>0.95121772467188104</v>
      </c>
      <c r="V59" s="66" t="s">
        <v>464</v>
      </c>
      <c r="W59" s="66">
        <v>1.03048888621454</v>
      </c>
      <c r="X59" s="66">
        <v>3.7013690028716302</v>
      </c>
      <c r="Y59" s="67" t="s">
        <v>37</v>
      </c>
    </row>
    <row r="60" spans="1:25" x14ac:dyDescent="0.25">
      <c r="A60" t="s">
        <v>215</v>
      </c>
      <c r="B60" t="s">
        <v>71</v>
      </c>
      <c r="C60" s="59">
        <v>6.49</v>
      </c>
      <c r="D60" s="60">
        <v>31</v>
      </c>
      <c r="E60" s="60">
        <v>5.9</v>
      </c>
      <c r="F60" s="61">
        <v>-8.5915492957746364E-2</v>
      </c>
      <c r="G60" s="61">
        <v>-0.19278606965174117</v>
      </c>
      <c r="H60" s="61">
        <v>-0.52279411764705874</v>
      </c>
      <c r="I60" s="62">
        <v>0.63105103917920191</v>
      </c>
      <c r="J60" s="62">
        <v>0.58766327529948303</v>
      </c>
      <c r="K60" s="62">
        <v>0.55254902281498419</v>
      </c>
      <c r="L60" s="62">
        <v>0.15637619784616907</v>
      </c>
      <c r="M60" s="64">
        <v>8.5413660190311005E-2</v>
      </c>
      <c r="N60" s="61">
        <v>-8.164560871269344E-2</v>
      </c>
      <c r="O60" s="65">
        <v>-0.50477156695315706</v>
      </c>
      <c r="P60" s="89">
        <v>1.1085299280000001</v>
      </c>
      <c r="Q60" s="64">
        <v>1.0853974292000002</v>
      </c>
      <c r="R60" s="66">
        <v>10.394336722146701</v>
      </c>
      <c r="S60" s="61" t="s">
        <v>464</v>
      </c>
      <c r="T60" s="66">
        <v>0.39990711949545199</v>
      </c>
      <c r="U60" s="66">
        <v>3.80457721708953</v>
      </c>
      <c r="V60" s="66" t="s">
        <v>464</v>
      </c>
      <c r="W60" s="66">
        <v>1.38842749866538</v>
      </c>
      <c r="X60" s="66" t="s">
        <v>464</v>
      </c>
      <c r="Y60" s="67" t="s">
        <v>71</v>
      </c>
    </row>
    <row r="61" spans="1:25" x14ac:dyDescent="0.25">
      <c r="A61" t="s">
        <v>216</v>
      </c>
      <c r="B61" t="s">
        <v>31</v>
      </c>
      <c r="C61" s="59">
        <v>12</v>
      </c>
      <c r="D61" s="60">
        <v>13.7</v>
      </c>
      <c r="E61" s="60">
        <v>7.4</v>
      </c>
      <c r="F61" s="61">
        <v>0</v>
      </c>
      <c r="G61" s="61">
        <v>-3.2258064516129115E-2</v>
      </c>
      <c r="H61" s="61">
        <v>-6.6147859922178975E-2</v>
      </c>
      <c r="I61" s="62">
        <v>0.13688139862729598</v>
      </c>
      <c r="J61" s="62">
        <v>0.192791528868376</v>
      </c>
      <c r="K61" s="62">
        <v>0.34364323931480045</v>
      </c>
      <c r="L61" s="62">
        <v>-4.1957586280867654E-2</v>
      </c>
      <c r="M61" s="64">
        <v>0.28837093150387</v>
      </c>
      <c r="N61" s="61">
        <v>7.888239642291861E-2</v>
      </c>
      <c r="O61" s="65">
        <v>-4.8125309228277291E-2</v>
      </c>
      <c r="P61" s="89">
        <v>1.4783999999999999</v>
      </c>
      <c r="Q61" s="64">
        <v>1.4263775599999999</v>
      </c>
      <c r="R61" s="66">
        <v>3.8849620243345599</v>
      </c>
      <c r="S61" s="61">
        <v>1.3388396529539801E-2</v>
      </c>
      <c r="T61" s="66">
        <v>3.1993076476653401</v>
      </c>
      <c r="U61" s="66">
        <v>3.8040532187045302</v>
      </c>
      <c r="V61" s="66" t="s">
        <v>464</v>
      </c>
      <c r="W61" s="66">
        <v>0.92156900464465596</v>
      </c>
      <c r="X61" s="66">
        <v>3.24391566688172</v>
      </c>
      <c r="Y61" s="67" t="s">
        <v>31</v>
      </c>
    </row>
    <row r="62" spans="1:25" x14ac:dyDescent="0.25">
      <c r="A62" t="s">
        <v>217</v>
      </c>
      <c r="B62" t="s">
        <v>48</v>
      </c>
      <c r="C62" s="59">
        <v>2.93</v>
      </c>
      <c r="D62" s="60">
        <v>6.1573039999999999</v>
      </c>
      <c r="E62" s="60">
        <v>2.93</v>
      </c>
      <c r="F62" s="61">
        <v>-5.7877813504823017E-2</v>
      </c>
      <c r="G62" s="61">
        <v>-9.8461538461538378E-2</v>
      </c>
      <c r="H62" s="61">
        <v>-0.12537313432835817</v>
      </c>
      <c r="I62" s="62">
        <v>0.307642846301036</v>
      </c>
      <c r="J62" s="62">
        <v>0.43327779265169702</v>
      </c>
      <c r="K62" s="62">
        <v>0.46092812979801345</v>
      </c>
      <c r="L62" s="62">
        <v>-5.3066226817338746E-3</v>
      </c>
      <c r="M62" s="64">
        <v>0.45901790026553702</v>
      </c>
      <c r="N62" s="61">
        <v>1.2678922477509347E-2</v>
      </c>
      <c r="O62" s="65">
        <v>-0.10735058363445649</v>
      </c>
      <c r="P62" s="89">
        <v>1.2535499999999999</v>
      </c>
      <c r="Q62" s="64">
        <v>1.6626637370699999</v>
      </c>
      <c r="R62" s="66">
        <v>6.1544695503689297</v>
      </c>
      <c r="S62" s="61" t="s">
        <v>464</v>
      </c>
      <c r="T62" s="66">
        <v>0.46924927489827201</v>
      </c>
      <c r="U62" s="66">
        <v>547.66355140186897</v>
      </c>
      <c r="V62" s="66" t="s">
        <v>464</v>
      </c>
      <c r="W62" s="66">
        <v>7.1269195819726496</v>
      </c>
      <c r="X62" s="66">
        <v>10.397656410891299</v>
      </c>
      <c r="Y62" s="67" t="s">
        <v>48</v>
      </c>
    </row>
    <row r="63" spans="1:25" x14ac:dyDescent="0.25">
      <c r="A63" t="s">
        <v>218</v>
      </c>
      <c r="B63" t="s">
        <v>36</v>
      </c>
      <c r="C63" s="59">
        <v>34.950000000000003</v>
      </c>
      <c r="D63" s="60">
        <v>49</v>
      </c>
      <c r="E63" s="60">
        <v>19.8</v>
      </c>
      <c r="F63" s="61">
        <v>-1.4285714285713347E-3</v>
      </c>
      <c r="G63" s="61">
        <v>-5.2845528455284452E-2</v>
      </c>
      <c r="H63" s="61">
        <v>-8.0263157894736814E-2</v>
      </c>
      <c r="I63" s="62">
        <v>0.234026416853131</v>
      </c>
      <c r="J63" s="62">
        <v>0.31624471952491001</v>
      </c>
      <c r="K63" s="62">
        <v>0.45335762434808996</v>
      </c>
      <c r="L63" s="62">
        <v>2.4041945739637471E-2</v>
      </c>
      <c r="M63" s="64">
        <v>0.40920780588084199</v>
      </c>
      <c r="N63" s="61">
        <v>5.8294932483763273E-2</v>
      </c>
      <c r="O63" s="65">
        <v>-6.224060720083513E-2</v>
      </c>
      <c r="P63" s="89">
        <v>1.05</v>
      </c>
      <c r="Q63" s="64">
        <v>0.923734209999999</v>
      </c>
      <c r="R63" s="66">
        <v>9.3650884621861294</v>
      </c>
      <c r="S63" s="61" t="s">
        <v>464</v>
      </c>
      <c r="T63" s="66">
        <v>0.28529205580394201</v>
      </c>
      <c r="U63" s="66" t="s">
        <v>464</v>
      </c>
      <c r="V63" s="66" t="s">
        <v>464</v>
      </c>
      <c r="W63" s="66">
        <v>1.7071560333803899</v>
      </c>
      <c r="X63" s="66">
        <v>11.519813309806599</v>
      </c>
      <c r="Y63" s="67" t="s">
        <v>36</v>
      </c>
    </row>
    <row r="64" spans="1:25" x14ac:dyDescent="0.25">
      <c r="A64" t="s">
        <v>219</v>
      </c>
      <c r="B64" t="s">
        <v>24</v>
      </c>
      <c r="C64" s="59">
        <v>12.25</v>
      </c>
      <c r="D64" s="60">
        <v>19.850000000000001</v>
      </c>
      <c r="E64" s="60">
        <v>9.8000000000000007</v>
      </c>
      <c r="F64" s="61">
        <v>5.1502145922746712E-2</v>
      </c>
      <c r="G64" s="61">
        <v>0</v>
      </c>
      <c r="H64" s="61">
        <v>2.0833333333333259E-2</v>
      </c>
      <c r="I64" s="62">
        <v>0.45298914552844205</v>
      </c>
      <c r="J64" s="62">
        <v>0.41751508838055701</v>
      </c>
      <c r="K64" s="62">
        <v>0.51273410261033237</v>
      </c>
      <c r="L64" s="62">
        <v>2.163620553290424E-2</v>
      </c>
      <c r="M64" s="64">
        <v>0.83317441549363203</v>
      </c>
      <c r="N64" s="61">
        <v>0.11114046093904772</v>
      </c>
      <c r="O64" s="65">
        <v>3.8855884027234944E-2</v>
      </c>
      <c r="P64" s="89">
        <v>0.95250000000000001</v>
      </c>
      <c r="Q64" s="64">
        <v>1.16751965</v>
      </c>
      <c r="R64" s="66">
        <v>7.2864997879305502</v>
      </c>
      <c r="S64" s="61" t="s">
        <v>464</v>
      </c>
      <c r="T64" s="66">
        <v>0.97236451670795299</v>
      </c>
      <c r="U64" s="66" t="s">
        <v>464</v>
      </c>
      <c r="V64" s="66" t="s">
        <v>464</v>
      </c>
      <c r="W64" s="66">
        <v>1.9051043421760201</v>
      </c>
      <c r="X64" s="66">
        <v>3.6308051139914701</v>
      </c>
      <c r="Y64" s="67" t="s">
        <v>24</v>
      </c>
    </row>
    <row r="65" spans="1:25" x14ac:dyDescent="0.25">
      <c r="A65" t="s">
        <v>220</v>
      </c>
      <c r="B65" t="s">
        <v>27</v>
      </c>
      <c r="C65" s="59">
        <v>4.24</v>
      </c>
      <c r="D65" s="60">
        <v>13.5</v>
      </c>
      <c r="E65" s="60">
        <v>4.24</v>
      </c>
      <c r="F65" s="61">
        <v>-4.0723981900452455E-2</v>
      </c>
      <c r="G65" s="61">
        <v>-1.851851851851849E-2</v>
      </c>
      <c r="H65" s="61">
        <v>-0.10359408033826645</v>
      </c>
      <c r="I65" s="62">
        <v>0.30963733186091202</v>
      </c>
      <c r="J65" s="62">
        <v>0.30838049888452501</v>
      </c>
      <c r="K65" s="62">
        <v>0.45947351699193523</v>
      </c>
      <c r="L65" s="62">
        <v>4.7104980116553508E-2</v>
      </c>
      <c r="M65" s="64">
        <v>0.45078819160101902</v>
      </c>
      <c r="N65" s="61">
        <v>9.2621942420529235E-2</v>
      </c>
      <c r="O65" s="65">
        <v>-8.5571529644364763E-2</v>
      </c>
      <c r="P65" s="89">
        <v>0.1958</v>
      </c>
      <c r="Q65" s="64">
        <v>0.31416002999999998</v>
      </c>
      <c r="R65" s="66">
        <v>2.4274391932953399</v>
      </c>
      <c r="S65" s="61" t="s">
        <v>464</v>
      </c>
      <c r="T65" s="66">
        <v>0.148631918320451</v>
      </c>
      <c r="U65" s="66" t="s">
        <v>464</v>
      </c>
      <c r="V65" s="66" t="s">
        <v>464</v>
      </c>
      <c r="W65" s="66">
        <v>1.03552622033548</v>
      </c>
      <c r="X65" s="66">
        <v>3.7733681436792499</v>
      </c>
      <c r="Y65" s="67" t="s">
        <v>27</v>
      </c>
    </row>
    <row r="66" spans="1:25" x14ac:dyDescent="0.25">
      <c r="A66" t="s">
        <v>221</v>
      </c>
      <c r="B66" t="s">
        <v>11</v>
      </c>
      <c r="C66" s="59">
        <v>65</v>
      </c>
      <c r="D66" s="60">
        <v>70.2</v>
      </c>
      <c r="E66" s="60">
        <v>20.281921000000001</v>
      </c>
      <c r="F66" s="61">
        <v>0</v>
      </c>
      <c r="G66" s="61" t="s">
        <v>464</v>
      </c>
      <c r="H66" s="61" t="s">
        <v>464</v>
      </c>
      <c r="I66" s="62">
        <v>0.58432915395260898</v>
      </c>
      <c r="J66" s="62">
        <v>0.40084379999242203</v>
      </c>
      <c r="K66" s="62">
        <v>0.37630456542924856</v>
      </c>
      <c r="L66" s="62">
        <v>7.8307089598502522E-2</v>
      </c>
      <c r="M66" s="64" t="s">
        <v>464</v>
      </c>
      <c r="N66" s="61" t="s">
        <v>464</v>
      </c>
      <c r="O66" s="65" t="s">
        <v>464</v>
      </c>
      <c r="P66" s="89">
        <v>0.14299999999999999</v>
      </c>
      <c r="Q66" s="64">
        <v>0.14467464999999999</v>
      </c>
      <c r="R66" s="66">
        <v>1.69832657933602</v>
      </c>
      <c r="S66" s="61">
        <v>3.8461538461538503E-3</v>
      </c>
      <c r="T66" s="66" t="s">
        <v>464</v>
      </c>
      <c r="U66" s="66" t="s">
        <v>464</v>
      </c>
      <c r="V66" s="66" t="s">
        <v>464</v>
      </c>
      <c r="W66" s="66" t="s">
        <v>464</v>
      </c>
      <c r="X66" s="66" t="s">
        <v>464</v>
      </c>
      <c r="Y66" s="67" t="s">
        <v>11</v>
      </c>
    </row>
    <row r="67" spans="1:25" x14ac:dyDescent="0.25">
      <c r="A67" t="s">
        <v>222</v>
      </c>
      <c r="B67" t="s">
        <v>10</v>
      </c>
      <c r="C67" s="59">
        <v>10.3</v>
      </c>
      <c r="D67" s="60">
        <v>14.3</v>
      </c>
      <c r="E67" s="60">
        <v>7</v>
      </c>
      <c r="F67" s="61">
        <v>-6.3636363636363602E-2</v>
      </c>
      <c r="G67" s="61" t="s">
        <v>464</v>
      </c>
      <c r="H67" s="61" t="s">
        <v>464</v>
      </c>
      <c r="I67" s="62">
        <v>1.0243376804912401</v>
      </c>
      <c r="J67" s="62">
        <v>0.727392870656969</v>
      </c>
      <c r="K67" s="62">
        <v>0.64908997714891714</v>
      </c>
      <c r="L67" s="62">
        <v>-0.15558203213928135</v>
      </c>
      <c r="M67" s="64" t="s">
        <v>464</v>
      </c>
      <c r="N67" s="61" t="s">
        <v>464</v>
      </c>
      <c r="O67" s="65" t="s">
        <v>464</v>
      </c>
      <c r="P67" s="89">
        <v>6.6130058200000008E-2</v>
      </c>
      <c r="Q67" s="64">
        <v>6.5905708199999996E-2</v>
      </c>
      <c r="R67" s="66" t="s">
        <v>464</v>
      </c>
      <c r="S67" s="61" t="s">
        <v>464</v>
      </c>
      <c r="T67" s="66" t="s">
        <v>464</v>
      </c>
      <c r="U67" s="66">
        <v>11.9832931951183</v>
      </c>
      <c r="V67" s="66" t="s">
        <v>464</v>
      </c>
      <c r="W67" s="66">
        <v>-1.0893466112935299</v>
      </c>
      <c r="X67" s="66" t="s">
        <v>464</v>
      </c>
      <c r="Y67" s="67" t="s">
        <v>10</v>
      </c>
    </row>
    <row r="68" spans="1:25" x14ac:dyDescent="0.25">
      <c r="B68" s="69" t="s">
        <v>109</v>
      </c>
      <c r="C68" s="70"/>
      <c r="D68" s="70"/>
      <c r="E68" s="70"/>
      <c r="F68" s="71">
        <v>-1.9802894491841239E-2</v>
      </c>
      <c r="G68" s="71">
        <v>-6.4513114273582486E-2</v>
      </c>
      <c r="H68" s="71">
        <v>-0.11711977295161603</v>
      </c>
      <c r="I68" s="72">
        <v>0.41434388761738122</v>
      </c>
      <c r="J68" s="72">
        <v>0.38986107141911786</v>
      </c>
      <c r="K68" s="72">
        <v>0.48534886323816401</v>
      </c>
      <c r="L68" s="72">
        <v>7.3593250799183413E-2</v>
      </c>
      <c r="M68" s="73">
        <v>0.47194127613092252</v>
      </c>
      <c r="N68" s="71">
        <v>4.6627346665465239E-2</v>
      </c>
      <c r="O68" s="71">
        <v>-9.9097222257714349E-2</v>
      </c>
      <c r="P68" s="93">
        <v>2.1895589146200001</v>
      </c>
      <c r="Q68" s="73">
        <v>1.4657863839469993</v>
      </c>
      <c r="R68" s="74">
        <v>5.5002208031335655</v>
      </c>
      <c r="S68" s="71">
        <v>0.10749890311962343</v>
      </c>
      <c r="T68" s="74">
        <v>1.0535391099808864</v>
      </c>
      <c r="U68" s="74">
        <v>113.64133855149063</v>
      </c>
      <c r="V68" s="74" t="s">
        <v>464</v>
      </c>
      <c r="W68" s="76">
        <v>1.6725936012844871</v>
      </c>
      <c r="X68" s="74">
        <v>5.4446565202671717</v>
      </c>
      <c r="Y68" s="78" t="s">
        <v>110</v>
      </c>
    </row>
    <row r="69" spans="1:25" ht="7.5" customHeight="1" x14ac:dyDescent="0.25">
      <c r="F69" s="81"/>
      <c r="G69" s="81"/>
      <c r="H69" s="81"/>
      <c r="I69" s="40"/>
      <c r="J69" s="40"/>
      <c r="K69" s="40"/>
      <c r="L69" s="40"/>
      <c r="M69" s="32"/>
      <c r="N69" s="79"/>
      <c r="O69" s="79"/>
      <c r="Q69" s="32"/>
      <c r="R69" s="80"/>
      <c r="S69" s="81"/>
      <c r="T69" s="80"/>
      <c r="U69" s="80"/>
      <c r="V69" s="80"/>
      <c r="W69" s="80"/>
      <c r="X69" s="80"/>
    </row>
    <row r="70" spans="1:25" x14ac:dyDescent="0.25">
      <c r="B70" s="57" t="s">
        <v>115</v>
      </c>
      <c r="C70" s="82"/>
      <c r="D70" s="82"/>
      <c r="E70" s="82"/>
      <c r="F70" s="87"/>
      <c r="G70" s="87"/>
      <c r="H70" s="87"/>
      <c r="I70" s="83"/>
      <c r="J70" s="83"/>
      <c r="K70" s="83"/>
      <c r="L70" s="83"/>
      <c r="M70" s="84"/>
      <c r="N70" s="85"/>
      <c r="O70" s="85"/>
      <c r="P70" s="82"/>
      <c r="Q70" s="84"/>
      <c r="R70" s="86"/>
      <c r="S70" s="87"/>
      <c r="T70" s="86"/>
      <c r="U70" s="86"/>
      <c r="V70" s="86"/>
      <c r="W70" s="86"/>
      <c r="X70" s="86"/>
      <c r="Y70" s="88"/>
    </row>
    <row r="71" spans="1:25" x14ac:dyDescent="0.25">
      <c r="A71" t="s">
        <v>223</v>
      </c>
      <c r="B71" t="s">
        <v>50</v>
      </c>
      <c r="C71" s="59">
        <v>43</v>
      </c>
      <c r="D71" s="60">
        <v>66.095085800000007</v>
      </c>
      <c r="E71" s="60">
        <v>39.770682000000001</v>
      </c>
      <c r="F71" s="61">
        <v>-2.2727272727272707E-2</v>
      </c>
      <c r="G71" s="61">
        <v>-0.12244897959183676</v>
      </c>
      <c r="H71" s="61">
        <v>-0.10509885535900099</v>
      </c>
      <c r="I71" s="62">
        <v>0.38081483712648401</v>
      </c>
      <c r="J71" s="62">
        <v>0.35842524783900204</v>
      </c>
      <c r="K71" s="62">
        <v>0.41290172683102294</v>
      </c>
      <c r="L71" s="62">
        <v>0.14079465133819924</v>
      </c>
      <c r="M71" s="64">
        <v>0.57985648874542794</v>
      </c>
      <c r="N71" s="61">
        <v>-1.1308518652789035E-2</v>
      </c>
      <c r="O71" s="65">
        <v>-8.7076304665099302E-2</v>
      </c>
      <c r="P71" s="89">
        <v>24.30441132</v>
      </c>
      <c r="Q71" s="64">
        <v>253.90508778</v>
      </c>
      <c r="R71" s="66">
        <v>23.122219085693501</v>
      </c>
      <c r="S71" s="61">
        <v>5.6394263270396303E-2</v>
      </c>
      <c r="T71" s="66">
        <v>0.66827145911105201</v>
      </c>
      <c r="U71" s="66" t="s">
        <v>464</v>
      </c>
      <c r="V71" s="66" t="s">
        <v>464</v>
      </c>
      <c r="W71" s="66">
        <v>0.58292228422922399</v>
      </c>
      <c r="X71" s="66">
        <v>2.8866691160092799</v>
      </c>
      <c r="Y71" s="67" t="s">
        <v>50</v>
      </c>
    </row>
    <row r="72" spans="1:25" x14ac:dyDescent="0.25">
      <c r="A72" t="s">
        <v>224</v>
      </c>
      <c r="B72" t="s">
        <v>35</v>
      </c>
      <c r="C72" s="59">
        <v>200</v>
      </c>
      <c r="D72" s="60">
        <v>264.76102109999999</v>
      </c>
      <c r="E72" s="60">
        <v>160</v>
      </c>
      <c r="F72" s="61">
        <v>0</v>
      </c>
      <c r="G72" s="61" t="s">
        <v>464</v>
      </c>
      <c r="H72" s="61">
        <v>5.5408970976253302E-2</v>
      </c>
      <c r="I72" s="62">
        <v>0.49831213030916399</v>
      </c>
      <c r="J72" s="62">
        <v>0.47892607705276097</v>
      </c>
      <c r="K72" s="62">
        <v>0.41181535706269368</v>
      </c>
      <c r="L72" s="62">
        <v>0.20186262678726719</v>
      </c>
      <c r="M72" s="64">
        <v>0.328901995191616</v>
      </c>
      <c r="N72" s="61" t="s">
        <v>464</v>
      </c>
      <c r="O72" s="65">
        <v>7.3431521670154987E-2</v>
      </c>
      <c r="P72" s="89">
        <v>26.602669500000001</v>
      </c>
      <c r="Q72" s="64">
        <v>39.530016000000003</v>
      </c>
      <c r="R72" s="66">
        <v>9.9253517434766003</v>
      </c>
      <c r="S72" s="61">
        <v>2.3314903305121301E-2</v>
      </c>
      <c r="T72" s="66">
        <v>3.3706786064546899</v>
      </c>
      <c r="U72" s="66" t="s">
        <v>464</v>
      </c>
      <c r="V72" s="66" t="s">
        <v>464</v>
      </c>
      <c r="W72" s="66">
        <v>0.60177946883369604</v>
      </c>
      <c r="X72" s="66">
        <v>9.3020580354176907</v>
      </c>
      <c r="Y72" s="67" t="s">
        <v>35</v>
      </c>
    </row>
    <row r="73" spans="1:25" x14ac:dyDescent="0.25">
      <c r="A73" t="s">
        <v>225</v>
      </c>
      <c r="B73" t="s">
        <v>54</v>
      </c>
      <c r="C73" s="59">
        <v>44.45</v>
      </c>
      <c r="D73" s="60">
        <v>58.967614500000003</v>
      </c>
      <c r="E73" s="60">
        <v>32.887628900000003</v>
      </c>
      <c r="F73" s="61">
        <v>-8.9186176142697082E-3</v>
      </c>
      <c r="G73" s="61">
        <v>-0.12757605495583901</v>
      </c>
      <c r="H73" s="61">
        <v>-1.0022271714921982E-2</v>
      </c>
      <c r="I73" s="62">
        <v>0.32324081009154099</v>
      </c>
      <c r="J73" s="62">
        <v>0.29416756738661798</v>
      </c>
      <c r="K73" s="62">
        <v>0.40837117395409539</v>
      </c>
      <c r="L73" s="62">
        <v>6.0734638363086013E-2</v>
      </c>
      <c r="M73" s="64">
        <v>0.59749148880154301</v>
      </c>
      <c r="N73" s="61">
        <v>-1.6435594016791288E-2</v>
      </c>
      <c r="O73" s="65">
        <v>8.0002789789797024E-3</v>
      </c>
      <c r="P73" s="89">
        <v>21.219490609200001</v>
      </c>
      <c r="Q73" s="64">
        <v>287.66263709625002</v>
      </c>
      <c r="R73" s="66">
        <v>25.638381202874299</v>
      </c>
      <c r="S73" s="61" t="s">
        <v>464</v>
      </c>
      <c r="T73" s="66">
        <v>0.50285368854188095</v>
      </c>
      <c r="U73" s="66" t="s">
        <v>464</v>
      </c>
      <c r="V73" s="66" t="s">
        <v>464</v>
      </c>
      <c r="W73" s="66">
        <v>0.86736888087366204</v>
      </c>
      <c r="X73" s="66">
        <v>1.64385247474653</v>
      </c>
      <c r="Y73" s="67" t="s">
        <v>54</v>
      </c>
    </row>
    <row r="74" spans="1:25" x14ac:dyDescent="0.25">
      <c r="A74" t="s">
        <v>226</v>
      </c>
      <c r="B74" t="s">
        <v>46</v>
      </c>
      <c r="C74" s="59">
        <v>42.8</v>
      </c>
      <c r="D74" s="60">
        <v>52.5</v>
      </c>
      <c r="E74" s="60">
        <v>34</v>
      </c>
      <c r="F74" s="61">
        <v>-2.5056947608200542E-2</v>
      </c>
      <c r="G74" s="61">
        <v>-8.9361702127659592E-2</v>
      </c>
      <c r="H74" s="61">
        <v>0.14745308310991967</v>
      </c>
      <c r="I74" s="62">
        <v>0.291694229696629</v>
      </c>
      <c r="J74" s="62">
        <v>0.306930952969941</v>
      </c>
      <c r="K74" s="62">
        <v>0.4392541489658589</v>
      </c>
      <c r="L74" s="62">
        <v>8.5092223154437097E-2</v>
      </c>
      <c r="M74" s="64">
        <v>0.75777878425560996</v>
      </c>
      <c r="N74" s="61">
        <v>2.1778758811388133E-2</v>
      </c>
      <c r="O74" s="65">
        <v>0.16547563380382135</v>
      </c>
      <c r="P74" s="89">
        <v>17.830942711500001</v>
      </c>
      <c r="Q74" s="64">
        <v>18.896785001200001</v>
      </c>
      <c r="R74" s="66">
        <v>46.809791106608202</v>
      </c>
      <c r="S74" s="61">
        <v>2.0664672305882398E-2</v>
      </c>
      <c r="T74" s="66">
        <v>6.3497033082938001</v>
      </c>
      <c r="U74" s="66">
        <v>10.6105004288824</v>
      </c>
      <c r="V74" s="66" t="s">
        <v>464</v>
      </c>
      <c r="W74" s="66">
        <v>0.93983001662652299</v>
      </c>
      <c r="X74" s="66" t="s">
        <v>464</v>
      </c>
      <c r="Y74" s="67" t="s">
        <v>46</v>
      </c>
    </row>
    <row r="75" spans="1:25" x14ac:dyDescent="0.25">
      <c r="B75" s="69" t="s">
        <v>109</v>
      </c>
      <c r="C75" s="70"/>
      <c r="D75" s="70"/>
      <c r="E75" s="70"/>
      <c r="F75" s="71">
        <v>-1.4175709487435739E-2</v>
      </c>
      <c r="G75" s="94">
        <v>-0.11312891222511179</v>
      </c>
      <c r="H75" s="94">
        <v>2.1935231753062501E-2</v>
      </c>
      <c r="I75" s="72">
        <v>0.3735155018059545</v>
      </c>
      <c r="J75" s="72">
        <v>0.35961246131208047</v>
      </c>
      <c r="K75" s="72">
        <v>0.41808560170341769</v>
      </c>
      <c r="L75" s="72">
        <v>0.12212103491074738</v>
      </c>
      <c r="M75" s="73">
        <v>0.5660071892485492</v>
      </c>
      <c r="N75" s="71">
        <v>-1.9884512860640635E-3</v>
      </c>
      <c r="O75" s="94">
        <v>3.9957782446964185E-2</v>
      </c>
      <c r="P75" s="93">
        <v>22.489378535175</v>
      </c>
      <c r="Q75" s="73">
        <v>149.99863146936252</v>
      </c>
      <c r="R75" s="74">
        <v>26.37393578466315</v>
      </c>
      <c r="S75" s="71">
        <v>3.3457946293800001E-2</v>
      </c>
      <c r="T75" s="74">
        <v>2.7228767656003559</v>
      </c>
      <c r="U75" s="74">
        <v>10.6105004288824</v>
      </c>
      <c r="V75" s="74" t="s">
        <v>464</v>
      </c>
      <c r="W75" s="76">
        <v>0.74797516264077624</v>
      </c>
      <c r="X75" s="77">
        <v>4.6108598753911672</v>
      </c>
      <c r="Y75" s="78" t="s">
        <v>110</v>
      </c>
    </row>
    <row r="76" spans="1:25" ht="9" customHeight="1" x14ac:dyDescent="0.25">
      <c r="F76" s="81"/>
      <c r="G76" s="81"/>
      <c r="H76" s="81"/>
      <c r="I76" s="40"/>
      <c r="J76" s="40"/>
      <c r="K76" s="40"/>
      <c r="L76" s="40"/>
      <c r="M76" s="32"/>
      <c r="N76" s="79"/>
      <c r="O76" s="79"/>
      <c r="Q76" s="32"/>
      <c r="R76" s="80"/>
      <c r="S76" s="81"/>
      <c r="T76" s="80"/>
      <c r="U76" s="80"/>
      <c r="V76" s="80"/>
      <c r="W76" s="80"/>
      <c r="X76" s="80"/>
    </row>
    <row r="77" spans="1:25" x14ac:dyDescent="0.25">
      <c r="B77" s="57" t="s">
        <v>116</v>
      </c>
      <c r="C77" s="82"/>
      <c r="D77" s="82"/>
      <c r="E77" s="82"/>
      <c r="F77" s="87"/>
      <c r="G77" s="87"/>
      <c r="H77" s="87"/>
      <c r="I77" s="83"/>
      <c r="J77" s="83"/>
      <c r="K77" s="83"/>
      <c r="L77" s="83"/>
      <c r="M77" s="84"/>
      <c r="N77" s="85"/>
      <c r="O77" s="85"/>
      <c r="P77" s="82"/>
      <c r="Q77" s="84"/>
      <c r="R77" s="86"/>
      <c r="S77" s="87"/>
      <c r="T77" s="86"/>
      <c r="U77" s="86"/>
      <c r="V77" s="86"/>
      <c r="W77" s="86"/>
      <c r="X77" s="86"/>
      <c r="Y77" s="88"/>
    </row>
    <row r="78" spans="1:25" x14ac:dyDescent="0.25">
      <c r="A78" t="s">
        <v>227</v>
      </c>
      <c r="B78" t="s">
        <v>78</v>
      </c>
      <c r="C78" s="59">
        <v>11.2</v>
      </c>
      <c r="D78" s="60">
        <v>16.55587315</v>
      </c>
      <c r="E78" s="60">
        <v>10.8</v>
      </c>
      <c r="F78" s="61">
        <v>-0.1215686274509804</v>
      </c>
      <c r="G78" s="61">
        <v>-0.24761379371128744</v>
      </c>
      <c r="H78" s="61">
        <v>-0.11081633967069882</v>
      </c>
      <c r="I78" s="62">
        <v>0.51069007239688102</v>
      </c>
      <c r="J78" s="62">
        <v>0.41041068393524499</v>
      </c>
      <c r="K78" s="62">
        <v>0.42820535736718851</v>
      </c>
      <c r="L78" s="62">
        <v>0.1101587360489702</v>
      </c>
      <c r="M78" s="64">
        <v>0.79120197425907002</v>
      </c>
      <c r="N78" s="61">
        <v>-0.13647333277223972</v>
      </c>
      <c r="O78" s="65">
        <v>-9.2793788976797131E-2</v>
      </c>
      <c r="P78" s="89">
        <v>52.325164880540903</v>
      </c>
      <c r="Q78" s="95">
        <v>57.046217057600096</v>
      </c>
      <c r="R78" s="66">
        <v>4.0403879353735999</v>
      </c>
      <c r="S78" s="61">
        <v>6.0075000000000003E-2</v>
      </c>
      <c r="T78" s="66">
        <v>0.68497811081341398</v>
      </c>
      <c r="U78" s="66">
        <v>3.8115851770175002</v>
      </c>
      <c r="V78" s="66">
        <v>3.5</v>
      </c>
      <c r="W78" s="66">
        <v>0.520611362987214</v>
      </c>
      <c r="X78" s="66">
        <v>16.336660867442401</v>
      </c>
      <c r="Y78" s="67" t="s">
        <v>78</v>
      </c>
    </row>
    <row r="79" spans="1:25" x14ac:dyDescent="0.25">
      <c r="A79" t="s">
        <v>228</v>
      </c>
      <c r="B79" t="s">
        <v>52</v>
      </c>
      <c r="C79" s="59">
        <v>84.8</v>
      </c>
      <c r="D79" s="60">
        <v>105</v>
      </c>
      <c r="E79" s="60">
        <v>48.1</v>
      </c>
      <c r="F79" s="61">
        <v>-0.15998018821198623</v>
      </c>
      <c r="G79" s="61">
        <v>-0.12577319587628866</v>
      </c>
      <c r="H79" s="61">
        <v>5.3416149068322927E-2</v>
      </c>
      <c r="I79" s="62">
        <v>0.45371443617879897</v>
      </c>
      <c r="J79" s="62">
        <v>0.43181425012702002</v>
      </c>
      <c r="K79" s="62" t="s">
        <v>464</v>
      </c>
      <c r="L79" s="62" t="s">
        <v>464</v>
      </c>
      <c r="M79" s="64">
        <v>0.89587915017397501</v>
      </c>
      <c r="N79" s="61">
        <v>-1.4632734937240932E-2</v>
      </c>
      <c r="O79" s="65">
        <v>7.1438699762224611E-2</v>
      </c>
      <c r="P79" s="89">
        <v>57.516556285</v>
      </c>
      <c r="Q79" s="95">
        <v>54.978442551999898</v>
      </c>
      <c r="R79" s="66">
        <v>7.8835616511447597</v>
      </c>
      <c r="S79" s="61" t="s">
        <v>464</v>
      </c>
      <c r="T79" s="66">
        <v>1.88544691493081</v>
      </c>
      <c r="U79" s="66">
        <v>28.081515872017199</v>
      </c>
      <c r="V79" s="66" t="s">
        <v>464</v>
      </c>
      <c r="W79" s="66">
        <v>3.3298772173031499</v>
      </c>
      <c r="X79" s="66">
        <v>12.385347024862901</v>
      </c>
      <c r="Y79" s="67" t="s">
        <v>52</v>
      </c>
    </row>
    <row r="80" spans="1:25" x14ac:dyDescent="0.25">
      <c r="A80" t="s">
        <v>229</v>
      </c>
      <c r="B80" t="s">
        <v>67</v>
      </c>
      <c r="C80" s="59">
        <v>14.4</v>
      </c>
      <c r="D80" s="60">
        <v>21.901589950000002</v>
      </c>
      <c r="E80" s="60">
        <v>12.0378029560932</v>
      </c>
      <c r="F80" s="61">
        <v>-2.7027027027027084E-2</v>
      </c>
      <c r="G80" s="61">
        <v>-0.16521739130434776</v>
      </c>
      <c r="H80" s="61">
        <v>-0.16763005780346818</v>
      </c>
      <c r="I80" s="62">
        <v>0.39725660700501203</v>
      </c>
      <c r="J80" s="62">
        <v>0.35193312663318899</v>
      </c>
      <c r="K80" s="62">
        <v>0.38963115985245833</v>
      </c>
      <c r="L80" s="62">
        <v>2.9304896257956736E-2</v>
      </c>
      <c r="M80" s="64">
        <v>0.50772419753717701</v>
      </c>
      <c r="N80" s="61">
        <v>-5.4076930365300035E-2</v>
      </c>
      <c r="O80" s="65">
        <v>-0.1496075071095665</v>
      </c>
      <c r="P80" s="89">
        <v>41.44</v>
      </c>
      <c r="Q80" s="95">
        <v>53.549092049999999</v>
      </c>
      <c r="R80" s="66">
        <v>5.44409760769455</v>
      </c>
      <c r="S80" s="61">
        <v>7.1777003484320603E-2</v>
      </c>
      <c r="T80" s="66">
        <v>1.11870820464043</v>
      </c>
      <c r="U80" s="66">
        <v>8.4968785772448907</v>
      </c>
      <c r="V80" s="66">
        <v>7.2361809045226098</v>
      </c>
      <c r="W80" s="66">
        <v>1.80590814216902</v>
      </c>
      <c r="X80" s="66" t="s">
        <v>464</v>
      </c>
      <c r="Y80" s="67" t="s">
        <v>67</v>
      </c>
    </row>
    <row r="81" spans="1:25" x14ac:dyDescent="0.25">
      <c r="A81" t="s">
        <v>230</v>
      </c>
      <c r="B81" t="s">
        <v>12</v>
      </c>
      <c r="C81" s="59">
        <v>80.900000000000006</v>
      </c>
      <c r="D81" s="60">
        <v>98.665000000000006</v>
      </c>
      <c r="E81" s="60">
        <v>35</v>
      </c>
      <c r="F81" s="61">
        <v>7.5797872340425565E-2</v>
      </c>
      <c r="G81" s="61">
        <v>0.12361111111111112</v>
      </c>
      <c r="H81" s="61">
        <v>0.3829059829059831</v>
      </c>
      <c r="I81" s="62">
        <v>0.19360949017305798</v>
      </c>
      <c r="J81" s="62">
        <v>0.32444221483175201</v>
      </c>
      <c r="K81" s="62">
        <v>0.48460879232437348</v>
      </c>
      <c r="L81" s="62">
        <v>0.27357265377078122</v>
      </c>
      <c r="M81" s="64">
        <v>0.80442286657713802</v>
      </c>
      <c r="N81" s="61">
        <v>0.23475157205015884</v>
      </c>
      <c r="O81" s="65">
        <v>0.40092853359988478</v>
      </c>
      <c r="P81" s="89">
        <v>26.580295874499999</v>
      </c>
      <c r="Q81" s="95">
        <v>29.145596349100103</v>
      </c>
      <c r="R81" s="66">
        <v>13.638812818305</v>
      </c>
      <c r="S81" s="61">
        <v>1.3589743589743599E-2</v>
      </c>
      <c r="T81" s="66">
        <v>2.206565751216</v>
      </c>
      <c r="U81" s="66">
        <v>18.494218556399399</v>
      </c>
      <c r="V81" s="66">
        <v>16.680412371134</v>
      </c>
      <c r="W81" s="66">
        <v>3.7618039900478202</v>
      </c>
      <c r="X81" s="66">
        <v>19.9404773372972</v>
      </c>
      <c r="Y81" s="67" t="s">
        <v>12</v>
      </c>
    </row>
    <row r="82" spans="1:25" x14ac:dyDescent="0.25">
      <c r="A82" t="s">
        <v>231</v>
      </c>
      <c r="B82" t="s">
        <v>13</v>
      </c>
      <c r="C82" s="59">
        <v>20</v>
      </c>
      <c r="D82" s="60">
        <v>23.5</v>
      </c>
      <c r="E82" s="60">
        <v>12.15</v>
      </c>
      <c r="F82" s="61">
        <v>0.11111111111111116</v>
      </c>
      <c r="G82" s="61">
        <v>8.1081081081081141E-2</v>
      </c>
      <c r="H82" s="61">
        <v>0.22699386503067487</v>
      </c>
      <c r="I82" s="62">
        <v>0.39330367535422606</v>
      </c>
      <c r="J82" s="62">
        <v>0.31188881049656098</v>
      </c>
      <c r="K82" s="62">
        <v>0.53012897572352558</v>
      </c>
      <c r="L82" s="62">
        <v>-1.4811967555720007E-2</v>
      </c>
      <c r="M82" s="64">
        <v>0.54947128807301804</v>
      </c>
      <c r="N82" s="61">
        <v>0.19222154202012887</v>
      </c>
      <c r="O82" s="65">
        <v>0.24501641572457655</v>
      </c>
      <c r="P82" s="89">
        <v>7.4570973479999996</v>
      </c>
      <c r="Q82" s="95">
        <v>12.991693720000001</v>
      </c>
      <c r="R82" s="66">
        <v>4.8572363273911296</v>
      </c>
      <c r="S82" s="61" t="s">
        <v>464</v>
      </c>
      <c r="T82" s="66">
        <v>0.42680212457801697</v>
      </c>
      <c r="U82" s="66">
        <v>5.2558412105253502</v>
      </c>
      <c r="V82" s="66" t="s">
        <v>464</v>
      </c>
      <c r="W82" s="66">
        <v>1.2743034570909</v>
      </c>
      <c r="X82" s="66">
        <v>8.6617934382631496</v>
      </c>
      <c r="Y82" s="67" t="s">
        <v>13</v>
      </c>
    </row>
    <row r="83" spans="1:25" x14ac:dyDescent="0.25">
      <c r="A83" t="s">
        <v>232</v>
      </c>
      <c r="B83" t="s">
        <v>33</v>
      </c>
      <c r="C83" s="59">
        <v>77</v>
      </c>
      <c r="D83" s="60">
        <v>95</v>
      </c>
      <c r="E83" s="60">
        <v>65.5928679026445</v>
      </c>
      <c r="F83" s="61">
        <v>-1.2820512820512775E-2</v>
      </c>
      <c r="G83" s="61">
        <v>-3.7499999999999978E-2</v>
      </c>
      <c r="H83" s="61">
        <v>-0.15431081823174075</v>
      </c>
      <c r="I83" s="62">
        <v>0.26181037881098201</v>
      </c>
      <c r="J83" s="62">
        <v>0.213225700938175</v>
      </c>
      <c r="K83" s="62">
        <v>0.38056084576973204</v>
      </c>
      <c r="L83" s="62">
        <v>3.3482762919843534E-2</v>
      </c>
      <c r="M83" s="64">
        <v>0.111412053007753</v>
      </c>
      <c r="N83" s="61">
        <v>7.3640460939047747E-2</v>
      </c>
      <c r="O83" s="65">
        <v>-0.13628826753783907</v>
      </c>
      <c r="P83" s="89">
        <v>5.5849763970000001</v>
      </c>
      <c r="Q83" s="95">
        <v>6.112327917</v>
      </c>
      <c r="R83" s="66">
        <v>14.6166312964122</v>
      </c>
      <c r="S83" s="61">
        <v>7.14285714285714E-3</v>
      </c>
      <c r="T83" s="66">
        <v>2.7116056750673598</v>
      </c>
      <c r="U83" s="66">
        <v>56.901316859047299</v>
      </c>
      <c r="V83" s="66" t="s">
        <v>464</v>
      </c>
      <c r="W83" s="66">
        <v>8.7499481541708395</v>
      </c>
      <c r="X83" s="66" t="s">
        <v>464</v>
      </c>
      <c r="Y83" s="67" t="s">
        <v>33</v>
      </c>
    </row>
    <row r="84" spans="1:25" x14ac:dyDescent="0.25">
      <c r="A84" t="s">
        <v>233</v>
      </c>
      <c r="B84" t="s">
        <v>14</v>
      </c>
      <c r="C84" s="59">
        <v>19.8</v>
      </c>
      <c r="D84" s="60">
        <v>19.8</v>
      </c>
      <c r="E84" s="60">
        <v>7.99</v>
      </c>
      <c r="F84" s="61">
        <v>3.125E-2</v>
      </c>
      <c r="G84" s="61">
        <v>5.3191489361702038E-2</v>
      </c>
      <c r="H84" s="61">
        <v>8.7912087912088044E-2</v>
      </c>
      <c r="I84" s="62">
        <v>0.30375262533303798</v>
      </c>
      <c r="J84" s="62">
        <v>0.26606714992299701</v>
      </c>
      <c r="K84" s="62">
        <v>0.45827049382388246</v>
      </c>
      <c r="L84" s="62">
        <v>6.5995905328575466E-2</v>
      </c>
      <c r="M84" s="64">
        <v>0.67055898723048402</v>
      </c>
      <c r="N84" s="61">
        <v>0.16433195030074976</v>
      </c>
      <c r="O84" s="65">
        <v>0.10593463860598973</v>
      </c>
      <c r="P84" s="89">
        <v>1.86742345271</v>
      </c>
      <c r="Q84" s="95">
        <v>7.6574264420000002</v>
      </c>
      <c r="R84" s="66">
        <v>4.9355847262569199</v>
      </c>
      <c r="S84" s="61" t="s">
        <v>464</v>
      </c>
      <c r="T84" s="66" t="s">
        <v>464</v>
      </c>
      <c r="U84" s="66" t="s">
        <v>464</v>
      </c>
      <c r="V84" s="66" t="s">
        <v>464</v>
      </c>
      <c r="W84" s="66" t="s">
        <v>464</v>
      </c>
      <c r="X84" s="66" t="s">
        <v>464</v>
      </c>
      <c r="Y84" s="67" t="s">
        <v>14</v>
      </c>
    </row>
    <row r="85" spans="1:25" x14ac:dyDescent="0.25">
      <c r="A85" t="s">
        <v>465</v>
      </c>
      <c r="B85" t="s">
        <v>8</v>
      </c>
      <c r="C85" s="59" t="s">
        <v>464</v>
      </c>
      <c r="D85" s="60">
        <v>47</v>
      </c>
      <c r="E85" s="60">
        <v>42.5</v>
      </c>
      <c r="F85" s="61" t="s">
        <v>464</v>
      </c>
      <c r="G85" s="61" t="s">
        <v>464</v>
      </c>
      <c r="H85" s="61" t="s">
        <v>464</v>
      </c>
      <c r="I85" s="62">
        <v>0.12342079539789501</v>
      </c>
      <c r="J85" s="62">
        <v>8.1118709732311806E-2</v>
      </c>
      <c r="K85" s="62" t="s">
        <v>464</v>
      </c>
      <c r="L85" s="62" t="s">
        <v>464</v>
      </c>
      <c r="M85" s="64" t="s">
        <v>464</v>
      </c>
      <c r="N85" s="61" t="s">
        <v>464</v>
      </c>
      <c r="O85" s="65" t="s">
        <v>464</v>
      </c>
      <c r="P85" s="89">
        <v>0.9167955404716509</v>
      </c>
      <c r="Q85" s="95" t="s">
        <v>464</v>
      </c>
      <c r="R85" s="66" t="s">
        <v>464</v>
      </c>
      <c r="S85" s="61" t="s">
        <v>464</v>
      </c>
      <c r="T85" s="66" t="s">
        <v>464</v>
      </c>
      <c r="U85" s="66" t="s">
        <v>464</v>
      </c>
      <c r="V85" s="66" t="s">
        <v>464</v>
      </c>
      <c r="W85" s="66" t="s">
        <v>464</v>
      </c>
      <c r="X85" s="66" t="s">
        <v>464</v>
      </c>
      <c r="Y85" s="67" t="s">
        <v>8</v>
      </c>
    </row>
    <row r="86" spans="1:25" x14ac:dyDescent="0.25">
      <c r="A86" t="s">
        <v>235</v>
      </c>
      <c r="B86" t="s">
        <v>23</v>
      </c>
      <c r="C86" s="59">
        <v>3.4</v>
      </c>
      <c r="D86" s="60">
        <v>7.7274079499999999</v>
      </c>
      <c r="E86" s="60">
        <v>3</v>
      </c>
      <c r="F86" s="61">
        <v>0</v>
      </c>
      <c r="G86" s="61">
        <v>0</v>
      </c>
      <c r="H86" s="61" t="s">
        <v>464</v>
      </c>
      <c r="I86" s="62">
        <v>0.48293265466968299</v>
      </c>
      <c r="J86" s="62">
        <v>0.42351986110643702</v>
      </c>
      <c r="K86" s="62">
        <v>0.39821035392682852</v>
      </c>
      <c r="L86" s="62">
        <v>-9.367078405357776E-2</v>
      </c>
      <c r="M86" s="64">
        <v>0.313339213173428</v>
      </c>
      <c r="N86" s="61">
        <v>0.11114046093904772</v>
      </c>
      <c r="O86" s="65" t="s">
        <v>464</v>
      </c>
      <c r="P86" s="89">
        <v>0.23606199999999999</v>
      </c>
      <c r="Q86" s="95">
        <v>0.4986621</v>
      </c>
      <c r="R86" s="66">
        <v>132.821070799784</v>
      </c>
      <c r="S86" s="61" t="s">
        <v>464</v>
      </c>
      <c r="T86" s="66">
        <v>0.36059313414708399</v>
      </c>
      <c r="U86" s="66" t="s">
        <v>464</v>
      </c>
      <c r="V86" s="66" t="s">
        <v>464</v>
      </c>
      <c r="W86" s="66">
        <v>1.1507027207645</v>
      </c>
      <c r="X86" s="66" t="s">
        <v>464</v>
      </c>
      <c r="Y86" s="67" t="s">
        <v>23</v>
      </c>
    </row>
    <row r="87" spans="1:25" x14ac:dyDescent="0.25">
      <c r="A87" t="s">
        <v>234</v>
      </c>
      <c r="B87" t="s">
        <v>25</v>
      </c>
      <c r="C87" s="59">
        <v>10</v>
      </c>
      <c r="D87" s="60">
        <v>15.05</v>
      </c>
      <c r="E87" s="60">
        <v>9.5</v>
      </c>
      <c r="F87" s="61">
        <v>-9.0909090909090939E-2</v>
      </c>
      <c r="G87" s="61" t="s">
        <v>464</v>
      </c>
      <c r="H87" s="61" t="s">
        <v>464</v>
      </c>
      <c r="I87" s="62">
        <v>0.41634000591655401</v>
      </c>
      <c r="J87" s="62">
        <v>0.52111830543631299</v>
      </c>
      <c r="K87" s="62">
        <v>0.54113290686331528</v>
      </c>
      <c r="L87" s="62">
        <v>-0.17955294432270685</v>
      </c>
      <c r="M87" s="64" t="s">
        <v>464</v>
      </c>
      <c r="N87" s="61" t="s">
        <v>464</v>
      </c>
      <c r="O87" s="65" t="s">
        <v>464</v>
      </c>
      <c r="P87" s="89">
        <v>0.194089547</v>
      </c>
      <c r="Q87" s="95">
        <v>0.18438215999999999</v>
      </c>
      <c r="R87" s="66">
        <v>4.2497098209141004</v>
      </c>
      <c r="S87" s="61" t="s">
        <v>464</v>
      </c>
      <c r="T87" s="66">
        <v>0.190732560532272</v>
      </c>
      <c r="U87" s="66">
        <v>8.5086107140426108</v>
      </c>
      <c r="V87" s="66" t="s">
        <v>464</v>
      </c>
      <c r="W87" s="66">
        <v>0.60317646460589602</v>
      </c>
      <c r="X87" s="66" t="s">
        <v>464</v>
      </c>
      <c r="Y87" s="67" t="s">
        <v>25</v>
      </c>
    </row>
    <row r="88" spans="1:25" x14ac:dyDescent="0.25">
      <c r="B88" s="69" t="s">
        <v>109</v>
      </c>
      <c r="C88" s="70"/>
      <c r="D88" s="70"/>
      <c r="E88" s="70"/>
      <c r="F88" s="71">
        <v>-2.1571829218673413E-2</v>
      </c>
      <c r="G88" s="71">
        <v>-3.9777587417253693E-2</v>
      </c>
      <c r="H88" s="71">
        <v>4.5495838458737316E-2</v>
      </c>
      <c r="I88" s="72">
        <v>0.35368307412361277</v>
      </c>
      <c r="J88" s="72">
        <v>0.33355388131600006</v>
      </c>
      <c r="K88" s="72">
        <v>0.45134361070641299</v>
      </c>
      <c r="L88" s="72">
        <v>2.8059907299265316E-2</v>
      </c>
      <c r="M88" s="73">
        <v>0.58050121625400541</v>
      </c>
      <c r="N88" s="71">
        <v>7.1362873521794032E-2</v>
      </c>
      <c r="O88" s="71">
        <v>6.3518389152638993E-2</v>
      </c>
      <c r="P88" s="93">
        <v>19.41184613252225</v>
      </c>
      <c r="Q88" s="73">
        <v>24.684871149744453</v>
      </c>
      <c r="R88" s="74">
        <v>21.387454775919583</v>
      </c>
      <c r="S88" s="71">
        <v>3.8146151054230339E-2</v>
      </c>
      <c r="T88" s="74">
        <v>1.1981790594906734</v>
      </c>
      <c r="U88" s="74">
        <v>18.507138138042034</v>
      </c>
      <c r="V88" s="74">
        <v>9.1388644252188698</v>
      </c>
      <c r="W88" s="76">
        <v>2.6495414386424172</v>
      </c>
      <c r="X88" s="77">
        <v>14.33106966696641</v>
      </c>
      <c r="Y88" s="78" t="s">
        <v>110</v>
      </c>
    </row>
    <row r="89" spans="1:25" ht="26.25" customHeight="1" x14ac:dyDescent="0.25">
      <c r="B89" s="96"/>
      <c r="C89" s="31"/>
      <c r="D89" s="31"/>
      <c r="E89" s="31"/>
      <c r="F89" s="97"/>
      <c r="G89" s="97"/>
      <c r="H89" s="97"/>
      <c r="I89" s="98"/>
      <c r="J89" s="98"/>
      <c r="K89" s="98"/>
      <c r="L89" s="98"/>
      <c r="M89" s="99"/>
      <c r="N89" s="100"/>
      <c r="O89" s="100"/>
      <c r="P89" s="31"/>
      <c r="Q89" s="99"/>
      <c r="R89" s="99"/>
      <c r="S89" s="97"/>
      <c r="T89" s="101"/>
      <c r="U89" s="101"/>
      <c r="V89" s="101"/>
      <c r="W89" s="101"/>
      <c r="X89" s="101"/>
      <c r="Y89" s="102"/>
    </row>
    <row r="90" spans="1:25" ht="15" customHeight="1" x14ac:dyDescent="0.25">
      <c r="B90" s="103" t="s">
        <v>4</v>
      </c>
      <c r="C90" s="103" t="s">
        <v>83</v>
      </c>
      <c r="D90" s="44" t="s">
        <v>84</v>
      </c>
      <c r="E90" s="46"/>
      <c r="F90" s="44" t="s">
        <v>85</v>
      </c>
      <c r="G90" s="45"/>
      <c r="H90" s="46"/>
      <c r="I90" s="44" t="s">
        <v>86</v>
      </c>
      <c r="J90" s="46"/>
      <c r="K90" s="47" t="s">
        <v>87</v>
      </c>
      <c r="L90" s="47" t="s">
        <v>88</v>
      </c>
      <c r="M90" s="47" t="s">
        <v>89</v>
      </c>
      <c r="N90" s="44" t="s">
        <v>90</v>
      </c>
      <c r="O90" s="46"/>
      <c r="P90" s="44" t="s">
        <v>91</v>
      </c>
      <c r="Q90" s="45"/>
      <c r="R90" s="46"/>
      <c r="S90" s="47" t="s">
        <v>92</v>
      </c>
      <c r="T90" s="44" t="s">
        <v>93</v>
      </c>
      <c r="U90" s="45"/>
      <c r="V90" s="45"/>
      <c r="W90" s="45"/>
      <c r="X90" s="46"/>
      <c r="Y90" s="104" t="s">
        <v>4</v>
      </c>
    </row>
    <row r="91" spans="1:25" ht="25.5" x14ac:dyDescent="0.25">
      <c r="B91" s="105"/>
      <c r="C91" s="105"/>
      <c r="D91" s="51" t="s">
        <v>94</v>
      </c>
      <c r="E91" s="51" t="s">
        <v>95</v>
      </c>
      <c r="F91" s="52" t="s">
        <v>96</v>
      </c>
      <c r="G91" s="52" t="s">
        <v>97</v>
      </c>
      <c r="H91" s="52">
        <v>2019</v>
      </c>
      <c r="I91" s="52" t="s">
        <v>98</v>
      </c>
      <c r="J91" s="52" t="s">
        <v>99</v>
      </c>
      <c r="K91" s="53"/>
      <c r="L91" s="53"/>
      <c r="M91" s="53"/>
      <c r="N91" s="52" t="s">
        <v>97</v>
      </c>
      <c r="O91" s="52">
        <v>2019</v>
      </c>
      <c r="P91" s="54" t="s">
        <v>100</v>
      </c>
      <c r="Q91" s="52" t="s">
        <v>101</v>
      </c>
      <c r="R91" s="52" t="s">
        <v>102</v>
      </c>
      <c r="S91" s="53"/>
      <c r="T91" s="55" t="s">
        <v>103</v>
      </c>
      <c r="U91" s="52" t="s">
        <v>104</v>
      </c>
      <c r="V91" s="52" t="s">
        <v>105</v>
      </c>
      <c r="W91" s="52" t="s">
        <v>106</v>
      </c>
      <c r="X91" s="52" t="s">
        <v>107</v>
      </c>
      <c r="Y91" s="106"/>
    </row>
    <row r="92" spans="1:25" x14ac:dyDescent="0.25">
      <c r="B92" s="57" t="s">
        <v>117</v>
      </c>
      <c r="C92" s="82"/>
      <c r="D92" s="82"/>
      <c r="E92" s="82"/>
      <c r="F92" s="87"/>
      <c r="G92" s="87"/>
      <c r="H92" s="87"/>
      <c r="I92" s="83"/>
      <c r="J92" s="83"/>
      <c r="K92" s="83"/>
      <c r="L92" s="83"/>
      <c r="M92" s="84"/>
      <c r="N92" s="85"/>
      <c r="O92" s="85"/>
      <c r="P92" s="82"/>
      <c r="Q92" s="84"/>
      <c r="R92" s="84"/>
      <c r="S92" s="87"/>
      <c r="T92" s="86"/>
      <c r="U92" s="86"/>
      <c r="V92" s="86"/>
      <c r="W92" s="86"/>
      <c r="X92" s="86"/>
      <c r="Y92" s="88"/>
    </row>
    <row r="93" spans="1:25" x14ac:dyDescent="0.25">
      <c r="A93" t="s">
        <v>236</v>
      </c>
      <c r="B93" t="s">
        <v>28</v>
      </c>
      <c r="C93" s="59">
        <v>38</v>
      </c>
      <c r="D93" s="60">
        <v>43</v>
      </c>
      <c r="E93" s="60">
        <v>24.8</v>
      </c>
      <c r="F93" s="61">
        <v>-5.0000000000000044E-2</v>
      </c>
      <c r="G93" s="61">
        <v>-2.5641025641025661E-2</v>
      </c>
      <c r="H93" s="61">
        <v>4.6831955922865154E-2</v>
      </c>
      <c r="I93" s="62">
        <v>0.31609292357660196</v>
      </c>
      <c r="J93" s="62">
        <v>0.39043321977641399</v>
      </c>
      <c r="K93" s="62" t="s">
        <v>464</v>
      </c>
      <c r="L93" s="62" t="s">
        <v>464</v>
      </c>
      <c r="M93" s="64">
        <v>0.56313834352167003</v>
      </c>
      <c r="N93" s="61">
        <v>8.5499435298022064E-2</v>
      </c>
      <c r="O93" s="65">
        <v>6.4854506616766838E-2</v>
      </c>
      <c r="P93" s="89">
        <v>3.1493079929999999</v>
      </c>
      <c r="Q93" s="64">
        <v>0.51860909200000105</v>
      </c>
      <c r="R93" s="66">
        <v>3.0528444346962398</v>
      </c>
      <c r="S93" s="61">
        <v>3.3155592631578901E-3</v>
      </c>
      <c r="T93" s="66">
        <v>0.296286597434606</v>
      </c>
      <c r="U93" s="107" t="s">
        <v>464</v>
      </c>
      <c r="V93" s="66" t="s">
        <v>464</v>
      </c>
      <c r="W93" s="66">
        <v>2.9188165721786099</v>
      </c>
      <c r="X93" s="66" t="s">
        <v>464</v>
      </c>
      <c r="Y93" s="67" t="s">
        <v>28</v>
      </c>
    </row>
    <row r="94" spans="1:25" x14ac:dyDescent="0.25">
      <c r="A94" t="s">
        <v>237</v>
      </c>
      <c r="B94" t="s">
        <v>72</v>
      </c>
      <c r="C94" s="59">
        <v>4.51</v>
      </c>
      <c r="D94" s="60">
        <v>8.9</v>
      </c>
      <c r="E94" s="60">
        <v>4.5</v>
      </c>
      <c r="F94" s="61">
        <v>-7.9591836734693944E-2</v>
      </c>
      <c r="G94" s="61">
        <v>-0.19464285714285712</v>
      </c>
      <c r="H94" s="61">
        <v>-0.28412698412698412</v>
      </c>
      <c r="I94" s="62">
        <v>0.47116331295071201</v>
      </c>
      <c r="J94" s="62">
        <v>0.41682060977054902</v>
      </c>
      <c r="K94" s="62">
        <v>0.42663453563055381</v>
      </c>
      <c r="L94" s="62">
        <v>-7.0840210010109428E-2</v>
      </c>
      <c r="M94" s="64">
        <v>0.25692380287553201</v>
      </c>
      <c r="N94" s="61">
        <v>-8.3502396203809393E-2</v>
      </c>
      <c r="O94" s="65">
        <v>-0.26610443343308243</v>
      </c>
      <c r="P94" s="89">
        <v>0.195911539</v>
      </c>
      <c r="Q94" s="64">
        <v>0.28920878714999998</v>
      </c>
      <c r="R94" s="66">
        <v>6.28777769141647</v>
      </c>
      <c r="S94" s="61" t="s">
        <v>464</v>
      </c>
      <c r="T94" s="66">
        <v>0.64257768801349702</v>
      </c>
      <c r="U94" s="66">
        <v>240.66168623265801</v>
      </c>
      <c r="V94" s="66" t="s">
        <v>464</v>
      </c>
      <c r="W94" s="66">
        <v>1.5038460385607</v>
      </c>
      <c r="X94" s="66" t="s">
        <v>464</v>
      </c>
      <c r="Y94" s="67" t="s">
        <v>72</v>
      </c>
    </row>
    <row r="95" spans="1:25" x14ac:dyDescent="0.25">
      <c r="B95" s="69" t="s">
        <v>109</v>
      </c>
      <c r="C95" s="70"/>
      <c r="D95" s="70"/>
      <c r="E95" s="70"/>
      <c r="F95" s="71">
        <v>-6.4795918367346994E-2</v>
      </c>
      <c r="G95" s="71">
        <v>-0.11014194139194139</v>
      </c>
      <c r="H95" s="71">
        <v>-0.11864751410205948</v>
      </c>
      <c r="I95" s="72">
        <v>0.39362811826365696</v>
      </c>
      <c r="J95" s="72">
        <v>0.4036269147734815</v>
      </c>
      <c r="K95" s="72">
        <v>0.42663453563055381</v>
      </c>
      <c r="L95" s="72">
        <v>-7.0840210010109428E-2</v>
      </c>
      <c r="M95" s="73">
        <v>0.41003107319860099</v>
      </c>
      <c r="N95" s="71">
        <v>9.9851954710633573E-4</v>
      </c>
      <c r="O95" s="71">
        <v>-0.1006249634081578</v>
      </c>
      <c r="P95" s="93">
        <v>1.6726097659999999</v>
      </c>
      <c r="Q95" s="73">
        <v>0.40390893957500051</v>
      </c>
      <c r="R95" s="74">
        <v>4.6703110630563547</v>
      </c>
      <c r="S95" s="71">
        <v>3.3155592631578901E-3</v>
      </c>
      <c r="T95" s="74">
        <v>0.46943214272405154</v>
      </c>
      <c r="U95" s="108">
        <v>240.66168623265801</v>
      </c>
      <c r="V95" s="74" t="s">
        <v>464</v>
      </c>
      <c r="W95" s="76">
        <v>2.2113313053696548</v>
      </c>
      <c r="X95" s="74" t="s">
        <v>464</v>
      </c>
      <c r="Y95" s="78" t="s">
        <v>110</v>
      </c>
    </row>
    <row r="96" spans="1:25" ht="9" customHeight="1" x14ac:dyDescent="0.25">
      <c r="F96" s="81"/>
      <c r="G96" s="81"/>
      <c r="H96" s="81"/>
      <c r="I96" s="40"/>
      <c r="J96" s="40"/>
      <c r="K96" s="40"/>
      <c r="L96" s="40"/>
      <c r="M96" s="32"/>
      <c r="N96" s="79"/>
      <c r="O96" s="79"/>
      <c r="Q96" s="32"/>
      <c r="R96" s="80"/>
      <c r="S96" s="81"/>
      <c r="T96" s="80"/>
      <c r="U96" s="80"/>
      <c r="V96" s="80"/>
      <c r="W96" s="80"/>
      <c r="X96" s="80"/>
    </row>
    <row r="97" spans="1:25" x14ac:dyDescent="0.25">
      <c r="B97" s="57" t="s">
        <v>118</v>
      </c>
      <c r="C97" s="82"/>
      <c r="D97" s="82"/>
      <c r="E97" s="82"/>
      <c r="F97" s="87"/>
      <c r="G97" s="87"/>
      <c r="H97" s="87"/>
      <c r="I97" s="83"/>
      <c r="J97" s="83"/>
      <c r="K97" s="83"/>
      <c r="L97" s="83"/>
      <c r="M97" s="84"/>
      <c r="N97" s="85"/>
      <c r="O97" s="85"/>
      <c r="P97" s="82"/>
      <c r="Q97" s="84"/>
      <c r="R97" s="86"/>
      <c r="S97" s="87"/>
      <c r="T97" s="86"/>
      <c r="U97" s="86"/>
      <c r="V97" s="86"/>
      <c r="W97" s="86"/>
      <c r="X97" s="86"/>
      <c r="Y97" s="88"/>
    </row>
    <row r="98" spans="1:25" x14ac:dyDescent="0.25">
      <c r="A98" t="s">
        <v>242</v>
      </c>
      <c r="B98" t="s">
        <v>49</v>
      </c>
      <c r="C98" s="59">
        <v>33.799999999999997</v>
      </c>
      <c r="D98" s="60">
        <v>70</v>
      </c>
      <c r="E98" s="60">
        <v>31</v>
      </c>
      <c r="F98" s="61">
        <v>-5.8823529411765607E-3</v>
      </c>
      <c r="G98" s="61">
        <v>-0.11052631578947381</v>
      </c>
      <c r="H98" s="61">
        <v>-0.12207792207792212</v>
      </c>
      <c r="I98" s="62">
        <v>0.446301405949595</v>
      </c>
      <c r="J98" s="62">
        <v>0.42663605775112601</v>
      </c>
      <c r="K98" s="62">
        <v>0.44809289866471413</v>
      </c>
      <c r="L98" s="62">
        <v>0.13368936170510493</v>
      </c>
      <c r="M98" s="64">
        <v>0.49276975748211799</v>
      </c>
      <c r="N98" s="61">
        <v>6.1414514957391919E-4</v>
      </c>
      <c r="O98" s="65">
        <v>-0.10405537138402043</v>
      </c>
      <c r="P98" s="89" t="s">
        <v>464</v>
      </c>
      <c r="Q98" s="64">
        <v>5.1523556916000004</v>
      </c>
      <c r="R98" s="66">
        <v>2.0807398420776599</v>
      </c>
      <c r="S98" s="61" t="s">
        <v>464</v>
      </c>
      <c r="T98" s="66">
        <v>0.39511369088307602</v>
      </c>
      <c r="U98" s="66">
        <v>7.1103855806429204</v>
      </c>
      <c r="V98" s="66" t="s">
        <v>464</v>
      </c>
      <c r="W98" s="66">
        <v>3.7036401573390498</v>
      </c>
      <c r="X98" s="66">
        <v>4.0430977812822899</v>
      </c>
      <c r="Y98" s="67" t="s">
        <v>49</v>
      </c>
    </row>
    <row r="99" spans="1:25" x14ac:dyDescent="0.25">
      <c r="A99" t="s">
        <v>238</v>
      </c>
      <c r="B99" t="s">
        <v>73</v>
      </c>
      <c r="C99" s="59">
        <v>38.700000000000003</v>
      </c>
      <c r="D99" s="60">
        <v>60.4</v>
      </c>
      <c r="E99" s="60">
        <v>35.049999999999997</v>
      </c>
      <c r="F99" s="61">
        <v>-6.4087061668681944E-2</v>
      </c>
      <c r="G99" s="61">
        <v>-0.19542619542619544</v>
      </c>
      <c r="H99" s="61">
        <v>-0.17219251336898389</v>
      </c>
      <c r="I99" s="62">
        <v>0.43596284703486099</v>
      </c>
      <c r="J99" s="62">
        <v>0.43070874295786099</v>
      </c>
      <c r="K99" s="62">
        <v>0.45363187092522012</v>
      </c>
      <c r="L99" s="62">
        <v>0.13395437887971196</v>
      </c>
      <c r="M99" s="64">
        <v>1.1030475281562799</v>
      </c>
      <c r="N99" s="61">
        <v>-8.4285734487147712E-2</v>
      </c>
      <c r="O99" s="65">
        <v>-0.15416996267508221</v>
      </c>
      <c r="P99" s="89">
        <v>77.24398197535001</v>
      </c>
      <c r="Q99" s="64">
        <v>145.09061824599999</v>
      </c>
      <c r="R99" s="66">
        <v>4.1864736776408797</v>
      </c>
      <c r="S99" s="61" t="s">
        <v>464</v>
      </c>
      <c r="T99" s="66">
        <v>0.65898090703125101</v>
      </c>
      <c r="U99" s="66">
        <v>12.076352504673</v>
      </c>
      <c r="V99" s="66">
        <v>6.9370627365009598</v>
      </c>
      <c r="W99" s="66">
        <v>1.40792691120434</v>
      </c>
      <c r="X99" s="66">
        <v>3.1703430027533801</v>
      </c>
      <c r="Y99" s="67" t="s">
        <v>73</v>
      </c>
    </row>
    <row r="100" spans="1:25" x14ac:dyDescent="0.25">
      <c r="A100" t="s">
        <v>239</v>
      </c>
      <c r="B100" t="s">
        <v>44</v>
      </c>
      <c r="C100" s="59">
        <v>39.799999999999997</v>
      </c>
      <c r="D100" s="60">
        <v>63.95</v>
      </c>
      <c r="E100" s="60">
        <v>35.299999999999997</v>
      </c>
      <c r="F100" s="61">
        <v>5.9920106524633754E-2</v>
      </c>
      <c r="G100" s="61">
        <v>-7.6566125290023268E-2</v>
      </c>
      <c r="H100" s="61">
        <v>-0.21884200196270864</v>
      </c>
      <c r="I100" s="62">
        <v>0.43903088742159602</v>
      </c>
      <c r="J100" s="62">
        <v>0.35011022840740502</v>
      </c>
      <c r="K100" s="62">
        <v>0.54897458212087213</v>
      </c>
      <c r="L100" s="62">
        <v>0.15483084817275539</v>
      </c>
      <c r="M100" s="64">
        <v>0.886222518407769</v>
      </c>
      <c r="N100" s="61">
        <v>3.4574335649024457E-2</v>
      </c>
      <c r="O100" s="65">
        <v>-0.20081945126880696</v>
      </c>
      <c r="P100" s="89">
        <v>34.71723033</v>
      </c>
      <c r="Q100" s="64">
        <v>20.3212412086</v>
      </c>
      <c r="R100" s="66">
        <v>3.0624535398414099</v>
      </c>
      <c r="S100" s="61" t="s">
        <v>464</v>
      </c>
      <c r="T100" s="66">
        <v>0.297911744926591</v>
      </c>
      <c r="U100" s="66">
        <v>8.2256557790398706</v>
      </c>
      <c r="V100" s="66">
        <v>8.6461591936044506</v>
      </c>
      <c r="W100" s="66">
        <v>1.1348839343450201</v>
      </c>
      <c r="X100" s="66">
        <v>1.6383069746272101</v>
      </c>
      <c r="Y100" s="67" t="s">
        <v>44</v>
      </c>
    </row>
    <row r="101" spans="1:25" x14ac:dyDescent="0.25">
      <c r="A101" t="s">
        <v>240</v>
      </c>
      <c r="B101" t="s">
        <v>63</v>
      </c>
      <c r="C101" s="59">
        <v>38.85</v>
      </c>
      <c r="D101" s="60">
        <v>60.9</v>
      </c>
      <c r="E101" s="60">
        <v>34.131036700000003</v>
      </c>
      <c r="F101" s="61">
        <v>-2.5094102885821812E-2</v>
      </c>
      <c r="G101" s="61">
        <v>-0.15817984832069332</v>
      </c>
      <c r="H101" s="61">
        <v>-0.13762486126526075</v>
      </c>
      <c r="I101" s="62">
        <v>0.380843360985888</v>
      </c>
      <c r="J101" s="62">
        <v>0.34849048094508395</v>
      </c>
      <c r="K101" s="62">
        <v>0.52313453473323712</v>
      </c>
      <c r="L101" s="62">
        <v>0.21409839692907084</v>
      </c>
      <c r="M101" s="64">
        <v>1.0368116277692401</v>
      </c>
      <c r="N101" s="61">
        <v>-4.7039387381645592E-2</v>
      </c>
      <c r="O101" s="65">
        <v>-0.11960231057135906</v>
      </c>
      <c r="P101" s="89">
        <v>17.698017041</v>
      </c>
      <c r="Q101" s="64">
        <v>8.0010632109499991</v>
      </c>
      <c r="R101" s="66">
        <v>1.3314013734825101</v>
      </c>
      <c r="S101" s="61">
        <v>8.7453010355091398E-2</v>
      </c>
      <c r="T101" s="66">
        <v>0.860399184158674</v>
      </c>
      <c r="U101" s="66">
        <v>5.6549724456554999</v>
      </c>
      <c r="V101" s="66">
        <v>3.82005899705015</v>
      </c>
      <c r="W101" s="66">
        <v>1.5605580287789</v>
      </c>
      <c r="X101" s="66">
        <v>2.1952776194697199</v>
      </c>
      <c r="Y101" s="67" t="s">
        <v>63</v>
      </c>
    </row>
    <row r="102" spans="1:25" x14ac:dyDescent="0.25">
      <c r="A102" t="s">
        <v>241</v>
      </c>
      <c r="B102" t="s">
        <v>80</v>
      </c>
      <c r="C102" s="59">
        <v>16.8</v>
      </c>
      <c r="D102" s="60">
        <v>48.95</v>
      </c>
      <c r="E102" s="60">
        <v>15.35</v>
      </c>
      <c r="F102" s="61">
        <v>-7.6923076923076872E-2</v>
      </c>
      <c r="G102" s="61">
        <v>-0.26315789473684215</v>
      </c>
      <c r="H102" s="61">
        <v>-0.36603773584905652</v>
      </c>
      <c r="I102" s="62">
        <v>0.419901596371553</v>
      </c>
      <c r="J102" s="62">
        <v>0.41826816664892397</v>
      </c>
      <c r="K102" s="62">
        <v>0.61240489799504361</v>
      </c>
      <c r="L102" s="62">
        <v>0.11823344349667497</v>
      </c>
      <c r="M102" s="64">
        <v>1.2333095993185199</v>
      </c>
      <c r="N102" s="61">
        <v>-0.15201743379779442</v>
      </c>
      <c r="O102" s="65">
        <v>-0.34801518515515484</v>
      </c>
      <c r="P102" s="89">
        <v>9.411798022100001</v>
      </c>
      <c r="Q102" s="64">
        <v>12.2633648</v>
      </c>
      <c r="R102" s="66">
        <v>1.9620253553395299</v>
      </c>
      <c r="S102" s="61" t="s">
        <v>464</v>
      </c>
      <c r="T102" s="66">
        <v>0.141212097114053</v>
      </c>
      <c r="U102" s="66" t="s">
        <v>464</v>
      </c>
      <c r="V102" s="66" t="s">
        <v>464</v>
      </c>
      <c r="W102" s="66">
        <v>0.71778511905151199</v>
      </c>
      <c r="X102" s="66">
        <v>0.80926737225074297</v>
      </c>
      <c r="Y102" s="67" t="s">
        <v>80</v>
      </c>
    </row>
    <row r="103" spans="1:25" x14ac:dyDescent="0.25">
      <c r="A103" t="s">
        <v>244</v>
      </c>
      <c r="B103" t="s">
        <v>79</v>
      </c>
      <c r="C103" s="59">
        <v>19.95</v>
      </c>
      <c r="D103" s="60">
        <v>67.157532000000003</v>
      </c>
      <c r="E103" s="60">
        <v>17.2</v>
      </c>
      <c r="F103" s="61">
        <v>-0.10135135135135132</v>
      </c>
      <c r="G103" s="61">
        <v>-0.25559701492537323</v>
      </c>
      <c r="H103" s="61">
        <v>-0.34266886326194401</v>
      </c>
      <c r="I103" s="62">
        <v>0.45338821617296604</v>
      </c>
      <c r="J103" s="62">
        <v>0.44216458033391298</v>
      </c>
      <c r="K103" s="62">
        <v>0.51319248074573121</v>
      </c>
      <c r="L103" s="62">
        <v>8.0238303415147261E-2</v>
      </c>
      <c r="M103" s="64">
        <v>0.82418723471226196</v>
      </c>
      <c r="N103" s="61">
        <v>-0.14445655398632551</v>
      </c>
      <c r="O103" s="65">
        <v>-0.32464631256804233</v>
      </c>
      <c r="P103" s="89">
        <v>6.9989020289999999</v>
      </c>
      <c r="Q103" s="64">
        <v>6.2573543675500005</v>
      </c>
      <c r="R103" s="66">
        <v>1.0731788945512</v>
      </c>
      <c r="S103" s="61">
        <v>8.8495487010471191E-2</v>
      </c>
      <c r="T103" s="66">
        <v>0.34742070639245798</v>
      </c>
      <c r="U103" s="66">
        <v>2.3592101435393098</v>
      </c>
      <c r="V103" s="66" t="s">
        <v>464</v>
      </c>
      <c r="W103" s="66">
        <v>1.19891892254071</v>
      </c>
      <c r="X103" s="66" t="s">
        <v>464</v>
      </c>
      <c r="Y103" s="67" t="s">
        <v>79</v>
      </c>
    </row>
    <row r="104" spans="1:25" x14ac:dyDescent="0.25">
      <c r="A104" t="s">
        <v>243</v>
      </c>
      <c r="B104" t="s">
        <v>70</v>
      </c>
      <c r="C104" s="59">
        <v>43.95</v>
      </c>
      <c r="D104" s="60">
        <v>79.900000000000006</v>
      </c>
      <c r="E104" s="60">
        <v>42</v>
      </c>
      <c r="F104" s="61">
        <v>3.4246575342467001E-3</v>
      </c>
      <c r="G104" s="61">
        <v>-0.1800373134328358</v>
      </c>
      <c r="H104" s="61">
        <v>-0.28998384491114693</v>
      </c>
      <c r="I104" s="62">
        <v>0.37154235299448601</v>
      </c>
      <c r="J104" s="62">
        <v>0.36638244229523304</v>
      </c>
      <c r="K104" s="62">
        <v>0.51642914936487117</v>
      </c>
      <c r="L104" s="62">
        <v>7.8465734247932906E-2</v>
      </c>
      <c r="M104" s="64">
        <v>0.683459440716641</v>
      </c>
      <c r="N104" s="61">
        <v>-6.8896852493788074E-2</v>
      </c>
      <c r="O104" s="65">
        <v>-0.27196129421724524</v>
      </c>
      <c r="P104" s="89">
        <v>8.0012015489999992</v>
      </c>
      <c r="Q104" s="64">
        <v>12.9707382939</v>
      </c>
      <c r="R104" s="66">
        <v>2.1058359932097099</v>
      </c>
      <c r="S104" s="61" t="s">
        <v>464</v>
      </c>
      <c r="T104" s="66">
        <v>0.772342901264786</v>
      </c>
      <c r="U104" s="66">
        <v>8.6751240078875504</v>
      </c>
      <c r="V104" s="66" t="s">
        <v>464</v>
      </c>
      <c r="W104" s="66">
        <v>0.65305277842713505</v>
      </c>
      <c r="X104" s="66">
        <v>3.2496037635151702</v>
      </c>
      <c r="Y104" s="67" t="s">
        <v>70</v>
      </c>
    </row>
    <row r="105" spans="1:25" x14ac:dyDescent="0.25">
      <c r="A105" t="s">
        <v>245</v>
      </c>
      <c r="B105" t="s">
        <v>81</v>
      </c>
      <c r="C105" s="59">
        <v>24.8</v>
      </c>
      <c r="D105" s="60">
        <v>61.95</v>
      </c>
      <c r="E105" s="60">
        <v>22</v>
      </c>
      <c r="F105" s="61">
        <v>-9.4890510948904994E-2</v>
      </c>
      <c r="G105" s="61">
        <v>-0.27906976744186041</v>
      </c>
      <c r="H105" s="61">
        <v>-0.35163398692810455</v>
      </c>
      <c r="I105" s="62">
        <v>0.478225854513465</v>
      </c>
      <c r="J105" s="62">
        <v>0.42361619053944699</v>
      </c>
      <c r="K105" s="62">
        <v>0.4759116456899331</v>
      </c>
      <c r="L105" s="62">
        <v>0.10394593347984915</v>
      </c>
      <c r="M105" s="64">
        <v>1.12098901459511</v>
      </c>
      <c r="N105" s="61">
        <v>-0.16792930650281268</v>
      </c>
      <c r="O105" s="65">
        <v>-0.33361143623420286</v>
      </c>
      <c r="P105" s="89">
        <v>5.0587821999999996</v>
      </c>
      <c r="Q105" s="64">
        <v>1.6799506495999998</v>
      </c>
      <c r="R105" s="66">
        <v>0.74556912543060105</v>
      </c>
      <c r="S105" s="61">
        <v>0.131501224051502</v>
      </c>
      <c r="T105" s="66">
        <v>0.23969046157343199</v>
      </c>
      <c r="U105" s="66">
        <v>4.1882341020206502</v>
      </c>
      <c r="V105" s="66" t="s">
        <v>464</v>
      </c>
      <c r="W105" s="66">
        <v>1.08393821201725</v>
      </c>
      <c r="X105" s="66">
        <v>1.80107656423268</v>
      </c>
      <c r="Y105" s="67" t="s">
        <v>81</v>
      </c>
    </row>
    <row r="106" spans="1:25" x14ac:dyDescent="0.25">
      <c r="A106" t="s">
        <v>246</v>
      </c>
      <c r="B106" t="s">
        <v>65</v>
      </c>
      <c r="C106" s="59">
        <v>33.450000000000003</v>
      </c>
      <c r="D106" s="60">
        <v>47.5</v>
      </c>
      <c r="E106" s="60">
        <v>25</v>
      </c>
      <c r="F106" s="61">
        <v>-9.3495934959349491E-2</v>
      </c>
      <c r="G106" s="61">
        <v>-0.16060225846925968</v>
      </c>
      <c r="H106" s="61">
        <v>4.5045045045046805E-3</v>
      </c>
      <c r="I106" s="62">
        <v>0.44856472446711498</v>
      </c>
      <c r="J106" s="62">
        <v>0.38861043178232002</v>
      </c>
      <c r="K106" s="62">
        <v>0.43498555313898696</v>
      </c>
      <c r="L106" s="62">
        <v>0.26143887859504744</v>
      </c>
      <c r="M106" s="64">
        <v>1.0145841536953899</v>
      </c>
      <c r="N106" s="61">
        <v>-4.9461797530211959E-2</v>
      </c>
      <c r="O106" s="65">
        <v>2.2527055198406365E-2</v>
      </c>
      <c r="P106" s="89">
        <v>7.0508981773999997</v>
      </c>
      <c r="Q106" s="64">
        <v>57.611055463199996</v>
      </c>
      <c r="R106" s="66">
        <v>2.9674233498716598</v>
      </c>
      <c r="S106" s="61" t="s">
        <v>464</v>
      </c>
      <c r="T106" s="66">
        <v>3.5501388651819101</v>
      </c>
      <c r="U106" s="66">
        <v>2.9353202833702898</v>
      </c>
      <c r="V106" s="66">
        <v>4.6980337078651697</v>
      </c>
      <c r="W106" s="66">
        <v>1.5601419688815501</v>
      </c>
      <c r="X106" s="66">
        <v>12.4816959513391</v>
      </c>
      <c r="Y106" s="67" t="s">
        <v>65</v>
      </c>
    </row>
    <row r="107" spans="1:25" x14ac:dyDescent="0.25">
      <c r="A107" t="s">
        <v>247</v>
      </c>
      <c r="B107" t="s">
        <v>41</v>
      </c>
      <c r="C107" s="59">
        <v>7.23</v>
      </c>
      <c r="D107" s="60">
        <v>15</v>
      </c>
      <c r="E107" s="60">
        <v>6.05</v>
      </c>
      <c r="F107" s="61">
        <v>0.11402157164869031</v>
      </c>
      <c r="G107" s="61">
        <v>-6.4683053040103466E-2</v>
      </c>
      <c r="H107" s="61">
        <v>-0.12257281553398058</v>
      </c>
      <c r="I107" s="62">
        <v>0.64134955144125005</v>
      </c>
      <c r="J107" s="62">
        <v>0.52158756634643</v>
      </c>
      <c r="K107" s="62">
        <v>0.56742105613607141</v>
      </c>
      <c r="L107" s="62">
        <v>-0.1342461495452989</v>
      </c>
      <c r="M107" s="64">
        <v>0.98175097517204302</v>
      </c>
      <c r="N107" s="61">
        <v>4.6457407898944258E-2</v>
      </c>
      <c r="O107" s="65">
        <v>-0.1045502648400789</v>
      </c>
      <c r="P107" s="89">
        <v>4.3733875949399996</v>
      </c>
      <c r="Q107" s="64">
        <v>4.3242038429399994</v>
      </c>
      <c r="R107" s="66">
        <v>1.2003890217850901</v>
      </c>
      <c r="S107" s="61" t="s">
        <v>464</v>
      </c>
      <c r="T107" s="66">
        <v>0.82863935173326897</v>
      </c>
      <c r="U107" s="66">
        <v>1.75439447911713</v>
      </c>
      <c r="V107" s="66" t="s">
        <v>464</v>
      </c>
      <c r="W107" s="66">
        <v>0.918050938179651</v>
      </c>
      <c r="X107" s="66">
        <v>1.6137180985770501</v>
      </c>
      <c r="Y107" s="67" t="s">
        <v>41</v>
      </c>
    </row>
    <row r="108" spans="1:25" x14ac:dyDescent="0.25">
      <c r="B108" s="69" t="s">
        <v>109</v>
      </c>
      <c r="C108" s="70"/>
      <c r="D108" s="70"/>
      <c r="E108" s="70"/>
      <c r="F108" s="71">
        <v>-2.8435805597079221E-2</v>
      </c>
      <c r="G108" s="71">
        <v>-0.17438457868726606</v>
      </c>
      <c r="H108" s="71">
        <v>-0.21191300406546035</v>
      </c>
      <c r="I108" s="72">
        <v>0.45151107973527749</v>
      </c>
      <c r="J108" s="72">
        <v>0.4116574888007743</v>
      </c>
      <c r="K108" s="72">
        <v>0.50941786695146818</v>
      </c>
      <c r="L108" s="72">
        <v>0.1144649129375996</v>
      </c>
      <c r="M108" s="73">
        <v>0.93771318500253731</v>
      </c>
      <c r="N108" s="71">
        <v>-6.3244117748218337E-2</v>
      </c>
      <c r="O108" s="71">
        <v>-0.19389045337155864</v>
      </c>
      <c r="P108" s="93">
        <v>18.950466546532223</v>
      </c>
      <c r="Q108" s="73">
        <v>27.367194577434002</v>
      </c>
      <c r="R108" s="74">
        <v>2.0715490173230249</v>
      </c>
      <c r="S108" s="71">
        <v>0.10248324047235487</v>
      </c>
      <c r="T108" s="74">
        <v>0.80918499102594998</v>
      </c>
      <c r="U108" s="74">
        <v>5.8866277028829144</v>
      </c>
      <c r="V108" s="74">
        <v>6.025328658755182</v>
      </c>
      <c r="W108" s="76">
        <v>1.3938896970765118</v>
      </c>
      <c r="X108" s="74">
        <v>3.4447096808941491</v>
      </c>
      <c r="Y108" s="78" t="s">
        <v>110</v>
      </c>
    </row>
    <row r="109" spans="1:25" ht="7.5" customHeight="1" x14ac:dyDescent="0.25">
      <c r="F109" s="81"/>
      <c r="G109" s="81"/>
      <c r="H109" s="81"/>
      <c r="I109" s="40"/>
      <c r="J109" s="40"/>
      <c r="K109" s="40"/>
      <c r="L109" s="40"/>
      <c r="M109" s="32"/>
      <c r="N109" s="79"/>
      <c r="O109" s="79"/>
      <c r="Q109" s="32"/>
      <c r="R109" s="80"/>
      <c r="S109" s="81"/>
      <c r="T109" s="80"/>
      <c r="U109" s="80"/>
      <c r="V109" s="80"/>
      <c r="W109" s="80"/>
      <c r="X109" s="80"/>
    </row>
    <row r="110" spans="1:25" x14ac:dyDescent="0.25">
      <c r="B110" s="57" t="s">
        <v>119</v>
      </c>
      <c r="C110" s="82"/>
      <c r="D110" s="82"/>
      <c r="E110" s="82"/>
      <c r="F110" s="87"/>
      <c r="G110" s="87"/>
      <c r="H110" s="87"/>
      <c r="I110" s="83"/>
      <c r="J110" s="83"/>
      <c r="K110" s="83"/>
      <c r="L110" s="83"/>
      <c r="M110" s="84"/>
      <c r="N110" s="85"/>
      <c r="O110" s="85"/>
      <c r="P110" s="82"/>
      <c r="Q110" s="84"/>
      <c r="R110" s="86"/>
      <c r="S110" s="87"/>
      <c r="T110" s="86"/>
      <c r="U110" s="86"/>
      <c r="V110" s="86"/>
      <c r="W110" s="86"/>
      <c r="X110" s="86"/>
      <c r="Y110" s="88"/>
    </row>
    <row r="111" spans="1:25" x14ac:dyDescent="0.25">
      <c r="A111" t="s">
        <v>248</v>
      </c>
      <c r="B111" t="s">
        <v>60</v>
      </c>
      <c r="C111" s="59">
        <v>2.65</v>
      </c>
      <c r="D111" s="60">
        <v>4.5732155918148001</v>
      </c>
      <c r="E111" s="60">
        <v>2.35</v>
      </c>
      <c r="F111" s="61">
        <v>-9.5563139931740704E-2</v>
      </c>
      <c r="G111" s="61">
        <v>-0.14799051150791542</v>
      </c>
      <c r="H111" s="61">
        <v>-0.10304551587067878</v>
      </c>
      <c r="I111" s="62">
        <v>0.39705724177402502</v>
      </c>
      <c r="J111" s="62">
        <v>0.40545354098602898</v>
      </c>
      <c r="K111" s="62">
        <v>0.46446691216256936</v>
      </c>
      <c r="L111" s="62">
        <v>8.4718011915606573E-2</v>
      </c>
      <c r="M111" s="64">
        <v>0.6639975578849</v>
      </c>
      <c r="N111" s="61">
        <v>-3.6850050568867698E-2</v>
      </c>
      <c r="O111" s="65">
        <v>-8.5022965176777099E-2</v>
      </c>
      <c r="P111" s="89">
        <v>3.5249999999999999</v>
      </c>
      <c r="Q111" s="64">
        <v>3.3692039799999898</v>
      </c>
      <c r="R111" s="66">
        <v>5.5461477068487302</v>
      </c>
      <c r="S111" s="61">
        <v>1.6339866666666699E-2</v>
      </c>
      <c r="T111" s="66">
        <v>2.20575703074649</v>
      </c>
      <c r="U111" s="66">
        <v>11.2140831958021</v>
      </c>
      <c r="V111" s="66" t="s">
        <v>464</v>
      </c>
      <c r="W111" s="66">
        <v>1.25178701281828</v>
      </c>
      <c r="X111" s="66">
        <v>16.607861442731799</v>
      </c>
      <c r="Y111" s="67" t="s">
        <v>60</v>
      </c>
    </row>
    <row r="112" spans="1:25" x14ac:dyDescent="0.25">
      <c r="B112" s="69" t="s">
        <v>109</v>
      </c>
      <c r="C112" s="70"/>
      <c r="D112" s="70"/>
      <c r="E112" s="70"/>
      <c r="F112" s="71">
        <v>-9.5563139931740704E-2</v>
      </c>
      <c r="G112" s="71">
        <v>-0.14799051150791542</v>
      </c>
      <c r="H112" s="71">
        <v>-0.10304551587067878</v>
      </c>
      <c r="I112" s="72">
        <v>0.39705724177402502</v>
      </c>
      <c r="J112" s="72">
        <v>0.40545354098602898</v>
      </c>
      <c r="K112" s="72">
        <v>0.46446691216256936</v>
      </c>
      <c r="L112" s="72">
        <v>8.4718011915606573E-2</v>
      </c>
      <c r="M112" s="73">
        <v>0.6639975578849</v>
      </c>
      <c r="N112" s="71">
        <v>-3.6850050568867698E-2</v>
      </c>
      <c r="O112" s="71">
        <v>-8.5022965176777099E-2</v>
      </c>
      <c r="P112" s="93">
        <v>3.5249999999999999</v>
      </c>
      <c r="Q112" s="73">
        <v>3.3692039799999898</v>
      </c>
      <c r="R112" s="74">
        <v>5.5461477068487302</v>
      </c>
      <c r="S112" s="71">
        <v>1.6339866666666699E-2</v>
      </c>
      <c r="T112" s="74">
        <v>2.20575703074649</v>
      </c>
      <c r="U112" s="74">
        <v>11.2140831958021</v>
      </c>
      <c r="V112" s="74" t="s">
        <v>464</v>
      </c>
      <c r="W112" s="76">
        <v>1.25178701281828</v>
      </c>
      <c r="X112" s="74">
        <v>16.607861442731799</v>
      </c>
      <c r="Y112" s="78" t="s">
        <v>110</v>
      </c>
    </row>
    <row r="113" spans="1:25" ht="9" customHeight="1" x14ac:dyDescent="0.25">
      <c r="F113" s="81"/>
      <c r="G113" s="81"/>
      <c r="H113" s="81"/>
      <c r="I113" s="40"/>
      <c r="J113" s="40"/>
      <c r="K113" s="40"/>
      <c r="L113" s="40"/>
      <c r="M113" s="32"/>
      <c r="N113" s="79"/>
      <c r="O113" s="79"/>
      <c r="Q113" s="32"/>
      <c r="R113" s="80"/>
      <c r="S113" s="81"/>
      <c r="T113" s="80"/>
      <c r="U113" s="80"/>
      <c r="V113" s="80"/>
      <c r="W113" s="80"/>
      <c r="X113" s="80"/>
    </row>
    <row r="114" spans="1:25" x14ac:dyDescent="0.25">
      <c r="B114" s="57" t="s">
        <v>120</v>
      </c>
      <c r="C114" s="82"/>
      <c r="D114" s="82"/>
      <c r="E114" s="82"/>
      <c r="F114" s="87"/>
      <c r="G114" s="87"/>
      <c r="H114" s="87"/>
      <c r="I114" s="83"/>
      <c r="J114" s="83"/>
      <c r="K114" s="83"/>
      <c r="L114" s="83"/>
      <c r="M114" s="84"/>
      <c r="N114" s="85"/>
      <c r="O114" s="85"/>
      <c r="P114" s="82"/>
      <c r="Q114" s="84"/>
      <c r="R114" s="86"/>
      <c r="S114" s="87"/>
      <c r="T114" s="86"/>
      <c r="U114" s="86"/>
      <c r="V114" s="86"/>
      <c r="W114" s="86"/>
      <c r="X114" s="86"/>
      <c r="Y114" s="88"/>
    </row>
    <row r="115" spans="1:25" x14ac:dyDescent="0.25">
      <c r="A115" t="s">
        <v>249</v>
      </c>
      <c r="B115" t="s">
        <v>19</v>
      </c>
      <c r="C115" s="59">
        <v>374</v>
      </c>
      <c r="D115" s="60">
        <v>382.5</v>
      </c>
      <c r="E115" s="60">
        <v>201.8</v>
      </c>
      <c r="F115" s="61">
        <v>3.6011080332410073E-2</v>
      </c>
      <c r="G115" s="61">
        <v>1.08108108108107E-2</v>
      </c>
      <c r="H115" s="61">
        <v>0.17241379310344818</v>
      </c>
      <c r="I115" s="62">
        <v>0.32548601054185</v>
      </c>
      <c r="J115" s="62">
        <v>0.33619736977935899</v>
      </c>
      <c r="K115" s="62">
        <v>0.3454579937696361</v>
      </c>
      <c r="L115" s="62">
        <v>-7.5653322564845027E-2</v>
      </c>
      <c r="M115" s="64">
        <v>9.6461965116432E-2</v>
      </c>
      <c r="N115" s="61">
        <v>0.12195127174985843</v>
      </c>
      <c r="O115" s="65">
        <v>0.19043634379734986</v>
      </c>
      <c r="P115" s="89">
        <v>1810.972507708</v>
      </c>
      <c r="Q115" s="64">
        <v>91.906700369424001</v>
      </c>
      <c r="R115" s="66">
        <v>5.7155908189940297</v>
      </c>
      <c r="S115" s="61">
        <v>4.9718479999999995E-2</v>
      </c>
      <c r="T115" s="66">
        <v>0.78735547962590002</v>
      </c>
      <c r="U115" s="66">
        <v>12.924455646572801</v>
      </c>
      <c r="V115" s="66">
        <v>9.7878796942067101</v>
      </c>
      <c r="W115" s="66">
        <v>2.1092704657387702</v>
      </c>
      <c r="X115" s="66">
        <v>2.8806597317171798</v>
      </c>
      <c r="Y115" s="67" t="s">
        <v>19</v>
      </c>
    </row>
    <row r="116" spans="1:25" x14ac:dyDescent="0.25">
      <c r="A116" t="s">
        <v>250</v>
      </c>
      <c r="B116" t="s">
        <v>34</v>
      </c>
      <c r="C116" s="59">
        <v>120.9</v>
      </c>
      <c r="D116" s="60">
        <v>154.19999999999999</v>
      </c>
      <c r="E116" s="60">
        <v>95.6</v>
      </c>
      <c r="F116" s="61">
        <v>-4.8031496062992063E-2</v>
      </c>
      <c r="G116" s="61">
        <v>-4.6529968454258608E-2</v>
      </c>
      <c r="H116" s="61">
        <v>1.5966386554621792E-2</v>
      </c>
      <c r="I116" s="62">
        <v>0.311479835645742</v>
      </c>
      <c r="J116" s="62">
        <v>0.36789623934842502</v>
      </c>
      <c r="K116" s="62">
        <v>0.39557226500772597</v>
      </c>
      <c r="L116" s="62">
        <v>9.7863057786436558E-2</v>
      </c>
      <c r="M116" s="64">
        <v>0.44846453982949303</v>
      </c>
      <c r="N116" s="61">
        <v>6.4610492484789117E-2</v>
      </c>
      <c r="O116" s="65">
        <v>3.3988937248523476E-2</v>
      </c>
      <c r="P116" s="89">
        <v>263.522490156</v>
      </c>
      <c r="Q116" s="64">
        <v>146.52162493829999</v>
      </c>
      <c r="R116" s="66">
        <v>2.4911017875191201</v>
      </c>
      <c r="S116" s="61">
        <v>9.9513432208000005E-2</v>
      </c>
      <c r="T116" s="66">
        <v>0.45177882804886799</v>
      </c>
      <c r="U116" s="66">
        <v>49.184129270048899</v>
      </c>
      <c r="V116" s="66">
        <v>15.907894736842101</v>
      </c>
      <c r="W116" s="66">
        <v>1.15480216056419</v>
      </c>
      <c r="X116" s="66">
        <v>1.7894598816362599</v>
      </c>
      <c r="Y116" s="67" t="s">
        <v>34</v>
      </c>
    </row>
    <row r="117" spans="1:25" x14ac:dyDescent="0.25">
      <c r="A117" t="s">
        <v>251</v>
      </c>
      <c r="B117" t="s">
        <v>74</v>
      </c>
      <c r="C117" s="59">
        <v>178.5</v>
      </c>
      <c r="D117" s="60">
        <v>420</v>
      </c>
      <c r="E117" s="60">
        <v>169</v>
      </c>
      <c r="F117" s="61">
        <v>-0.13244228432563787</v>
      </c>
      <c r="G117" s="61">
        <v>-0.20223463687150833</v>
      </c>
      <c r="H117" s="61">
        <v>-0.2514153910673097</v>
      </c>
      <c r="I117" s="62">
        <v>0.42614762165599102</v>
      </c>
      <c r="J117" s="62">
        <v>0.398085678674587</v>
      </c>
      <c r="K117" s="62" t="s">
        <v>464</v>
      </c>
      <c r="L117" s="62" t="s">
        <v>464</v>
      </c>
      <c r="M117" s="64">
        <v>0.97595513876193696</v>
      </c>
      <c r="N117" s="61">
        <v>-9.1094175932460608E-2</v>
      </c>
      <c r="O117" s="65">
        <v>-0.23339284037340802</v>
      </c>
      <c r="P117" s="89">
        <v>34.818857295000001</v>
      </c>
      <c r="Q117" s="64">
        <v>228.06915396400001</v>
      </c>
      <c r="R117" s="66">
        <v>3.66087985303135</v>
      </c>
      <c r="S117" s="61" t="s">
        <v>464</v>
      </c>
      <c r="T117" s="66">
        <v>0.12863831310474499</v>
      </c>
      <c r="U117" s="66" t="s">
        <v>464</v>
      </c>
      <c r="V117" s="66">
        <v>8.1880733944954098</v>
      </c>
      <c r="W117" s="66">
        <v>0.38504936052827998</v>
      </c>
      <c r="X117" s="66">
        <v>0.51381331916714101</v>
      </c>
      <c r="Y117" s="67" t="s">
        <v>74</v>
      </c>
    </row>
    <row r="118" spans="1:25" x14ac:dyDescent="0.25">
      <c r="A118" t="s">
        <v>252</v>
      </c>
      <c r="B118" t="s">
        <v>45</v>
      </c>
      <c r="C118" s="59">
        <v>36</v>
      </c>
      <c r="D118" s="60">
        <v>71.5</v>
      </c>
      <c r="E118" s="60">
        <v>36</v>
      </c>
      <c r="F118" s="61">
        <v>-5.1383399209486202E-2</v>
      </c>
      <c r="G118" s="61">
        <v>-8.6294416243654748E-2</v>
      </c>
      <c r="H118" s="61">
        <v>-0.27272727272727271</v>
      </c>
      <c r="I118" s="62">
        <v>0.31640093263888702</v>
      </c>
      <c r="J118" s="62">
        <v>0.33102672814877698</v>
      </c>
      <c r="K118" s="62">
        <v>0.47399188672377301</v>
      </c>
      <c r="L118" s="62">
        <v>0.15064750280099126</v>
      </c>
      <c r="M118" s="64">
        <v>0.43770068212760199</v>
      </c>
      <c r="N118" s="61">
        <v>2.4846044695392977E-2</v>
      </c>
      <c r="O118" s="65">
        <v>-0.25470472203337102</v>
      </c>
      <c r="P118" s="89">
        <v>3.8439361440000002</v>
      </c>
      <c r="Q118" s="64">
        <v>2.4957393840000002</v>
      </c>
      <c r="R118" s="66">
        <v>1.7013441729363501</v>
      </c>
      <c r="S118" s="61" t="s">
        <v>464</v>
      </c>
      <c r="T118" s="66">
        <v>0.129392377758554</v>
      </c>
      <c r="U118" s="66" t="s">
        <v>464</v>
      </c>
      <c r="V118" s="66">
        <v>7.7087794432548202</v>
      </c>
      <c r="W118" s="66">
        <v>0.50223598622012899</v>
      </c>
      <c r="X118" s="66">
        <v>3.56672564853366</v>
      </c>
      <c r="Y118" s="67" t="s">
        <v>45</v>
      </c>
    </row>
    <row r="119" spans="1:25" x14ac:dyDescent="0.25">
      <c r="B119" s="109" t="s">
        <v>109</v>
      </c>
      <c r="C119" s="110"/>
      <c r="D119" s="110"/>
      <c r="E119" s="110"/>
      <c r="F119" s="111">
        <v>-4.8961524816426516E-2</v>
      </c>
      <c r="G119" s="111">
        <v>-8.1062052689652747E-2</v>
      </c>
      <c r="H119" s="111">
        <v>-8.394062103412811E-2</v>
      </c>
      <c r="I119" s="112">
        <v>0.3448786001206175</v>
      </c>
      <c r="J119" s="112">
        <v>0.35830150398778704</v>
      </c>
      <c r="K119" s="112">
        <v>0.40500738183371165</v>
      </c>
      <c r="L119" s="112">
        <v>5.7619079340860933E-2</v>
      </c>
      <c r="M119" s="113">
        <v>0.48964558145886594</v>
      </c>
      <c r="N119" s="112">
        <v>3.0078408249394978E-2</v>
      </c>
      <c r="O119" s="111">
        <v>-6.5918070340226426E-2</v>
      </c>
      <c r="P119" s="114">
        <v>528.2894478257499</v>
      </c>
      <c r="Q119" s="113">
        <v>117.24830466393099</v>
      </c>
      <c r="R119" s="115">
        <v>3.3922291581202124</v>
      </c>
      <c r="S119" s="111">
        <v>7.4615956104E-2</v>
      </c>
      <c r="T119" s="115">
        <v>0.37429124963451676</v>
      </c>
      <c r="U119" s="115">
        <v>31.054292458310851</v>
      </c>
      <c r="V119" s="115">
        <v>10.39815681719976</v>
      </c>
      <c r="W119" s="116">
        <v>1.0378394932628423</v>
      </c>
      <c r="X119" s="115">
        <v>2.1876646452635602</v>
      </c>
      <c r="Y119" s="117" t="s">
        <v>110</v>
      </c>
    </row>
    <row r="120" spans="1:25" x14ac:dyDescent="0.25">
      <c r="B120" s="118" t="s">
        <v>121</v>
      </c>
      <c r="C120" s="119">
        <v>29746.6</v>
      </c>
      <c r="D120" s="59">
        <v>37874.94</v>
      </c>
      <c r="E120" s="59">
        <v>24618.09</v>
      </c>
      <c r="F120" s="61">
        <v>-7.1485960823778227E-2</v>
      </c>
      <c r="G120" s="61">
        <v>-0.11114046093904772</v>
      </c>
      <c r="H120" s="61">
        <v>-1.8022550693901684E-2</v>
      </c>
      <c r="I120" s="62">
        <v>0.333185061331913</v>
      </c>
      <c r="J120" s="62">
        <v>0.31116177575648502</v>
      </c>
      <c r="Y120" s="120" t="s">
        <v>121</v>
      </c>
    </row>
    <row r="121" spans="1:25" x14ac:dyDescent="0.25">
      <c r="B121" s="118"/>
      <c r="C121" s="121"/>
      <c r="F121" s="81"/>
      <c r="G121" s="81"/>
      <c r="H121" s="81"/>
      <c r="I121" s="40"/>
      <c r="J121" s="40"/>
      <c r="Y121" s="120"/>
    </row>
    <row r="122" spans="1:25" x14ac:dyDescent="0.25">
      <c r="B122" s="122" t="s">
        <v>122</v>
      </c>
    </row>
    <row r="124" spans="1:25" x14ac:dyDescent="0.25">
      <c r="B124" t="s">
        <v>123</v>
      </c>
    </row>
  </sheetData>
  <mergeCells count="39">
    <mergeCell ref="Y90:Y91"/>
    <mergeCell ref="L90:L91"/>
    <mergeCell ref="M90:M91"/>
    <mergeCell ref="N90:O90"/>
    <mergeCell ref="P90:R90"/>
    <mergeCell ref="S90:S91"/>
    <mergeCell ref="T90:X90"/>
    <mergeCell ref="P44:R44"/>
    <mergeCell ref="S44:S45"/>
    <mergeCell ref="T44:X44"/>
    <mergeCell ref="Y44:Y45"/>
    <mergeCell ref="B90:B91"/>
    <mergeCell ref="C90:C91"/>
    <mergeCell ref="D90:E90"/>
    <mergeCell ref="F90:H90"/>
    <mergeCell ref="I90:J90"/>
    <mergeCell ref="K90:K91"/>
    <mergeCell ref="Y6:Y7"/>
    <mergeCell ref="B44:B45"/>
    <mergeCell ref="C44:C45"/>
    <mergeCell ref="D44:E44"/>
    <mergeCell ref="F44:H44"/>
    <mergeCell ref="I44:J44"/>
    <mergeCell ref="K44:K45"/>
    <mergeCell ref="L44:L45"/>
    <mergeCell ref="M44:M45"/>
    <mergeCell ref="N44:O44"/>
    <mergeCell ref="L6:L7"/>
    <mergeCell ref="M6:M7"/>
    <mergeCell ref="N6:O6"/>
    <mergeCell ref="P6:R6"/>
    <mergeCell ref="S6:S7"/>
    <mergeCell ref="T6:X6"/>
    <mergeCell ref="B6:B7"/>
    <mergeCell ref="C6:C7"/>
    <mergeCell ref="D6:E6"/>
    <mergeCell ref="F6:H6"/>
    <mergeCell ref="I6:J6"/>
    <mergeCell ref="K6:K7"/>
  </mergeCells>
  <printOptions horizontalCentered="1" verticalCentered="1"/>
  <pageMargins left="0" right="0" top="0" bottom="0" header="0" footer="0"/>
  <pageSetup paperSize="9" scale="70" orientation="landscape" r:id="rId1"/>
  <headerFooter>
    <oddHeader>&amp;LReporte de Ratios Argentina&amp;R&amp;G</oddHeader>
    <oddFooter>&amp;Cwww.invertironline.com&amp;R&amp;P</oddFooter>
  </headerFooter>
  <rowBreaks count="2" manualBreakCount="2">
    <brk id="42" min="1" max="24" man="1"/>
    <brk id="88" min="1" max="24"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view="pageBreakPreview" topLeftCell="A16" zoomScaleNormal="100" zoomScaleSheetLayoutView="100" workbookViewId="0">
      <selection activeCell="V1" sqref="V1"/>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7109375" bestFit="1"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23" t="s">
        <v>124</v>
      </c>
    </row>
    <row r="2" spans="1:23" ht="26.25" customHeight="1" x14ac:dyDescent="0.25"/>
    <row r="3" spans="1:23" ht="18" customHeight="1" x14ac:dyDescent="0.25">
      <c r="A3" s="124" t="s">
        <v>4</v>
      </c>
      <c r="B3" s="125" t="s">
        <v>125</v>
      </c>
      <c r="C3" s="126" t="s">
        <v>126</v>
      </c>
      <c r="D3" s="127" t="s">
        <v>127</v>
      </c>
      <c r="E3" s="128"/>
      <c r="F3" s="127" t="s">
        <v>128</v>
      </c>
      <c r="G3" s="128"/>
      <c r="H3" s="127" t="s">
        <v>129</v>
      </c>
      <c r="I3" s="128"/>
      <c r="J3" s="127" t="s">
        <v>130</v>
      </c>
      <c r="K3" s="128"/>
      <c r="L3" s="128"/>
      <c r="M3" s="128"/>
      <c r="N3" s="128"/>
      <c r="O3" s="128"/>
      <c r="P3" s="128"/>
      <c r="Q3" s="128"/>
      <c r="R3" s="128"/>
      <c r="S3" s="128"/>
      <c r="T3" s="128"/>
      <c r="U3" s="128"/>
      <c r="V3" s="129"/>
      <c r="W3" s="124" t="s">
        <v>4</v>
      </c>
    </row>
    <row r="4" spans="1:23" ht="27" customHeight="1" x14ac:dyDescent="0.25">
      <c r="A4" s="130"/>
      <c r="B4" s="131"/>
      <c r="C4" s="132"/>
      <c r="D4" s="133" t="s">
        <v>131</v>
      </c>
      <c r="E4" s="133" t="s">
        <v>132</v>
      </c>
      <c r="F4" s="133" t="s">
        <v>133</v>
      </c>
      <c r="G4" s="133" t="s">
        <v>134</v>
      </c>
      <c r="H4" s="133" t="s">
        <v>135</v>
      </c>
      <c r="I4" s="133" t="s">
        <v>136</v>
      </c>
      <c r="J4" s="133" t="s">
        <v>137</v>
      </c>
      <c r="K4" s="133" t="s">
        <v>138</v>
      </c>
      <c r="L4" s="133" t="s">
        <v>139</v>
      </c>
      <c r="M4" s="133" t="s">
        <v>140</v>
      </c>
      <c r="N4" s="133" t="s">
        <v>141</v>
      </c>
      <c r="O4" s="133" t="s">
        <v>142</v>
      </c>
      <c r="P4" s="133" t="s">
        <v>143</v>
      </c>
      <c r="Q4" s="134" t="s">
        <v>144</v>
      </c>
      <c r="R4" s="135" t="s">
        <v>145</v>
      </c>
      <c r="S4" s="134" t="s">
        <v>146</v>
      </c>
      <c r="T4" s="136" t="s">
        <v>147</v>
      </c>
      <c r="U4" s="135" t="s">
        <v>148</v>
      </c>
      <c r="V4" s="134" t="s">
        <v>149</v>
      </c>
      <c r="W4" s="130"/>
    </row>
    <row r="5" spans="1:23" x14ac:dyDescent="0.25">
      <c r="A5" s="57" t="s">
        <v>108</v>
      </c>
      <c r="B5" s="58"/>
      <c r="C5" s="58"/>
      <c r="D5" s="58"/>
      <c r="E5" s="58"/>
      <c r="F5" s="58"/>
      <c r="G5" s="58"/>
      <c r="H5" s="58"/>
      <c r="I5" s="58"/>
      <c r="J5" s="58"/>
      <c r="K5" s="58"/>
      <c r="L5" s="58"/>
      <c r="M5" s="58"/>
      <c r="N5" s="58"/>
      <c r="O5" s="58"/>
      <c r="P5" s="58"/>
      <c r="Q5" s="58"/>
      <c r="R5" s="58"/>
      <c r="S5" s="58"/>
      <c r="T5" s="58"/>
      <c r="U5" s="58"/>
      <c r="V5" s="58"/>
      <c r="W5" s="58"/>
    </row>
    <row r="6" spans="1:23" x14ac:dyDescent="0.25">
      <c r="A6" t="s">
        <v>29</v>
      </c>
      <c r="B6" s="137">
        <v>0.01</v>
      </c>
      <c r="C6" s="138">
        <v>43465</v>
      </c>
      <c r="D6" s="139">
        <v>96.985626237275</v>
      </c>
      <c r="E6" s="139">
        <v>2.8330280677365636</v>
      </c>
      <c r="F6" s="139">
        <v>1.2846525</v>
      </c>
      <c r="G6" s="139">
        <v>0.66386750000000005</v>
      </c>
      <c r="H6" s="139">
        <v>2.8615522590038069</v>
      </c>
      <c r="I6" s="139">
        <v>11.148432545386763</v>
      </c>
      <c r="J6" s="139">
        <v>29.984774999999999</v>
      </c>
      <c r="K6" s="139">
        <v>1.561441613075</v>
      </c>
      <c r="L6" s="139">
        <v>8.9234999999999995E-2</v>
      </c>
      <c r="M6" s="139">
        <v>6.4907813394320764E-3</v>
      </c>
      <c r="N6" s="139">
        <v>1.9035202762000001</v>
      </c>
      <c r="O6" s="139">
        <v>0.69994546049999995</v>
      </c>
      <c r="P6" s="139">
        <v>0.22017999999999999</v>
      </c>
      <c r="Q6" s="140">
        <v>3.5544779112859288</v>
      </c>
      <c r="R6" s="141">
        <v>204.47460000000001</v>
      </c>
      <c r="S6" s="140">
        <v>-1.9071016286572995</v>
      </c>
      <c r="T6" s="142">
        <v>1.0003421170299718</v>
      </c>
      <c r="U6" s="80">
        <v>22.384090181666668</v>
      </c>
      <c r="V6" s="140">
        <v>0.30361532583605966</v>
      </c>
      <c r="W6" s="67" t="s">
        <v>29</v>
      </c>
    </row>
    <row r="7" spans="1:23" x14ac:dyDescent="0.25">
      <c r="A7" t="s">
        <v>51</v>
      </c>
      <c r="B7">
        <v>1</v>
      </c>
      <c r="C7" s="138">
        <v>43465</v>
      </c>
      <c r="D7" s="139">
        <v>0</v>
      </c>
      <c r="E7" s="139">
        <v>5.4392207971793054</v>
      </c>
      <c r="F7" s="139">
        <v>0.98201000000000005</v>
      </c>
      <c r="G7" s="139">
        <v>0.60050000000000003</v>
      </c>
      <c r="H7" s="139">
        <v>3.5954473882181821</v>
      </c>
      <c r="I7" s="139">
        <v>12.89139471469141</v>
      </c>
      <c r="J7" s="139">
        <v>4.8784375000000004</v>
      </c>
      <c r="K7" s="139">
        <v>2.8429342163000002</v>
      </c>
      <c r="L7" s="139">
        <v>1.8819950000000001</v>
      </c>
      <c r="M7" s="139">
        <v>8.4719830195684222E-3</v>
      </c>
      <c r="N7" s="139">
        <v>42.833487522699997</v>
      </c>
      <c r="O7" s="139">
        <v>8.7310191842999991</v>
      </c>
      <c r="P7" s="139">
        <v>18.809629999999999</v>
      </c>
      <c r="Q7" s="140">
        <v>-0.74022391150418831</v>
      </c>
      <c r="R7" s="141">
        <v>298.17525000000001</v>
      </c>
      <c r="S7" s="140" t="s">
        <v>464</v>
      </c>
      <c r="T7" s="142" t="s">
        <v>464</v>
      </c>
      <c r="U7" s="80">
        <v>26.138430499999998</v>
      </c>
      <c r="V7" s="140" t="s">
        <v>464</v>
      </c>
      <c r="W7" s="67" t="s">
        <v>51</v>
      </c>
    </row>
    <row r="8" spans="1:23" x14ac:dyDescent="0.25">
      <c r="A8" t="s">
        <v>47</v>
      </c>
      <c r="B8">
        <v>1</v>
      </c>
      <c r="C8" s="138">
        <v>43465</v>
      </c>
      <c r="D8" s="139">
        <v>424.38428748427498</v>
      </c>
      <c r="E8" s="139">
        <v>4.9461780876821377</v>
      </c>
      <c r="F8" s="139">
        <v>1.44624</v>
      </c>
      <c r="G8" s="139">
        <v>0.68785249999999998</v>
      </c>
      <c r="H8" s="139">
        <v>1.6667109324094862</v>
      </c>
      <c r="I8" s="139">
        <v>3.5631636383413303</v>
      </c>
      <c r="J8" s="139">
        <v>30.487794999999998</v>
      </c>
      <c r="K8" s="139">
        <v>3.2886010374749999</v>
      </c>
      <c r="L8" s="139">
        <v>-9.7963799999999992</v>
      </c>
      <c r="M8" s="139">
        <v>-9.1273784480817535E-2</v>
      </c>
      <c r="N8" s="139">
        <v>-25.943808430400001</v>
      </c>
      <c r="O8" s="139">
        <v>-9.6000972428000004</v>
      </c>
      <c r="P8" s="139">
        <v>-8.4540600000000001</v>
      </c>
      <c r="Q8" s="140">
        <v>1.3284618462397184</v>
      </c>
      <c r="R8" s="141">
        <v>-639.66359999999997</v>
      </c>
      <c r="S8" s="140">
        <v>0.55078982167890977</v>
      </c>
      <c r="T8" s="142">
        <v>2.6721407781336612</v>
      </c>
      <c r="U8" s="80">
        <v>20.464246666666668</v>
      </c>
      <c r="V8" s="140">
        <v>9.0529693899208397E-3</v>
      </c>
      <c r="W8" s="67" t="s">
        <v>47</v>
      </c>
    </row>
    <row r="9" spans="1:23" x14ac:dyDescent="0.25">
      <c r="A9" t="s">
        <v>22</v>
      </c>
      <c r="B9">
        <v>1</v>
      </c>
      <c r="C9" s="138">
        <v>43465</v>
      </c>
      <c r="D9" s="143">
        <v>3.8734061314999999</v>
      </c>
      <c r="E9" s="143">
        <v>1.8832406607756575</v>
      </c>
      <c r="F9" s="139">
        <v>2.3498225000000001</v>
      </c>
      <c r="G9" s="139">
        <v>1.3836975</v>
      </c>
      <c r="H9" s="139">
        <v>1.0253487031774047</v>
      </c>
      <c r="I9" s="139">
        <v>2.2270163199542141</v>
      </c>
      <c r="J9" s="139">
        <v>38.881232500000003</v>
      </c>
      <c r="K9" s="139">
        <v>14.91046591145</v>
      </c>
      <c r="L9" s="139">
        <v>12.837339999999999</v>
      </c>
      <c r="M9" s="139">
        <v>9.8679660644412456E-2</v>
      </c>
      <c r="N9" s="139">
        <v>18.172006138099999</v>
      </c>
      <c r="O9" s="139">
        <v>9.9276039212999994</v>
      </c>
      <c r="P9" s="139">
        <v>7.7880000000000005E-2</v>
      </c>
      <c r="Q9" s="140">
        <v>-1.5460413841074732</v>
      </c>
      <c r="R9" s="141">
        <v>260.33493399999998</v>
      </c>
      <c r="S9" s="140">
        <v>0.3816780576297043</v>
      </c>
      <c r="T9" s="142">
        <v>0.38341551897433579</v>
      </c>
      <c r="U9" s="80">
        <v>1.836386895</v>
      </c>
      <c r="V9" s="140">
        <v>0.28082903306513796</v>
      </c>
      <c r="W9" s="67" t="s">
        <v>22</v>
      </c>
    </row>
    <row r="10" spans="1:23" x14ac:dyDescent="0.25">
      <c r="A10" t="s">
        <v>66</v>
      </c>
      <c r="B10">
        <v>1</v>
      </c>
      <c r="C10" s="138">
        <v>43465</v>
      </c>
      <c r="D10" s="143">
        <v>225.1330687727</v>
      </c>
      <c r="E10" s="143">
        <v>3.317550208365613</v>
      </c>
      <c r="F10" s="139">
        <v>0.92473749999999999</v>
      </c>
      <c r="G10" s="139">
        <v>0.41054750000000001</v>
      </c>
      <c r="H10" s="139">
        <v>0.62786958757443745</v>
      </c>
      <c r="I10" s="139">
        <v>3.9629287681018703</v>
      </c>
      <c r="J10" s="139">
        <v>23.481874999999999</v>
      </c>
      <c r="K10" s="139">
        <v>-18.103722859299999</v>
      </c>
      <c r="L10" s="139">
        <v>-36.911627500000002</v>
      </c>
      <c r="M10" s="139">
        <v>-0.18380337874374839</v>
      </c>
      <c r="N10" s="139">
        <v>-13.6802350864</v>
      </c>
      <c r="O10" s="139">
        <v>-6.1537223607999998</v>
      </c>
      <c r="P10" s="139">
        <v>-0.96133999999999997</v>
      </c>
      <c r="Q10" s="140">
        <v>1.8298884449748352</v>
      </c>
      <c r="R10" s="141">
        <v>-197.22706199999999</v>
      </c>
      <c r="S10" s="140">
        <v>-2.637442132188244</v>
      </c>
      <c r="T10" s="142">
        <v>2.7048866080312561</v>
      </c>
      <c r="U10" s="80">
        <v>4.1971204633333334</v>
      </c>
      <c r="V10" s="140">
        <v>0.52590411938680393</v>
      </c>
      <c r="W10" s="67" t="s">
        <v>66</v>
      </c>
    </row>
    <row r="11" spans="1:23" x14ac:dyDescent="0.25">
      <c r="A11" t="s">
        <v>43</v>
      </c>
      <c r="B11">
        <v>1</v>
      </c>
      <c r="C11" s="138">
        <v>43524</v>
      </c>
      <c r="D11" s="143">
        <v>1241.1444207908501</v>
      </c>
      <c r="E11" s="143">
        <v>4.9448739807404758</v>
      </c>
      <c r="F11" s="139">
        <v>1.1781075000000001</v>
      </c>
      <c r="G11" s="139">
        <v>0.5305725</v>
      </c>
      <c r="H11" s="139">
        <v>0.96129900804640389</v>
      </c>
      <c r="I11" s="139">
        <v>1.7602833736603944</v>
      </c>
      <c r="J11" s="139">
        <v>37.994497500000001</v>
      </c>
      <c r="K11" s="139">
        <v>5.2962500028750004</v>
      </c>
      <c r="L11" s="139">
        <v>-28.443042500000001</v>
      </c>
      <c r="M11" s="139">
        <v>-0.13900897079246957</v>
      </c>
      <c r="N11" s="139">
        <v>-66.3286970825</v>
      </c>
      <c r="O11" s="139">
        <v>-14.8577160837</v>
      </c>
      <c r="P11" s="139">
        <v>-4.44292</v>
      </c>
      <c r="Q11" s="140">
        <v>-1.8750589972286429</v>
      </c>
      <c r="R11" s="141">
        <v>-250.2876</v>
      </c>
      <c r="S11" s="140">
        <v>-2.5072780142094508</v>
      </c>
      <c r="T11" s="142">
        <v>2.53166752234445</v>
      </c>
      <c r="U11" s="80">
        <v>7.1813058333333331</v>
      </c>
      <c r="V11" s="140">
        <v>0.20595291866012699</v>
      </c>
      <c r="W11" s="67" t="s">
        <v>43</v>
      </c>
    </row>
    <row r="12" spans="1:23" x14ac:dyDescent="0.25">
      <c r="A12" t="s">
        <v>18</v>
      </c>
      <c r="B12">
        <v>1</v>
      </c>
      <c r="C12" s="138">
        <v>43465</v>
      </c>
      <c r="D12" s="143">
        <v>26.058766873900002</v>
      </c>
      <c r="E12" s="143">
        <v>1.6318850031366348</v>
      </c>
      <c r="F12" s="139">
        <v>1.7662024999999999</v>
      </c>
      <c r="G12" s="139">
        <v>0.6830775</v>
      </c>
      <c r="H12" s="139">
        <v>0.34638478109002918</v>
      </c>
      <c r="I12" s="139">
        <v>-7.9507335217795383</v>
      </c>
      <c r="J12" s="139">
        <v>18.719435000000001</v>
      </c>
      <c r="K12" s="139">
        <v>10.123107575475</v>
      </c>
      <c r="L12" s="139">
        <v>-1.5677425</v>
      </c>
      <c r="M12" s="139">
        <v>-0.17217085050152317</v>
      </c>
      <c r="N12" s="139">
        <v>-1.3601906136999999</v>
      </c>
      <c r="O12" s="139">
        <v>-0.67577839090000003</v>
      </c>
      <c r="P12" s="139">
        <v>-0.13489999999999999</v>
      </c>
      <c r="Q12" s="140">
        <v>-5.9879524712529308</v>
      </c>
      <c r="R12" s="141">
        <v>23.585048</v>
      </c>
      <c r="S12" s="140">
        <v>-1.9511103245354455</v>
      </c>
      <c r="T12" s="142">
        <v>3.5807959351722691</v>
      </c>
      <c r="U12" s="80">
        <v>1.5112434349999999</v>
      </c>
      <c r="V12" s="140">
        <v>0.4181750733384384</v>
      </c>
      <c r="W12" s="67" t="s">
        <v>18</v>
      </c>
    </row>
    <row r="13" spans="1:23" x14ac:dyDescent="0.25">
      <c r="A13" t="s">
        <v>15</v>
      </c>
      <c r="B13">
        <v>1</v>
      </c>
      <c r="C13" s="138">
        <v>43465</v>
      </c>
      <c r="D13" s="143">
        <v>183.25342694037499</v>
      </c>
      <c r="E13" s="143">
        <v>3.7519600529311119</v>
      </c>
      <c r="F13" s="139">
        <v>0.895455</v>
      </c>
      <c r="G13" s="139">
        <v>0.63483000000000001</v>
      </c>
      <c r="H13" s="139">
        <v>2.0208124811600965</v>
      </c>
      <c r="I13" s="139">
        <v>12.014408454275568</v>
      </c>
      <c r="J13" s="139">
        <v>10.969645</v>
      </c>
      <c r="K13" s="139">
        <v>4.1842382314000002</v>
      </c>
      <c r="L13" s="139">
        <v>-1.3306</v>
      </c>
      <c r="M13" s="139">
        <v>2.4189536452441589E-2</v>
      </c>
      <c r="N13" s="139">
        <v>-3.6389610679</v>
      </c>
      <c r="O13" s="139">
        <v>-1.2031602603</v>
      </c>
      <c r="P13" s="139">
        <v>-0.18421999999999999</v>
      </c>
      <c r="Q13" s="140">
        <v>-1.1007155503700137</v>
      </c>
      <c r="R13" s="141">
        <v>-280.08659999999998</v>
      </c>
      <c r="S13" s="140">
        <v>0.3950317892293127</v>
      </c>
      <c r="T13" s="142">
        <v>2.2174539454664135</v>
      </c>
      <c r="U13" s="80">
        <v>5.3592595000000003</v>
      </c>
      <c r="V13" s="140">
        <v>0.5662950641667901</v>
      </c>
      <c r="W13" s="67" t="s">
        <v>15</v>
      </c>
    </row>
    <row r="14" spans="1:23" x14ac:dyDescent="0.25">
      <c r="A14" t="s">
        <v>76</v>
      </c>
      <c r="B14">
        <v>1</v>
      </c>
      <c r="C14" s="138">
        <v>43465</v>
      </c>
      <c r="D14" s="143">
        <v>18.555522628975002</v>
      </c>
      <c r="E14" s="143">
        <v>1.6128558340591688</v>
      </c>
      <c r="F14" s="139">
        <v>1.9360275</v>
      </c>
      <c r="G14" s="139">
        <v>1.2611425000000001</v>
      </c>
      <c r="H14" s="139">
        <v>1.4489389611210139</v>
      </c>
      <c r="I14" s="139">
        <v>3.0216383675131313</v>
      </c>
      <c r="J14" s="139">
        <v>45.167232499999997</v>
      </c>
      <c r="K14" s="139">
        <v>12.7472256653</v>
      </c>
      <c r="L14" s="139">
        <v>7.0432899999999998</v>
      </c>
      <c r="M14" s="139">
        <v>8.7962628983029284E-2</v>
      </c>
      <c r="N14" s="139">
        <v>15.174099717300001</v>
      </c>
      <c r="O14" s="139">
        <v>10.290419332300001</v>
      </c>
      <c r="P14" s="139">
        <v>0.71211000000000002</v>
      </c>
      <c r="Q14" s="140">
        <v>0.91244878330287582</v>
      </c>
      <c r="R14" s="141">
        <v>56.27046</v>
      </c>
      <c r="S14" s="140">
        <v>0.44787117449142411</v>
      </c>
      <c r="T14" s="142">
        <v>0.30616022121034892</v>
      </c>
      <c r="U14" s="80">
        <v>0.59871150666666662</v>
      </c>
      <c r="V14" s="140">
        <v>0.35840299134133602</v>
      </c>
      <c r="W14" s="67" t="s">
        <v>76</v>
      </c>
    </row>
    <row r="15" spans="1:23" x14ac:dyDescent="0.25">
      <c r="A15" t="s">
        <v>58</v>
      </c>
      <c r="B15">
        <v>0.1</v>
      </c>
      <c r="C15" s="138">
        <v>43434</v>
      </c>
      <c r="D15" s="143">
        <v>75.434938529250005</v>
      </c>
      <c r="E15" s="143">
        <v>2.4623615706949917</v>
      </c>
      <c r="F15" s="139">
        <v>1.4155599999999999</v>
      </c>
      <c r="G15" s="139">
        <v>0.97641999999999995</v>
      </c>
      <c r="H15" s="139">
        <v>2.2938832401676561</v>
      </c>
      <c r="I15" s="139">
        <v>4.1192091459796831</v>
      </c>
      <c r="J15" s="139">
        <v>18.884245</v>
      </c>
      <c r="K15" s="139">
        <v>11.500158784950001</v>
      </c>
      <c r="L15" s="139">
        <v>6.9768074999999996</v>
      </c>
      <c r="M15" s="139">
        <v>7.3287179753129414E-2</v>
      </c>
      <c r="N15" s="139">
        <v>41.501570450499997</v>
      </c>
      <c r="O15" s="139">
        <v>17.0931132276</v>
      </c>
      <c r="P15" s="139">
        <v>0.48896000000000001</v>
      </c>
      <c r="Q15" s="140">
        <v>-0.16335149502645874</v>
      </c>
      <c r="R15" s="141">
        <v>28.793942000000001</v>
      </c>
      <c r="S15" s="140">
        <v>-2.5407725988721346</v>
      </c>
      <c r="T15" s="142">
        <v>2.6005702896605007</v>
      </c>
      <c r="U15" s="80">
        <v>0.48205109166666671</v>
      </c>
      <c r="V15" s="140">
        <v>0.30959624569086963</v>
      </c>
      <c r="W15" s="67" t="s">
        <v>58</v>
      </c>
    </row>
    <row r="16" spans="1:23" x14ac:dyDescent="0.25">
      <c r="A16" t="s">
        <v>30</v>
      </c>
      <c r="B16">
        <v>1</v>
      </c>
      <c r="C16" s="138">
        <v>43524</v>
      </c>
      <c r="D16" s="143">
        <v>69.167061861725003</v>
      </c>
      <c r="E16" s="143">
        <v>3.1211377818306665</v>
      </c>
      <c r="F16" s="139">
        <v>1.5840475000000001</v>
      </c>
      <c r="G16" s="139">
        <v>1.0488900000000001</v>
      </c>
      <c r="H16" s="139">
        <v>1.4615538211641736</v>
      </c>
      <c r="I16" s="139">
        <v>8.8478084417648208</v>
      </c>
      <c r="J16" s="139">
        <v>17.070462500000001</v>
      </c>
      <c r="K16" s="139">
        <v>5.5689108113749999</v>
      </c>
      <c r="L16" s="139">
        <v>-13.334792500000001</v>
      </c>
      <c r="M16" s="139">
        <v>-0.12681479418045313</v>
      </c>
      <c r="N16" s="139">
        <v>-55.692762264599999</v>
      </c>
      <c r="O16" s="139">
        <v>-15.6136500688</v>
      </c>
      <c r="P16" s="139">
        <v>-1.12391</v>
      </c>
      <c r="Q16" s="140">
        <v>1.535986168585022</v>
      </c>
      <c r="R16" s="141">
        <v>-43.019176000000002</v>
      </c>
      <c r="S16" s="140">
        <v>0.26305906271285751</v>
      </c>
      <c r="T16" s="142">
        <v>0.38666619061649948</v>
      </c>
      <c r="U16" s="80">
        <v>0.19359271333333333</v>
      </c>
      <c r="V16" s="140">
        <v>0.2106880138194851</v>
      </c>
      <c r="W16" s="67" t="s">
        <v>30</v>
      </c>
    </row>
    <row r="17" spans="1:23" x14ac:dyDescent="0.25">
      <c r="A17" s="69" t="s">
        <v>109</v>
      </c>
      <c r="B17" s="70"/>
      <c r="C17" s="144"/>
      <c r="D17" s="145">
        <v>214.90822965916587</v>
      </c>
      <c r="E17" s="145">
        <v>3.2676629131938482</v>
      </c>
      <c r="F17" s="146">
        <v>1.4329875000000001</v>
      </c>
      <c r="G17" s="146">
        <v>0.8073997727272727</v>
      </c>
      <c r="H17" s="146">
        <v>1.6645273784666081</v>
      </c>
      <c r="I17" s="146">
        <v>5.055050022535422</v>
      </c>
      <c r="J17" s="146">
        <v>25.138148409090913</v>
      </c>
      <c r="K17" s="146">
        <v>4.9017828173068185</v>
      </c>
      <c r="L17" s="146">
        <v>-5.6868652272727269</v>
      </c>
      <c r="M17" s="146">
        <v>-3.763545531881804E-2</v>
      </c>
      <c r="N17" s="146">
        <v>-4.2781791309727275</v>
      </c>
      <c r="O17" s="146">
        <v>-0.12382029830000008</v>
      </c>
      <c r="P17" s="146">
        <v>0.45521909090909074</v>
      </c>
      <c r="Q17" s="147">
        <v>-0.20473460500921165</v>
      </c>
      <c r="R17" s="148">
        <v>-48.968164000000002</v>
      </c>
      <c r="S17" s="147">
        <v>-0.95052747927203662</v>
      </c>
      <c r="T17" s="149">
        <v>1.8384099126639704</v>
      </c>
      <c r="U17" s="150">
        <v>8.2133126169696951</v>
      </c>
      <c r="V17" s="147">
        <v>0.31885117546949687</v>
      </c>
      <c r="W17" s="78" t="s">
        <v>110</v>
      </c>
    </row>
    <row r="18" spans="1:23" x14ac:dyDescent="0.25">
      <c r="C18" s="67"/>
      <c r="D18" s="143"/>
      <c r="E18" s="143"/>
      <c r="F18" s="139"/>
      <c r="G18" s="139"/>
      <c r="H18" s="139"/>
      <c r="I18" s="139"/>
      <c r="J18" s="139"/>
      <c r="K18" s="139"/>
      <c r="L18" s="139"/>
      <c r="M18" s="139"/>
      <c r="N18" s="139"/>
      <c r="O18" s="139"/>
      <c r="P18" s="139"/>
      <c r="Q18" s="140"/>
      <c r="R18" s="141"/>
      <c r="S18" s="140"/>
      <c r="T18" s="142"/>
      <c r="U18" s="80"/>
      <c r="V18" s="140"/>
      <c r="W18" s="67"/>
    </row>
    <row r="19" spans="1:23" x14ac:dyDescent="0.25">
      <c r="A19" s="57" t="s">
        <v>111</v>
      </c>
      <c r="B19" s="82"/>
      <c r="C19" s="88"/>
      <c r="D19" s="151"/>
      <c r="E19" s="151"/>
      <c r="F19" s="152"/>
      <c r="G19" s="152"/>
      <c r="H19" s="152"/>
      <c r="I19" s="152"/>
      <c r="J19" s="152"/>
      <c r="K19" s="152"/>
      <c r="L19" s="152"/>
      <c r="M19" s="152"/>
      <c r="N19" s="152"/>
      <c r="O19" s="152"/>
      <c r="P19" s="152"/>
      <c r="Q19" s="153"/>
      <c r="R19" s="154"/>
      <c r="S19" s="153"/>
      <c r="T19" s="155"/>
      <c r="U19" s="86"/>
      <c r="V19" s="153"/>
      <c r="W19" s="88"/>
    </row>
    <row r="20" spans="1:23" x14ac:dyDescent="0.25">
      <c r="A20" t="s">
        <v>61</v>
      </c>
      <c r="B20">
        <v>1</v>
      </c>
      <c r="C20" s="138">
        <v>43465</v>
      </c>
      <c r="D20" s="139">
        <v>9.0449605151500005</v>
      </c>
      <c r="E20" s="139">
        <v>5.3201040802204531</v>
      </c>
      <c r="F20" s="139">
        <v>1.08145</v>
      </c>
      <c r="G20" s="139">
        <v>0.4912475</v>
      </c>
      <c r="H20" s="139">
        <v>2.2180538525775639</v>
      </c>
      <c r="I20" s="139">
        <v>7.7379527709457134</v>
      </c>
      <c r="J20" s="139">
        <v>23.532642500000001</v>
      </c>
      <c r="K20" s="139">
        <v>21.136801157200001</v>
      </c>
      <c r="L20" s="139">
        <v>-1.4385399999999999</v>
      </c>
      <c r="M20" s="139">
        <v>-1.0468678455480621E-2</v>
      </c>
      <c r="N20" s="139">
        <v>-1.7384413015</v>
      </c>
      <c r="O20" s="139">
        <v>-0.47219106869999999</v>
      </c>
      <c r="P20" s="139">
        <v>-0.44420999999999999</v>
      </c>
      <c r="Q20" s="140">
        <v>1.6902887040360375</v>
      </c>
      <c r="R20" s="141">
        <v>162.64400000000001</v>
      </c>
      <c r="S20" s="140">
        <v>-1.8100957134953717</v>
      </c>
      <c r="T20" s="142">
        <v>1.5133250136209362</v>
      </c>
      <c r="U20" s="80">
        <v>16.664709999999999</v>
      </c>
      <c r="V20" s="140">
        <v>0.47167486335461106</v>
      </c>
      <c r="W20" s="67" t="s">
        <v>61</v>
      </c>
    </row>
    <row r="21" spans="1:23" x14ac:dyDescent="0.25">
      <c r="A21" t="s">
        <v>57</v>
      </c>
      <c r="B21">
        <v>1</v>
      </c>
      <c r="C21" s="138">
        <v>43465</v>
      </c>
      <c r="D21" s="139">
        <v>39.564697941224999</v>
      </c>
      <c r="E21" s="139">
        <v>1.9240626116675463</v>
      </c>
      <c r="F21" s="139">
        <v>1.233865</v>
      </c>
      <c r="G21" s="139">
        <v>0.80772500000000003</v>
      </c>
      <c r="H21" s="139">
        <v>2.0613518767611274</v>
      </c>
      <c r="I21" s="139">
        <v>6.3876039006105234</v>
      </c>
      <c r="J21" s="139">
        <v>56.302619999999997</v>
      </c>
      <c r="K21" s="139">
        <v>14.04907977055</v>
      </c>
      <c r="L21" s="139">
        <v>5.6827775000000003</v>
      </c>
      <c r="M21" s="139">
        <v>2.981681744178824E-2</v>
      </c>
      <c r="N21" s="139">
        <v>12.2125328904</v>
      </c>
      <c r="O21" s="139">
        <v>8.0393539293000007</v>
      </c>
      <c r="P21" s="139">
        <v>3.00956</v>
      </c>
      <c r="Q21" s="140">
        <v>3.2013541246530171</v>
      </c>
      <c r="R21" s="141">
        <v>74.468198000000001</v>
      </c>
      <c r="S21" s="140">
        <v>0.38205876973308439</v>
      </c>
      <c r="T21" s="142">
        <v>0.42911737542629297</v>
      </c>
      <c r="U21" s="80">
        <v>1.1981491683333332</v>
      </c>
      <c r="V21" s="140">
        <v>0.35175858503822899</v>
      </c>
      <c r="W21" s="67" t="s">
        <v>57</v>
      </c>
    </row>
    <row r="22" spans="1:23" x14ac:dyDescent="0.25">
      <c r="A22" t="s">
        <v>38</v>
      </c>
      <c r="B22">
        <v>1</v>
      </c>
      <c r="C22" s="138">
        <v>43465</v>
      </c>
      <c r="D22" s="139">
        <v>117.10421018725</v>
      </c>
      <c r="E22" s="139">
        <v>3.6053441268142787</v>
      </c>
      <c r="F22" s="139">
        <v>1.4369924999999999</v>
      </c>
      <c r="G22" s="139">
        <v>0.84192500000000003</v>
      </c>
      <c r="H22" s="139">
        <v>2.320049157563794</v>
      </c>
      <c r="I22" s="139">
        <v>5.6302860000591446</v>
      </c>
      <c r="J22" s="139">
        <v>43.519022499999998</v>
      </c>
      <c r="K22" s="139">
        <v>11.820879004425001</v>
      </c>
      <c r="L22" s="139">
        <v>-4.0956475000000001</v>
      </c>
      <c r="M22" s="139">
        <v>-4.7016923519555727E-2</v>
      </c>
      <c r="N22" s="139">
        <v>-26.846170191700001</v>
      </c>
      <c r="O22" s="139">
        <v>-9.4906095993000008</v>
      </c>
      <c r="P22" s="139">
        <v>-6.5413199999999998</v>
      </c>
      <c r="Q22" s="140">
        <v>-3.7853423014019114</v>
      </c>
      <c r="R22" s="141">
        <v>-85.707375999999996</v>
      </c>
      <c r="S22" s="140">
        <v>-2.5541581891895047</v>
      </c>
      <c r="T22" s="142">
        <v>4.0974966345050889</v>
      </c>
      <c r="U22" s="80">
        <v>3.3946711033333337</v>
      </c>
      <c r="V22" s="140">
        <v>0.37622276916221553</v>
      </c>
      <c r="W22" s="67" t="s">
        <v>38</v>
      </c>
    </row>
    <row r="23" spans="1:23" x14ac:dyDescent="0.25">
      <c r="A23" t="s">
        <v>68</v>
      </c>
      <c r="B23">
        <v>0.1</v>
      </c>
      <c r="C23" s="138">
        <v>43465</v>
      </c>
      <c r="D23" s="143" t="s">
        <v>464</v>
      </c>
      <c r="E23" s="143">
        <v>-14.380901083434766</v>
      </c>
      <c r="F23" s="139">
        <v>0.93205000000000005</v>
      </c>
      <c r="G23" s="139">
        <v>0.55927499999999997</v>
      </c>
      <c r="H23" s="139">
        <v>0.50338046401600423</v>
      </c>
      <c r="I23" s="139">
        <v>-8.0450824237698946</v>
      </c>
      <c r="J23" s="139">
        <v>11.3752975</v>
      </c>
      <c r="K23" s="139">
        <v>-24.656937515675001</v>
      </c>
      <c r="L23" s="139">
        <v>-39.409167500000002</v>
      </c>
      <c r="M23" s="139">
        <v>-0.28840344940237284</v>
      </c>
      <c r="N23" s="139" t="s">
        <v>464</v>
      </c>
      <c r="O23" s="139">
        <v>-14.211743604800001</v>
      </c>
      <c r="P23" s="139">
        <v>-22.152629999999998</v>
      </c>
      <c r="Q23" s="140">
        <v>1.0357626339085373</v>
      </c>
      <c r="R23" s="141">
        <v>-616.09828600000003</v>
      </c>
      <c r="S23" s="140">
        <v>0.95478959753539594</v>
      </c>
      <c r="T23" s="142">
        <v>1.7085457278857219</v>
      </c>
      <c r="U23" s="80">
        <v>1.5905073033333332</v>
      </c>
      <c r="V23" s="140">
        <v>1.0059135484180266</v>
      </c>
      <c r="W23" s="67" t="s">
        <v>68</v>
      </c>
    </row>
    <row r="24" spans="1:23" x14ac:dyDescent="0.25">
      <c r="A24" t="s">
        <v>16</v>
      </c>
      <c r="B24">
        <v>1</v>
      </c>
      <c r="C24" s="138">
        <v>43465</v>
      </c>
      <c r="D24" s="143">
        <v>117.8247259454</v>
      </c>
      <c r="E24" s="143">
        <v>2.9792734447596922</v>
      </c>
      <c r="F24" s="139">
        <v>1.6517325</v>
      </c>
      <c r="G24" s="139">
        <v>0.78525250000000002</v>
      </c>
      <c r="H24" s="139">
        <v>1.5651929121625845</v>
      </c>
      <c r="I24" s="139">
        <v>0.54456644864639081</v>
      </c>
      <c r="J24" s="139">
        <v>11.6148775</v>
      </c>
      <c r="K24" s="139">
        <v>-6.1047128298000004</v>
      </c>
      <c r="L24" s="139">
        <v>-6.9570299999999996</v>
      </c>
      <c r="M24" s="139">
        <v>-6.6185398951919605E-2</v>
      </c>
      <c r="N24" s="139">
        <v>-28.023002267399999</v>
      </c>
      <c r="O24" s="139">
        <v>-11.0452078261</v>
      </c>
      <c r="P24" s="139">
        <v>-1.0003599999999999</v>
      </c>
      <c r="Q24" s="140" t="s">
        <v>464</v>
      </c>
      <c r="R24" s="141">
        <v>-70.718692000000004</v>
      </c>
      <c r="S24" s="140">
        <v>-2.5329578578504961</v>
      </c>
      <c r="T24" s="142">
        <v>2.0043764332359251</v>
      </c>
      <c r="U24" s="80">
        <v>1.1247190466666668</v>
      </c>
      <c r="V24" s="140">
        <v>0.27356912330938377</v>
      </c>
      <c r="W24" s="67" t="s">
        <v>16</v>
      </c>
    </row>
    <row r="25" spans="1:23" x14ac:dyDescent="0.25">
      <c r="A25" t="s">
        <v>7</v>
      </c>
      <c r="B25">
        <v>1</v>
      </c>
      <c r="C25" s="138">
        <v>43465</v>
      </c>
      <c r="D25" s="143" t="s">
        <v>464</v>
      </c>
      <c r="E25" s="143">
        <v>-1.4154500995036725</v>
      </c>
      <c r="F25" s="139">
        <v>0.27470749999999999</v>
      </c>
      <c r="G25" s="139">
        <v>0.25330249999999999</v>
      </c>
      <c r="H25" s="139">
        <v>1.3335423615603821</v>
      </c>
      <c r="I25" s="139">
        <v>32.804584478674947</v>
      </c>
      <c r="J25" s="139">
        <v>22.78173</v>
      </c>
      <c r="K25" s="139">
        <v>-93.620789850025005</v>
      </c>
      <c r="L25" s="139">
        <v>-105.8327</v>
      </c>
      <c r="M25" s="139">
        <v>-1.0343928987225053</v>
      </c>
      <c r="N25" s="139" t="s">
        <v>464</v>
      </c>
      <c r="O25" s="156">
        <v>-102.09964822080001</v>
      </c>
      <c r="P25" s="139">
        <v>-1.95346</v>
      </c>
      <c r="Q25" s="140">
        <v>0.61435835060767141</v>
      </c>
      <c r="R25" s="141">
        <v>-114.973534</v>
      </c>
      <c r="S25" s="140">
        <v>-1.9816166542528046E-2</v>
      </c>
      <c r="T25" s="142">
        <v>0.32135626704043585</v>
      </c>
      <c r="U25" s="80">
        <v>0.77471846499999997</v>
      </c>
      <c r="V25" s="140">
        <v>-0.36175751038650894</v>
      </c>
      <c r="W25" s="67" t="s">
        <v>7</v>
      </c>
    </row>
    <row r="26" spans="1:23" x14ac:dyDescent="0.25">
      <c r="A26" s="38" t="s">
        <v>9</v>
      </c>
      <c r="B26">
        <v>1</v>
      </c>
      <c r="C26" s="138">
        <v>43496</v>
      </c>
      <c r="D26" s="143">
        <v>12.8451191664</v>
      </c>
      <c r="E26" s="143">
        <v>3.2965982624018433</v>
      </c>
      <c r="F26" s="139">
        <v>1.4394975000000001</v>
      </c>
      <c r="G26" s="139">
        <v>0.7971125</v>
      </c>
      <c r="H26" s="139">
        <v>1.429591677442317</v>
      </c>
      <c r="I26" s="139">
        <v>0.35882923779114062</v>
      </c>
      <c r="J26" s="139">
        <v>28.804667500000001</v>
      </c>
      <c r="K26" s="139">
        <v>9.1603920475499994</v>
      </c>
      <c r="L26" s="139">
        <v>-11.51099</v>
      </c>
      <c r="M26" s="139">
        <v>-0.10740556785653962</v>
      </c>
      <c r="N26" s="139">
        <v>-55.309390309400001</v>
      </c>
      <c r="O26" s="139">
        <v>-19.448324145099999</v>
      </c>
      <c r="P26" s="139">
        <v>-2.6211899999999999</v>
      </c>
      <c r="Q26" s="140">
        <v>-2.2048211063709799</v>
      </c>
      <c r="R26" s="141">
        <v>0.61984799999999995</v>
      </c>
      <c r="S26" s="140">
        <v>0.18001581458335214</v>
      </c>
      <c r="T26" s="142">
        <v>1.1589178902563066</v>
      </c>
      <c r="U26" s="80">
        <v>0.1996291</v>
      </c>
      <c r="V26" s="140">
        <v>0.3031840943013755</v>
      </c>
      <c r="W26" s="67" t="s">
        <v>9</v>
      </c>
    </row>
    <row r="27" spans="1:23" x14ac:dyDescent="0.25">
      <c r="A27" s="69" t="s">
        <v>109</v>
      </c>
      <c r="B27" s="70"/>
      <c r="C27" s="157"/>
      <c r="D27" s="145">
        <v>59.27674275108501</v>
      </c>
      <c r="E27" s="145">
        <v>0.18986162041791066</v>
      </c>
      <c r="F27" s="146">
        <v>1.1500421428571428</v>
      </c>
      <c r="G27" s="146">
        <v>0.64797714285714292</v>
      </c>
      <c r="H27" s="146">
        <v>1.6330231860119677</v>
      </c>
      <c r="I27" s="146">
        <v>6.4883914875654236</v>
      </c>
      <c r="J27" s="146">
        <v>28.275836785714286</v>
      </c>
      <c r="K27" s="146">
        <v>-9.745041173682143</v>
      </c>
      <c r="L27" s="146">
        <v>-23.365899642857141</v>
      </c>
      <c r="M27" s="146">
        <v>-0.21772229992379794</v>
      </c>
      <c r="N27" s="146">
        <v>-19.940894235920002</v>
      </c>
      <c r="O27" s="146">
        <v>-21.246910076500001</v>
      </c>
      <c r="P27" s="146">
        <v>-4.5290871428571426</v>
      </c>
      <c r="Q27" s="147">
        <v>9.1933400905395299E-2</v>
      </c>
      <c r="R27" s="148">
        <v>-92.823691714285701</v>
      </c>
      <c r="S27" s="147">
        <v>-0.77145196360372392</v>
      </c>
      <c r="T27" s="149">
        <v>1.6047336202815294</v>
      </c>
      <c r="U27" s="150">
        <v>3.5638720266666661</v>
      </c>
      <c r="V27" s="147">
        <v>0.34579506759961892</v>
      </c>
      <c r="W27" s="78" t="s">
        <v>110</v>
      </c>
    </row>
    <row r="28" spans="1:23" x14ac:dyDescent="0.25">
      <c r="C28" s="138"/>
      <c r="D28" s="143"/>
      <c r="E28" s="143"/>
      <c r="F28" s="139"/>
      <c r="G28" s="139"/>
      <c r="H28" s="139"/>
      <c r="I28" s="139"/>
      <c r="J28" s="139"/>
      <c r="K28" s="139"/>
      <c r="L28" s="139"/>
      <c r="M28" s="139"/>
      <c r="N28" s="139"/>
      <c r="O28" s="139"/>
      <c r="P28" s="139"/>
      <c r="Q28" s="140"/>
      <c r="R28" s="141"/>
      <c r="S28" s="140"/>
      <c r="T28" s="142"/>
      <c r="U28" s="80"/>
      <c r="V28" s="140"/>
      <c r="W28" s="67"/>
    </row>
    <row r="29" spans="1:23" x14ac:dyDescent="0.25">
      <c r="A29" s="57" t="s">
        <v>112</v>
      </c>
      <c r="B29" s="82"/>
      <c r="C29" s="158"/>
      <c r="D29" s="151"/>
      <c r="E29" s="151"/>
      <c r="F29" s="152"/>
      <c r="G29" s="152"/>
      <c r="H29" s="152"/>
      <c r="I29" s="152"/>
      <c r="J29" s="152"/>
      <c r="K29" s="152"/>
      <c r="L29" s="152"/>
      <c r="M29" s="152"/>
      <c r="N29" s="152"/>
      <c r="O29" s="152"/>
      <c r="P29" s="152"/>
      <c r="Q29" s="153"/>
      <c r="R29" s="154"/>
      <c r="S29" s="153"/>
      <c r="T29" s="155"/>
      <c r="U29" s="86"/>
      <c r="V29" s="153"/>
      <c r="W29" s="88"/>
    </row>
    <row r="30" spans="1:23" x14ac:dyDescent="0.25">
      <c r="A30" t="s">
        <v>20</v>
      </c>
      <c r="B30">
        <v>1</v>
      </c>
      <c r="C30" s="138">
        <v>43465</v>
      </c>
      <c r="D30" s="139">
        <v>122.53150538345</v>
      </c>
      <c r="E30" s="139">
        <v>3.0326185797883909</v>
      </c>
      <c r="F30" s="139">
        <v>1.6604350000000001</v>
      </c>
      <c r="G30" s="139">
        <v>1.2685525</v>
      </c>
      <c r="H30" s="139">
        <v>3.5075464978110946</v>
      </c>
      <c r="I30" s="139">
        <v>8.6519783397743169</v>
      </c>
      <c r="J30" s="139">
        <v>35.664985000000001</v>
      </c>
      <c r="K30" s="139">
        <v>24.681664037425001</v>
      </c>
      <c r="L30" s="139">
        <v>7.5778924999999999</v>
      </c>
      <c r="M30" s="139">
        <v>7.99003052771219E-2</v>
      </c>
      <c r="N30" s="139">
        <v>9.5264315146000005</v>
      </c>
      <c r="O30" s="139">
        <v>3.1558143437999999</v>
      </c>
      <c r="P30" s="139">
        <v>15.756498828335801</v>
      </c>
      <c r="Q30" s="140">
        <v>-0.69925219455460264</v>
      </c>
      <c r="R30" s="141">
        <v>52661.458505125636</v>
      </c>
      <c r="S30" s="140">
        <v>0.30896045546024298</v>
      </c>
      <c r="T30" s="142">
        <v>45.25398229997905</v>
      </c>
      <c r="U30" s="80">
        <v>1556.2536453056848</v>
      </c>
      <c r="V30" s="140">
        <v>0.32156793629651204</v>
      </c>
      <c r="W30" s="67" t="s">
        <v>20</v>
      </c>
    </row>
    <row r="31" spans="1:23" x14ac:dyDescent="0.25">
      <c r="A31" t="s">
        <v>17</v>
      </c>
      <c r="B31">
        <v>1</v>
      </c>
      <c r="C31" s="138">
        <v>43465</v>
      </c>
      <c r="D31" s="139">
        <v>6.6909467214999996</v>
      </c>
      <c r="E31" s="139">
        <v>1.2449696276432545</v>
      </c>
      <c r="F31" s="139">
        <v>2.7475125</v>
      </c>
      <c r="G31" s="139">
        <v>1.4977324999999999</v>
      </c>
      <c r="H31" s="139">
        <v>16.99243588398198</v>
      </c>
      <c r="I31" s="139">
        <v>-0.88111685315357757</v>
      </c>
      <c r="J31" s="139">
        <v>31.05603</v>
      </c>
      <c r="K31" s="139">
        <v>11.477272866625</v>
      </c>
      <c r="L31" s="139">
        <v>11.433737499999999</v>
      </c>
      <c r="M31" s="139">
        <v>0.15783764214047394</v>
      </c>
      <c r="N31" s="139">
        <v>7.5311453004000004</v>
      </c>
      <c r="O31" s="139">
        <v>6.1006264085000002</v>
      </c>
      <c r="P31" s="139">
        <v>23.9513006</v>
      </c>
      <c r="Q31" s="140">
        <v>-0.16656641548377771</v>
      </c>
      <c r="R31" s="141">
        <v>12001.862951999999</v>
      </c>
      <c r="S31" s="140">
        <v>0.26658561521599844</v>
      </c>
      <c r="T31" s="142">
        <v>15.830043180285186</v>
      </c>
      <c r="U31" s="80">
        <v>116.58014861008333</v>
      </c>
      <c r="V31" s="140">
        <v>0.33065924222276544</v>
      </c>
      <c r="W31" s="67" t="s">
        <v>17</v>
      </c>
    </row>
    <row r="32" spans="1:23" x14ac:dyDescent="0.25">
      <c r="A32" t="s">
        <v>21</v>
      </c>
      <c r="B32">
        <v>10</v>
      </c>
      <c r="C32" s="138">
        <v>43465</v>
      </c>
      <c r="D32" s="139">
        <v>107.203481510025</v>
      </c>
      <c r="E32" s="139">
        <v>2.9713465308895328</v>
      </c>
      <c r="F32" s="139">
        <v>1.19316</v>
      </c>
      <c r="G32" s="139">
        <v>0.88948000000000005</v>
      </c>
      <c r="H32" s="139">
        <v>0.5162895317860956</v>
      </c>
      <c r="I32" s="139">
        <v>9.0459020488872479</v>
      </c>
      <c r="J32" s="139">
        <v>16.301437499999999</v>
      </c>
      <c r="K32" s="139">
        <v>8.4818909280000003</v>
      </c>
      <c r="L32" s="139">
        <v>8.2350750000000001</v>
      </c>
      <c r="M32" s="139">
        <v>0.1135101647469141</v>
      </c>
      <c r="N32" s="139">
        <v>15.0980948005</v>
      </c>
      <c r="O32" s="139">
        <v>5.1483796460000004</v>
      </c>
      <c r="P32" s="139">
        <v>98.494649999999993</v>
      </c>
      <c r="Q32" s="140">
        <v>0.31409528137544496</v>
      </c>
      <c r="R32" s="141">
        <v>10653.8</v>
      </c>
      <c r="S32" s="140">
        <v>0.49764173827576164</v>
      </c>
      <c r="T32" s="142">
        <v>3.7598996686891848</v>
      </c>
      <c r="U32" s="80">
        <v>214.48733333333334</v>
      </c>
      <c r="V32" s="140">
        <v>0.37057858451099368</v>
      </c>
      <c r="W32" s="67" t="s">
        <v>21</v>
      </c>
    </row>
    <row r="33" spans="1:23" x14ac:dyDescent="0.25">
      <c r="A33" t="s">
        <v>53</v>
      </c>
      <c r="B33">
        <v>0.1</v>
      </c>
      <c r="C33" s="138">
        <v>43465</v>
      </c>
      <c r="D33" s="143">
        <v>212.79266972977501</v>
      </c>
      <c r="E33" s="143">
        <v>2.7289715444660856</v>
      </c>
      <c r="F33" s="139">
        <v>3.99396</v>
      </c>
      <c r="G33" s="139">
        <v>3.9209725</v>
      </c>
      <c r="H33" s="139">
        <v>0.99859717036719275</v>
      </c>
      <c r="I33" s="139">
        <v>54.779245235440868</v>
      </c>
      <c r="J33" s="139">
        <v>55.079524999999997</v>
      </c>
      <c r="K33" s="139">
        <v>45.178681657950001</v>
      </c>
      <c r="L33" s="139">
        <v>28.674387500000002</v>
      </c>
      <c r="M33" s="139">
        <v>0.16191493503004903</v>
      </c>
      <c r="N33" s="139">
        <v>40.607765189799998</v>
      </c>
      <c r="O33" s="139">
        <v>21.3786798577</v>
      </c>
      <c r="P33" s="139">
        <v>14.54617</v>
      </c>
      <c r="Q33" s="140">
        <v>8.9401446025215563</v>
      </c>
      <c r="R33" s="141">
        <v>5335.7353999999996</v>
      </c>
      <c r="S33" s="140">
        <v>1.542240241966951</v>
      </c>
      <c r="T33" s="142">
        <v>3.7477552056808463</v>
      </c>
      <c r="U33" s="80">
        <v>12.135605666666667</v>
      </c>
      <c r="V33" s="140">
        <v>0.64070777675608137</v>
      </c>
      <c r="W33" s="67" t="s">
        <v>53</v>
      </c>
    </row>
    <row r="34" spans="1:23" x14ac:dyDescent="0.25">
      <c r="A34" t="s">
        <v>75</v>
      </c>
      <c r="B34">
        <v>1</v>
      </c>
      <c r="C34" s="138">
        <v>43465</v>
      </c>
      <c r="D34" s="143">
        <v>40.059295701674998</v>
      </c>
      <c r="E34" s="143">
        <v>1.7564355795207014</v>
      </c>
      <c r="F34" s="139">
        <v>1.7106375</v>
      </c>
      <c r="G34" s="139">
        <v>1.6843250000000001</v>
      </c>
      <c r="H34" s="139">
        <v>0.36087787043482955</v>
      </c>
      <c r="I34" s="139">
        <v>79.772072807049668</v>
      </c>
      <c r="J34" s="139">
        <v>50.327035000000002</v>
      </c>
      <c r="K34" s="139">
        <v>37.045439789725002</v>
      </c>
      <c r="L34" s="139">
        <v>23.7232725</v>
      </c>
      <c r="M34" s="139">
        <v>0.39940318921238832</v>
      </c>
      <c r="N34" s="139">
        <v>14.429107328000001</v>
      </c>
      <c r="O34" s="139">
        <v>8.8944993226999998</v>
      </c>
      <c r="P34" s="139">
        <v>8.4710099999999997</v>
      </c>
      <c r="Q34" s="140">
        <v>4.5721990789773042</v>
      </c>
      <c r="R34" s="141">
        <v>1794.8378</v>
      </c>
      <c r="S34" s="140">
        <v>1.6426919204604173</v>
      </c>
      <c r="T34" s="142">
        <v>6.8352946827612238</v>
      </c>
      <c r="U34" s="80">
        <v>3.6278465</v>
      </c>
      <c r="V34" s="140">
        <v>0.8961800652901184</v>
      </c>
      <c r="W34" s="67" t="s">
        <v>75</v>
      </c>
    </row>
    <row r="35" spans="1:23" x14ac:dyDescent="0.25">
      <c r="A35" t="s">
        <v>55</v>
      </c>
      <c r="B35">
        <v>1</v>
      </c>
      <c r="C35" s="138" t="s">
        <v>464</v>
      </c>
      <c r="D35" s="143">
        <v>53.070854230499997</v>
      </c>
      <c r="E35" s="143">
        <v>2.1054996028594122</v>
      </c>
      <c r="F35" s="139">
        <v>0.73687000000000002</v>
      </c>
      <c r="G35" s="139">
        <v>0.57437000000000005</v>
      </c>
      <c r="H35" s="139">
        <v>6.3942353532335607</v>
      </c>
      <c r="I35" s="139" t="s">
        <v>464</v>
      </c>
      <c r="J35" s="139">
        <v>3.8364050000000001</v>
      </c>
      <c r="K35" s="139">
        <v>-32.453873579000003</v>
      </c>
      <c r="L35" s="141">
        <v>-179.84099000000001</v>
      </c>
      <c r="M35" s="139">
        <v>-1.1990851234201394</v>
      </c>
      <c r="N35" s="139">
        <v>-122.865522048</v>
      </c>
      <c r="O35" s="139">
        <v>-67.050732021000002</v>
      </c>
      <c r="P35" s="139">
        <v>-17.32281858</v>
      </c>
      <c r="Q35" s="140" t="s">
        <v>464</v>
      </c>
      <c r="R35" s="141">
        <v>-1715.5043258000001</v>
      </c>
      <c r="S35" s="140">
        <v>1.8697044626314665</v>
      </c>
      <c r="T35" s="142">
        <v>1.3164196076232471</v>
      </c>
      <c r="U35" s="80">
        <v>1.023923682225</v>
      </c>
      <c r="V35" s="140">
        <v>1.5653048918550825</v>
      </c>
      <c r="W35" s="67" t="s">
        <v>55</v>
      </c>
    </row>
    <row r="36" spans="1:23" x14ac:dyDescent="0.25">
      <c r="A36" t="s">
        <v>64</v>
      </c>
      <c r="B36">
        <v>1</v>
      </c>
      <c r="C36" s="138">
        <v>43465</v>
      </c>
      <c r="D36" s="143">
        <v>20.788831211325</v>
      </c>
      <c r="E36" s="143">
        <v>1.7621206528755806</v>
      </c>
      <c r="F36" s="139">
        <v>1.3719625</v>
      </c>
      <c r="G36" s="139">
        <v>1.19137</v>
      </c>
      <c r="H36" s="139">
        <v>0.46788047187885534</v>
      </c>
      <c r="I36" s="139">
        <v>8.3557278993710096</v>
      </c>
      <c r="J36" s="139">
        <v>7.8803450000000002</v>
      </c>
      <c r="K36" s="139">
        <v>-10.037448825975</v>
      </c>
      <c r="L36" s="139">
        <v>28.834425</v>
      </c>
      <c r="M36" s="139">
        <v>0.30229549084385327</v>
      </c>
      <c r="N36" s="139">
        <v>18.216813433999999</v>
      </c>
      <c r="O36" s="139">
        <v>10.6480590847</v>
      </c>
      <c r="P36" s="139">
        <v>0.96279999999999999</v>
      </c>
      <c r="Q36" s="140">
        <v>0.40656732702538045</v>
      </c>
      <c r="R36" s="141">
        <v>508.81720000000001</v>
      </c>
      <c r="S36" s="140">
        <v>0.70954615217214334</v>
      </c>
      <c r="T36" s="142">
        <v>2.1082411355882154</v>
      </c>
      <c r="U36" s="80">
        <v>2.4297095</v>
      </c>
      <c r="V36" s="140">
        <v>0.39917006409096389</v>
      </c>
      <c r="W36" s="67" t="s">
        <v>64</v>
      </c>
    </row>
    <row r="37" spans="1:23" x14ac:dyDescent="0.25">
      <c r="A37" t="s">
        <v>26</v>
      </c>
      <c r="B37">
        <v>10</v>
      </c>
      <c r="C37" s="138">
        <v>43465</v>
      </c>
      <c r="D37" s="143" t="s">
        <v>464</v>
      </c>
      <c r="E37" s="143">
        <v>-1.6490620054729073</v>
      </c>
      <c r="F37" s="139">
        <v>0.28215249999999997</v>
      </c>
      <c r="G37" s="139">
        <v>0.22627749999999999</v>
      </c>
      <c r="H37" s="139">
        <v>0.75474939951248587</v>
      </c>
      <c r="I37" s="139">
        <v>3.9350208938945599</v>
      </c>
      <c r="J37" s="139">
        <v>44.4741675</v>
      </c>
      <c r="K37" s="139">
        <v>1.6088520688000001</v>
      </c>
      <c r="L37" s="139">
        <v>10.2393225</v>
      </c>
      <c r="M37" s="139">
        <v>0.10781951836556804</v>
      </c>
      <c r="N37" s="139" t="s">
        <v>464</v>
      </c>
      <c r="O37" s="139">
        <v>3.3297715921000002</v>
      </c>
      <c r="P37" s="139">
        <v>3.7870000000000001E-2</v>
      </c>
      <c r="Q37" s="140">
        <v>-1.371613245620636</v>
      </c>
      <c r="R37" s="141">
        <v>-12.611791999999999</v>
      </c>
      <c r="S37" s="140">
        <v>-1.9548702388975534</v>
      </c>
      <c r="T37" s="142">
        <v>0.86287880702580622</v>
      </c>
      <c r="U37" s="80">
        <v>0.47453863499999999</v>
      </c>
      <c r="V37" s="140">
        <v>-0.15475094142659773</v>
      </c>
      <c r="W37" s="67" t="s">
        <v>26</v>
      </c>
    </row>
    <row r="38" spans="1:23" x14ac:dyDescent="0.25">
      <c r="A38" s="69" t="s">
        <v>109</v>
      </c>
      <c r="B38" s="70"/>
      <c r="C38" s="70"/>
      <c r="D38" s="145">
        <v>80.448226355464286</v>
      </c>
      <c r="E38" s="145">
        <v>1.7441125140712561</v>
      </c>
      <c r="F38" s="146">
        <v>1.7120862500000003</v>
      </c>
      <c r="G38" s="146">
        <v>1.4066349999999999</v>
      </c>
      <c r="H38" s="146">
        <v>3.7490765223757627</v>
      </c>
      <c r="I38" s="146">
        <v>23.379832910180578</v>
      </c>
      <c r="J38" s="146">
        <v>30.577491249999998</v>
      </c>
      <c r="K38" s="146">
        <v>10.747809867943751</v>
      </c>
      <c r="L38" s="146">
        <v>-7.6403596875000019</v>
      </c>
      <c r="M38" s="146">
        <v>1.5449515274528655E-2</v>
      </c>
      <c r="N38" s="146">
        <v>-2.4937377829571448</v>
      </c>
      <c r="O38" s="146">
        <v>-1.0493627206875007</v>
      </c>
      <c r="P38" s="146">
        <v>18.112185106041974</v>
      </c>
      <c r="Q38" s="147">
        <v>1.7136534906058096</v>
      </c>
      <c r="R38" s="148">
        <v>10153.549467415707</v>
      </c>
      <c r="S38" s="147">
        <v>0.61031254341067842</v>
      </c>
      <c r="T38" s="149">
        <v>9.9643143234540954</v>
      </c>
      <c r="U38" s="150">
        <v>238.37659390412412</v>
      </c>
      <c r="V38" s="147">
        <v>0.54617720244948986</v>
      </c>
      <c r="W38" s="78" t="s">
        <v>110</v>
      </c>
    </row>
    <row r="39" spans="1:23" ht="26.25" customHeight="1" x14ac:dyDescent="0.25">
      <c r="A39" s="96"/>
      <c r="B39" s="31"/>
      <c r="C39" s="31"/>
      <c r="D39" s="159"/>
      <c r="E39" s="159"/>
      <c r="F39" s="31"/>
      <c r="G39" s="31"/>
      <c r="H39" s="31"/>
      <c r="I39" s="31"/>
      <c r="J39" s="31"/>
      <c r="K39" s="31"/>
      <c r="L39" s="31"/>
      <c r="M39" s="31"/>
      <c r="N39" s="31"/>
      <c r="O39" s="31"/>
      <c r="P39" s="31"/>
      <c r="Q39" s="31"/>
      <c r="R39" s="31"/>
      <c r="S39" s="31"/>
      <c r="T39" s="31"/>
      <c r="U39" s="31"/>
      <c r="V39" s="31"/>
      <c r="W39" s="96"/>
    </row>
    <row r="40" spans="1:23" x14ac:dyDescent="0.25">
      <c r="A40" s="124" t="s">
        <v>4</v>
      </c>
      <c r="B40" s="125" t="s">
        <v>125</v>
      </c>
      <c r="C40" s="126" t="s">
        <v>126</v>
      </c>
      <c r="D40" s="160" t="s">
        <v>127</v>
      </c>
      <c r="E40" s="161"/>
      <c r="F40" s="127" t="s">
        <v>128</v>
      </c>
      <c r="G40" s="128"/>
      <c r="H40" s="127" t="s">
        <v>129</v>
      </c>
      <c r="I40" s="128"/>
      <c r="J40" s="124" t="s">
        <v>130</v>
      </c>
      <c r="K40" s="162"/>
      <c r="L40" s="162"/>
      <c r="M40" s="162"/>
      <c r="N40" s="162"/>
      <c r="O40" s="162"/>
      <c r="P40" s="162"/>
      <c r="Q40" s="162"/>
      <c r="R40" s="162"/>
      <c r="S40" s="162"/>
      <c r="T40" s="162"/>
      <c r="U40" s="162"/>
      <c r="V40" s="163"/>
      <c r="W40" s="124" t="s">
        <v>4</v>
      </c>
    </row>
    <row r="41" spans="1:23" ht="24.75" customHeight="1" x14ac:dyDescent="0.25">
      <c r="A41" s="130"/>
      <c r="B41" s="131"/>
      <c r="C41" s="132"/>
      <c r="D41" s="133" t="s">
        <v>131</v>
      </c>
      <c r="E41" s="133" t="s">
        <v>132</v>
      </c>
      <c r="F41" s="133" t="s">
        <v>133</v>
      </c>
      <c r="G41" s="133" t="s">
        <v>134</v>
      </c>
      <c r="H41" s="133" t="s">
        <v>135</v>
      </c>
      <c r="I41" s="133" t="s">
        <v>136</v>
      </c>
      <c r="J41" s="133" t="s">
        <v>137</v>
      </c>
      <c r="K41" s="133" t="s">
        <v>138</v>
      </c>
      <c r="L41" s="133" t="s">
        <v>139</v>
      </c>
      <c r="M41" s="133" t="s">
        <v>140</v>
      </c>
      <c r="N41" s="133" t="s">
        <v>141</v>
      </c>
      <c r="O41" s="133" t="s">
        <v>142</v>
      </c>
      <c r="P41" s="133" t="s">
        <v>143</v>
      </c>
      <c r="Q41" s="164" t="s">
        <v>307</v>
      </c>
      <c r="R41" s="164" t="s">
        <v>145</v>
      </c>
      <c r="S41" s="164" t="s">
        <v>146</v>
      </c>
      <c r="T41" s="164" t="s">
        <v>147</v>
      </c>
      <c r="U41" s="164" t="s">
        <v>148</v>
      </c>
      <c r="V41" s="164" t="s">
        <v>149</v>
      </c>
      <c r="W41" s="130"/>
    </row>
    <row r="42" spans="1:23" x14ac:dyDescent="0.25">
      <c r="A42" s="57" t="s">
        <v>113</v>
      </c>
      <c r="B42" s="82"/>
      <c r="C42" s="82"/>
      <c r="D42" s="82"/>
      <c r="E42" s="82"/>
      <c r="F42" s="82"/>
      <c r="G42" s="82"/>
      <c r="H42" s="82"/>
      <c r="I42" s="82"/>
      <c r="J42" s="82"/>
      <c r="K42" s="82"/>
      <c r="L42" s="82"/>
      <c r="M42" s="82"/>
      <c r="N42" s="82"/>
      <c r="O42" s="82"/>
      <c r="P42" s="82"/>
      <c r="Q42" s="82"/>
      <c r="R42" s="82"/>
      <c r="S42" s="82"/>
      <c r="T42" s="82"/>
      <c r="U42" s="82"/>
      <c r="V42" s="82"/>
      <c r="W42" s="82"/>
    </row>
    <row r="43" spans="1:23" x14ac:dyDescent="0.25">
      <c r="A43" t="s">
        <v>56</v>
      </c>
      <c r="B43">
        <v>1</v>
      </c>
      <c r="C43" s="138">
        <v>43465</v>
      </c>
      <c r="D43" s="139">
        <v>60.065818950800001</v>
      </c>
      <c r="E43" s="139">
        <v>9.3480588831499034</v>
      </c>
      <c r="F43" s="67" t="s">
        <v>464</v>
      </c>
      <c r="G43" s="139" t="s">
        <v>464</v>
      </c>
      <c r="H43" s="139" t="s">
        <v>464</v>
      </c>
      <c r="I43" s="139" t="s">
        <v>464</v>
      </c>
      <c r="J43" s="139" t="s">
        <v>464</v>
      </c>
      <c r="K43" s="139">
        <v>33.979496881075001</v>
      </c>
      <c r="L43" s="139">
        <v>22.440322500000001</v>
      </c>
      <c r="M43" s="139" t="s">
        <v>464</v>
      </c>
      <c r="N43" s="139" t="s">
        <v>464</v>
      </c>
      <c r="O43" s="139">
        <v>3.3022609270999999</v>
      </c>
      <c r="P43" s="139">
        <v>10.075340000000001</v>
      </c>
      <c r="Q43" s="140">
        <v>5.1137734046654559E-2</v>
      </c>
      <c r="R43" s="141">
        <v>7569.9038</v>
      </c>
      <c r="S43" s="140">
        <v>0.51124186306085018</v>
      </c>
      <c r="T43" s="142">
        <v>0.21073190100038258</v>
      </c>
      <c r="U43" s="156" t="s">
        <v>464</v>
      </c>
      <c r="V43" s="140" t="s">
        <v>464</v>
      </c>
      <c r="W43" s="67" t="s">
        <v>56</v>
      </c>
    </row>
    <row r="44" spans="1:23" x14ac:dyDescent="0.25">
      <c r="A44" t="s">
        <v>40</v>
      </c>
      <c r="B44">
        <v>1</v>
      </c>
      <c r="C44" s="138">
        <v>43465</v>
      </c>
      <c r="D44" s="139">
        <v>42.889860418600001</v>
      </c>
      <c r="E44" s="139">
        <v>5.623238302803041</v>
      </c>
      <c r="F44" s="67" t="s">
        <v>464</v>
      </c>
      <c r="G44" s="139" t="s">
        <v>464</v>
      </c>
      <c r="H44" s="139" t="s">
        <v>464</v>
      </c>
      <c r="I44" s="139" t="s">
        <v>464</v>
      </c>
      <c r="J44" s="139" t="s">
        <v>464</v>
      </c>
      <c r="K44" s="139">
        <v>44.221859579399997</v>
      </c>
      <c r="L44" s="139">
        <v>24.7292825</v>
      </c>
      <c r="M44" s="139" t="s">
        <v>464</v>
      </c>
      <c r="N44" s="139" t="s">
        <v>464</v>
      </c>
      <c r="O44" s="139">
        <v>5.5433209935000001</v>
      </c>
      <c r="P44" s="139">
        <v>23.87576</v>
      </c>
      <c r="Q44" s="140">
        <v>0.36966109190686769</v>
      </c>
      <c r="R44" s="141">
        <v>8281.3688000000002</v>
      </c>
      <c r="S44" s="140">
        <v>0.4512319151683164</v>
      </c>
      <c r="T44" s="142">
        <v>0.10265025002437711</v>
      </c>
      <c r="U44" s="156" t="s">
        <v>464</v>
      </c>
      <c r="V44" s="140" t="s">
        <v>464</v>
      </c>
      <c r="W44" s="67" t="s">
        <v>40</v>
      </c>
    </row>
    <row r="45" spans="1:23" x14ac:dyDescent="0.25">
      <c r="A45" t="s">
        <v>62</v>
      </c>
      <c r="B45">
        <v>1</v>
      </c>
      <c r="C45" s="138">
        <v>43465</v>
      </c>
      <c r="D45" s="139">
        <v>13.81286620715</v>
      </c>
      <c r="E45" s="139">
        <v>8.5119469743721083</v>
      </c>
      <c r="F45" s="67" t="s">
        <v>464</v>
      </c>
      <c r="G45" s="139" t="s">
        <v>464</v>
      </c>
      <c r="H45" s="139" t="s">
        <v>464</v>
      </c>
      <c r="I45" s="139" t="s">
        <v>464</v>
      </c>
      <c r="J45" s="139" t="s">
        <v>464</v>
      </c>
      <c r="K45" s="139">
        <v>33.155828821325002</v>
      </c>
      <c r="L45" s="139">
        <v>20.709859999999999</v>
      </c>
      <c r="M45" s="139" t="s">
        <v>464</v>
      </c>
      <c r="N45" s="139" t="s">
        <v>464</v>
      </c>
      <c r="O45" s="139">
        <v>3.3451302154000002</v>
      </c>
      <c r="P45" s="139">
        <v>15.69173</v>
      </c>
      <c r="Q45" s="140">
        <v>-2.3675786053850567E-2</v>
      </c>
      <c r="R45" s="141">
        <v>4736.3242</v>
      </c>
      <c r="S45" s="140">
        <v>0.36560602292222488</v>
      </c>
      <c r="T45" s="142">
        <v>0.46264034725285558</v>
      </c>
      <c r="U45" s="156" t="s">
        <v>464</v>
      </c>
      <c r="V45" s="140" t="s">
        <v>464</v>
      </c>
      <c r="W45" s="67" t="s">
        <v>62</v>
      </c>
    </row>
    <row r="46" spans="1:23" x14ac:dyDescent="0.25">
      <c r="A46" t="s">
        <v>77</v>
      </c>
      <c r="B46">
        <v>1</v>
      </c>
      <c r="C46" s="138">
        <v>43465</v>
      </c>
      <c r="D46" s="139">
        <v>13.9484737919</v>
      </c>
      <c r="E46" s="139">
        <v>11.982316522411054</v>
      </c>
      <c r="F46" s="67" t="s">
        <v>464</v>
      </c>
      <c r="G46" s="139" t="s">
        <v>464</v>
      </c>
      <c r="H46" s="139" t="s">
        <v>464</v>
      </c>
      <c r="I46" s="139" t="s">
        <v>464</v>
      </c>
      <c r="J46" s="139" t="s">
        <v>464</v>
      </c>
      <c r="K46" s="139">
        <v>48.200968819575003</v>
      </c>
      <c r="L46" s="139">
        <v>16.401177499999999</v>
      </c>
      <c r="M46" s="139" t="s">
        <v>464</v>
      </c>
      <c r="N46" s="139" t="s">
        <v>464</v>
      </c>
      <c r="O46" s="139">
        <v>2.4445543331000001</v>
      </c>
      <c r="P46" s="139">
        <v>2.29196</v>
      </c>
      <c r="Q46" s="140">
        <v>-2.9139191142336429E-2</v>
      </c>
      <c r="R46" s="141">
        <v>5473.7694000000001</v>
      </c>
      <c r="S46" s="140">
        <v>0.3399545210362187</v>
      </c>
      <c r="T46" s="142">
        <v>0.1367252561183048</v>
      </c>
      <c r="U46" s="156" t="s">
        <v>464</v>
      </c>
      <c r="V46" s="140" t="s">
        <v>464</v>
      </c>
      <c r="W46" s="67" t="s">
        <v>77</v>
      </c>
    </row>
    <row r="47" spans="1:23" x14ac:dyDescent="0.25">
      <c r="A47" t="s">
        <v>59</v>
      </c>
      <c r="B47">
        <v>1</v>
      </c>
      <c r="C47" s="138">
        <v>43465</v>
      </c>
      <c r="D47" s="143">
        <v>60.122136928899998</v>
      </c>
      <c r="E47" s="143">
        <v>8.2328220729475579</v>
      </c>
      <c r="F47" s="67" t="s">
        <v>464</v>
      </c>
      <c r="G47" s="139" t="s">
        <v>464</v>
      </c>
      <c r="H47" s="139" t="s">
        <v>464</v>
      </c>
      <c r="I47" s="139" t="s">
        <v>464</v>
      </c>
      <c r="J47" s="139" t="s">
        <v>464</v>
      </c>
      <c r="K47" s="139">
        <v>40.548366548274998</v>
      </c>
      <c r="L47" s="139">
        <v>22.728069999999999</v>
      </c>
      <c r="M47" s="139" t="s">
        <v>464</v>
      </c>
      <c r="N47" s="139" t="s">
        <v>464</v>
      </c>
      <c r="O47" s="139">
        <v>4.2496803628000004</v>
      </c>
      <c r="P47" s="139">
        <v>7.4403199999999998</v>
      </c>
      <c r="Q47" s="140">
        <v>-0.27726360411505524</v>
      </c>
      <c r="R47" s="141">
        <v>2954.1547999999998</v>
      </c>
      <c r="S47" s="140">
        <v>0.34190835927481822</v>
      </c>
      <c r="T47" s="142">
        <v>0.36132909652469086</v>
      </c>
      <c r="U47" s="156" t="s">
        <v>464</v>
      </c>
      <c r="V47" s="140" t="s">
        <v>464</v>
      </c>
      <c r="W47" s="67" t="s">
        <v>59</v>
      </c>
    </row>
    <row r="48" spans="1:23" x14ac:dyDescent="0.25">
      <c r="A48" t="s">
        <v>69</v>
      </c>
      <c r="B48">
        <v>1</v>
      </c>
      <c r="C48" s="138">
        <v>43465</v>
      </c>
      <c r="D48" s="143">
        <v>72.868497805974997</v>
      </c>
      <c r="E48" s="143">
        <v>3.7759050127937015</v>
      </c>
      <c r="F48" s="67">
        <v>1.2318225</v>
      </c>
      <c r="G48" s="139">
        <v>1.2318225</v>
      </c>
      <c r="H48" s="139">
        <v>6.7304907182266852E-2</v>
      </c>
      <c r="I48" s="139" t="s">
        <v>464</v>
      </c>
      <c r="J48" s="139">
        <v>94.744919999999993</v>
      </c>
      <c r="K48" s="139">
        <v>57.586374495474999</v>
      </c>
      <c r="L48" s="139">
        <v>173.48353750000001</v>
      </c>
      <c r="M48" s="139">
        <v>1.0585911440652147</v>
      </c>
      <c r="N48" s="139">
        <v>21.839101138499998</v>
      </c>
      <c r="O48" s="139">
        <v>6.5594188130999997</v>
      </c>
      <c r="P48" s="139">
        <v>24.274560000000001</v>
      </c>
      <c r="Q48" s="140">
        <v>-1.701777732481051</v>
      </c>
      <c r="R48" s="141">
        <v>784.61500000000001</v>
      </c>
      <c r="S48" s="140" t="s">
        <v>464</v>
      </c>
      <c r="T48" s="142" t="s">
        <v>464</v>
      </c>
      <c r="U48" s="156">
        <v>1.6485172299999999</v>
      </c>
      <c r="V48" s="140" t="s">
        <v>464</v>
      </c>
      <c r="W48" s="67" t="s">
        <v>69</v>
      </c>
    </row>
    <row r="49" spans="1:23" x14ac:dyDescent="0.25">
      <c r="A49" t="s">
        <v>39</v>
      </c>
      <c r="B49">
        <v>1</v>
      </c>
      <c r="C49" s="138">
        <v>43465</v>
      </c>
      <c r="D49" s="143">
        <v>12.083750290575001</v>
      </c>
      <c r="E49" s="143">
        <v>8.9182409293581042</v>
      </c>
      <c r="F49" s="67" t="s">
        <v>464</v>
      </c>
      <c r="G49" s="139" t="s">
        <v>464</v>
      </c>
      <c r="H49" s="139" t="s">
        <v>464</v>
      </c>
      <c r="I49" s="139" t="s">
        <v>464</v>
      </c>
      <c r="J49" s="139" t="s">
        <v>464</v>
      </c>
      <c r="K49" s="139">
        <v>20.2322164371</v>
      </c>
      <c r="L49" s="139">
        <v>13.921302499999999</v>
      </c>
      <c r="M49" s="139" t="s">
        <v>464</v>
      </c>
      <c r="N49" s="139" t="s">
        <v>464</v>
      </c>
      <c r="O49" s="139">
        <v>2.7236661596</v>
      </c>
      <c r="P49" s="139">
        <v>1.4006000000000001</v>
      </c>
      <c r="Q49" s="140">
        <v>-5.910771678952309E-2</v>
      </c>
      <c r="R49" s="141">
        <v>969.71799999999996</v>
      </c>
      <c r="S49" s="140">
        <v>0.37266473231954178</v>
      </c>
      <c r="T49" s="142">
        <v>0.58012156081535793</v>
      </c>
      <c r="U49" s="156" t="s">
        <v>464</v>
      </c>
      <c r="V49" s="140" t="s">
        <v>464</v>
      </c>
      <c r="W49" s="67" t="s">
        <v>39</v>
      </c>
    </row>
    <row r="50" spans="1:23" x14ac:dyDescent="0.25">
      <c r="A50" t="s">
        <v>32</v>
      </c>
      <c r="B50">
        <v>1</v>
      </c>
      <c r="C50" s="138">
        <v>43465</v>
      </c>
      <c r="D50" s="143">
        <v>39.5714715927</v>
      </c>
      <c r="E50" s="143">
        <v>9.5766369138723508</v>
      </c>
      <c r="F50" s="67">
        <v>0.97760250000000004</v>
      </c>
      <c r="G50" s="139">
        <v>0.97760250000000004</v>
      </c>
      <c r="H50" s="139">
        <v>0.13525816788135706</v>
      </c>
      <c r="I50" s="139" t="s">
        <v>464</v>
      </c>
      <c r="J50" s="139">
        <v>98.462397499999994</v>
      </c>
      <c r="K50" s="139">
        <v>59.357083457275003</v>
      </c>
      <c r="L50" s="139">
        <v>41.393009999999997</v>
      </c>
      <c r="M50" s="139">
        <v>0.25693578793217836</v>
      </c>
      <c r="N50" s="139">
        <v>53.315667856700003</v>
      </c>
      <c r="O50" s="139">
        <v>6.7483514960999997</v>
      </c>
      <c r="P50" s="139">
        <v>1.1563600000000001</v>
      </c>
      <c r="Q50" s="140">
        <v>0.28133300041822196</v>
      </c>
      <c r="R50" s="141">
        <v>539.19035199999996</v>
      </c>
      <c r="S50" s="140">
        <v>0.48478031816039358</v>
      </c>
      <c r="T50" s="142">
        <v>0.9277103538412087</v>
      </c>
      <c r="U50" s="156">
        <v>1.1121246849999999</v>
      </c>
      <c r="V50" s="140">
        <v>0.59763892089446946</v>
      </c>
      <c r="W50" s="67" t="s">
        <v>32</v>
      </c>
    </row>
    <row r="51" spans="1:23" x14ac:dyDescent="0.25">
      <c r="A51" s="69" t="s">
        <v>109</v>
      </c>
      <c r="B51" s="70"/>
      <c r="C51" s="157"/>
      <c r="D51" s="145">
        <v>39.420359498324999</v>
      </c>
      <c r="E51" s="145">
        <v>8.2461457014634778</v>
      </c>
      <c r="F51" s="146">
        <v>1.1047125</v>
      </c>
      <c r="G51" s="146">
        <v>1.1047125</v>
      </c>
      <c r="H51" s="146">
        <v>0.10128153753181196</v>
      </c>
      <c r="I51" s="146" t="s">
        <v>464</v>
      </c>
      <c r="J51" s="146">
        <v>96.603658749999994</v>
      </c>
      <c r="K51" s="146">
        <v>42.160274379937505</v>
      </c>
      <c r="L51" s="146">
        <v>41.975820312500005</v>
      </c>
      <c r="M51" s="146">
        <v>0.65776346599869651</v>
      </c>
      <c r="N51" s="146">
        <v>37.577384497600001</v>
      </c>
      <c r="O51" s="146">
        <v>4.3645479125875006</v>
      </c>
      <c r="P51" s="146">
        <v>10.775828750000001</v>
      </c>
      <c r="Q51" s="147">
        <v>-0.173604025526259</v>
      </c>
      <c r="R51" s="148">
        <v>3913.6305440000006</v>
      </c>
      <c r="S51" s="149">
        <v>0.40962681884890906</v>
      </c>
      <c r="T51" s="149">
        <v>0.39741553793959677</v>
      </c>
      <c r="U51" s="165">
        <v>1.3803209574999999</v>
      </c>
      <c r="V51" s="147">
        <v>0.59763892089446946</v>
      </c>
      <c r="W51" s="78" t="s">
        <v>110</v>
      </c>
    </row>
    <row r="52" spans="1:23" ht="6.75" customHeight="1" x14ac:dyDescent="0.25">
      <c r="C52" s="138"/>
      <c r="D52" s="143"/>
      <c r="E52" s="143"/>
      <c r="F52" s="67"/>
      <c r="Q52" s="142"/>
      <c r="R52" s="141"/>
      <c r="S52" s="142"/>
      <c r="T52" s="142"/>
      <c r="U52" s="166"/>
      <c r="V52" s="140"/>
      <c r="W52" s="67"/>
    </row>
    <row r="53" spans="1:23" x14ac:dyDescent="0.25">
      <c r="A53" s="57" t="s">
        <v>114</v>
      </c>
      <c r="B53" s="82"/>
      <c r="C53" s="158"/>
      <c r="D53" s="151"/>
      <c r="E53" s="151"/>
      <c r="F53" s="88"/>
      <c r="G53" s="82"/>
      <c r="H53" s="82"/>
      <c r="I53" s="82"/>
      <c r="J53" s="82"/>
      <c r="K53" s="82"/>
      <c r="L53" s="82"/>
      <c r="M53" s="82"/>
      <c r="N53" s="82"/>
      <c r="O53" s="82"/>
      <c r="P53" s="82"/>
      <c r="Q53" s="155"/>
      <c r="R53" s="154"/>
      <c r="S53" s="155"/>
      <c r="T53" s="155"/>
      <c r="U53" s="167"/>
      <c r="V53" s="153"/>
      <c r="W53" s="88"/>
    </row>
    <row r="54" spans="1:23" x14ac:dyDescent="0.25">
      <c r="A54" t="s">
        <v>42</v>
      </c>
      <c r="B54">
        <v>1</v>
      </c>
      <c r="C54" s="138">
        <v>43465</v>
      </c>
      <c r="D54" s="143">
        <v>0</v>
      </c>
      <c r="E54" s="143">
        <v>1.6828297399528309</v>
      </c>
      <c r="F54" s="67">
        <v>1.4696625000000001</v>
      </c>
      <c r="G54" s="139">
        <v>1.4696625000000001</v>
      </c>
      <c r="H54" s="139">
        <v>0.32789315315439921</v>
      </c>
      <c r="I54" s="139" t="s">
        <v>464</v>
      </c>
      <c r="J54" s="139">
        <v>22.97279</v>
      </c>
      <c r="K54" s="139">
        <v>12.141786235</v>
      </c>
      <c r="L54" s="139">
        <v>222.31748250000001</v>
      </c>
      <c r="M54" s="139">
        <v>-1.004913458345271</v>
      </c>
      <c r="N54" s="156">
        <v>-47.0288939852</v>
      </c>
      <c r="O54" s="156">
        <v>-26.084609993800001</v>
      </c>
      <c r="P54" s="156">
        <v>-32.224249999999998</v>
      </c>
      <c r="Q54" s="140">
        <v>-2.1966357476762672</v>
      </c>
      <c r="R54" s="141">
        <v>-1106.9714799999999</v>
      </c>
      <c r="S54" s="140">
        <v>1.7678251406067882</v>
      </c>
      <c r="T54" s="142">
        <v>1.5397499310581759</v>
      </c>
      <c r="U54" s="156">
        <v>2.1270084783333334</v>
      </c>
      <c r="V54" s="140">
        <v>0.32616292645043665</v>
      </c>
      <c r="W54" s="67" t="s">
        <v>42</v>
      </c>
    </row>
    <row r="55" spans="1:23" x14ac:dyDescent="0.25">
      <c r="A55" t="s">
        <v>37</v>
      </c>
      <c r="B55">
        <v>1</v>
      </c>
      <c r="C55" s="138">
        <v>43465</v>
      </c>
      <c r="D55" s="139">
        <v>0</v>
      </c>
      <c r="E55" s="139">
        <v>1.6569190270895269</v>
      </c>
      <c r="F55" s="67">
        <v>1.8762799999999999</v>
      </c>
      <c r="G55" s="139">
        <v>1.8493200000000001</v>
      </c>
      <c r="H55" s="139">
        <v>0.42921998120081828</v>
      </c>
      <c r="I55" s="139">
        <v>74.640029791029846</v>
      </c>
      <c r="J55" s="139">
        <v>37.798594999999999</v>
      </c>
      <c r="K55" s="139">
        <v>20.619791785775</v>
      </c>
      <c r="L55" s="139">
        <v>331.66300999999999</v>
      </c>
      <c r="M55" s="139">
        <v>1.8744540017197591</v>
      </c>
      <c r="N55" s="156">
        <v>181.1844975114</v>
      </c>
      <c r="O55" s="156">
        <v>100.3941378331</v>
      </c>
      <c r="P55" s="139">
        <v>39.160330000000002</v>
      </c>
      <c r="Q55" s="140">
        <v>-1.3041592834634272</v>
      </c>
      <c r="R55" s="141">
        <v>2475.30215</v>
      </c>
      <c r="S55" s="140">
        <v>1.5029099087136961</v>
      </c>
      <c r="T55" s="142">
        <v>17.949203879560091</v>
      </c>
      <c r="U55" s="156">
        <v>1.511008715</v>
      </c>
      <c r="V55" s="140">
        <v>0.38596927142570348</v>
      </c>
      <c r="W55" s="67" t="s">
        <v>37</v>
      </c>
    </row>
    <row r="56" spans="1:23" x14ac:dyDescent="0.25">
      <c r="A56" t="s">
        <v>71</v>
      </c>
      <c r="B56">
        <v>1</v>
      </c>
      <c r="C56" s="138">
        <v>43373</v>
      </c>
      <c r="D56" s="139">
        <v>8.6555723305000001</v>
      </c>
      <c r="E56" s="139">
        <v>2.4292571789476152</v>
      </c>
      <c r="F56" s="67">
        <v>1.3680425000000001</v>
      </c>
      <c r="G56" s="139">
        <v>1.3652025000000001</v>
      </c>
      <c r="H56" s="139">
        <v>1.6442539658697903</v>
      </c>
      <c r="I56" s="141">
        <v>1683.8744169687168</v>
      </c>
      <c r="J56" s="139">
        <v>14.7960425</v>
      </c>
      <c r="K56" s="139">
        <v>3.9666696699999999</v>
      </c>
      <c r="L56" s="139">
        <v>10.799765000000001</v>
      </c>
      <c r="M56" s="139">
        <v>0.10080054472701099</v>
      </c>
      <c r="N56" s="139">
        <v>44.637354213999998</v>
      </c>
      <c r="O56" s="139">
        <v>16.964490043000001</v>
      </c>
      <c r="P56" s="139">
        <v>1.70584</v>
      </c>
      <c r="Q56" s="140">
        <v>-0.12045653327215633</v>
      </c>
      <c r="R56" s="141">
        <v>124.71554999999999</v>
      </c>
      <c r="S56" s="140">
        <v>0.57240400331137442</v>
      </c>
      <c r="T56" s="142">
        <v>0.64403721214950937</v>
      </c>
      <c r="U56" s="156">
        <v>1.11107114</v>
      </c>
      <c r="V56" s="140">
        <v>0.38923721855072091</v>
      </c>
      <c r="W56" s="67" t="s">
        <v>71</v>
      </c>
    </row>
    <row r="57" spans="1:23" x14ac:dyDescent="0.25">
      <c r="A57" t="s">
        <v>31</v>
      </c>
      <c r="B57">
        <v>1</v>
      </c>
      <c r="C57" s="138">
        <v>43465</v>
      </c>
      <c r="D57" s="139">
        <v>5.9787687749999997E-3</v>
      </c>
      <c r="E57" s="139">
        <v>1.1250990622142265</v>
      </c>
      <c r="F57" s="67">
        <v>2.3908974999999999</v>
      </c>
      <c r="G57" s="139">
        <v>1.5619400000000001</v>
      </c>
      <c r="H57" s="139">
        <v>0.31112263100510823</v>
      </c>
      <c r="I57" s="139">
        <v>1.2300068184200628</v>
      </c>
      <c r="J57" s="139">
        <v>27.236519999999999</v>
      </c>
      <c r="K57" s="141">
        <v>1825.7141567819499</v>
      </c>
      <c r="L57" s="141">
        <v>74842.276305000007</v>
      </c>
      <c r="M57" s="139">
        <v>-1.6855614882303176</v>
      </c>
      <c r="N57" s="139">
        <v>29.125466728900001</v>
      </c>
      <c r="O57" s="139">
        <v>25.3283714061</v>
      </c>
      <c r="P57" s="139">
        <v>3.1545299999999998</v>
      </c>
      <c r="Q57" s="140" t="s">
        <v>464</v>
      </c>
      <c r="R57" s="141">
        <v>83.364707999999993</v>
      </c>
      <c r="S57" s="140">
        <v>0.47590187047384491</v>
      </c>
      <c r="T57" s="142">
        <v>4.7723423291916758</v>
      </c>
      <c r="U57" s="156">
        <v>0.15221784333333335</v>
      </c>
      <c r="V57" s="140">
        <v>0.62299811363788149</v>
      </c>
      <c r="W57" s="67" t="s">
        <v>31</v>
      </c>
    </row>
    <row r="58" spans="1:23" x14ac:dyDescent="0.25">
      <c r="A58" t="s">
        <v>48</v>
      </c>
      <c r="B58">
        <v>1</v>
      </c>
      <c r="C58" s="138">
        <v>43465</v>
      </c>
      <c r="D58" s="143">
        <v>25.2480787605</v>
      </c>
      <c r="E58" s="143">
        <v>1.7021259823941319</v>
      </c>
      <c r="F58" s="67">
        <v>1.869475</v>
      </c>
      <c r="G58" s="139">
        <v>0.75602250000000004</v>
      </c>
      <c r="H58" s="139">
        <v>1.2026137399522938</v>
      </c>
      <c r="I58" s="139">
        <v>1.8492931121634051</v>
      </c>
      <c r="J58" s="139">
        <v>30.580942499999999</v>
      </c>
      <c r="K58" s="139">
        <v>5.8821073843000002</v>
      </c>
      <c r="L58" s="139">
        <v>1.2045775000000001</v>
      </c>
      <c r="M58" s="139">
        <v>1.1490528027829587E-2</v>
      </c>
      <c r="N58" s="139">
        <v>1.7937601948999999</v>
      </c>
      <c r="O58" s="139">
        <v>1.0573748716</v>
      </c>
      <c r="P58" s="139">
        <v>5.3499999999999997E-3</v>
      </c>
      <c r="Q58" s="140">
        <v>0.63166673313975497</v>
      </c>
      <c r="R58" s="141">
        <v>88.900248000000005</v>
      </c>
      <c r="S58" s="140">
        <v>0.14463446809458036</v>
      </c>
      <c r="T58" s="142">
        <v>0.58885017619698876</v>
      </c>
      <c r="U58" s="156">
        <v>1.7138172516666668</v>
      </c>
      <c r="V58" s="140">
        <v>0.27145353145101936</v>
      </c>
      <c r="W58" s="67" t="s">
        <v>48</v>
      </c>
    </row>
    <row r="59" spans="1:23" x14ac:dyDescent="0.25">
      <c r="A59" t="s">
        <v>36</v>
      </c>
      <c r="B59">
        <v>0.1</v>
      </c>
      <c r="C59" s="138">
        <v>43465</v>
      </c>
      <c r="D59" s="143">
        <v>15.779210256375</v>
      </c>
      <c r="E59" s="143">
        <v>4.1919032069941489</v>
      </c>
      <c r="F59" s="67">
        <v>1.3287100000000001</v>
      </c>
      <c r="G59" s="139">
        <v>1.2660575000000001</v>
      </c>
      <c r="H59" s="139">
        <v>1.831382565643612</v>
      </c>
      <c r="I59" s="139">
        <v>39.786017790675608</v>
      </c>
      <c r="J59" s="139">
        <v>11.455615</v>
      </c>
      <c r="K59" s="139">
        <v>1.8840503737500001</v>
      </c>
      <c r="L59" s="139">
        <v>-0.15947249999999999</v>
      </c>
      <c r="M59" s="139">
        <v>-1.5607635890170531E-2</v>
      </c>
      <c r="N59" s="139">
        <v>-7.6657209345000004</v>
      </c>
      <c r="O59" s="139">
        <v>-2.1353878338999999</v>
      </c>
      <c r="P59" s="139">
        <v>-1.56839</v>
      </c>
      <c r="Q59" s="140">
        <v>-9.3124881646764575</v>
      </c>
      <c r="R59" s="141">
        <v>-8.7871980000000001</v>
      </c>
      <c r="S59" s="140">
        <v>-2.3153508113959518</v>
      </c>
      <c r="T59" s="142">
        <v>2.949096722330502</v>
      </c>
      <c r="U59" s="156">
        <v>1.9302820683333333</v>
      </c>
      <c r="V59" s="140">
        <v>0.308037737066859</v>
      </c>
      <c r="W59" s="67" t="s">
        <v>36</v>
      </c>
    </row>
    <row r="60" spans="1:23" x14ac:dyDescent="0.25">
      <c r="A60" t="s">
        <v>24</v>
      </c>
      <c r="B60">
        <v>1</v>
      </c>
      <c r="C60" s="138">
        <v>43465</v>
      </c>
      <c r="D60" s="143">
        <v>134.87841963527501</v>
      </c>
      <c r="E60" s="143">
        <v>2.9890629249248901</v>
      </c>
      <c r="F60" s="67">
        <v>1.3850450000000001</v>
      </c>
      <c r="G60" s="139">
        <v>0.93297750000000002</v>
      </c>
      <c r="H60" s="139">
        <v>1.1679729121160691</v>
      </c>
      <c r="I60" s="139">
        <v>0.97557856447179958</v>
      </c>
      <c r="J60" s="139">
        <v>23.741105000000001</v>
      </c>
      <c r="K60" s="139">
        <v>2.75278850125</v>
      </c>
      <c r="L60" s="139">
        <v>-11.924547499999999</v>
      </c>
      <c r="M60" s="139">
        <v>-0.24055535068724501</v>
      </c>
      <c r="N60" s="139">
        <v>-4.6249296091999996</v>
      </c>
      <c r="O60" s="139">
        <v>-2.0263043341000002</v>
      </c>
      <c r="P60" s="139">
        <v>-0.27528999999999998</v>
      </c>
      <c r="Q60" s="140">
        <v>-1.9762203346934308</v>
      </c>
      <c r="R60" s="141">
        <v>19.611201999999999</v>
      </c>
      <c r="S60" s="140">
        <v>-1.92906380085538</v>
      </c>
      <c r="T60" s="142">
        <v>3.4478548864587908</v>
      </c>
      <c r="U60" s="156">
        <v>0.59306579166666662</v>
      </c>
      <c r="V60" s="140">
        <v>0.32066289827758476</v>
      </c>
      <c r="W60" s="67" t="s">
        <v>24</v>
      </c>
    </row>
    <row r="61" spans="1:23" x14ac:dyDescent="0.25">
      <c r="A61" t="s">
        <v>27</v>
      </c>
      <c r="B61">
        <v>0.1</v>
      </c>
      <c r="C61" s="138" t="s">
        <v>464</v>
      </c>
      <c r="D61" s="143">
        <v>37.480473422999999</v>
      </c>
      <c r="E61" s="143">
        <v>4.5765274072572311</v>
      </c>
      <c r="F61" s="67">
        <v>1.0925450000000001</v>
      </c>
      <c r="G61" s="139">
        <v>0.69260500000000003</v>
      </c>
      <c r="H61" s="139" t="s">
        <v>464</v>
      </c>
      <c r="I61" s="139" t="s">
        <v>464</v>
      </c>
      <c r="J61" s="139" t="s">
        <v>464</v>
      </c>
      <c r="K61" s="139">
        <v>8.2112984255000008</v>
      </c>
      <c r="L61" s="139" t="s">
        <v>464</v>
      </c>
      <c r="M61" s="139" t="s">
        <v>464</v>
      </c>
      <c r="N61" s="139">
        <v>-54.604640255</v>
      </c>
      <c r="O61" s="139">
        <v>-17.228111924699999</v>
      </c>
      <c r="P61" s="139" t="s">
        <v>464</v>
      </c>
      <c r="Q61" s="140" t="s">
        <v>464</v>
      </c>
      <c r="R61" s="141">
        <v>-8.7873225000000001</v>
      </c>
      <c r="S61" s="140">
        <v>-2.1661063728942223</v>
      </c>
      <c r="T61" s="142">
        <v>2.2024643408684184</v>
      </c>
      <c r="U61" s="156">
        <v>0.83395659833333335</v>
      </c>
      <c r="V61" s="140">
        <v>0.20882387135923763</v>
      </c>
      <c r="W61" s="67" t="s">
        <v>27</v>
      </c>
    </row>
    <row r="62" spans="1:23" x14ac:dyDescent="0.25">
      <c r="A62" t="s">
        <v>11</v>
      </c>
      <c r="B62">
        <v>1</v>
      </c>
      <c r="C62" s="138">
        <v>43465</v>
      </c>
      <c r="D62" s="143">
        <v>10.055433509925001</v>
      </c>
      <c r="E62" s="143">
        <v>16.5527190680511</v>
      </c>
      <c r="F62" s="67">
        <v>1.3484400000000001</v>
      </c>
      <c r="G62" s="139">
        <v>0.75283</v>
      </c>
      <c r="H62" s="139">
        <v>0.74344833892967654</v>
      </c>
      <c r="I62" s="139">
        <v>1.8794252898457993</v>
      </c>
      <c r="J62" s="139">
        <v>27.012464999999999</v>
      </c>
      <c r="K62" s="139">
        <v>13.064992946475</v>
      </c>
      <c r="L62" s="139">
        <v>2.2454575000000001</v>
      </c>
      <c r="M62" s="139">
        <v>2.0280941262862472E-2</v>
      </c>
      <c r="N62" s="139">
        <v>22.295966849599999</v>
      </c>
      <c r="O62" s="139">
        <v>1.4579483550000001</v>
      </c>
      <c r="P62" s="139">
        <v>0.57059000000000004</v>
      </c>
      <c r="Q62" s="140">
        <v>-0.38623752529236255</v>
      </c>
      <c r="R62" s="141">
        <v>6.9958020000000003</v>
      </c>
      <c r="S62" s="140">
        <v>0.21072681993760334</v>
      </c>
      <c r="T62" s="142">
        <v>0.77268552102333932</v>
      </c>
      <c r="U62" s="156">
        <v>0.255730285</v>
      </c>
      <c r="V62" s="140">
        <v>0.19719478697761472</v>
      </c>
      <c r="W62" s="67" t="s">
        <v>11</v>
      </c>
    </row>
    <row r="63" spans="1:23" x14ac:dyDescent="0.25">
      <c r="A63" t="s">
        <v>10</v>
      </c>
      <c r="B63">
        <v>1</v>
      </c>
      <c r="C63" s="138">
        <v>43465</v>
      </c>
      <c r="D63" s="143" t="s">
        <v>464</v>
      </c>
      <c r="E63" s="143">
        <v>-6.7614064995068571E-2</v>
      </c>
      <c r="F63" s="67">
        <v>2.4664999999999999E-2</v>
      </c>
      <c r="G63" s="139">
        <v>2.4664999999999999E-2</v>
      </c>
      <c r="H63" s="139" t="s">
        <v>464</v>
      </c>
      <c r="I63" s="139" t="s">
        <v>464</v>
      </c>
      <c r="J63" s="139" t="s">
        <v>464</v>
      </c>
      <c r="K63" s="139" t="s">
        <v>464</v>
      </c>
      <c r="L63" s="139" t="s">
        <v>464</v>
      </c>
      <c r="M63" s="139" t="s">
        <v>464</v>
      </c>
      <c r="N63" s="139" t="s">
        <v>464</v>
      </c>
      <c r="O63" s="156">
        <v>116.5652631219</v>
      </c>
      <c r="P63" s="139">
        <v>0.85953000000000002</v>
      </c>
      <c r="Q63" s="140">
        <v>10.377678907131219</v>
      </c>
      <c r="R63" s="141">
        <v>-0.21099399999999999</v>
      </c>
      <c r="S63" s="140">
        <v>0.21686689895509814</v>
      </c>
      <c r="T63" s="142">
        <v>1.1476367561435548</v>
      </c>
      <c r="U63" s="156">
        <v>0</v>
      </c>
      <c r="V63" s="140" t="s">
        <v>464</v>
      </c>
      <c r="W63" s="67" t="s">
        <v>10</v>
      </c>
    </row>
    <row r="64" spans="1:23" x14ac:dyDescent="0.25">
      <c r="A64" s="69" t="s">
        <v>109</v>
      </c>
      <c r="B64" s="70"/>
      <c r="C64" s="157"/>
      <c r="D64" s="145">
        <v>25.789240742705559</v>
      </c>
      <c r="E64" s="145">
        <v>3.6838829532830628</v>
      </c>
      <c r="F64" s="146">
        <v>1.41537625</v>
      </c>
      <c r="G64" s="146">
        <v>1.0671282500000001</v>
      </c>
      <c r="H64" s="146">
        <v>0.95723841098397089</v>
      </c>
      <c r="I64" s="165">
        <v>257.74782404790329</v>
      </c>
      <c r="J64" s="165">
        <v>24.449259374999997</v>
      </c>
      <c r="K64" s="165">
        <v>210.47084912266666</v>
      </c>
      <c r="L64" s="148">
        <v>9424.8028221874993</v>
      </c>
      <c r="M64" s="146">
        <v>-0.11745148967694276</v>
      </c>
      <c r="N64" s="146">
        <v>18.345873412766665</v>
      </c>
      <c r="O64" s="146">
        <v>21.429317154419998</v>
      </c>
      <c r="P64" s="146">
        <v>1.2653600000000003</v>
      </c>
      <c r="Q64" s="168">
        <v>-0.53585649360039067</v>
      </c>
      <c r="R64" s="148">
        <v>167.41326654999997</v>
      </c>
      <c r="S64" s="149">
        <v>-0.15192518750525694</v>
      </c>
      <c r="T64" s="149">
        <v>3.6013921754981046</v>
      </c>
      <c r="U64" s="165">
        <v>1.0228158171666666</v>
      </c>
      <c r="V64" s="147">
        <v>0.33672670613300648</v>
      </c>
      <c r="W64" s="78" t="s">
        <v>110</v>
      </c>
    </row>
    <row r="65" spans="1:23" ht="7.5" customHeight="1" x14ac:dyDescent="0.25">
      <c r="C65" s="138"/>
      <c r="D65" s="143"/>
      <c r="E65" s="143"/>
      <c r="F65" s="67"/>
      <c r="Q65" s="142"/>
      <c r="R65" s="141"/>
      <c r="S65" s="142"/>
      <c r="T65" s="142"/>
      <c r="U65" s="166"/>
      <c r="V65" s="140"/>
      <c r="W65" s="67"/>
    </row>
    <row r="66" spans="1:23" x14ac:dyDescent="0.25">
      <c r="A66" s="57" t="s">
        <v>115</v>
      </c>
      <c r="B66" s="82"/>
      <c r="C66" s="158"/>
      <c r="D66" s="151"/>
      <c r="E66" s="151"/>
      <c r="F66" s="88"/>
      <c r="G66" s="82"/>
      <c r="H66" s="82"/>
      <c r="I66" s="82"/>
      <c r="J66" s="82"/>
      <c r="K66" s="82"/>
      <c r="L66" s="82"/>
      <c r="M66" s="82"/>
      <c r="N66" s="82"/>
      <c r="O66" s="82"/>
      <c r="P66" s="82"/>
      <c r="Q66" s="155"/>
      <c r="R66" s="154"/>
      <c r="S66" s="155"/>
      <c r="T66" s="155"/>
      <c r="U66" s="167"/>
      <c r="V66" s="153"/>
      <c r="W66" s="88"/>
    </row>
    <row r="67" spans="1:23" x14ac:dyDescent="0.25">
      <c r="A67" t="s">
        <v>50</v>
      </c>
      <c r="B67">
        <v>1</v>
      </c>
      <c r="C67" s="138">
        <v>43465</v>
      </c>
      <c r="D67" s="143" t="s">
        <v>464</v>
      </c>
      <c r="E67" s="143">
        <v>9.3585722416082682</v>
      </c>
      <c r="F67" s="67">
        <v>1.8983825000000001</v>
      </c>
      <c r="G67" s="139">
        <v>1.8685350000000001</v>
      </c>
      <c r="H67" s="139" t="s">
        <v>464</v>
      </c>
      <c r="I67" s="139" t="s">
        <v>464</v>
      </c>
      <c r="J67" s="139" t="s">
        <v>464</v>
      </c>
      <c r="K67" s="139" t="s">
        <v>464</v>
      </c>
      <c r="L67" s="139" t="s">
        <v>464</v>
      </c>
      <c r="M67" s="139" t="s">
        <v>464</v>
      </c>
      <c r="N67" s="139">
        <v>-32.738993279399999</v>
      </c>
      <c r="O67" s="139">
        <v>-2.3764856667999998</v>
      </c>
      <c r="P67" s="139" t="s">
        <v>464</v>
      </c>
      <c r="Q67" s="140">
        <v>-7.0489038785834737</v>
      </c>
      <c r="R67" s="141">
        <v>725.8</v>
      </c>
      <c r="S67" s="140">
        <v>0.60263241907821286</v>
      </c>
      <c r="T67" s="142">
        <v>3.5728048934166314</v>
      </c>
      <c r="U67" s="156">
        <v>13.573892666666666</v>
      </c>
      <c r="V67" s="140">
        <v>0.72169888504464708</v>
      </c>
      <c r="W67" s="67" t="s">
        <v>50</v>
      </c>
    </row>
    <row r="68" spans="1:23" x14ac:dyDescent="0.25">
      <c r="A68" t="s">
        <v>35</v>
      </c>
      <c r="B68">
        <v>1</v>
      </c>
      <c r="C68" s="138">
        <v>43465</v>
      </c>
      <c r="D68" s="139" t="s">
        <v>464</v>
      </c>
      <c r="E68" s="139">
        <v>1.8704401647638731</v>
      </c>
      <c r="F68" s="67">
        <v>4.7032299999999996</v>
      </c>
      <c r="G68" s="139">
        <v>4.69191</v>
      </c>
      <c r="H68" s="139">
        <v>9.6502991032733937E-2</v>
      </c>
      <c r="I68" s="139" t="s">
        <v>464</v>
      </c>
      <c r="J68" s="139">
        <v>65.4032725</v>
      </c>
      <c r="K68" s="139">
        <v>52.083159616374999</v>
      </c>
      <c r="L68" s="139">
        <v>14.444825</v>
      </c>
      <c r="M68" s="139">
        <v>3.5848386126496427E-2</v>
      </c>
      <c r="N68" s="139">
        <v>-1.3450839891999999</v>
      </c>
      <c r="O68" s="139">
        <v>-0.16349724500000001</v>
      </c>
      <c r="P68" s="139">
        <v>-3.9807700000000001</v>
      </c>
      <c r="Q68" s="140">
        <v>-9.2502307527278713</v>
      </c>
      <c r="R68" s="141">
        <v>5164.4358000000002</v>
      </c>
      <c r="S68" s="140">
        <v>1.1481590958273875</v>
      </c>
      <c r="T68" s="142">
        <v>2.5766597493384271</v>
      </c>
      <c r="U68" s="156">
        <v>3.5522290000000001</v>
      </c>
      <c r="V68" s="140">
        <v>0.29437543064667171</v>
      </c>
      <c r="W68" s="67" t="s">
        <v>35</v>
      </c>
    </row>
    <row r="69" spans="1:23" x14ac:dyDescent="0.25">
      <c r="A69" t="s">
        <v>54</v>
      </c>
      <c r="B69">
        <v>0.1</v>
      </c>
      <c r="C69" s="138">
        <v>43465</v>
      </c>
      <c r="D69" s="139" t="s">
        <v>464</v>
      </c>
      <c r="E69" s="139">
        <v>16.617874410121306</v>
      </c>
      <c r="F69" s="67">
        <v>1.688995</v>
      </c>
      <c r="G69" s="139">
        <v>1.5770925</v>
      </c>
      <c r="H69" s="139" t="s">
        <v>464</v>
      </c>
      <c r="I69" s="139" t="s">
        <v>464</v>
      </c>
      <c r="J69" s="139" t="s">
        <v>464</v>
      </c>
      <c r="K69" s="139" t="s">
        <v>464</v>
      </c>
      <c r="L69" s="139" t="s">
        <v>464</v>
      </c>
      <c r="M69" s="139" t="s">
        <v>464</v>
      </c>
      <c r="N69" s="139">
        <v>-68.665347740100003</v>
      </c>
      <c r="O69" s="139">
        <v>-3.0797019395</v>
      </c>
      <c r="P69" s="139" t="s">
        <v>464</v>
      </c>
      <c r="Q69" s="140" t="s">
        <v>464</v>
      </c>
      <c r="R69" s="141">
        <v>-2065</v>
      </c>
      <c r="S69" s="140">
        <v>2.0487332747657625</v>
      </c>
      <c r="T69" s="142">
        <v>17.409483234409624</v>
      </c>
      <c r="U69" s="156">
        <v>16.523061166666665</v>
      </c>
      <c r="V69" s="140">
        <v>0.61682291561831537</v>
      </c>
      <c r="W69" s="67" t="s">
        <v>54</v>
      </c>
    </row>
    <row r="70" spans="1:23" x14ac:dyDescent="0.25">
      <c r="A70" t="s">
        <v>46</v>
      </c>
      <c r="B70">
        <v>1</v>
      </c>
      <c r="C70" s="138">
        <v>43465</v>
      </c>
      <c r="D70" s="139" t="s">
        <v>464</v>
      </c>
      <c r="E70" s="139">
        <v>1.8348865603802245</v>
      </c>
      <c r="F70" s="67">
        <v>2.9143075000000001</v>
      </c>
      <c r="G70" s="139">
        <v>1.4012899999999999</v>
      </c>
      <c r="H70" s="139">
        <v>0.10501939586095567</v>
      </c>
      <c r="I70" s="139">
        <v>1.4789884131971665</v>
      </c>
      <c r="J70" s="139">
        <v>56.584512500000002</v>
      </c>
      <c r="K70" s="139">
        <v>-14.806241377775001</v>
      </c>
      <c r="L70" s="139">
        <v>296.5569825</v>
      </c>
      <c r="M70" s="139">
        <v>0.62806188279619901</v>
      </c>
      <c r="N70" s="139">
        <v>9.4020630703000005</v>
      </c>
      <c r="O70" s="139">
        <v>6.3266820465000002</v>
      </c>
      <c r="P70" s="139">
        <v>4.0337399999999999</v>
      </c>
      <c r="Q70" s="140">
        <v>-2.0040475898442294</v>
      </c>
      <c r="R70" s="141">
        <v>1167.8735999999999</v>
      </c>
      <c r="S70" s="140">
        <v>0.79341448917564339</v>
      </c>
      <c r="T70" s="142">
        <v>4.2662479307272916</v>
      </c>
      <c r="U70" s="156">
        <v>5.2407336666666673</v>
      </c>
      <c r="V70" s="140">
        <v>1.6172100124711051</v>
      </c>
      <c r="W70" s="67" t="s">
        <v>46</v>
      </c>
    </row>
    <row r="71" spans="1:23" x14ac:dyDescent="0.25">
      <c r="A71" s="69" t="s">
        <v>109</v>
      </c>
      <c r="B71" s="70"/>
      <c r="C71" s="157"/>
      <c r="D71" s="145" t="s">
        <v>464</v>
      </c>
      <c r="E71" s="145">
        <v>7.4204433442184179</v>
      </c>
      <c r="F71" s="146">
        <v>2.8012287499999999</v>
      </c>
      <c r="G71" s="146">
        <v>2.384706875</v>
      </c>
      <c r="H71" s="146">
        <v>0.10076119344684481</v>
      </c>
      <c r="I71" s="146">
        <v>1.4789884131971665</v>
      </c>
      <c r="J71" s="146">
        <v>60.993892500000001</v>
      </c>
      <c r="K71" s="146">
        <v>18.638459119299998</v>
      </c>
      <c r="L71" s="146">
        <v>155.50090374999999</v>
      </c>
      <c r="M71" s="146">
        <v>0.33195513446134772</v>
      </c>
      <c r="N71" s="146">
        <v>-23.3368404846</v>
      </c>
      <c r="O71" s="146">
        <v>0.17674929880000012</v>
      </c>
      <c r="P71" s="146">
        <v>2.648499999999987E-2</v>
      </c>
      <c r="Q71" s="147">
        <v>-6.1010607403851926</v>
      </c>
      <c r="R71" s="148">
        <v>1248.2773500000001</v>
      </c>
      <c r="S71" s="149">
        <v>1.1482348197117516</v>
      </c>
      <c r="T71" s="149">
        <v>6.9562989519729941</v>
      </c>
      <c r="U71" s="165">
        <v>9.7224791249999996</v>
      </c>
      <c r="V71" s="147">
        <v>0.81252681094518486</v>
      </c>
      <c r="W71" s="78" t="s">
        <v>110</v>
      </c>
    </row>
    <row r="72" spans="1:23" ht="5.25" customHeight="1" x14ac:dyDescent="0.25">
      <c r="C72" s="138"/>
      <c r="D72" s="143"/>
      <c r="E72" s="143"/>
      <c r="F72" s="67"/>
      <c r="Q72" s="142"/>
      <c r="R72" s="141"/>
      <c r="S72" s="142"/>
      <c r="T72" s="142"/>
      <c r="U72" s="166"/>
      <c r="V72" s="140"/>
      <c r="W72" s="67"/>
    </row>
    <row r="73" spans="1:23" x14ac:dyDescent="0.25">
      <c r="A73" s="57" t="s">
        <v>116</v>
      </c>
      <c r="B73" s="82"/>
      <c r="C73" s="158"/>
      <c r="D73" s="151"/>
      <c r="E73" s="151"/>
      <c r="F73" s="88"/>
      <c r="G73" s="82"/>
      <c r="H73" s="82"/>
      <c r="I73" s="82"/>
      <c r="J73" s="82"/>
      <c r="K73" s="82"/>
      <c r="L73" s="82"/>
      <c r="M73" s="82"/>
      <c r="N73" s="82"/>
      <c r="O73" s="82"/>
      <c r="P73" s="82"/>
      <c r="Q73" s="155"/>
      <c r="R73" s="154"/>
      <c r="S73" s="155"/>
      <c r="T73" s="155"/>
      <c r="U73" s="167"/>
      <c r="V73" s="153"/>
      <c r="W73" s="88"/>
    </row>
    <row r="74" spans="1:23" x14ac:dyDescent="0.25">
      <c r="A74" t="s">
        <v>78</v>
      </c>
      <c r="B74">
        <v>1</v>
      </c>
      <c r="C74" s="138">
        <v>43465</v>
      </c>
      <c r="D74" s="143">
        <v>17.789043262275001</v>
      </c>
      <c r="E74" s="143">
        <v>1.3259617296181314</v>
      </c>
      <c r="F74" s="67">
        <v>1.5469725000000001</v>
      </c>
      <c r="G74" s="139">
        <v>0.4119025</v>
      </c>
      <c r="H74" s="139">
        <v>0.85815895101119455</v>
      </c>
      <c r="I74" s="139">
        <v>13.317650631102541</v>
      </c>
      <c r="J74" s="139">
        <v>28.172284999999999</v>
      </c>
      <c r="K74" s="139">
        <v>17.704238079425</v>
      </c>
      <c r="L74" s="139">
        <v>16.288270000000001</v>
      </c>
      <c r="M74" s="139">
        <v>0.19622341077727876</v>
      </c>
      <c r="N74" s="139">
        <v>15.5526617902</v>
      </c>
      <c r="O74" s="139">
        <v>11.8195043783</v>
      </c>
      <c r="P74" s="139">
        <v>2.9384100000000002</v>
      </c>
      <c r="Q74" s="140">
        <v>1.3885769271327639</v>
      </c>
      <c r="R74" s="141">
        <v>7205.2067999999999</v>
      </c>
      <c r="S74" s="140">
        <v>0.44492656672514008</v>
      </c>
      <c r="T74" s="142">
        <v>0.67329814695266932</v>
      </c>
      <c r="U74" s="156">
        <v>37.491127166666665</v>
      </c>
      <c r="V74" s="140">
        <v>0.3585982856896488</v>
      </c>
      <c r="W74" s="67" t="s">
        <v>78</v>
      </c>
    </row>
    <row r="75" spans="1:23" x14ac:dyDescent="0.25">
      <c r="A75" t="s">
        <v>52</v>
      </c>
      <c r="B75">
        <v>0.01</v>
      </c>
      <c r="C75" s="138">
        <v>43465</v>
      </c>
      <c r="D75" s="139">
        <v>98.362130632200007</v>
      </c>
      <c r="E75" s="139">
        <v>2.7110971863884479</v>
      </c>
      <c r="F75" s="67">
        <v>1.0393375</v>
      </c>
      <c r="G75" s="139">
        <v>0.64378999999999997</v>
      </c>
      <c r="H75" s="139">
        <v>1.3324872972583364</v>
      </c>
      <c r="I75" s="139">
        <v>7.1418381844513377</v>
      </c>
      <c r="J75" s="139">
        <v>26.860275000000001</v>
      </c>
      <c r="K75" s="139">
        <v>18.901280701975001</v>
      </c>
      <c r="L75" s="139">
        <v>6.4367450000000002</v>
      </c>
      <c r="M75" s="139">
        <v>3.8200455686395374E-4</v>
      </c>
      <c r="N75" s="139">
        <v>12.7123736993</v>
      </c>
      <c r="O75" s="139">
        <v>6.2527115181999999</v>
      </c>
      <c r="P75" s="139">
        <v>3.0197799999999999</v>
      </c>
      <c r="Q75" s="140">
        <v>8.8557864202663623</v>
      </c>
      <c r="R75" s="141">
        <v>1381.213898</v>
      </c>
      <c r="S75" s="140" t="s">
        <v>464</v>
      </c>
      <c r="T75" s="142">
        <v>2.9534833750160359</v>
      </c>
      <c r="U75" s="156">
        <v>15.07300888</v>
      </c>
      <c r="V75" s="140" t="s">
        <v>464</v>
      </c>
      <c r="W75" s="67" t="s">
        <v>52</v>
      </c>
    </row>
    <row r="76" spans="1:23" x14ac:dyDescent="0.25">
      <c r="A76" t="s">
        <v>67</v>
      </c>
      <c r="B76">
        <v>0</v>
      </c>
      <c r="C76" s="138">
        <v>43465</v>
      </c>
      <c r="D76" s="139">
        <v>56.90696988485</v>
      </c>
      <c r="E76" s="139">
        <v>2.2340276202961706</v>
      </c>
      <c r="F76" s="67">
        <v>1.4041625</v>
      </c>
      <c r="G76" s="139">
        <v>0.4882975</v>
      </c>
      <c r="H76" s="139">
        <v>1.0205238941983992</v>
      </c>
      <c r="I76" s="139">
        <v>-1.9383386920884771</v>
      </c>
      <c r="J76" s="139">
        <v>30.295692500000001</v>
      </c>
      <c r="K76" s="139">
        <v>24.452034219649999</v>
      </c>
      <c r="L76" s="139">
        <v>13.6352525</v>
      </c>
      <c r="M76" s="139">
        <v>-1.4541986402715508E-2</v>
      </c>
      <c r="N76" s="139">
        <v>30.281827618400001</v>
      </c>
      <c r="O76" s="139">
        <v>15.4350409758</v>
      </c>
      <c r="P76" s="139">
        <v>1.6947399999999999</v>
      </c>
      <c r="Q76" s="140">
        <v>0.43535847212190149</v>
      </c>
      <c r="R76" s="141">
        <v>1917.322028</v>
      </c>
      <c r="S76" s="140">
        <v>0.74708110226938729</v>
      </c>
      <c r="T76" s="142">
        <v>0.79023479771360172</v>
      </c>
      <c r="U76" s="156">
        <v>12.131490980000001</v>
      </c>
      <c r="V76" s="140">
        <v>0.3256212877635265</v>
      </c>
      <c r="W76" s="67" t="s">
        <v>67</v>
      </c>
    </row>
    <row r="77" spans="1:23" x14ac:dyDescent="0.25">
      <c r="A77" t="s">
        <v>12</v>
      </c>
      <c r="B77">
        <v>1</v>
      </c>
      <c r="C77" s="138">
        <v>43465</v>
      </c>
      <c r="D77" s="139">
        <v>19.483757565249999</v>
      </c>
      <c r="E77" s="139">
        <v>2.492489500787864</v>
      </c>
      <c r="F77" s="67">
        <v>0.72085750000000004</v>
      </c>
      <c r="G77" s="139">
        <v>0.36152000000000001</v>
      </c>
      <c r="H77" s="139">
        <v>1.8721583311565548</v>
      </c>
      <c r="I77" s="139">
        <v>15.596729426364433</v>
      </c>
      <c r="J77" s="139">
        <v>36.001075</v>
      </c>
      <c r="K77" s="139">
        <v>14.125262166375</v>
      </c>
      <c r="L77" s="139">
        <v>12.034202499999999</v>
      </c>
      <c r="M77" s="139">
        <v>-9.4877273326329191E-3</v>
      </c>
      <c r="N77" s="139">
        <v>21.822454066100001</v>
      </c>
      <c r="O77" s="139">
        <v>11.394036703399999</v>
      </c>
      <c r="P77" s="139">
        <v>4.3743400000000001</v>
      </c>
      <c r="Q77" s="140">
        <v>1.0892784967152056</v>
      </c>
      <c r="R77" s="141">
        <v>963.0068</v>
      </c>
      <c r="S77" s="140">
        <v>1.2037708958785114</v>
      </c>
      <c r="T77" s="142">
        <v>2.3903199037954104</v>
      </c>
      <c r="U77" s="156">
        <v>6.684688968333333</v>
      </c>
      <c r="V77" s="140">
        <v>0.38722460135389603</v>
      </c>
      <c r="W77" s="67" t="s">
        <v>12</v>
      </c>
    </row>
    <row r="78" spans="1:23" x14ac:dyDescent="0.25">
      <c r="A78" t="s">
        <v>13</v>
      </c>
      <c r="B78">
        <v>1</v>
      </c>
      <c r="C78" s="138">
        <v>43465</v>
      </c>
      <c r="D78" s="143">
        <v>201.64887828787499</v>
      </c>
      <c r="E78" s="143">
        <v>3.8612848281559411</v>
      </c>
      <c r="F78" s="67">
        <v>1.3740349999999999</v>
      </c>
      <c r="G78" s="139">
        <v>1.1290800000000001</v>
      </c>
      <c r="H78" s="139">
        <v>1.3759989991889674</v>
      </c>
      <c r="I78" s="139">
        <v>10.504126925782598</v>
      </c>
      <c r="J78" s="139">
        <v>23.562437500000001</v>
      </c>
      <c r="K78" s="139">
        <v>11.243340319925</v>
      </c>
      <c r="L78" s="139">
        <v>7.6097875000000004</v>
      </c>
      <c r="M78" s="139">
        <v>5.9933722965332996E-2</v>
      </c>
      <c r="N78" s="139">
        <v>28.620620666400001</v>
      </c>
      <c r="O78" s="139">
        <v>9.6811612394999997</v>
      </c>
      <c r="P78" s="139">
        <v>3.8052899999999998</v>
      </c>
      <c r="Q78" s="140">
        <v>0.218480627337994</v>
      </c>
      <c r="R78" s="141">
        <v>515.62800000000004</v>
      </c>
      <c r="S78" s="140">
        <v>-2.7309815934421549</v>
      </c>
      <c r="T78" s="142">
        <v>1.5289440278968773</v>
      </c>
      <c r="U78" s="156">
        <v>10.033262833333334</v>
      </c>
      <c r="V78" s="140">
        <v>0.3418705814069698</v>
      </c>
      <c r="W78" s="67" t="s">
        <v>13</v>
      </c>
    </row>
    <row r="79" spans="1:23" x14ac:dyDescent="0.25">
      <c r="A79" t="s">
        <v>33</v>
      </c>
      <c r="B79">
        <v>1</v>
      </c>
      <c r="C79" s="138">
        <v>43343</v>
      </c>
      <c r="D79" s="143">
        <v>105.138708544</v>
      </c>
      <c r="E79" s="143">
        <v>3.5525795716032431</v>
      </c>
      <c r="F79" s="67">
        <v>1.1879774999999999</v>
      </c>
      <c r="G79" s="139">
        <v>0.52354250000000002</v>
      </c>
      <c r="H79" s="139">
        <v>0.93272694755350438</v>
      </c>
      <c r="I79" s="139">
        <v>1.234625625029401</v>
      </c>
      <c r="J79" s="139">
        <v>26.681822499999999</v>
      </c>
      <c r="K79" s="139">
        <v>16.86305114975</v>
      </c>
      <c r="L79" s="139">
        <v>4.7860725000000004</v>
      </c>
      <c r="M79" s="139">
        <v>-2.3154010568261204E-4</v>
      </c>
      <c r="N79" s="139">
        <v>16.112762290999999</v>
      </c>
      <c r="O79" s="139">
        <v>4.7684154469999998</v>
      </c>
      <c r="P79" s="139">
        <v>1.3532200000000001</v>
      </c>
      <c r="Q79" s="140">
        <v>-0.86360794609441682</v>
      </c>
      <c r="R79" s="141">
        <v>72.478909999999999</v>
      </c>
      <c r="S79" s="140">
        <v>-3.9142716683211454E-2</v>
      </c>
      <c r="T79" s="142">
        <v>0.35915835756614378</v>
      </c>
      <c r="U79" s="156">
        <v>1.3304759866666667</v>
      </c>
      <c r="V79" s="140">
        <v>0.2157263593153933</v>
      </c>
      <c r="W79" s="67" t="s">
        <v>33</v>
      </c>
    </row>
    <row r="80" spans="1:23" x14ac:dyDescent="0.25">
      <c r="A80" t="s">
        <v>14</v>
      </c>
      <c r="B80">
        <v>0.1</v>
      </c>
      <c r="C80" s="138">
        <v>43434</v>
      </c>
      <c r="D80" s="143">
        <v>411.48681746264998</v>
      </c>
      <c r="E80" s="143">
        <v>7.16664173968553</v>
      </c>
      <c r="F80" s="67">
        <v>0.67762250000000002</v>
      </c>
      <c r="G80" s="139">
        <v>0.448015</v>
      </c>
      <c r="H80" s="139">
        <v>0.77411934688283723</v>
      </c>
      <c r="I80" s="139">
        <v>7.7843998054694268</v>
      </c>
      <c r="J80" s="139">
        <v>24.759282500000001</v>
      </c>
      <c r="K80" s="139">
        <v>14.527873082299999</v>
      </c>
      <c r="L80" s="139">
        <v>-33.386387499999998</v>
      </c>
      <c r="M80" s="139">
        <v>-0.27448343468113934</v>
      </c>
      <c r="N80" s="139">
        <v>-180.82687788609999</v>
      </c>
      <c r="O80" s="139">
        <v>-25.1012302229</v>
      </c>
      <c r="P80" s="139">
        <v>-0.217</v>
      </c>
      <c r="Q80" s="140">
        <v>1.0484739783263513</v>
      </c>
      <c r="R80" s="141">
        <v>-736.60260000000005</v>
      </c>
      <c r="S80" s="140">
        <v>0.73056699318724494</v>
      </c>
      <c r="T80" s="142">
        <v>1.6019281457316412</v>
      </c>
      <c r="U80" s="156">
        <v>3.5155433333333335</v>
      </c>
      <c r="V80" s="140">
        <v>0.22436808489956883</v>
      </c>
      <c r="W80" s="67" t="s">
        <v>14</v>
      </c>
    </row>
    <row r="81" spans="1:23" x14ac:dyDescent="0.25">
      <c r="A81" t="s">
        <v>8</v>
      </c>
      <c r="B81" s="38">
        <v>1</v>
      </c>
      <c r="C81" s="169" t="s">
        <v>464</v>
      </c>
      <c r="D81" s="143" t="s">
        <v>464</v>
      </c>
      <c r="E81" s="143" t="s">
        <v>464</v>
      </c>
      <c r="F81" s="67" t="s">
        <v>464</v>
      </c>
      <c r="G81" s="139" t="s">
        <v>464</v>
      </c>
      <c r="H81" s="139" t="s">
        <v>464</v>
      </c>
      <c r="I81" s="139" t="s">
        <v>464</v>
      </c>
      <c r="J81" s="139" t="s">
        <v>464</v>
      </c>
      <c r="K81" s="139" t="s">
        <v>464</v>
      </c>
      <c r="L81" s="139" t="s">
        <v>464</v>
      </c>
      <c r="M81" s="139" t="s">
        <v>464</v>
      </c>
      <c r="N81" s="139" t="s">
        <v>464</v>
      </c>
      <c r="O81" s="139" t="s">
        <v>464</v>
      </c>
      <c r="P81" s="139" t="s">
        <v>464</v>
      </c>
      <c r="Q81" s="140" t="s">
        <v>464</v>
      </c>
      <c r="R81" s="141" t="s">
        <v>464</v>
      </c>
      <c r="S81" s="140" t="s">
        <v>464</v>
      </c>
      <c r="T81" s="142" t="s">
        <v>464</v>
      </c>
      <c r="U81" s="156" t="s">
        <v>464</v>
      </c>
      <c r="V81" s="140" t="s">
        <v>464</v>
      </c>
      <c r="W81" s="67" t="s">
        <v>8</v>
      </c>
    </row>
    <row r="82" spans="1:23" x14ac:dyDescent="0.25">
      <c r="A82" t="s">
        <v>23</v>
      </c>
      <c r="B82">
        <v>1</v>
      </c>
      <c r="C82" s="138">
        <v>43465</v>
      </c>
      <c r="D82" s="143">
        <v>152.13213750887499</v>
      </c>
      <c r="E82" s="143">
        <v>3.603937286263263</v>
      </c>
      <c r="F82" s="67">
        <v>0.97480999999999995</v>
      </c>
      <c r="G82" s="139">
        <v>0.63110250000000001</v>
      </c>
      <c r="H82" s="139">
        <v>1.0491036791208543</v>
      </c>
      <c r="I82" s="139">
        <v>4.460761332159592</v>
      </c>
      <c r="J82" s="139">
        <v>9.9606525000000001</v>
      </c>
      <c r="K82" s="139">
        <v>-4.222175745575</v>
      </c>
      <c r="L82" s="139">
        <v>-8.7860975000000003</v>
      </c>
      <c r="M82" s="139">
        <v>-6.8768090012427494E-2</v>
      </c>
      <c r="N82" s="139">
        <v>-36.928646025600003</v>
      </c>
      <c r="O82" s="139">
        <v>-10.4497411503</v>
      </c>
      <c r="P82" s="139">
        <v>-0.88224000000000002</v>
      </c>
      <c r="Q82" s="140">
        <v>-0.51198903592156331</v>
      </c>
      <c r="R82" s="141">
        <v>-7.2774919999999996</v>
      </c>
      <c r="S82" s="140">
        <v>-9.2830045693370167E-2</v>
      </c>
      <c r="T82" s="142">
        <v>48.975749972881978</v>
      </c>
      <c r="U82" s="156">
        <v>0.40992541833333329</v>
      </c>
      <c r="V82" s="140">
        <v>0.21209828656348573</v>
      </c>
      <c r="W82" s="67" t="s">
        <v>23</v>
      </c>
    </row>
    <row r="83" spans="1:23" x14ac:dyDescent="0.25">
      <c r="A83" t="s">
        <v>25</v>
      </c>
      <c r="B83">
        <v>1</v>
      </c>
      <c r="C83" s="138">
        <v>43496</v>
      </c>
      <c r="D83" s="143">
        <v>5.3970465856749996</v>
      </c>
      <c r="E83" s="143">
        <v>2.6694432998479658</v>
      </c>
      <c r="F83" s="67">
        <v>1.8896975</v>
      </c>
      <c r="G83" s="139">
        <v>1.2186349999999999</v>
      </c>
      <c r="H83" s="139" t="s">
        <v>464</v>
      </c>
      <c r="I83" s="139" t="s">
        <v>464</v>
      </c>
      <c r="J83" s="139" t="s">
        <v>464</v>
      </c>
      <c r="K83" s="139">
        <v>3.657833368475</v>
      </c>
      <c r="L83" s="139" t="s">
        <v>464</v>
      </c>
      <c r="M83" s="139" t="s">
        <v>464</v>
      </c>
      <c r="N83" s="139">
        <v>13.095156750799999</v>
      </c>
      <c r="O83" s="139">
        <v>3.4323863553999998</v>
      </c>
      <c r="P83" s="139" t="s">
        <v>464</v>
      </c>
      <c r="Q83" s="140">
        <v>1.0865102639296187</v>
      </c>
      <c r="R83" s="141">
        <v>-22.934799999999999</v>
      </c>
      <c r="S83" s="140">
        <v>-1.9513402787750587</v>
      </c>
      <c r="T83" s="142">
        <v>1.5355169662532213</v>
      </c>
      <c r="U83" s="156">
        <v>0.47856816666666668</v>
      </c>
      <c r="V83" s="140">
        <v>2.4124545291415611E-2</v>
      </c>
      <c r="W83" s="67" t="s">
        <v>25</v>
      </c>
    </row>
    <row r="84" spans="1:23" x14ac:dyDescent="0.25">
      <c r="A84" s="69" t="s">
        <v>109</v>
      </c>
      <c r="B84" s="70"/>
      <c r="C84" s="70"/>
      <c r="D84" s="145">
        <v>118.70505441485001</v>
      </c>
      <c r="E84" s="145">
        <v>3.2908291958496179</v>
      </c>
      <c r="F84" s="146">
        <v>1.2017191666666667</v>
      </c>
      <c r="G84" s="146">
        <v>0.65065388888888886</v>
      </c>
      <c r="H84" s="146">
        <v>1.1519096807963312</v>
      </c>
      <c r="I84" s="146">
        <v>7.2627241547838572</v>
      </c>
      <c r="J84" s="146">
        <v>25.786690312500006</v>
      </c>
      <c r="K84" s="146">
        <v>13.028081926922221</v>
      </c>
      <c r="L84" s="146">
        <v>2.3272306250000008</v>
      </c>
      <c r="M84" s="146">
        <v>-1.3871705029390268E-2</v>
      </c>
      <c r="N84" s="146">
        <v>-8.8397407810555553</v>
      </c>
      <c r="O84" s="146">
        <v>3.0258094715999997</v>
      </c>
      <c r="P84" s="146">
        <v>2.0108174999999999</v>
      </c>
      <c r="Q84" s="147">
        <v>1.4163186893126907</v>
      </c>
      <c r="R84" s="148">
        <v>1254.2268382222221</v>
      </c>
      <c r="S84" s="149">
        <v>-0.2109936345666889</v>
      </c>
      <c r="T84" s="149">
        <v>6.7565148548675085</v>
      </c>
      <c r="U84" s="165">
        <v>9.6831213037037038</v>
      </c>
      <c r="V84" s="147">
        <v>0.2612040040354881</v>
      </c>
      <c r="W84" s="78" t="s">
        <v>110</v>
      </c>
    </row>
    <row r="85" spans="1:23" ht="26.25" customHeight="1" x14ac:dyDescent="0.25">
      <c r="A85" s="96"/>
      <c r="B85" s="31"/>
      <c r="C85" s="31"/>
      <c r="D85" s="159"/>
      <c r="E85" s="159"/>
      <c r="F85" s="31"/>
      <c r="G85" s="31"/>
      <c r="H85" s="31"/>
      <c r="I85" s="31"/>
      <c r="J85" s="31"/>
      <c r="K85" s="31"/>
      <c r="L85" s="31"/>
      <c r="M85" s="31"/>
      <c r="N85" s="31"/>
      <c r="O85" s="31"/>
      <c r="P85" s="31"/>
      <c r="Q85" s="31"/>
      <c r="R85" s="31"/>
      <c r="S85" s="31"/>
      <c r="T85" s="31"/>
      <c r="U85" s="31"/>
      <c r="V85" s="31"/>
      <c r="W85" s="96"/>
    </row>
    <row r="86" spans="1:23" x14ac:dyDescent="0.25">
      <c r="A86" s="124" t="s">
        <v>4</v>
      </c>
      <c r="B86" s="125" t="s">
        <v>125</v>
      </c>
      <c r="C86" s="126" t="s">
        <v>126</v>
      </c>
      <c r="D86" s="160" t="s">
        <v>127</v>
      </c>
      <c r="E86" s="161"/>
      <c r="F86" s="127" t="s">
        <v>128</v>
      </c>
      <c r="G86" s="128"/>
      <c r="H86" s="127" t="s">
        <v>129</v>
      </c>
      <c r="I86" s="128"/>
      <c r="J86" s="124" t="s">
        <v>130</v>
      </c>
      <c r="K86" s="162"/>
      <c r="L86" s="162"/>
      <c r="M86" s="162"/>
      <c r="N86" s="162"/>
      <c r="O86" s="162"/>
      <c r="P86" s="162"/>
      <c r="Q86" s="162"/>
      <c r="R86" s="162"/>
      <c r="S86" s="162"/>
      <c r="T86" s="162"/>
      <c r="U86" s="162"/>
      <c r="V86" s="163"/>
      <c r="W86" s="124" t="s">
        <v>4</v>
      </c>
    </row>
    <row r="87" spans="1:23" ht="36" x14ac:dyDescent="0.25">
      <c r="A87" s="130"/>
      <c r="B87" s="131"/>
      <c r="C87" s="132"/>
      <c r="D87" s="170" t="s">
        <v>131</v>
      </c>
      <c r="E87" s="170" t="s">
        <v>132</v>
      </c>
      <c r="F87" s="133" t="s">
        <v>133</v>
      </c>
      <c r="G87" s="133" t="s">
        <v>134</v>
      </c>
      <c r="H87" s="133" t="s">
        <v>135</v>
      </c>
      <c r="I87" s="133" t="s">
        <v>136</v>
      </c>
      <c r="J87" s="133" t="s">
        <v>137</v>
      </c>
      <c r="K87" s="133" t="s">
        <v>138</v>
      </c>
      <c r="L87" s="133" t="s">
        <v>139</v>
      </c>
      <c r="M87" s="133" t="s">
        <v>140</v>
      </c>
      <c r="N87" s="133" t="s">
        <v>141</v>
      </c>
      <c r="O87" s="133" t="s">
        <v>142</v>
      </c>
      <c r="P87" s="164" t="s">
        <v>143</v>
      </c>
      <c r="Q87" s="164" t="s">
        <v>307</v>
      </c>
      <c r="R87" s="164" t="s">
        <v>145</v>
      </c>
      <c r="S87" s="164" t="s">
        <v>146</v>
      </c>
      <c r="T87" s="164" t="s">
        <v>147</v>
      </c>
      <c r="U87" s="164" t="s">
        <v>148</v>
      </c>
      <c r="V87" s="164" t="s">
        <v>149</v>
      </c>
      <c r="W87" s="130"/>
    </row>
    <row r="88" spans="1:23" x14ac:dyDescent="0.25">
      <c r="A88" s="57" t="s">
        <v>117</v>
      </c>
      <c r="B88" s="82"/>
      <c r="C88" s="82"/>
      <c r="D88" s="82"/>
      <c r="E88" s="82"/>
      <c r="F88" s="82"/>
      <c r="G88" s="82"/>
      <c r="H88" s="82"/>
      <c r="I88" s="82"/>
      <c r="J88" s="82"/>
      <c r="K88" s="82"/>
      <c r="L88" s="82"/>
      <c r="M88" s="82"/>
      <c r="N88" s="82"/>
      <c r="O88" s="82"/>
      <c r="P88" s="82"/>
      <c r="Q88" s="82"/>
      <c r="R88" s="82"/>
      <c r="S88" s="82"/>
      <c r="T88" s="82"/>
      <c r="U88" s="82"/>
      <c r="V88" s="82"/>
      <c r="W88" s="82"/>
    </row>
    <row r="89" spans="1:23" x14ac:dyDescent="0.25">
      <c r="A89" t="s">
        <v>28</v>
      </c>
      <c r="B89">
        <v>1</v>
      </c>
      <c r="C89" s="138">
        <v>43465</v>
      </c>
      <c r="D89" s="139">
        <v>54.269608690150001</v>
      </c>
      <c r="E89" s="139">
        <v>2.7312736868683056</v>
      </c>
      <c r="F89" s="139">
        <v>1.6365050000000001</v>
      </c>
      <c r="G89" s="139">
        <v>1.27789</v>
      </c>
      <c r="H89" s="139">
        <v>0.84836568200416518</v>
      </c>
      <c r="I89" s="139">
        <v>3.4417096486966026</v>
      </c>
      <c r="J89" s="139">
        <v>47.130800000000001</v>
      </c>
      <c r="K89" s="139">
        <v>9.0228340497250006</v>
      </c>
      <c r="L89" s="139">
        <v>-8.3959849999999996</v>
      </c>
      <c r="M89" s="139">
        <v>-0.23444135273965536</v>
      </c>
      <c r="N89" s="139">
        <v>-19.514353743899999</v>
      </c>
      <c r="O89" s="139">
        <v>-8.5134046285</v>
      </c>
      <c r="P89" s="139">
        <v>-2.7845900000000001</v>
      </c>
      <c r="Q89" s="140" t="s">
        <v>464</v>
      </c>
      <c r="R89" s="141">
        <v>-57.031438000000001</v>
      </c>
      <c r="S89" s="140">
        <v>-5.626012256826046</v>
      </c>
      <c r="T89" s="140">
        <v>26.951731206612418</v>
      </c>
      <c r="U89" s="156">
        <v>0.88627657000000004</v>
      </c>
      <c r="V89" s="140">
        <v>0.47557001259354692</v>
      </c>
      <c r="W89" s="67" t="s">
        <v>28</v>
      </c>
    </row>
    <row r="90" spans="1:23" x14ac:dyDescent="0.25">
      <c r="A90" t="s">
        <v>72</v>
      </c>
      <c r="B90">
        <v>1</v>
      </c>
      <c r="C90" s="138">
        <v>43465</v>
      </c>
      <c r="D90" s="139">
        <v>82.107395662475</v>
      </c>
      <c r="E90" s="139">
        <v>3.2245609581467072</v>
      </c>
      <c r="F90" s="139">
        <v>1.4726524999999999</v>
      </c>
      <c r="G90" s="139">
        <v>0.88753000000000004</v>
      </c>
      <c r="H90" s="139">
        <v>0.8906451556058318</v>
      </c>
      <c r="I90" s="139">
        <v>-0.84687293312667578</v>
      </c>
      <c r="J90" s="139">
        <v>18.58325</v>
      </c>
      <c r="K90" s="139">
        <v>-0.49448757400000098</v>
      </c>
      <c r="L90" s="139">
        <v>-16.616990000000001</v>
      </c>
      <c r="M90" s="139">
        <v>6.6538367876802798E-2</v>
      </c>
      <c r="N90" s="139">
        <v>0.56749111299999999</v>
      </c>
      <c r="O90" s="139">
        <v>2.6079415997000002</v>
      </c>
      <c r="P90" s="139">
        <v>-0.66274</v>
      </c>
      <c r="Q90" s="140">
        <v>-7.9552427914735162</v>
      </c>
      <c r="R90" s="141">
        <v>-32.357618000000002</v>
      </c>
      <c r="S90" s="140">
        <v>-1.6143662281921243</v>
      </c>
      <c r="T90" s="140">
        <v>7.761533542829822</v>
      </c>
      <c r="U90" s="156">
        <v>0.17809206</v>
      </c>
      <c r="V90" s="140">
        <v>0.28539792280295084</v>
      </c>
      <c r="W90" s="67" t="s">
        <v>72</v>
      </c>
    </row>
    <row r="91" spans="1:23" x14ac:dyDescent="0.25">
      <c r="A91" s="69" t="s">
        <v>109</v>
      </c>
      <c r="B91" s="70"/>
      <c r="C91" s="157"/>
      <c r="D91" s="146">
        <v>68.188502176312497</v>
      </c>
      <c r="E91" s="146">
        <v>2.9779173225075066</v>
      </c>
      <c r="F91" s="146">
        <v>1.5545787500000001</v>
      </c>
      <c r="G91" s="146">
        <v>1.0827100000000001</v>
      </c>
      <c r="H91" s="146">
        <v>0.86950541880499843</v>
      </c>
      <c r="I91" s="146">
        <v>1.2974183577849634</v>
      </c>
      <c r="J91" s="146">
        <v>32.857025</v>
      </c>
      <c r="K91" s="146">
        <v>4.2641732378624999</v>
      </c>
      <c r="L91" s="146">
        <v>-12.5064875</v>
      </c>
      <c r="M91" s="146">
        <v>-8.3951492431426272E-2</v>
      </c>
      <c r="N91" s="146">
        <v>-9.4734313154500001</v>
      </c>
      <c r="O91" s="146">
        <v>-2.9527315143999999</v>
      </c>
      <c r="P91" s="146">
        <v>-1.723665</v>
      </c>
      <c r="Q91" s="147">
        <v>-7.9552427914735162</v>
      </c>
      <c r="R91" s="148">
        <v>-44.694528000000005</v>
      </c>
      <c r="S91" s="147">
        <v>-3.6201892425090851</v>
      </c>
      <c r="T91" s="147">
        <v>17.356632374721119</v>
      </c>
      <c r="U91" s="165">
        <v>0.53218431500000007</v>
      </c>
      <c r="V91" s="147">
        <v>0.38048396769824888</v>
      </c>
      <c r="W91" s="78" t="s">
        <v>110</v>
      </c>
    </row>
    <row r="92" spans="1:23" x14ac:dyDescent="0.25">
      <c r="C92" s="138"/>
      <c r="D92" s="139"/>
      <c r="E92" s="139"/>
      <c r="F92" s="139"/>
      <c r="G92" s="139"/>
      <c r="H92" s="139"/>
      <c r="I92" s="139"/>
      <c r="J92" s="139"/>
      <c r="K92" s="139"/>
      <c r="L92" s="139"/>
      <c r="M92" s="139"/>
      <c r="N92" s="139"/>
      <c r="O92" s="139"/>
      <c r="P92" s="139"/>
      <c r="Q92" s="142"/>
      <c r="R92" s="141"/>
      <c r="S92" s="142"/>
      <c r="T92" s="142"/>
      <c r="U92" s="156"/>
      <c r="V92" s="140"/>
      <c r="W92" s="67"/>
    </row>
    <row r="93" spans="1:23" x14ac:dyDescent="0.25">
      <c r="A93" s="57" t="s">
        <v>118</v>
      </c>
      <c r="B93" s="82"/>
      <c r="C93" s="158"/>
      <c r="D93" s="151"/>
      <c r="E93" s="151"/>
      <c r="F93" s="152"/>
      <c r="G93" s="152"/>
      <c r="H93" s="152"/>
      <c r="I93" s="152"/>
      <c r="J93" s="152"/>
      <c r="K93" s="152"/>
      <c r="L93" s="152"/>
      <c r="M93" s="152"/>
      <c r="N93" s="152"/>
      <c r="O93" s="152"/>
      <c r="P93" s="152"/>
      <c r="Q93" s="155"/>
      <c r="R93" s="154"/>
      <c r="S93" s="155"/>
      <c r="T93" s="155"/>
      <c r="U93" s="167"/>
      <c r="V93" s="153"/>
      <c r="W93" s="88"/>
    </row>
    <row r="94" spans="1:23" x14ac:dyDescent="0.25">
      <c r="A94" t="s">
        <v>49</v>
      </c>
      <c r="B94">
        <v>1</v>
      </c>
      <c r="C94" s="138">
        <v>43373</v>
      </c>
      <c r="D94" s="143">
        <v>30.440767636349999</v>
      </c>
      <c r="E94" s="143">
        <v>3.3817290939515563</v>
      </c>
      <c r="F94" s="139">
        <v>0.96750499999999995</v>
      </c>
      <c r="G94" s="139">
        <v>0.95923499999999995</v>
      </c>
      <c r="H94" s="139">
        <v>1.9433959543689663</v>
      </c>
      <c r="I94" s="139">
        <v>326.54318470482457</v>
      </c>
      <c r="J94" s="139" t="s">
        <v>464</v>
      </c>
      <c r="K94" s="139">
        <v>15.17281625695</v>
      </c>
      <c r="L94" s="139">
        <v>9.0986925000000003</v>
      </c>
      <c r="M94" s="139">
        <v>3.3463057125917225E-2</v>
      </c>
      <c r="N94" s="139">
        <v>69.301737324599998</v>
      </c>
      <c r="O94" s="139">
        <v>19.756966185</v>
      </c>
      <c r="P94" s="139">
        <v>4.7536100000000001</v>
      </c>
      <c r="Q94" s="140">
        <v>0.40031376782497463</v>
      </c>
      <c r="R94" s="141">
        <v>484.14844799999997</v>
      </c>
      <c r="S94" s="140">
        <v>-3.4349408399826173</v>
      </c>
      <c r="T94" s="142">
        <v>3.6576101405493784</v>
      </c>
      <c r="U94" s="156">
        <v>2.7863415866666665</v>
      </c>
      <c r="V94" s="140">
        <v>0.5024501399348491</v>
      </c>
      <c r="W94" s="67" t="s">
        <v>49</v>
      </c>
    </row>
    <row r="95" spans="1:23" x14ac:dyDescent="0.25">
      <c r="A95" t="s">
        <v>73</v>
      </c>
      <c r="B95">
        <v>1</v>
      </c>
      <c r="C95" s="138">
        <v>43465</v>
      </c>
      <c r="D95" s="139">
        <v>3207.8645437638502</v>
      </c>
      <c r="E95" s="139">
        <v>7.2185736524615685</v>
      </c>
      <c r="F95" s="139">
        <v>1.383985</v>
      </c>
      <c r="G95" s="139">
        <v>1.28024</v>
      </c>
      <c r="H95" s="139">
        <v>0.74185396097988343</v>
      </c>
      <c r="I95" s="139">
        <v>17.810089806786561</v>
      </c>
      <c r="J95" s="139">
        <v>36.666617500000001</v>
      </c>
      <c r="K95" s="139">
        <v>25.793018071224999</v>
      </c>
      <c r="L95" s="139">
        <v>-1.305245</v>
      </c>
      <c r="M95" s="139">
        <v>-8.0196220930232556E-2</v>
      </c>
      <c r="N95" s="139">
        <v>10.029536763499999</v>
      </c>
      <c r="O95" s="139">
        <v>3.6474747711000002</v>
      </c>
      <c r="P95" s="139">
        <v>3.2046100000000002</v>
      </c>
      <c r="Q95" s="140">
        <v>3.143560179977503</v>
      </c>
      <c r="R95" s="141">
        <v>5231.6000000000004</v>
      </c>
      <c r="S95" s="140">
        <v>0.67323866795986098</v>
      </c>
      <c r="T95" s="142">
        <v>68.5923960580147</v>
      </c>
      <c r="U95" s="156">
        <v>39.316403415000003</v>
      </c>
      <c r="V95" s="140">
        <v>0.83195543427298846</v>
      </c>
      <c r="W95" s="67" t="s">
        <v>73</v>
      </c>
    </row>
    <row r="96" spans="1:23" x14ac:dyDescent="0.25">
      <c r="A96" t="s">
        <v>44</v>
      </c>
      <c r="B96">
        <v>1</v>
      </c>
      <c r="C96" s="138">
        <v>43465</v>
      </c>
      <c r="D96" s="139">
        <v>263.15661123357501</v>
      </c>
      <c r="E96" s="139">
        <v>4.8524006920830161</v>
      </c>
      <c r="F96" s="139">
        <v>0.84140499999999996</v>
      </c>
      <c r="G96" s="139">
        <v>0.79838249999999999</v>
      </c>
      <c r="H96" s="139">
        <v>1.2293330821819612</v>
      </c>
      <c r="I96" s="139">
        <v>47.683081125909268</v>
      </c>
      <c r="J96" s="139" t="s">
        <v>464</v>
      </c>
      <c r="K96" s="139">
        <v>10.308714854625</v>
      </c>
      <c r="L96" s="139">
        <v>6.9733650000000003</v>
      </c>
      <c r="M96" s="139">
        <v>-2.5325962269003983E-2</v>
      </c>
      <c r="N96" s="139">
        <v>14.6265119138</v>
      </c>
      <c r="O96" s="139">
        <v>5.8123306985000003</v>
      </c>
      <c r="P96" s="139">
        <v>4.8385199999999999</v>
      </c>
      <c r="Q96" s="140">
        <v>1.5924168490863284</v>
      </c>
      <c r="R96" s="141">
        <v>2246.7370000000001</v>
      </c>
      <c r="S96" s="140">
        <v>0.37738072049836058</v>
      </c>
      <c r="T96" s="142">
        <v>3.1238132486735175</v>
      </c>
      <c r="U96" s="156">
        <v>19.770399000000001</v>
      </c>
      <c r="V96" s="140">
        <v>0.74992203379092692</v>
      </c>
      <c r="W96" s="67" t="s">
        <v>44</v>
      </c>
    </row>
    <row r="97" spans="1:23" x14ac:dyDescent="0.25">
      <c r="A97" t="s">
        <v>63</v>
      </c>
      <c r="B97">
        <v>1</v>
      </c>
      <c r="C97" s="138">
        <v>43465</v>
      </c>
      <c r="D97" s="139">
        <v>57.355903212500003</v>
      </c>
      <c r="E97" s="139">
        <v>2.0244958404647413</v>
      </c>
      <c r="F97" s="139">
        <v>3.2432650000000001</v>
      </c>
      <c r="G97" s="139">
        <v>3.2432650000000001</v>
      </c>
      <c r="H97" s="139">
        <v>0.79699167356445422</v>
      </c>
      <c r="I97" s="141" t="s">
        <v>464</v>
      </c>
      <c r="J97" s="139">
        <v>60.723399999999998</v>
      </c>
      <c r="K97" s="139">
        <v>57.588529994849999</v>
      </c>
      <c r="L97" s="139">
        <v>35.666640000000001</v>
      </c>
      <c r="M97" s="139">
        <v>0.12117698094850696</v>
      </c>
      <c r="N97" s="139">
        <v>29.5257027436</v>
      </c>
      <c r="O97" s="139">
        <v>16.9030629238</v>
      </c>
      <c r="P97" s="139">
        <v>6.8700599999999996</v>
      </c>
      <c r="Q97" s="140">
        <v>-0.23406159123107895</v>
      </c>
      <c r="R97" s="141">
        <v>1672.3904</v>
      </c>
      <c r="S97" s="140">
        <v>-4.524974425653518</v>
      </c>
      <c r="T97" s="142">
        <v>30.551039876241287</v>
      </c>
      <c r="U97" s="156">
        <v>4.3471535250000004</v>
      </c>
      <c r="V97" s="140">
        <v>0.62295754399227277</v>
      </c>
      <c r="W97" s="67" t="s">
        <v>63</v>
      </c>
    </row>
    <row r="98" spans="1:23" x14ac:dyDescent="0.25">
      <c r="A98" t="s">
        <v>80</v>
      </c>
      <c r="B98">
        <v>1</v>
      </c>
      <c r="C98" s="138">
        <v>43465</v>
      </c>
      <c r="D98" s="143">
        <v>97.745773119999996</v>
      </c>
      <c r="E98" s="143">
        <v>3.1767525797580611</v>
      </c>
      <c r="F98" s="139">
        <v>0.89708500000000002</v>
      </c>
      <c r="G98" s="139">
        <v>0.89676</v>
      </c>
      <c r="H98" s="139">
        <v>1.0549856503483466</v>
      </c>
      <c r="I98" s="141">
        <v>10894.645727758463</v>
      </c>
      <c r="J98" s="139" t="s">
        <v>464</v>
      </c>
      <c r="K98" s="139">
        <v>13.678128419225001</v>
      </c>
      <c r="L98" s="139">
        <v>-4.8753875000000004</v>
      </c>
      <c r="M98" s="139">
        <v>-5.1665521477600909E-2</v>
      </c>
      <c r="N98" s="139">
        <v>-4.2687917800000003E-2</v>
      </c>
      <c r="O98" s="139">
        <v>-1.8887998000000001E-3</v>
      </c>
      <c r="P98" s="139">
        <v>5.0000000000000001E-9</v>
      </c>
      <c r="Q98" s="140">
        <v>12.21772961797083</v>
      </c>
      <c r="R98" s="141">
        <v>997.01160000000004</v>
      </c>
      <c r="S98" s="140">
        <v>-1.4701794460814024</v>
      </c>
      <c r="T98" s="142">
        <v>3.7588682004826102</v>
      </c>
      <c r="U98" s="156">
        <v>10.453952333333334</v>
      </c>
      <c r="V98" s="140">
        <v>0.69057117764301745</v>
      </c>
      <c r="W98" s="67" t="s">
        <v>80</v>
      </c>
    </row>
    <row r="99" spans="1:23" x14ac:dyDescent="0.25">
      <c r="A99" t="s">
        <v>79</v>
      </c>
      <c r="B99">
        <v>1</v>
      </c>
      <c r="C99" s="138">
        <v>43465</v>
      </c>
      <c r="D99" s="143">
        <v>0</v>
      </c>
      <c r="E99" s="143">
        <v>4.6391137017460338</v>
      </c>
      <c r="F99" s="139">
        <v>1.1399375</v>
      </c>
      <c r="G99" s="139">
        <v>1.1268050000000001</v>
      </c>
      <c r="H99" s="139">
        <v>1.7892818917546971</v>
      </c>
      <c r="I99" s="139">
        <v>198.69433998690968</v>
      </c>
      <c r="J99" s="139">
        <v>30.920555</v>
      </c>
      <c r="K99" s="139">
        <v>18.326325475074999</v>
      </c>
      <c r="L99" s="139">
        <v>7.6327825000000002</v>
      </c>
      <c r="M99" s="139">
        <v>0.10116083221949067</v>
      </c>
      <c r="N99" s="139">
        <v>62.814244801400001</v>
      </c>
      <c r="O99" s="139">
        <v>18.860178738599998</v>
      </c>
      <c r="P99" s="139">
        <v>8.4562200000000001</v>
      </c>
      <c r="Q99" s="140">
        <v>8.0114794145890968</v>
      </c>
      <c r="R99" s="141">
        <v>1340.338448</v>
      </c>
      <c r="S99" s="140">
        <v>1.8364964811430879</v>
      </c>
      <c r="T99" s="142">
        <v>5.4502085323376086</v>
      </c>
      <c r="U99" s="156">
        <v>5.9961262133333326</v>
      </c>
      <c r="V99" s="140">
        <v>0.82697055086440674</v>
      </c>
      <c r="W99" s="67" t="s">
        <v>79</v>
      </c>
    </row>
    <row r="100" spans="1:23" x14ac:dyDescent="0.25">
      <c r="A100" t="s">
        <v>70</v>
      </c>
      <c r="B100">
        <v>1</v>
      </c>
      <c r="C100" s="138">
        <v>43496</v>
      </c>
      <c r="D100" s="143">
        <v>108.45412899535</v>
      </c>
      <c r="E100" s="143">
        <v>2.6261650731591066</v>
      </c>
      <c r="F100" s="139">
        <v>3.8481274999999999</v>
      </c>
      <c r="G100" s="139">
        <v>3.7603624999999998</v>
      </c>
      <c r="H100" s="139">
        <v>0.37382582051705526</v>
      </c>
      <c r="I100" s="156">
        <v>26.895872969502733</v>
      </c>
      <c r="J100" s="139" t="s">
        <v>464</v>
      </c>
      <c r="K100" s="139">
        <v>46.390769775000003</v>
      </c>
      <c r="L100" s="139">
        <v>3.6553149999999999</v>
      </c>
      <c r="M100" s="139">
        <v>-2.9580697844595417E-2</v>
      </c>
      <c r="N100" s="139">
        <v>10.509915061199999</v>
      </c>
      <c r="O100" s="139">
        <v>4.0084710175999998</v>
      </c>
      <c r="P100" s="139">
        <v>3.1192000000000002</v>
      </c>
      <c r="Q100" s="140">
        <v>3.1970930457946358</v>
      </c>
      <c r="R100" s="141">
        <v>286.39838600000002</v>
      </c>
      <c r="S100" s="140">
        <v>-2.5323286384195973</v>
      </c>
      <c r="T100" s="142">
        <v>2.0268718326696518</v>
      </c>
      <c r="U100" s="156">
        <v>1.9524587516666667</v>
      </c>
      <c r="V100" s="140">
        <v>0.42354387158062989</v>
      </c>
      <c r="W100" s="67" t="s">
        <v>70</v>
      </c>
    </row>
    <row r="101" spans="1:23" x14ac:dyDescent="0.25">
      <c r="A101" t="s">
        <v>81</v>
      </c>
      <c r="B101">
        <v>1</v>
      </c>
      <c r="C101" s="138">
        <v>43465</v>
      </c>
      <c r="D101" s="143">
        <v>0</v>
      </c>
      <c r="E101" s="143">
        <v>2.2073398361231789</v>
      </c>
      <c r="F101" s="139">
        <v>1.0974425000000001</v>
      </c>
      <c r="G101" s="139">
        <v>1.0940274999999999</v>
      </c>
      <c r="H101" s="139">
        <v>1.826277585967615</v>
      </c>
      <c r="I101" s="156">
        <v>723.54708128733034</v>
      </c>
      <c r="J101" s="139">
        <v>36.599220000000003</v>
      </c>
      <c r="K101" s="139">
        <v>25.029528193225001</v>
      </c>
      <c r="L101" s="139">
        <v>16.959507500000001</v>
      </c>
      <c r="M101" s="139">
        <v>5.8367935093042646E-2</v>
      </c>
      <c r="N101" s="139">
        <v>26.8751631063</v>
      </c>
      <c r="O101" s="139">
        <v>16.8508760482</v>
      </c>
      <c r="P101" s="139">
        <v>5.9213500000000003</v>
      </c>
      <c r="Q101" s="140">
        <v>-0.63497467131147711</v>
      </c>
      <c r="R101" s="141">
        <v>597.779</v>
      </c>
      <c r="S101" s="140">
        <v>1.062677884386475</v>
      </c>
      <c r="T101" s="142">
        <v>4.1688824820141521</v>
      </c>
      <c r="U101" s="156">
        <v>2.6319888333333337</v>
      </c>
      <c r="V101" s="140">
        <v>0.87927199732347616</v>
      </c>
      <c r="W101" s="67" t="s">
        <v>81</v>
      </c>
    </row>
    <row r="102" spans="1:23" x14ac:dyDescent="0.25">
      <c r="A102" t="s">
        <v>65</v>
      </c>
      <c r="B102">
        <v>1</v>
      </c>
      <c r="C102" s="138">
        <v>43465</v>
      </c>
      <c r="D102" s="143">
        <v>37.400142577974997</v>
      </c>
      <c r="E102" s="143">
        <v>1.8526929511327317</v>
      </c>
      <c r="F102" s="139">
        <v>1.270945</v>
      </c>
      <c r="G102" s="139">
        <v>1.2495499999999999</v>
      </c>
      <c r="H102" s="139">
        <v>0.350010448822902</v>
      </c>
      <c r="I102" s="139">
        <v>31.395755772332208</v>
      </c>
      <c r="J102" s="139" t="s">
        <v>464</v>
      </c>
      <c r="K102" s="156">
        <v>175.62953349452499</v>
      </c>
      <c r="L102" s="139">
        <v>188.1301225</v>
      </c>
      <c r="M102" s="139">
        <v>0.7770432172456796</v>
      </c>
      <c r="N102" s="139">
        <v>70.361191437399995</v>
      </c>
      <c r="O102" s="139">
        <v>36.916210942900001</v>
      </c>
      <c r="P102" s="139">
        <v>11.39569</v>
      </c>
      <c r="Q102" s="140">
        <v>-0.92755677091524547</v>
      </c>
      <c r="R102" s="141">
        <v>5839.5781999999999</v>
      </c>
      <c r="S102" s="140">
        <v>1.8589171233875237</v>
      </c>
      <c r="T102" s="142">
        <v>1.2706192475295517</v>
      </c>
      <c r="U102" s="156">
        <v>5.4199331666666666</v>
      </c>
      <c r="V102" s="140">
        <v>0.94030652584140495</v>
      </c>
      <c r="W102" s="67" t="s">
        <v>65</v>
      </c>
    </row>
    <row r="103" spans="1:23" x14ac:dyDescent="0.25">
      <c r="A103" t="s">
        <v>41</v>
      </c>
      <c r="B103">
        <v>1</v>
      </c>
      <c r="C103" s="138">
        <v>43465</v>
      </c>
      <c r="D103" s="143">
        <v>121.77006124397499</v>
      </c>
      <c r="E103" s="143">
        <v>4.1718907895369073</v>
      </c>
      <c r="F103" s="139">
        <v>1.0262325000000001</v>
      </c>
      <c r="G103" s="139">
        <v>0.99104999999999999</v>
      </c>
      <c r="H103" s="139">
        <v>0.66087407514680652</v>
      </c>
      <c r="I103" s="139">
        <v>26.205849366538146</v>
      </c>
      <c r="J103" s="139">
        <v>52.241372499999997</v>
      </c>
      <c r="K103" s="139">
        <v>43.562209399375</v>
      </c>
      <c r="L103" s="139">
        <v>27.280650000000001</v>
      </c>
      <c r="M103" s="139">
        <v>0.36717822030941549</v>
      </c>
      <c r="N103" s="139">
        <v>71.329331601500002</v>
      </c>
      <c r="O103" s="139">
        <v>22.108180646000001</v>
      </c>
      <c r="P103" s="139">
        <v>4.1210800000000001</v>
      </c>
      <c r="Q103" s="140">
        <v>12.446554508455614</v>
      </c>
      <c r="R103" s="141">
        <v>1305.6201799999999</v>
      </c>
      <c r="S103" s="140">
        <v>-2.707277162348849</v>
      </c>
      <c r="T103" s="142">
        <v>2.2973832810646075</v>
      </c>
      <c r="U103" s="156">
        <v>2.5932683016666664</v>
      </c>
      <c r="V103" s="140">
        <v>0.40981935269475955</v>
      </c>
      <c r="W103" s="67" t="s">
        <v>41</v>
      </c>
    </row>
    <row r="104" spans="1:23" x14ac:dyDescent="0.25">
      <c r="A104" s="69" t="s">
        <v>109</v>
      </c>
      <c r="B104" s="70"/>
      <c r="C104" s="157"/>
      <c r="D104" s="145">
        <v>392.41879317835753</v>
      </c>
      <c r="E104" s="145">
        <v>3.6151154210416907</v>
      </c>
      <c r="F104" s="146">
        <v>1.571593</v>
      </c>
      <c r="G104" s="146">
        <v>1.5399677499999997</v>
      </c>
      <c r="H104" s="146">
        <v>1.0766830143652686</v>
      </c>
      <c r="I104" s="165">
        <v>1365.9356647531774</v>
      </c>
      <c r="J104" s="146">
        <v>43.430233000000001</v>
      </c>
      <c r="K104" s="146">
        <v>43.147957393407502</v>
      </c>
      <c r="L104" s="146">
        <v>28.921644249999996</v>
      </c>
      <c r="M104" s="146">
        <v>0.12716218404206198</v>
      </c>
      <c r="N104" s="146">
        <v>36.533064683550002</v>
      </c>
      <c r="O104" s="146">
        <v>14.486186317189999</v>
      </c>
      <c r="P104" s="146">
        <v>5.2680340005000001</v>
      </c>
      <c r="Q104" s="147">
        <v>3.9212554350241184</v>
      </c>
      <c r="R104" s="148">
        <v>2000.1601662</v>
      </c>
      <c r="S104" s="147">
        <v>-0.88609896351106765</v>
      </c>
      <c r="T104" s="149">
        <v>12.489769289957708</v>
      </c>
      <c r="U104" s="165">
        <v>9.5268025126666664</v>
      </c>
      <c r="V104" s="147">
        <v>0.68777686279387329</v>
      </c>
      <c r="W104" s="78" t="s">
        <v>110</v>
      </c>
    </row>
    <row r="105" spans="1:23" x14ac:dyDescent="0.25">
      <c r="C105" s="138"/>
      <c r="D105" s="143"/>
      <c r="E105" s="143"/>
      <c r="F105" s="139"/>
      <c r="G105" s="139"/>
      <c r="H105" s="139"/>
      <c r="I105" s="139"/>
      <c r="J105" s="139"/>
      <c r="K105" s="139"/>
      <c r="L105" s="139"/>
      <c r="M105" s="139"/>
      <c r="N105" s="139"/>
      <c r="O105" s="139"/>
      <c r="P105" s="139"/>
      <c r="Q105" s="142"/>
      <c r="R105" s="141"/>
      <c r="S105" s="142"/>
      <c r="T105" s="142"/>
      <c r="U105" s="156"/>
      <c r="V105" s="140"/>
      <c r="W105" s="67"/>
    </row>
    <row r="106" spans="1:23" x14ac:dyDescent="0.25">
      <c r="A106" s="57" t="s">
        <v>119</v>
      </c>
      <c r="B106" s="82"/>
      <c r="C106" s="158"/>
      <c r="D106" s="151"/>
      <c r="E106" s="151"/>
      <c r="F106" s="152"/>
      <c r="G106" s="152"/>
      <c r="H106" s="152"/>
      <c r="I106" s="152"/>
      <c r="J106" s="152"/>
      <c r="K106" s="152"/>
      <c r="L106" s="152"/>
      <c r="M106" s="152"/>
      <c r="N106" s="152"/>
      <c r="O106" s="152"/>
      <c r="P106" s="152"/>
      <c r="Q106" s="155"/>
      <c r="R106" s="154"/>
      <c r="S106" s="155"/>
      <c r="T106" s="155"/>
      <c r="U106" s="167"/>
      <c r="V106" s="153"/>
      <c r="W106" s="88"/>
    </row>
    <row r="107" spans="1:23" x14ac:dyDescent="0.25">
      <c r="A107" t="s">
        <v>60</v>
      </c>
      <c r="B107">
        <v>1</v>
      </c>
      <c r="C107" s="138">
        <v>43496</v>
      </c>
      <c r="D107" s="143">
        <v>1.241852025275</v>
      </c>
      <c r="E107" s="143">
        <v>1.2284857927571644</v>
      </c>
      <c r="F107" s="139">
        <v>3.4824099999999998</v>
      </c>
      <c r="G107" s="139">
        <v>3.3879800000000002</v>
      </c>
      <c r="H107" s="139">
        <v>0.57687892992390555</v>
      </c>
      <c r="I107" s="139">
        <v>19.902260615696164</v>
      </c>
      <c r="J107" s="139">
        <v>48.732669999999999</v>
      </c>
      <c r="K107" s="139">
        <v>25.170899455924999</v>
      </c>
      <c r="L107" s="139">
        <v>20.290054999999999</v>
      </c>
      <c r="M107" s="139">
        <v>0.20853825779076565</v>
      </c>
      <c r="N107" s="139">
        <v>14.391883800800001</v>
      </c>
      <c r="O107" s="139">
        <v>11.4558292006</v>
      </c>
      <c r="P107" s="139">
        <v>0.23630999999999999</v>
      </c>
      <c r="Q107" s="140">
        <v>-0.70088713621980625</v>
      </c>
      <c r="R107" s="141">
        <v>286.15612199999998</v>
      </c>
      <c r="S107" s="140">
        <v>0.44930733388877098</v>
      </c>
      <c r="T107" s="142">
        <v>0.88618285913490091</v>
      </c>
      <c r="U107" s="156">
        <v>0.95505934333333342</v>
      </c>
      <c r="V107" s="140">
        <v>0.37320082407059463</v>
      </c>
      <c r="W107" s="67" t="s">
        <v>60</v>
      </c>
    </row>
    <row r="108" spans="1:23" x14ac:dyDescent="0.25">
      <c r="A108" s="69" t="s">
        <v>109</v>
      </c>
      <c r="B108" s="70"/>
      <c r="C108" s="157"/>
      <c r="D108" s="146">
        <v>1.241852025275</v>
      </c>
      <c r="E108" s="146">
        <v>1.2284857927571644</v>
      </c>
      <c r="F108" s="146">
        <v>3.4824099999999998</v>
      </c>
      <c r="G108" s="146">
        <v>3.3879800000000002</v>
      </c>
      <c r="H108" s="146">
        <v>0.57687892992390555</v>
      </c>
      <c r="I108" s="146">
        <v>19.902260615696164</v>
      </c>
      <c r="J108" s="146">
        <v>48.732669999999999</v>
      </c>
      <c r="K108" s="146">
        <v>25.170899455924999</v>
      </c>
      <c r="L108" s="146">
        <v>20.290054999999999</v>
      </c>
      <c r="M108" s="146">
        <v>0.20853825779076565</v>
      </c>
      <c r="N108" s="146">
        <v>14.391883800800001</v>
      </c>
      <c r="O108" s="146">
        <v>11.4558292006</v>
      </c>
      <c r="P108" s="146">
        <v>0.23630999999999999</v>
      </c>
      <c r="Q108" s="147">
        <v>-0.70088713621980625</v>
      </c>
      <c r="R108" s="148">
        <v>286.15612199999998</v>
      </c>
      <c r="S108" s="149">
        <v>0.44930733388877098</v>
      </c>
      <c r="T108" s="149">
        <v>0.88618285913490091</v>
      </c>
      <c r="U108" s="165">
        <v>0.95505934333333342</v>
      </c>
      <c r="V108" s="147">
        <v>0.37320082407059463</v>
      </c>
      <c r="W108" s="78" t="s">
        <v>110</v>
      </c>
    </row>
    <row r="109" spans="1:23" x14ac:dyDescent="0.25">
      <c r="C109" s="138"/>
      <c r="D109" s="139"/>
      <c r="E109" s="139"/>
      <c r="F109" s="139"/>
      <c r="G109" s="139"/>
      <c r="H109" s="139"/>
      <c r="I109" s="139"/>
      <c r="J109" s="139"/>
      <c r="K109" s="139"/>
      <c r="L109" s="139"/>
      <c r="M109" s="139"/>
      <c r="N109" s="139"/>
      <c r="O109" s="139"/>
      <c r="P109" s="139"/>
      <c r="Q109" s="142"/>
      <c r="R109" s="141"/>
      <c r="S109" s="142"/>
      <c r="T109" s="142"/>
      <c r="U109" s="156"/>
      <c r="V109" s="140"/>
      <c r="W109" s="67"/>
    </row>
    <row r="110" spans="1:23" x14ac:dyDescent="0.25">
      <c r="A110" s="57" t="s">
        <v>120</v>
      </c>
      <c r="B110" s="82"/>
      <c r="C110" s="158"/>
      <c r="D110" s="152"/>
      <c r="E110" s="152"/>
      <c r="F110" s="152"/>
      <c r="G110" s="152"/>
      <c r="H110" s="152"/>
      <c r="I110" s="152"/>
      <c r="J110" s="152"/>
      <c r="K110" s="152"/>
      <c r="L110" s="152"/>
      <c r="M110" s="152"/>
      <c r="N110" s="152"/>
      <c r="O110" s="152"/>
      <c r="P110" s="152"/>
      <c r="Q110" s="155"/>
      <c r="R110" s="154"/>
      <c r="S110" s="155"/>
      <c r="T110" s="155"/>
      <c r="U110" s="167"/>
      <c r="V110" s="153"/>
      <c r="W110" s="88"/>
    </row>
    <row r="111" spans="1:23" x14ac:dyDescent="0.25">
      <c r="A111" t="s">
        <v>19</v>
      </c>
      <c r="B111">
        <v>1</v>
      </c>
      <c r="C111" s="138">
        <v>43465</v>
      </c>
      <c r="D111" s="143">
        <v>333.65411107134997</v>
      </c>
      <c r="E111" s="143">
        <v>6.785094879360182</v>
      </c>
      <c r="F111" s="139">
        <v>0.76857500000000001</v>
      </c>
      <c r="G111" s="139">
        <v>0.71586749999999999</v>
      </c>
      <c r="H111" s="139">
        <v>16.155060859281644</v>
      </c>
      <c r="I111" s="139">
        <v>13.128761428699111</v>
      </c>
      <c r="J111" s="139">
        <v>72.581490000000002</v>
      </c>
      <c r="K111" s="139">
        <v>14.392252270249999</v>
      </c>
      <c r="L111" s="139">
        <v>6.9350550000000002</v>
      </c>
      <c r="M111" s="139">
        <v>4.2256080247657188E-2</v>
      </c>
      <c r="N111" s="139">
        <v>19.106891903499999</v>
      </c>
      <c r="O111" s="139">
        <v>3.4480802050000001</v>
      </c>
      <c r="P111" s="139">
        <v>23.1645347661056</v>
      </c>
      <c r="Q111" s="140">
        <v>-0.51778891723211473</v>
      </c>
      <c r="R111" s="141">
        <v>66791.739105029643</v>
      </c>
      <c r="S111" s="140">
        <v>0.28423230325362492</v>
      </c>
      <c r="T111" s="142">
        <v>1.6719495450326314</v>
      </c>
      <c r="U111" s="156">
        <v>976.63352155403777</v>
      </c>
      <c r="V111" s="140">
        <v>0.32670199805907196</v>
      </c>
      <c r="W111" s="67" t="s">
        <v>19</v>
      </c>
    </row>
    <row r="112" spans="1:23" x14ac:dyDescent="0.25">
      <c r="A112" t="s">
        <v>34</v>
      </c>
      <c r="B112">
        <v>1</v>
      </c>
      <c r="C112" s="138">
        <v>43465</v>
      </c>
      <c r="D112" s="139">
        <v>50.408055992199998</v>
      </c>
      <c r="E112" s="139">
        <v>1.8528495125403346</v>
      </c>
      <c r="F112" s="139">
        <v>0.50993999999999995</v>
      </c>
      <c r="G112" s="139">
        <v>0.4699275</v>
      </c>
      <c r="H112" s="139">
        <v>0.62466452058970034</v>
      </c>
      <c r="I112" s="139">
        <v>24.659383035803558</v>
      </c>
      <c r="J112" s="139">
        <v>75.960852500000001</v>
      </c>
      <c r="K112" s="139">
        <v>18.399999474525</v>
      </c>
      <c r="L112" s="139">
        <v>-4.4058700000000002</v>
      </c>
      <c r="M112" s="139">
        <v>-0.22644394987086869</v>
      </c>
      <c r="N112" s="139">
        <v>4.2561059926000002</v>
      </c>
      <c r="O112" s="139">
        <v>2.5789260376000001</v>
      </c>
      <c r="P112" s="139">
        <v>2.45811</v>
      </c>
      <c r="Q112" s="140">
        <v>2.7462162754990129</v>
      </c>
      <c r="R112" s="141">
        <v>5421</v>
      </c>
      <c r="S112" s="140">
        <v>0.10578965299419041</v>
      </c>
      <c r="T112" s="142">
        <v>0.46051434800007618</v>
      </c>
      <c r="U112" s="156">
        <v>64.661000000000001</v>
      </c>
      <c r="V112" s="140">
        <v>0.43778573270717458</v>
      </c>
      <c r="W112" s="67" t="s">
        <v>34</v>
      </c>
    </row>
    <row r="113" spans="1:23" x14ac:dyDescent="0.25">
      <c r="A113" t="s">
        <v>74</v>
      </c>
      <c r="B113">
        <v>1</v>
      </c>
      <c r="C113" s="138">
        <v>43465</v>
      </c>
      <c r="D113" s="139">
        <v>160.59295053382499</v>
      </c>
      <c r="E113" s="139">
        <v>5.1641195469576564</v>
      </c>
      <c r="F113" s="139">
        <v>0.47486</v>
      </c>
      <c r="G113" s="139">
        <v>0.43893500000000002</v>
      </c>
      <c r="H113" s="139">
        <v>0.6265399389104358</v>
      </c>
      <c r="I113" s="139">
        <v>18.771029650483921</v>
      </c>
      <c r="J113" s="139">
        <v>86.654312500000003</v>
      </c>
      <c r="K113" s="139">
        <v>19.108875690200001</v>
      </c>
      <c r="L113" s="139">
        <v>-5.06454</v>
      </c>
      <c r="M113" s="139">
        <v>-0.1474060673863109</v>
      </c>
      <c r="N113" s="139">
        <v>-2.7372247203</v>
      </c>
      <c r="O113" s="139">
        <v>0.79376677070000001</v>
      </c>
      <c r="P113" s="139">
        <v>-8.8794799999999903</v>
      </c>
      <c r="Q113" s="140">
        <v>2.3997700268302031</v>
      </c>
      <c r="R113" s="141">
        <v>1204.75</v>
      </c>
      <c r="S113" s="140" t="s">
        <v>464</v>
      </c>
      <c r="T113" s="142" t="s">
        <v>464</v>
      </c>
      <c r="U113" s="156">
        <v>106.34950000000001</v>
      </c>
      <c r="V113" s="140" t="s">
        <v>464</v>
      </c>
      <c r="W113" s="67" t="s">
        <v>74</v>
      </c>
    </row>
    <row r="114" spans="1:23" x14ac:dyDescent="0.25">
      <c r="A114" t="s">
        <v>45</v>
      </c>
      <c r="B114">
        <v>1</v>
      </c>
      <c r="C114" s="138">
        <v>43465</v>
      </c>
      <c r="D114" s="139">
        <v>25.153507214474999</v>
      </c>
      <c r="E114" s="139">
        <v>2.2777011118385215</v>
      </c>
      <c r="F114" s="139">
        <v>1.3722300000000001</v>
      </c>
      <c r="G114" s="139">
        <v>1.2054575000000001</v>
      </c>
      <c r="H114" s="139">
        <v>1.582337580055921</v>
      </c>
      <c r="I114" s="139" t="s">
        <v>464</v>
      </c>
      <c r="J114" s="139">
        <v>35.021090000000001</v>
      </c>
      <c r="K114" s="139">
        <v>5.9714960355500004</v>
      </c>
      <c r="L114" s="139">
        <v>-0.73056500000000002</v>
      </c>
      <c r="M114" s="139">
        <v>-5.3860654062600849E-2</v>
      </c>
      <c r="N114" s="139">
        <v>-10.604829201599999</v>
      </c>
      <c r="O114" s="139">
        <v>-5.4181830575000003</v>
      </c>
      <c r="P114" s="139">
        <v>-8.01675</v>
      </c>
      <c r="Q114" s="140" t="s">
        <v>464</v>
      </c>
      <c r="R114" s="141">
        <v>-1040.160826</v>
      </c>
      <c r="S114" s="140">
        <v>-2.1497353576633342</v>
      </c>
      <c r="T114" s="142">
        <v>1.372277301530606</v>
      </c>
      <c r="U114" s="156">
        <v>15.947032538333334</v>
      </c>
      <c r="V114" s="140">
        <v>6.4288295430916076E-2</v>
      </c>
      <c r="W114" s="67" t="s">
        <v>45</v>
      </c>
    </row>
    <row r="115" spans="1:23" x14ac:dyDescent="0.25">
      <c r="A115" s="109" t="s">
        <v>109</v>
      </c>
      <c r="B115" s="110"/>
      <c r="C115" s="110"/>
      <c r="D115" s="171">
        <v>142.4521562029625</v>
      </c>
      <c r="E115" s="171">
        <v>4.0199412626741733</v>
      </c>
      <c r="F115" s="172">
        <v>0.78140125000000005</v>
      </c>
      <c r="G115" s="172">
        <v>0.70754687500000002</v>
      </c>
      <c r="H115" s="172">
        <v>4.7471507247094253</v>
      </c>
      <c r="I115" s="172">
        <v>18.853058038328864</v>
      </c>
      <c r="J115" s="172">
        <v>67.554436250000009</v>
      </c>
      <c r="K115" s="172">
        <v>14.46815586763125</v>
      </c>
      <c r="L115" s="172">
        <v>-0.81647999999999998</v>
      </c>
      <c r="M115" s="172">
        <v>-9.6363647768030802E-2</v>
      </c>
      <c r="N115" s="172">
        <v>2.5052359935499999</v>
      </c>
      <c r="O115" s="172">
        <v>0.35064748894999997</v>
      </c>
      <c r="P115" s="172">
        <v>2.1816036915264028</v>
      </c>
      <c r="Q115" s="173">
        <v>1.5427324616990337</v>
      </c>
      <c r="R115" s="174">
        <v>18094.332069757409</v>
      </c>
      <c r="S115" s="173">
        <v>-0.58657113380517301</v>
      </c>
      <c r="T115" s="175">
        <v>1.1682470648544381</v>
      </c>
      <c r="U115" s="176">
        <v>290.89776352309281</v>
      </c>
      <c r="V115" s="173">
        <v>0.27625867539905419</v>
      </c>
      <c r="W115" s="117" t="s">
        <v>110</v>
      </c>
    </row>
    <row r="116" spans="1:23" x14ac:dyDescent="0.25">
      <c r="A116" s="122"/>
      <c r="D116" s="177"/>
      <c r="E116" s="177"/>
      <c r="W116" s="122"/>
    </row>
    <row r="117" spans="1:23" x14ac:dyDescent="0.25">
      <c r="A117" s="122" t="s">
        <v>122</v>
      </c>
      <c r="D117" s="177"/>
      <c r="E117" s="177"/>
      <c r="W117" s="122"/>
    </row>
    <row r="118" spans="1:23" x14ac:dyDescent="0.25">
      <c r="D118" s="177"/>
      <c r="E118" s="177"/>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verticalCentered="1"/>
  <pageMargins left="0.79" right="0.2" top="0.65" bottom="0.5" header="0.3" footer="0.3"/>
  <pageSetup paperSize="9" scale="75"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AA119"/>
  <sheetViews>
    <sheetView view="pageBreakPreview" zoomScaleNormal="100" zoomScaleSheetLayoutView="100" workbookViewId="0">
      <selection activeCell="A8" sqref="A8"/>
    </sheetView>
  </sheetViews>
  <sheetFormatPr baseColWidth="10" defaultRowHeight="15" x14ac:dyDescent="0.25"/>
  <cols>
    <col min="1" max="1" width="9.7109375" customWidth="1"/>
    <col min="2" max="2" width="8.28515625" customWidth="1"/>
    <col min="3" max="3" width="8" customWidth="1"/>
    <col min="4" max="4" width="7.140625" customWidth="1"/>
    <col min="5" max="5" width="9.28515625" bestFit="1" customWidth="1"/>
    <col min="6" max="6" width="1.140625" style="38" customWidth="1"/>
    <col min="7" max="7" width="8.28515625" bestFit="1" customWidth="1"/>
    <col min="8" max="8" width="7.42578125" customWidth="1"/>
    <col min="9" max="9" width="7.28515625" customWidth="1"/>
    <col min="10" max="10" width="7.7109375" customWidth="1"/>
    <col min="11" max="11" width="1.5703125" style="38" customWidth="1"/>
    <col min="12" max="12" width="7.85546875" customWidth="1"/>
    <col min="13" max="13" width="8.28515625" bestFit="1" customWidth="1"/>
    <col min="14" max="14" width="7.7109375" bestFit="1" customWidth="1"/>
    <col min="15" max="15" width="8.28515625" bestFit="1" customWidth="1"/>
    <col min="16" max="16" width="1.28515625" style="38" customWidth="1"/>
    <col min="17" max="17" width="9.140625" customWidth="1"/>
    <col min="18" max="20" width="7.7109375" customWidth="1"/>
    <col min="21" max="21" width="1.42578125" style="38" customWidth="1"/>
    <col min="22" max="22" width="9.28515625" customWidth="1"/>
    <col min="23" max="23" width="8.140625" customWidth="1"/>
    <col min="24" max="24" width="7.7109375" customWidth="1"/>
    <col min="25" max="25" width="7.5703125" customWidth="1"/>
    <col min="26" max="26" width="0.42578125" style="38" customWidth="1"/>
    <col min="27" max="27" width="7.85546875" style="67" customWidth="1"/>
  </cols>
  <sheetData>
    <row r="1" spans="1:27" ht="26.25" x14ac:dyDescent="0.4">
      <c r="A1" s="178" t="s">
        <v>150</v>
      </c>
      <c r="B1" s="178"/>
    </row>
    <row r="2" spans="1:27" x14ac:dyDescent="0.25">
      <c r="A2" s="179" t="s">
        <v>151</v>
      </c>
      <c r="B2" s="179"/>
    </row>
    <row r="3" spans="1:27" ht="26.25" customHeight="1" x14ac:dyDescent="0.25">
      <c r="B3" s="180" t="s">
        <v>152</v>
      </c>
      <c r="C3" s="180" t="s">
        <v>153</v>
      </c>
      <c r="D3" s="180" t="s">
        <v>154</v>
      </c>
      <c r="E3" s="180" t="s">
        <v>155</v>
      </c>
      <c r="F3" s="181"/>
      <c r="G3" s="180" t="s">
        <v>156</v>
      </c>
      <c r="H3" s="181" t="s">
        <v>157</v>
      </c>
      <c r="I3" s="180" t="s">
        <v>158</v>
      </c>
      <c r="J3" s="180" t="s">
        <v>159</v>
      </c>
      <c r="K3" s="181"/>
      <c r="L3" s="180" t="s">
        <v>160</v>
      </c>
      <c r="M3" s="180" t="s">
        <v>161</v>
      </c>
      <c r="N3" s="181" t="s">
        <v>162</v>
      </c>
      <c r="O3" s="180" t="s">
        <v>163</v>
      </c>
      <c r="P3" s="181"/>
      <c r="Q3" s="180" t="s">
        <v>164</v>
      </c>
      <c r="R3" s="180" t="s">
        <v>165</v>
      </c>
      <c r="S3" s="180" t="s">
        <v>166</v>
      </c>
      <c r="T3" s="181" t="s">
        <v>167</v>
      </c>
      <c r="U3" s="181"/>
      <c r="V3" s="180" t="s">
        <v>168</v>
      </c>
      <c r="W3" s="180" t="s">
        <v>169</v>
      </c>
      <c r="X3" s="180" t="s">
        <v>170</v>
      </c>
      <c r="Y3" s="180" t="s">
        <v>171</v>
      </c>
      <c r="Z3" s="182"/>
      <c r="AA3" s="183"/>
    </row>
    <row r="4" spans="1:27" ht="15.75" customHeight="1" x14ac:dyDescent="0.25">
      <c r="A4" s="184" t="s">
        <v>4</v>
      </c>
      <c r="B4" s="185">
        <v>2018</v>
      </c>
      <c r="C4" s="185"/>
      <c r="D4" s="185"/>
      <c r="E4" s="185"/>
      <c r="F4" s="186"/>
      <c r="G4" s="185">
        <v>2017</v>
      </c>
      <c r="H4" s="185"/>
      <c r="I4" s="185"/>
      <c r="J4" s="185"/>
      <c r="K4" s="186"/>
      <c r="L4" s="185">
        <v>2016</v>
      </c>
      <c r="M4" s="185"/>
      <c r="N4" s="185"/>
      <c r="O4" s="185"/>
      <c r="P4" s="186"/>
      <c r="Q4" s="185">
        <v>2015</v>
      </c>
      <c r="R4" s="185"/>
      <c r="S4" s="185"/>
      <c r="T4" s="185"/>
      <c r="U4" s="186"/>
      <c r="V4" s="185">
        <v>2014</v>
      </c>
      <c r="W4" s="185"/>
      <c r="X4" s="185"/>
      <c r="Y4" s="185"/>
      <c r="Z4" s="186"/>
      <c r="AA4" s="187" t="s">
        <v>4</v>
      </c>
    </row>
    <row r="5" spans="1:27" ht="17.25" customHeight="1" x14ac:dyDescent="0.25">
      <c r="A5" s="188"/>
      <c r="B5" s="189" t="s">
        <v>172</v>
      </c>
      <c r="C5" s="189" t="s">
        <v>173</v>
      </c>
      <c r="D5" s="189" t="s">
        <v>174</v>
      </c>
      <c r="E5" s="189" t="s">
        <v>175</v>
      </c>
      <c r="F5" s="190"/>
      <c r="G5" s="189" t="s">
        <v>172</v>
      </c>
      <c r="H5" s="189" t="s">
        <v>173</v>
      </c>
      <c r="I5" s="189" t="s">
        <v>174</v>
      </c>
      <c r="J5" s="189" t="s">
        <v>175</v>
      </c>
      <c r="K5" s="191"/>
      <c r="L5" s="189" t="s">
        <v>176</v>
      </c>
      <c r="M5" s="189" t="s">
        <v>173</v>
      </c>
      <c r="N5" s="189" t="s">
        <v>174</v>
      </c>
      <c r="O5" s="189" t="s">
        <v>177</v>
      </c>
      <c r="P5" s="191"/>
      <c r="Q5" s="189" t="s">
        <v>172</v>
      </c>
      <c r="R5" s="189" t="s">
        <v>173</v>
      </c>
      <c r="S5" s="189" t="s">
        <v>174</v>
      </c>
      <c r="T5" s="189" t="s">
        <v>175</v>
      </c>
      <c r="U5" s="191"/>
      <c r="V5" s="189" t="s">
        <v>172</v>
      </c>
      <c r="W5" s="189" t="s">
        <v>178</v>
      </c>
      <c r="X5" s="189" t="s">
        <v>174</v>
      </c>
      <c r="Y5" s="189" t="s">
        <v>175</v>
      </c>
      <c r="Z5" s="191"/>
      <c r="AA5" s="192"/>
    </row>
    <row r="6" spans="1:27" x14ac:dyDescent="0.25">
      <c r="A6" s="193" t="s">
        <v>108</v>
      </c>
      <c r="B6" s="194"/>
      <c r="C6" s="194"/>
      <c r="D6" s="194"/>
      <c r="E6" s="195"/>
      <c r="F6" s="196"/>
      <c r="G6" s="197"/>
      <c r="H6" s="198"/>
      <c r="I6" s="198"/>
      <c r="J6" s="199"/>
      <c r="K6" s="196"/>
      <c r="L6" s="197"/>
      <c r="M6" s="198"/>
      <c r="N6" s="198"/>
      <c r="O6" s="199"/>
      <c r="P6" s="196"/>
      <c r="Q6" s="197"/>
      <c r="R6" s="198"/>
      <c r="S6" s="198"/>
      <c r="T6" s="199"/>
      <c r="U6" s="196"/>
      <c r="V6" s="197"/>
      <c r="W6" s="198"/>
      <c r="X6" s="198"/>
      <c r="Y6" s="199"/>
      <c r="Z6" s="196"/>
      <c r="AA6" s="200"/>
    </row>
    <row r="7" spans="1:27" x14ac:dyDescent="0.25">
      <c r="A7" t="s">
        <v>29</v>
      </c>
      <c r="B7" s="201">
        <v>426.67700000000002</v>
      </c>
      <c r="C7" s="201">
        <v>-102.68899999999999</v>
      </c>
      <c r="D7" s="201">
        <v>-236.22900000000001</v>
      </c>
      <c r="E7" s="201">
        <v>86.673000000000002</v>
      </c>
      <c r="F7" s="202"/>
      <c r="G7" s="201">
        <v>47.640999999999998</v>
      </c>
      <c r="H7" s="201">
        <v>-19.117999999999999</v>
      </c>
      <c r="I7" s="201">
        <v>-36.006999999999998</v>
      </c>
      <c r="J7" s="201">
        <v>129.28899999999999</v>
      </c>
      <c r="K7" s="201"/>
      <c r="L7" s="201">
        <v>123.002</v>
      </c>
      <c r="M7" s="201">
        <v>81.331999999999994</v>
      </c>
      <c r="N7" s="201">
        <v>28.393000000000001</v>
      </c>
      <c r="O7" s="201">
        <v>221.03899999999999</v>
      </c>
      <c r="P7" s="201"/>
      <c r="Q7" s="201">
        <v>215.65899999999999</v>
      </c>
      <c r="R7" s="201">
        <v>121.053</v>
      </c>
      <c r="S7" s="201">
        <v>55.84</v>
      </c>
      <c r="T7" s="201">
        <v>141.26400000000001</v>
      </c>
      <c r="U7" s="201"/>
      <c r="V7" s="201">
        <v>136.84100000000001</v>
      </c>
      <c r="W7" s="201">
        <v>168.851</v>
      </c>
      <c r="X7" s="201">
        <v>73.283000000000001</v>
      </c>
      <c r="Y7" s="201">
        <v>160.49600000000001</v>
      </c>
      <c r="AA7" s="67" t="s">
        <v>29</v>
      </c>
    </row>
    <row r="8" spans="1:27" x14ac:dyDescent="0.25">
      <c r="A8" t="s">
        <v>51</v>
      </c>
      <c r="B8" s="201">
        <v>77.778000000000006</v>
      </c>
      <c r="C8" s="201">
        <v>299.404</v>
      </c>
      <c r="D8" s="201">
        <v>356.54899999999998</v>
      </c>
      <c r="E8" s="201">
        <v>189.48400000000001</v>
      </c>
      <c r="F8" s="202"/>
      <c r="G8" s="201">
        <v>62.875999999999998</v>
      </c>
      <c r="H8" s="201">
        <v>54.158999999999999</v>
      </c>
      <c r="I8" s="201">
        <v>137.15600000000001</v>
      </c>
      <c r="J8" s="201">
        <v>-87.914000000000001</v>
      </c>
      <c r="K8" s="202"/>
      <c r="L8" s="201">
        <v>270.07400000000001</v>
      </c>
      <c r="M8" s="201">
        <v>189.98500000000001</v>
      </c>
      <c r="N8" s="201">
        <v>-0.30099999999999999</v>
      </c>
      <c r="O8" s="201" t="s">
        <v>464</v>
      </c>
      <c r="P8" s="202"/>
      <c r="Q8" s="201" t="s">
        <v>464</v>
      </c>
      <c r="R8" s="201" t="s">
        <v>464</v>
      </c>
      <c r="S8" s="201" t="s">
        <v>464</v>
      </c>
      <c r="T8" s="201" t="s">
        <v>464</v>
      </c>
      <c r="U8" s="202"/>
      <c r="V8" s="201" t="s">
        <v>464</v>
      </c>
      <c r="W8" s="201" t="s">
        <v>464</v>
      </c>
      <c r="X8" s="201" t="s">
        <v>464</v>
      </c>
      <c r="Y8" s="201" t="s">
        <v>464</v>
      </c>
      <c r="AA8" s="67" t="s">
        <v>51</v>
      </c>
    </row>
    <row r="9" spans="1:27" x14ac:dyDescent="0.25">
      <c r="A9" t="s">
        <v>47</v>
      </c>
      <c r="B9" s="201">
        <v>363.67</v>
      </c>
      <c r="C9" s="201">
        <v>-1107.191</v>
      </c>
      <c r="D9" s="201">
        <v>-966.12099999999998</v>
      </c>
      <c r="E9" s="203">
        <v>6.8680000000000003</v>
      </c>
      <c r="F9" s="204"/>
      <c r="G9" s="201">
        <v>-178.36500000000001</v>
      </c>
      <c r="H9" s="201">
        <v>-8.3239999999999998</v>
      </c>
      <c r="I9" s="201">
        <v>-40.198</v>
      </c>
      <c r="J9" s="201">
        <v>39.457000000000001</v>
      </c>
      <c r="K9" s="202"/>
      <c r="L9" s="201">
        <v>-10.75</v>
      </c>
      <c r="M9" s="201">
        <v>-7.7510000000000003</v>
      </c>
      <c r="N9" s="201">
        <v>-2.4489999999999998</v>
      </c>
      <c r="O9" s="201">
        <v>23.488</v>
      </c>
      <c r="P9" s="202"/>
      <c r="Q9" s="201">
        <v>636.52200000000005</v>
      </c>
      <c r="R9" s="201">
        <v>251.506</v>
      </c>
      <c r="S9" s="201">
        <v>146.93299999999999</v>
      </c>
      <c r="T9" s="201">
        <v>60.137999999999998</v>
      </c>
      <c r="U9" s="202"/>
      <c r="V9" s="201">
        <v>50.539000000000001</v>
      </c>
      <c r="W9" s="201">
        <v>132.41999999999999</v>
      </c>
      <c r="X9" s="201">
        <v>278.29399999999998</v>
      </c>
      <c r="Y9" s="201">
        <v>209.881</v>
      </c>
      <c r="AA9" s="67" t="s">
        <v>47</v>
      </c>
    </row>
    <row r="10" spans="1:27" x14ac:dyDescent="0.25">
      <c r="A10" t="s">
        <v>22</v>
      </c>
      <c r="B10" s="201">
        <v>-252.33421999999999</v>
      </c>
      <c r="C10" s="201">
        <v>462.11556000000002</v>
      </c>
      <c r="D10" s="201">
        <v>181.88889</v>
      </c>
      <c r="E10" s="203">
        <v>67.675470000000004</v>
      </c>
      <c r="F10" s="204"/>
      <c r="G10" s="201">
        <v>147.43633</v>
      </c>
      <c r="H10" s="201">
        <v>133.13142999999999</v>
      </c>
      <c r="I10" s="201">
        <v>79.73724</v>
      </c>
      <c r="J10" s="201">
        <v>-21.15429</v>
      </c>
      <c r="K10" s="202"/>
      <c r="L10" s="201">
        <v>108.50599</v>
      </c>
      <c r="M10" s="201">
        <v>144.86473000000001</v>
      </c>
      <c r="N10" s="201">
        <v>63.787999999999997</v>
      </c>
      <c r="O10" s="201">
        <v>66.914580000000001</v>
      </c>
      <c r="P10" s="202"/>
      <c r="Q10" s="201">
        <v>172.15217999999999</v>
      </c>
      <c r="R10" s="201">
        <v>63.35989</v>
      </c>
      <c r="S10" s="201">
        <v>65.481780000000001</v>
      </c>
      <c r="T10" s="201">
        <v>26.36909</v>
      </c>
      <c r="U10" s="202"/>
      <c r="V10" s="201">
        <v>55.121870000000001</v>
      </c>
      <c r="W10" s="201">
        <v>70.677930000000003</v>
      </c>
      <c r="X10" s="201">
        <v>55.65043</v>
      </c>
      <c r="Y10" s="201">
        <v>22.957170000000001</v>
      </c>
      <c r="AA10" s="67" t="s">
        <v>22</v>
      </c>
    </row>
    <row r="11" spans="1:27" x14ac:dyDescent="0.25">
      <c r="A11" t="s">
        <v>66</v>
      </c>
      <c r="B11" s="201">
        <v>799.72199999999998</v>
      </c>
      <c r="C11" s="201">
        <v>-963.65</v>
      </c>
      <c r="D11" s="201">
        <v>-1019.953</v>
      </c>
      <c r="E11" s="203">
        <v>81.088999999999999</v>
      </c>
      <c r="F11" s="204"/>
      <c r="G11" s="201">
        <v>38.231000000000002</v>
      </c>
      <c r="H11" s="201">
        <v>240.60900000000001</v>
      </c>
      <c r="I11" s="201">
        <v>-25.324000000000002</v>
      </c>
      <c r="J11" s="201">
        <v>-84.292000000000002</v>
      </c>
      <c r="K11" s="202"/>
      <c r="L11" s="201">
        <v>11.15035</v>
      </c>
      <c r="M11" s="201">
        <v>171.01219</v>
      </c>
      <c r="N11" s="201">
        <v>142.00602000000001</v>
      </c>
      <c r="O11" s="201">
        <v>-93.426860000000005</v>
      </c>
      <c r="P11" s="202"/>
      <c r="Q11" s="201">
        <v>-75.209850000000003</v>
      </c>
      <c r="R11" s="201">
        <v>30.426909999999999</v>
      </c>
      <c r="S11" s="201">
        <v>8.4748900000000003</v>
      </c>
      <c r="T11" s="201">
        <v>-28.784800000000001</v>
      </c>
      <c r="U11" s="202"/>
      <c r="V11" s="201">
        <v>71.178600000000003</v>
      </c>
      <c r="W11" s="201">
        <v>114.33148</v>
      </c>
      <c r="X11" s="201">
        <v>20.538910000000001</v>
      </c>
      <c r="Y11" s="201">
        <v>92.829470000000001</v>
      </c>
      <c r="AA11" s="67" t="s">
        <v>66</v>
      </c>
    </row>
    <row r="12" spans="1:27" x14ac:dyDescent="0.25">
      <c r="A12" t="s">
        <v>43</v>
      </c>
      <c r="B12" s="201">
        <v>330.524</v>
      </c>
      <c r="C12" s="201">
        <v>-1278.6279999999999</v>
      </c>
      <c r="D12" s="201">
        <v>-717.25099999999998</v>
      </c>
      <c r="E12" s="203">
        <v>-341.82100000000003</v>
      </c>
      <c r="F12" s="204"/>
      <c r="G12" s="201">
        <v>164.93199999999999</v>
      </c>
      <c r="H12" s="201">
        <v>-197.78200000000001</v>
      </c>
      <c r="I12" s="201">
        <v>-42.975999999999999</v>
      </c>
      <c r="J12" s="201">
        <v>-25.33</v>
      </c>
      <c r="K12" s="202"/>
      <c r="L12" s="201">
        <v>-34.238999999999997</v>
      </c>
      <c r="M12" s="201">
        <v>-46.521000000000001</v>
      </c>
      <c r="N12" s="201">
        <v>-136.17099999999999</v>
      </c>
      <c r="O12" s="201">
        <v>54.515000000000001</v>
      </c>
      <c r="P12" s="202"/>
      <c r="Q12" s="201">
        <v>7.556</v>
      </c>
      <c r="R12" s="201">
        <v>22.353999999999999</v>
      </c>
      <c r="S12" s="201">
        <v>39.213999999999999</v>
      </c>
      <c r="T12" s="201">
        <v>-10.617000000000001</v>
      </c>
      <c r="U12" s="202"/>
      <c r="V12" s="201">
        <v>13.494999999999999</v>
      </c>
      <c r="W12" s="201">
        <v>33.337000000000003</v>
      </c>
      <c r="X12" s="201">
        <v>100.41800000000001</v>
      </c>
      <c r="Y12" s="201">
        <v>60.917000000000002</v>
      </c>
      <c r="AA12" s="67" t="s">
        <v>43</v>
      </c>
    </row>
    <row r="13" spans="1:27" x14ac:dyDescent="0.25">
      <c r="A13" t="s">
        <v>18</v>
      </c>
      <c r="B13" s="201">
        <v>-102.26779000000001</v>
      </c>
      <c r="C13" s="201">
        <v>20.502960000000002</v>
      </c>
      <c r="D13" s="201">
        <v>-61.718380000000003</v>
      </c>
      <c r="E13" s="203">
        <v>70.872069999999994</v>
      </c>
      <c r="F13" s="204"/>
      <c r="G13" s="201">
        <v>21.76361</v>
      </c>
      <c r="H13" s="201">
        <v>35.43862</v>
      </c>
      <c r="I13" s="201">
        <v>6.9365899999999998</v>
      </c>
      <c r="J13" s="201">
        <v>38.456409999999998</v>
      </c>
      <c r="K13" s="202"/>
      <c r="L13" s="201">
        <v>15.45801</v>
      </c>
      <c r="M13" s="201">
        <v>7.5793600000000003</v>
      </c>
      <c r="N13" s="201">
        <v>13.27849</v>
      </c>
      <c r="O13" s="201">
        <v>10.62628</v>
      </c>
      <c r="P13" s="202"/>
      <c r="Q13" s="201">
        <v>20.49605</v>
      </c>
      <c r="R13" s="201">
        <v>17.591159999999999</v>
      </c>
      <c r="S13" s="201">
        <v>-0.99341000000000002</v>
      </c>
      <c r="T13" s="201">
        <v>-11.30813</v>
      </c>
      <c r="U13" s="202"/>
      <c r="V13" s="201">
        <v>-12.36307</v>
      </c>
      <c r="W13" s="201">
        <v>1.4978199999999999</v>
      </c>
      <c r="X13" s="201">
        <v>-19.128399999999999</v>
      </c>
      <c r="Y13" s="201">
        <v>-11.88734</v>
      </c>
      <c r="AA13" s="67" t="s">
        <v>18</v>
      </c>
    </row>
    <row r="14" spans="1:27" x14ac:dyDescent="0.25">
      <c r="A14" t="s">
        <v>15</v>
      </c>
      <c r="B14" s="201">
        <v>-12.343999999999999</v>
      </c>
      <c r="C14" s="201">
        <v>122.563</v>
      </c>
      <c r="D14" s="201">
        <v>-107.38200000000001</v>
      </c>
      <c r="E14" s="203">
        <v>-76.325000000000003</v>
      </c>
      <c r="F14" s="204"/>
      <c r="G14" s="201">
        <v>-476.24599999999998</v>
      </c>
      <c r="H14" s="201">
        <v>-84.46</v>
      </c>
      <c r="I14" s="201">
        <v>-120.789</v>
      </c>
      <c r="J14" s="201">
        <v>-183.864</v>
      </c>
      <c r="K14" s="202"/>
      <c r="L14" s="201">
        <v>-154.33099999999999</v>
      </c>
      <c r="M14" s="201">
        <v>-74.522999999999996</v>
      </c>
      <c r="N14" s="201">
        <v>-178.41300000000001</v>
      </c>
      <c r="O14" s="201">
        <v>-77.816999999999993</v>
      </c>
      <c r="P14" s="202"/>
      <c r="Q14" s="201">
        <v>-102.17100000000001</v>
      </c>
      <c r="R14" s="201">
        <v>-13.497999999999999</v>
      </c>
      <c r="S14" s="201">
        <v>9.3569999999999993</v>
      </c>
      <c r="T14" s="201">
        <v>-7.4109999999999996</v>
      </c>
      <c r="U14" s="202"/>
      <c r="V14" s="201">
        <v>-25.6</v>
      </c>
      <c r="W14" s="201">
        <v>-0.63800000000000001</v>
      </c>
      <c r="X14" s="201">
        <v>-46.795000000000002</v>
      </c>
      <c r="Y14" s="201">
        <v>-4.5369999999999999</v>
      </c>
      <c r="AA14" s="67" t="s">
        <v>15</v>
      </c>
    </row>
    <row r="15" spans="1:27" x14ac:dyDescent="0.25">
      <c r="A15" t="s">
        <v>76</v>
      </c>
      <c r="B15" s="201">
        <v>19.88373</v>
      </c>
      <c r="C15" s="201">
        <v>49.696899999999999</v>
      </c>
      <c r="D15" s="201">
        <v>36.966470000000001</v>
      </c>
      <c r="E15" s="203">
        <v>27.73066</v>
      </c>
      <c r="F15" s="204"/>
      <c r="G15" s="201">
        <v>26.24663</v>
      </c>
      <c r="H15" s="201">
        <v>23.64254</v>
      </c>
      <c r="I15" s="201">
        <v>20.70468</v>
      </c>
      <c r="J15" s="201">
        <v>22.670179999999998</v>
      </c>
      <c r="K15" s="202"/>
      <c r="L15" s="201">
        <v>21.422599999999999</v>
      </c>
      <c r="M15" s="201">
        <v>23.128789999999999</v>
      </c>
      <c r="N15" s="201">
        <v>20.674990000000001</v>
      </c>
      <c r="O15" s="201">
        <v>18.364540000000002</v>
      </c>
      <c r="P15" s="202"/>
      <c r="Q15" s="201">
        <v>5.2500900000000001</v>
      </c>
      <c r="R15" s="201">
        <v>4.2694000000000001</v>
      </c>
      <c r="S15" s="201">
        <v>3.6802299999999999</v>
      </c>
      <c r="T15" s="201">
        <v>8.9833999999999996</v>
      </c>
      <c r="U15" s="202"/>
      <c r="V15" s="201">
        <v>5.2039900000000001</v>
      </c>
      <c r="W15" s="201">
        <v>9.2091399999999997</v>
      </c>
      <c r="X15" s="201">
        <v>3.4625699999999999</v>
      </c>
      <c r="Y15" s="201">
        <v>6.8643700000000001</v>
      </c>
      <c r="AA15" s="67" t="s">
        <v>76</v>
      </c>
    </row>
    <row r="16" spans="1:27" x14ac:dyDescent="0.25">
      <c r="A16" t="s">
        <v>58</v>
      </c>
      <c r="B16" s="201">
        <v>29.35521</v>
      </c>
      <c r="C16" s="201">
        <v>35.086669999999998</v>
      </c>
      <c r="D16" s="201">
        <v>20.25554</v>
      </c>
      <c r="E16" s="203">
        <v>8.8888599999999993</v>
      </c>
      <c r="F16" s="204"/>
      <c r="G16" s="201">
        <v>1.24299</v>
      </c>
      <c r="H16" s="201">
        <v>3.25502</v>
      </c>
      <c r="I16" s="201">
        <v>7.0986599999999997</v>
      </c>
      <c r="J16" s="201">
        <v>4.6051000000000002</v>
      </c>
      <c r="K16" s="202"/>
      <c r="L16" s="201">
        <v>3.0802499999999999</v>
      </c>
      <c r="M16" s="201">
        <v>1.1099000000000001</v>
      </c>
      <c r="N16" s="201">
        <v>0.30985000000000001</v>
      </c>
      <c r="O16" s="201">
        <v>14.327389999999999</v>
      </c>
      <c r="P16" s="202"/>
      <c r="Q16" s="201">
        <v>8.0861000000000001</v>
      </c>
      <c r="R16" s="201">
        <v>7.2681699999999996</v>
      </c>
      <c r="S16" s="201">
        <v>3.8726600000000002</v>
      </c>
      <c r="T16" s="201">
        <v>4.9247199999999998</v>
      </c>
      <c r="U16" s="202"/>
      <c r="V16" s="201">
        <v>5.3063500000000001</v>
      </c>
      <c r="W16" s="201">
        <v>-1.45482</v>
      </c>
      <c r="X16" s="201">
        <v>2.9600399999999998</v>
      </c>
      <c r="Y16" s="201">
        <v>8.6744900000000005</v>
      </c>
      <c r="AA16" s="67" t="s">
        <v>58</v>
      </c>
    </row>
    <row r="17" spans="1:27" x14ac:dyDescent="0.25">
      <c r="A17" t="s">
        <v>30</v>
      </c>
      <c r="B17" s="201">
        <v>-9.5550599999999992</v>
      </c>
      <c r="C17" s="201">
        <v>-45.393830000000001</v>
      </c>
      <c r="D17" s="201">
        <v>-49.605789999999999</v>
      </c>
      <c r="E17" s="203">
        <v>-13.03365</v>
      </c>
      <c r="F17" s="204"/>
      <c r="G17" s="201">
        <v>-10.47104</v>
      </c>
      <c r="H17" s="201">
        <v>-19.097660000000001</v>
      </c>
      <c r="I17" s="201">
        <v>-34.04139</v>
      </c>
      <c r="J17" s="201">
        <v>-11.84224</v>
      </c>
      <c r="K17" s="202"/>
      <c r="L17" s="201">
        <v>-7.4233700000000002</v>
      </c>
      <c r="M17" s="201">
        <v>-9.5234500000000004</v>
      </c>
      <c r="N17" s="201">
        <v>-18.846419999999998</v>
      </c>
      <c r="O17" s="201">
        <v>-17.478059999999999</v>
      </c>
      <c r="P17" s="202"/>
      <c r="Q17" s="201">
        <v>-7.3851899999999997</v>
      </c>
      <c r="R17" s="201">
        <v>-11.91394</v>
      </c>
      <c r="S17" s="201">
        <v>-10.61247</v>
      </c>
      <c r="T17" s="201">
        <v>-14.93309</v>
      </c>
      <c r="U17" s="202"/>
      <c r="V17" s="201">
        <v>-3.03301</v>
      </c>
      <c r="W17" s="201">
        <v>-0.96943999999999997</v>
      </c>
      <c r="X17" s="201">
        <v>-2.9477099999999998</v>
      </c>
      <c r="Y17" s="201">
        <v>-7.1043000000000003</v>
      </c>
      <c r="AA17" s="67" t="s">
        <v>30</v>
      </c>
    </row>
    <row r="18" spans="1:27" x14ac:dyDescent="0.25">
      <c r="A18" s="69" t="s">
        <v>109</v>
      </c>
      <c r="B18" s="205">
        <v>151.91898818181815</v>
      </c>
      <c r="C18" s="205">
        <v>-228.0166127272727</v>
      </c>
      <c r="D18" s="205">
        <v>-232.96366090909089</v>
      </c>
      <c r="E18" s="206">
        <v>9.8274009090909118</v>
      </c>
      <c r="F18" s="206"/>
      <c r="G18" s="205">
        <v>-14.064770909090914</v>
      </c>
      <c r="H18" s="205">
        <v>14.677631818181823</v>
      </c>
      <c r="I18" s="205">
        <v>-4.3365654545454539</v>
      </c>
      <c r="J18" s="205">
        <v>-16.356258181818188</v>
      </c>
      <c r="K18" s="205"/>
      <c r="L18" s="205">
        <v>31.449984545454548</v>
      </c>
      <c r="M18" s="205">
        <v>43.699410909090908</v>
      </c>
      <c r="N18" s="205">
        <v>-6.1572790909090891</v>
      </c>
      <c r="O18" s="205">
        <v>22.055287</v>
      </c>
      <c r="P18" s="205"/>
      <c r="Q18" s="205">
        <v>88.095538000000005</v>
      </c>
      <c r="R18" s="205">
        <v>49.241658999999999</v>
      </c>
      <c r="S18" s="205">
        <v>32.124768000000003</v>
      </c>
      <c r="T18" s="205">
        <v>16.862519000000002</v>
      </c>
      <c r="U18" s="205"/>
      <c r="V18" s="205">
        <v>29.668973000000001</v>
      </c>
      <c r="W18" s="205">
        <v>52.726210999999999</v>
      </c>
      <c r="X18" s="205">
        <v>46.573584000000004</v>
      </c>
      <c r="Y18" s="205">
        <v>53.909086000000002</v>
      </c>
      <c r="Z18" s="207"/>
      <c r="AA18" s="78" t="s">
        <v>110</v>
      </c>
    </row>
    <row r="19" spans="1:27" x14ac:dyDescent="0.25">
      <c r="C19" s="201"/>
      <c r="D19" s="201"/>
      <c r="E19" s="203"/>
      <c r="F19" s="204"/>
      <c r="G19" s="201"/>
      <c r="H19" s="201"/>
      <c r="I19" s="201"/>
      <c r="J19" s="201"/>
      <c r="K19" s="202"/>
      <c r="L19" s="201"/>
      <c r="M19" s="201"/>
      <c r="N19" s="201"/>
      <c r="O19" s="201"/>
      <c r="P19" s="202"/>
      <c r="Q19" s="201"/>
      <c r="R19" s="201"/>
      <c r="S19" s="201"/>
      <c r="T19" s="201"/>
      <c r="U19" s="202"/>
      <c r="V19" s="201"/>
      <c r="W19" s="201"/>
      <c r="X19" s="201"/>
      <c r="Y19" s="201"/>
    </row>
    <row r="20" spans="1:27" x14ac:dyDescent="0.25">
      <c r="A20" s="57" t="s">
        <v>111</v>
      </c>
      <c r="B20" s="57"/>
      <c r="C20" s="208"/>
      <c r="D20" s="208"/>
      <c r="E20" s="208"/>
      <c r="F20" s="209"/>
      <c r="G20" s="208"/>
      <c r="H20" s="208"/>
      <c r="I20" s="208"/>
      <c r="J20" s="208"/>
      <c r="K20" s="209"/>
      <c r="L20" s="208"/>
      <c r="M20" s="208"/>
      <c r="N20" s="208"/>
      <c r="O20" s="208"/>
      <c r="P20" s="209"/>
      <c r="Q20" s="208"/>
      <c r="R20" s="208"/>
      <c r="S20" s="208"/>
      <c r="T20" s="208"/>
      <c r="U20" s="209"/>
      <c r="V20" s="208"/>
      <c r="W20" s="208"/>
      <c r="X20" s="208"/>
      <c r="Y20" s="208"/>
      <c r="Z20" s="210"/>
      <c r="AA20" s="88"/>
    </row>
    <row r="21" spans="1:27" x14ac:dyDescent="0.25">
      <c r="A21" t="s">
        <v>61</v>
      </c>
      <c r="B21" s="201">
        <v>550.42999999999995</v>
      </c>
      <c r="C21" s="201">
        <v>-797.39099999999996</v>
      </c>
      <c r="D21" s="201">
        <v>-103.44499999999999</v>
      </c>
      <c r="E21" s="201">
        <v>270.44900000000001</v>
      </c>
      <c r="F21" s="202"/>
      <c r="G21" s="201">
        <v>250.66900000000001</v>
      </c>
      <c r="H21" s="201">
        <v>311.322</v>
      </c>
      <c r="I21" s="201">
        <v>209.68600000000001</v>
      </c>
      <c r="J21" s="201">
        <v>115.605</v>
      </c>
      <c r="K21" s="202"/>
      <c r="L21" s="201">
        <v>75.741</v>
      </c>
      <c r="M21" s="201">
        <v>151.124</v>
      </c>
      <c r="N21" s="201">
        <v>118.90300000000001</v>
      </c>
      <c r="O21" s="201">
        <v>81.715999999999994</v>
      </c>
      <c r="P21" s="202"/>
      <c r="Q21" s="201">
        <v>460.28699999999998</v>
      </c>
      <c r="R21" s="201">
        <v>94.893000000000001</v>
      </c>
      <c r="S21" s="201">
        <v>3.6850000000000001</v>
      </c>
      <c r="T21" s="201">
        <v>-36.591999999999999</v>
      </c>
      <c r="U21" s="202"/>
      <c r="V21" s="201">
        <v>88.832999999999998</v>
      </c>
      <c r="W21" s="201">
        <v>10.071999999999999</v>
      </c>
      <c r="X21" s="201">
        <v>19.042999999999999</v>
      </c>
      <c r="Y21" s="201">
        <v>18.972000000000001</v>
      </c>
      <c r="AA21" s="67" t="s">
        <v>61</v>
      </c>
    </row>
    <row r="22" spans="1:27" x14ac:dyDescent="0.25">
      <c r="A22" t="s">
        <v>57</v>
      </c>
      <c r="B22" s="201">
        <v>70.833150000000003</v>
      </c>
      <c r="C22" s="201">
        <v>16.8596</v>
      </c>
      <c r="D22" s="201">
        <v>-8.3234999999999992</v>
      </c>
      <c r="E22" s="201">
        <v>62.148699999999998</v>
      </c>
      <c r="F22" s="202"/>
      <c r="G22" s="201">
        <v>37.531210000000002</v>
      </c>
      <c r="H22" s="201">
        <v>11.58013</v>
      </c>
      <c r="I22" s="201">
        <v>7.8194499999999998</v>
      </c>
      <c r="J22" s="201">
        <v>38.13991</v>
      </c>
      <c r="K22" s="202"/>
      <c r="L22" s="201">
        <v>43.879300000000001</v>
      </c>
      <c r="M22" s="201">
        <v>10.68247</v>
      </c>
      <c r="N22" s="201">
        <v>-12.857530000000001</v>
      </c>
      <c r="O22" s="201">
        <v>32.024459999999998</v>
      </c>
      <c r="P22" s="202"/>
      <c r="Q22" s="201">
        <v>36.382959999999997</v>
      </c>
      <c r="R22" s="201">
        <v>-9.0560000000000002E-2</v>
      </c>
      <c r="S22" s="201">
        <v>-9.0117600000000007</v>
      </c>
      <c r="T22" s="201">
        <v>38.695650000000001</v>
      </c>
      <c r="U22" s="202"/>
      <c r="V22" s="201" t="s">
        <v>464</v>
      </c>
      <c r="W22" s="201" t="s">
        <v>464</v>
      </c>
      <c r="X22" s="201" t="s">
        <v>464</v>
      </c>
      <c r="Y22" s="201" t="s">
        <v>464</v>
      </c>
      <c r="AA22" s="67" t="s">
        <v>57</v>
      </c>
    </row>
    <row r="23" spans="1:27" x14ac:dyDescent="0.25">
      <c r="A23" t="s">
        <v>38</v>
      </c>
      <c r="B23" s="201">
        <v>-224.91506000000001</v>
      </c>
      <c r="C23" s="201">
        <v>-47.000830000000001</v>
      </c>
      <c r="D23" s="201">
        <v>-69.008700000000005</v>
      </c>
      <c r="E23" s="203">
        <v>51.095039999999997</v>
      </c>
      <c r="F23" s="204"/>
      <c r="G23" s="201">
        <v>27.665109999999999</v>
      </c>
      <c r="H23" s="201">
        <v>32.380650000000003</v>
      </c>
      <c r="I23" s="201">
        <v>-4.4762700000000004</v>
      </c>
      <c r="J23" s="201">
        <v>17.712129999999998</v>
      </c>
      <c r="K23" s="202"/>
      <c r="L23" s="201">
        <v>17.778700000000001</v>
      </c>
      <c r="M23" s="201">
        <v>38.018979999999999</v>
      </c>
      <c r="N23" s="201">
        <v>47.596550000000001</v>
      </c>
      <c r="O23" s="201">
        <v>60.259680000000003</v>
      </c>
      <c r="P23" s="202"/>
      <c r="Q23" s="201">
        <v>61.296759999999999</v>
      </c>
      <c r="R23" s="201">
        <v>44.310339999999997</v>
      </c>
      <c r="S23" s="201">
        <v>36.494169999999997</v>
      </c>
      <c r="T23" s="201">
        <v>26.29635</v>
      </c>
      <c r="U23" s="202"/>
      <c r="V23" s="201">
        <v>24.36073</v>
      </c>
      <c r="W23" s="201">
        <v>15.573840000000001</v>
      </c>
      <c r="X23" s="201">
        <v>19.054410000000001</v>
      </c>
      <c r="Y23" s="201">
        <v>16.31654</v>
      </c>
      <c r="AA23" s="67" t="s">
        <v>38</v>
      </c>
    </row>
    <row r="24" spans="1:27" x14ac:dyDescent="0.25">
      <c r="A24" t="s">
        <v>68</v>
      </c>
      <c r="B24" s="201">
        <v>38.411000000000001</v>
      </c>
      <c r="C24" s="201">
        <v>-1074.0540000000001</v>
      </c>
      <c r="D24" s="201">
        <v>-479.95100000000002</v>
      </c>
      <c r="E24" s="203">
        <v>-78.557000000000002</v>
      </c>
      <c r="F24" s="204"/>
      <c r="G24" s="201">
        <v>-146.75377</v>
      </c>
      <c r="H24" s="201">
        <v>-158.41900000000001</v>
      </c>
      <c r="I24" s="201">
        <v>-6.5730000000000004</v>
      </c>
      <c r="J24" s="201">
        <v>-40.228999999999999</v>
      </c>
      <c r="K24" s="202"/>
      <c r="L24" s="201">
        <v>117.69077</v>
      </c>
      <c r="M24" s="201">
        <v>-37.810339999999997</v>
      </c>
      <c r="N24" s="201">
        <v>-51.093029999999999</v>
      </c>
      <c r="O24" s="201">
        <v>-24.010829999999999</v>
      </c>
      <c r="P24" s="202"/>
      <c r="Q24" s="201">
        <v>-46.50694</v>
      </c>
      <c r="R24" s="201">
        <v>6.5173500000000004</v>
      </c>
      <c r="S24" s="201">
        <v>0.10542</v>
      </c>
      <c r="T24" s="201">
        <v>-5.1926600000000001</v>
      </c>
      <c r="U24" s="202"/>
      <c r="V24" s="201">
        <v>-19.813269999999999</v>
      </c>
      <c r="W24" s="201">
        <v>5.3183699999999998</v>
      </c>
      <c r="X24" s="201">
        <v>4.4263300000000001</v>
      </c>
      <c r="Y24" s="201">
        <v>-8.6443700000000003</v>
      </c>
      <c r="AA24" s="67" t="s">
        <v>68</v>
      </c>
    </row>
    <row r="25" spans="1:27" x14ac:dyDescent="0.25">
      <c r="A25" t="s">
        <v>16</v>
      </c>
      <c r="B25" s="201">
        <v>-147.40969000000001</v>
      </c>
      <c r="C25" s="201">
        <v>-12.35873</v>
      </c>
      <c r="D25" s="201">
        <v>8.3961400000000008</v>
      </c>
      <c r="E25" s="203">
        <v>-2.3243399999999999</v>
      </c>
      <c r="F25" s="204"/>
      <c r="G25" s="201">
        <v>-15.766249999999999</v>
      </c>
      <c r="H25" s="201">
        <v>-13.05484</v>
      </c>
      <c r="I25" s="201">
        <v>23.1599</v>
      </c>
      <c r="J25" s="201">
        <v>4.6884100000000002</v>
      </c>
      <c r="K25" s="202"/>
      <c r="L25" s="201">
        <v>-16.585319999999999</v>
      </c>
      <c r="M25" s="201">
        <v>-7.34727</v>
      </c>
      <c r="N25" s="201">
        <v>27.226990000000001</v>
      </c>
      <c r="O25" s="201">
        <v>33.319679999999998</v>
      </c>
      <c r="P25" s="202"/>
      <c r="Q25" s="201">
        <v>25.463760000000001</v>
      </c>
      <c r="R25" s="201">
        <v>28.598790000000001</v>
      </c>
      <c r="S25" s="201">
        <v>38.927379999999999</v>
      </c>
      <c r="T25" s="201">
        <v>12.34252</v>
      </c>
      <c r="U25" s="202"/>
      <c r="V25" s="201">
        <v>4.9409900000000002</v>
      </c>
      <c r="W25" s="201">
        <v>7.3041700000000001</v>
      </c>
      <c r="X25" s="201">
        <v>10.94145</v>
      </c>
      <c r="Y25" s="201">
        <v>9.3152299999999997</v>
      </c>
      <c r="AA25" s="67" t="s">
        <v>16</v>
      </c>
    </row>
    <row r="26" spans="1:27" x14ac:dyDescent="0.25">
      <c r="A26" t="s">
        <v>7</v>
      </c>
      <c r="B26" s="201">
        <v>-17.85033</v>
      </c>
      <c r="C26" s="201">
        <v>-46.287350000000004</v>
      </c>
      <c r="D26" s="201">
        <v>-37.778570000000002</v>
      </c>
      <c r="E26" s="203">
        <v>-94.149619999999999</v>
      </c>
      <c r="F26" s="204"/>
      <c r="G26" s="201">
        <v>-79.895790000000005</v>
      </c>
      <c r="H26" s="201">
        <v>-38.994149999999998</v>
      </c>
      <c r="I26" s="201">
        <v>-47.612389999999998</v>
      </c>
      <c r="J26" s="201">
        <v>-11.03715</v>
      </c>
      <c r="K26" s="202"/>
      <c r="L26" s="201">
        <v>-36.870089999999998</v>
      </c>
      <c r="M26" s="201">
        <v>-21.786300000000001</v>
      </c>
      <c r="N26" s="201">
        <v>-24.564730000000001</v>
      </c>
      <c r="O26" s="201">
        <v>-53.903530000000003</v>
      </c>
      <c r="P26" s="202"/>
      <c r="Q26" s="201">
        <v>-124.11233</v>
      </c>
      <c r="R26" s="201">
        <v>-38.235860000000002</v>
      </c>
      <c r="S26" s="201">
        <v>-30.975280000000001</v>
      </c>
      <c r="T26" s="201">
        <v>-31.401050000000001</v>
      </c>
      <c r="U26" s="202"/>
      <c r="V26" s="201">
        <v>-42.047620000000002</v>
      </c>
      <c r="W26" s="201">
        <v>-94.224000000000004</v>
      </c>
      <c r="X26" s="201">
        <v>-46.927300000000002</v>
      </c>
      <c r="Y26" s="201">
        <v>-106.94365999999999</v>
      </c>
      <c r="AA26" s="67" t="s">
        <v>7</v>
      </c>
    </row>
    <row r="27" spans="1:27" x14ac:dyDescent="0.25">
      <c r="A27" s="38" t="s">
        <v>9</v>
      </c>
      <c r="B27" s="201">
        <v>-23.641100000000002</v>
      </c>
      <c r="C27" s="201">
        <v>-7.3767300000000002</v>
      </c>
      <c r="D27" s="201">
        <v>-22.49164</v>
      </c>
      <c r="E27" s="203">
        <v>3.70689</v>
      </c>
      <c r="F27" s="204"/>
      <c r="G27" s="201">
        <v>0.96038000000000001</v>
      </c>
      <c r="H27" s="201">
        <v>6.3529900000000001</v>
      </c>
      <c r="I27" s="201">
        <v>3.0487000000000002</v>
      </c>
      <c r="J27" s="201">
        <v>2.79487</v>
      </c>
      <c r="K27" s="202"/>
      <c r="L27" s="201">
        <v>-1.93221</v>
      </c>
      <c r="M27" s="201">
        <v>1.4232499999999999</v>
      </c>
      <c r="N27" s="201">
        <v>1.8363700000000001</v>
      </c>
      <c r="O27" s="201">
        <v>3.6273200000000001</v>
      </c>
      <c r="P27" s="202"/>
      <c r="Q27" s="201">
        <v>1.43876</v>
      </c>
      <c r="R27" s="201">
        <v>4.7427099999999998</v>
      </c>
      <c r="S27" s="201">
        <v>6.1170499999999999</v>
      </c>
      <c r="T27" s="201">
        <v>2.9045299999999998</v>
      </c>
      <c r="U27" s="202"/>
      <c r="V27" s="201">
        <v>1.47583</v>
      </c>
      <c r="W27" s="201">
        <v>4.0152900000000002</v>
      </c>
      <c r="X27" s="201">
        <v>2.19617</v>
      </c>
      <c r="Y27" s="201">
        <v>2.7638699999999998</v>
      </c>
      <c r="AA27" s="67" t="s">
        <v>9</v>
      </c>
    </row>
    <row r="28" spans="1:27" x14ac:dyDescent="0.25">
      <c r="A28" s="69" t="s">
        <v>109</v>
      </c>
      <c r="B28" s="205">
        <v>35.122567142857136</v>
      </c>
      <c r="C28" s="205">
        <v>-281.08700571428568</v>
      </c>
      <c r="D28" s="205">
        <v>-101.8003242857143</v>
      </c>
      <c r="E28" s="206">
        <v>30.338381428571427</v>
      </c>
      <c r="F28" s="206"/>
      <c r="G28" s="205">
        <v>10.629984285714286</v>
      </c>
      <c r="H28" s="205">
        <v>21.595397142857141</v>
      </c>
      <c r="I28" s="205">
        <v>26.436055714285711</v>
      </c>
      <c r="J28" s="205">
        <v>18.239167142857148</v>
      </c>
      <c r="K28" s="205"/>
      <c r="L28" s="205">
        <v>28.528878571428571</v>
      </c>
      <c r="M28" s="205">
        <v>19.186398571428565</v>
      </c>
      <c r="N28" s="205">
        <v>15.292517142857145</v>
      </c>
      <c r="O28" s="205">
        <v>19.004682857142857</v>
      </c>
      <c r="P28" s="205"/>
      <c r="Q28" s="205">
        <v>59.178567142857126</v>
      </c>
      <c r="R28" s="205">
        <v>20.105109999999996</v>
      </c>
      <c r="S28" s="205">
        <v>6.4774257142857143</v>
      </c>
      <c r="T28" s="205">
        <v>1.00762</v>
      </c>
      <c r="U28" s="205"/>
      <c r="V28" s="205">
        <v>9.6249433333333325</v>
      </c>
      <c r="W28" s="205">
        <v>-8.6567216666666678</v>
      </c>
      <c r="X28" s="205">
        <v>1.4556766666666652</v>
      </c>
      <c r="Y28" s="205">
        <v>-11.370065000000002</v>
      </c>
      <c r="Z28" s="207"/>
      <c r="AA28" s="78" t="s">
        <v>110</v>
      </c>
    </row>
    <row r="29" spans="1:27" x14ac:dyDescent="0.25">
      <c r="C29" s="201"/>
      <c r="D29" s="201"/>
      <c r="E29" s="203"/>
      <c r="F29" s="204"/>
      <c r="G29" s="201"/>
      <c r="H29" s="201"/>
      <c r="I29" s="201"/>
      <c r="J29" s="201"/>
      <c r="K29" s="202"/>
      <c r="L29" s="201"/>
      <c r="M29" s="201"/>
      <c r="N29" s="201"/>
      <c r="O29" s="201"/>
      <c r="P29" s="202"/>
      <c r="Q29" s="201"/>
      <c r="R29" s="201"/>
      <c r="S29" s="201"/>
      <c r="T29" s="201"/>
      <c r="U29" s="202"/>
      <c r="V29" s="201"/>
      <c r="W29" s="201"/>
      <c r="X29" s="201"/>
      <c r="Y29" s="201"/>
    </row>
    <row r="30" spans="1:27" x14ac:dyDescent="0.25">
      <c r="A30" s="57" t="s">
        <v>112</v>
      </c>
      <c r="B30" s="57"/>
      <c r="C30" s="208"/>
      <c r="D30" s="208"/>
      <c r="E30" s="208"/>
      <c r="F30" s="209"/>
      <c r="G30" s="208"/>
      <c r="H30" s="208"/>
      <c r="I30" s="208"/>
      <c r="J30" s="208"/>
      <c r="K30" s="209"/>
      <c r="L30" s="208"/>
      <c r="M30" s="208"/>
      <c r="N30" s="208"/>
      <c r="O30" s="208"/>
      <c r="P30" s="209"/>
      <c r="Q30" s="208"/>
      <c r="R30" s="208"/>
      <c r="S30" s="208"/>
      <c r="T30" s="208"/>
      <c r="U30" s="209"/>
      <c r="V30" s="208"/>
      <c r="W30" s="208"/>
      <c r="X30" s="208"/>
      <c r="Y30" s="208"/>
      <c r="Z30" s="210"/>
      <c r="AA30" s="88"/>
    </row>
    <row r="31" spans="1:27" x14ac:dyDescent="0.25">
      <c r="A31" t="s">
        <v>20</v>
      </c>
      <c r="B31" s="201">
        <v>8409</v>
      </c>
      <c r="C31" s="201">
        <v>67758.065073992606</v>
      </c>
      <c r="D31" s="211">
        <v>75039.193086547195</v>
      </c>
      <c r="E31" s="201">
        <v>42360.863644616598</v>
      </c>
      <c r="F31" s="202"/>
      <c r="G31" s="201">
        <v>-30747.664019806201</v>
      </c>
      <c r="H31" s="201">
        <v>1454.6953881191901</v>
      </c>
      <c r="I31" s="201">
        <v>1587.1203460061099</v>
      </c>
      <c r="J31" s="201">
        <v>21891.7012487992</v>
      </c>
      <c r="K31" s="202"/>
      <c r="L31" s="201">
        <v>12232.122218123701</v>
      </c>
      <c r="M31" s="201">
        <v>-77494.863297431701</v>
      </c>
      <c r="N31" s="201">
        <v>1730.4519703666799</v>
      </c>
      <c r="O31" s="201">
        <v>-5094.6399443284599</v>
      </c>
      <c r="P31" s="202"/>
      <c r="Q31" s="201">
        <v>-120684.53368019599</v>
      </c>
      <c r="R31" s="201">
        <v>-8971.1156340240104</v>
      </c>
      <c r="S31" s="201">
        <v>1557.1720502901401</v>
      </c>
      <c r="T31" s="201">
        <v>14707.6767771622</v>
      </c>
      <c r="U31" s="202"/>
      <c r="V31" s="201">
        <v>-112581.49988709101</v>
      </c>
      <c r="W31" s="201">
        <v>-18408.838807313201</v>
      </c>
      <c r="X31" s="201">
        <v>18213.465916790901</v>
      </c>
      <c r="Y31" s="201">
        <v>18994.452760412099</v>
      </c>
      <c r="AA31" s="67" t="s">
        <v>20</v>
      </c>
    </row>
    <row r="32" spans="1:27" x14ac:dyDescent="0.25">
      <c r="A32" t="s">
        <v>17</v>
      </c>
      <c r="B32" s="201">
        <v>225.82499999999999</v>
      </c>
      <c r="C32" s="201">
        <v>10193.146559999999</v>
      </c>
      <c r="D32" s="201">
        <v>4861.4809679999998</v>
      </c>
      <c r="E32" s="201">
        <v>4725.5081300000002</v>
      </c>
      <c r="F32" s="202"/>
      <c r="G32" s="201">
        <v>2979.3538079999998</v>
      </c>
      <c r="H32" s="201">
        <v>1812.8208059999999</v>
      </c>
      <c r="I32" s="201">
        <v>1237.5455440000001</v>
      </c>
      <c r="J32" s="201">
        <v>1745.460695</v>
      </c>
      <c r="K32" s="202"/>
      <c r="L32" s="201">
        <v>-120.664794</v>
      </c>
      <c r="M32" s="201">
        <v>71.231489999999994</v>
      </c>
      <c r="N32" s="201">
        <v>-405.72007500000001</v>
      </c>
      <c r="O32" s="201">
        <v>151.29669999999999</v>
      </c>
      <c r="P32" s="202"/>
      <c r="Q32" s="201">
        <v>-850.97524559999999</v>
      </c>
      <c r="R32" s="201">
        <v>-3343.7990168000001</v>
      </c>
      <c r="S32" s="201">
        <v>603.23856379999995</v>
      </c>
      <c r="T32" s="201">
        <v>2248.6753709999998</v>
      </c>
      <c r="U32" s="202"/>
      <c r="V32" s="201">
        <v>2003.7444250000001</v>
      </c>
      <c r="W32" s="201">
        <v>684.59186999999997</v>
      </c>
      <c r="X32" s="201">
        <v>3316.3089924999999</v>
      </c>
      <c r="Y32" s="201">
        <v>3380.04</v>
      </c>
      <c r="AA32" s="67" t="s">
        <v>17</v>
      </c>
    </row>
    <row r="33" spans="1:27" x14ac:dyDescent="0.25">
      <c r="A33" t="s">
        <v>21</v>
      </c>
      <c r="B33" s="201">
        <v>17350</v>
      </c>
      <c r="C33" s="201">
        <v>13203</v>
      </c>
      <c r="D33" s="201">
        <v>1993</v>
      </c>
      <c r="E33" s="203">
        <v>6067</v>
      </c>
      <c r="F33" s="204"/>
      <c r="G33" s="201">
        <v>12010</v>
      </c>
      <c r="H33" s="201">
        <v>93</v>
      </c>
      <c r="I33" s="201">
        <v>212</v>
      </c>
      <c r="J33" s="201">
        <v>25</v>
      </c>
      <c r="K33" s="202"/>
      <c r="L33" s="201">
        <v>1721</v>
      </c>
      <c r="M33" s="201">
        <v>-30211</v>
      </c>
      <c r="N33" s="201">
        <v>-743</v>
      </c>
      <c r="O33" s="201">
        <v>996</v>
      </c>
      <c r="P33" s="202"/>
      <c r="Q33" s="201">
        <v>-1695</v>
      </c>
      <c r="R33" s="201">
        <v>1850</v>
      </c>
      <c r="S33" s="201">
        <v>2297</v>
      </c>
      <c r="T33" s="201">
        <v>2127</v>
      </c>
      <c r="U33" s="202"/>
      <c r="V33" s="201">
        <v>1383</v>
      </c>
      <c r="W33" s="201">
        <v>3212</v>
      </c>
      <c r="X33" s="201">
        <v>1526</v>
      </c>
      <c r="Y33" s="201">
        <v>2881</v>
      </c>
      <c r="AA33" s="67" t="s">
        <v>21</v>
      </c>
    </row>
    <row r="34" spans="1:27" x14ac:dyDescent="0.25">
      <c r="A34" t="s">
        <v>53</v>
      </c>
      <c r="B34" s="201">
        <v>7796.6220000000003</v>
      </c>
      <c r="C34" s="201">
        <v>784.35699999999997</v>
      </c>
      <c r="D34" s="201">
        <v>1099.9590000000001</v>
      </c>
      <c r="E34" s="203">
        <v>1734.894</v>
      </c>
      <c r="F34" s="204"/>
      <c r="G34" s="201">
        <v>974.70799999999997</v>
      </c>
      <c r="H34" s="201">
        <v>518.10199999999998</v>
      </c>
      <c r="I34" s="201">
        <v>635.64</v>
      </c>
      <c r="J34" s="201">
        <v>664.81500000000005</v>
      </c>
      <c r="K34" s="202"/>
      <c r="L34" s="201">
        <v>462.00700000000001</v>
      </c>
      <c r="M34" s="201">
        <v>151.23400000000001</v>
      </c>
      <c r="N34" s="201">
        <v>369.52800000000002</v>
      </c>
      <c r="O34" s="201">
        <v>-52.091999999999999</v>
      </c>
      <c r="P34" s="202"/>
      <c r="Q34" s="201">
        <v>-160.96100000000001</v>
      </c>
      <c r="R34" s="201">
        <v>-171.16</v>
      </c>
      <c r="S34" s="201">
        <v>114.873</v>
      </c>
      <c r="T34" s="201">
        <v>45.14</v>
      </c>
      <c r="U34" s="202"/>
      <c r="V34" s="201">
        <v>27.132999999999999</v>
      </c>
      <c r="W34" s="201">
        <v>40.512</v>
      </c>
      <c r="X34" s="201">
        <v>114.989</v>
      </c>
      <c r="Y34" s="201">
        <v>-77.650000000000006</v>
      </c>
      <c r="AA34" s="67" t="s">
        <v>53</v>
      </c>
    </row>
    <row r="35" spans="1:27" x14ac:dyDescent="0.25">
      <c r="A35" t="s">
        <v>75</v>
      </c>
      <c r="B35" s="201">
        <v>2841.0859999999998</v>
      </c>
      <c r="C35" s="201">
        <v>509.86799999999999</v>
      </c>
      <c r="D35" s="201">
        <v>234.542</v>
      </c>
      <c r="E35" s="203">
        <v>136.447</v>
      </c>
      <c r="F35" s="204"/>
      <c r="G35" s="201">
        <v>238.74600000000001</v>
      </c>
      <c r="H35" s="201">
        <v>300.29000000000002</v>
      </c>
      <c r="I35" s="201">
        <v>100.449</v>
      </c>
      <c r="J35" s="201">
        <v>202.37100000000001</v>
      </c>
      <c r="K35" s="202"/>
      <c r="L35" s="201">
        <v>17.690999999999999</v>
      </c>
      <c r="M35" s="201">
        <v>-117.157</v>
      </c>
      <c r="N35" s="201">
        <v>129.16800000000001</v>
      </c>
      <c r="O35" s="201">
        <v>-288.52800000000002</v>
      </c>
      <c r="P35" s="202"/>
      <c r="Q35" s="201">
        <v>-353.82799999999997</v>
      </c>
      <c r="R35" s="201">
        <v>-72.73</v>
      </c>
      <c r="S35" s="201">
        <v>-59.405999999999999</v>
      </c>
      <c r="T35" s="201">
        <v>-31.699000000000002</v>
      </c>
      <c r="U35" s="202"/>
      <c r="V35" s="201">
        <v>-102.937</v>
      </c>
      <c r="W35" s="201">
        <v>-44.368000000000002</v>
      </c>
      <c r="X35" s="201">
        <v>-53.531999999999996</v>
      </c>
      <c r="Y35" s="201">
        <v>-55.787999999999997</v>
      </c>
      <c r="AA35" s="67" t="s">
        <v>75</v>
      </c>
    </row>
    <row r="36" spans="1:27" x14ac:dyDescent="0.25">
      <c r="A36" t="s">
        <v>55</v>
      </c>
      <c r="B36" s="201" t="s">
        <v>464</v>
      </c>
      <c r="C36" s="201" t="s">
        <v>464</v>
      </c>
      <c r="D36" s="201" t="s">
        <v>464</v>
      </c>
      <c r="E36" s="203" t="s">
        <v>464</v>
      </c>
      <c r="F36" s="204"/>
      <c r="G36" s="201" t="s">
        <v>464</v>
      </c>
      <c r="H36" s="201" t="s">
        <v>464</v>
      </c>
      <c r="I36" s="201" t="s">
        <v>464</v>
      </c>
      <c r="J36" s="201" t="s">
        <v>464</v>
      </c>
      <c r="K36" s="202"/>
      <c r="L36" s="201" t="s">
        <v>464</v>
      </c>
      <c r="M36" s="201" t="s">
        <v>464</v>
      </c>
      <c r="N36" s="201" t="s">
        <v>464</v>
      </c>
      <c r="O36" s="201" t="s">
        <v>464</v>
      </c>
      <c r="P36" s="202"/>
      <c r="Q36" s="201" t="s">
        <v>464</v>
      </c>
      <c r="R36" s="201" t="s">
        <v>464</v>
      </c>
      <c r="S36" s="201" t="s">
        <v>464</v>
      </c>
      <c r="T36" s="201" t="s">
        <v>464</v>
      </c>
      <c r="U36" s="202"/>
      <c r="V36" s="201" t="s">
        <v>464</v>
      </c>
      <c r="W36" s="201" t="s">
        <v>464</v>
      </c>
      <c r="X36" s="201" t="s">
        <v>464</v>
      </c>
      <c r="Y36" s="201" t="s">
        <v>464</v>
      </c>
      <c r="AA36" s="67" t="s">
        <v>55</v>
      </c>
    </row>
    <row r="37" spans="1:27" x14ac:dyDescent="0.25">
      <c r="A37" t="s">
        <v>64</v>
      </c>
      <c r="B37" s="201">
        <v>861.16099999999994</v>
      </c>
      <c r="C37" s="201">
        <v>612.24300000000005</v>
      </c>
      <c r="D37" s="201">
        <v>119.53100000000001</v>
      </c>
      <c r="E37" s="203">
        <v>-68.808999999999997</v>
      </c>
      <c r="F37" s="204"/>
      <c r="G37" s="201" t="s">
        <v>464</v>
      </c>
      <c r="H37" s="201">
        <v>-85.909000000000006</v>
      </c>
      <c r="I37" s="201">
        <v>-170.08099999999999</v>
      </c>
      <c r="J37" s="201">
        <v>-52.32</v>
      </c>
      <c r="K37" s="202"/>
      <c r="L37" s="201">
        <v>73.686000000000007</v>
      </c>
      <c r="M37" s="201">
        <v>-5.7220000000000004</v>
      </c>
      <c r="N37" s="201">
        <v>16.131</v>
      </c>
      <c r="O37" s="201">
        <v>-42.048000000000002</v>
      </c>
      <c r="P37" s="202"/>
      <c r="Q37" s="201">
        <v>161.65600000000001</v>
      </c>
      <c r="R37" s="201">
        <v>-1.7609999999999999</v>
      </c>
      <c r="S37" s="201">
        <v>152.27000000000001</v>
      </c>
      <c r="T37" s="201">
        <v>47.677</v>
      </c>
      <c r="U37" s="202"/>
      <c r="V37" s="201">
        <v>141.83099999999999</v>
      </c>
      <c r="W37" s="201">
        <v>52.389000000000003</v>
      </c>
      <c r="X37" s="201">
        <v>37.180999999999997</v>
      </c>
      <c r="Y37" s="201">
        <v>27.917000000000002</v>
      </c>
      <c r="AA37" s="67" t="s">
        <v>64</v>
      </c>
    </row>
    <row r="38" spans="1:27" x14ac:dyDescent="0.25">
      <c r="A38" t="s">
        <v>26</v>
      </c>
      <c r="B38" s="201">
        <v>-15.012639999999999</v>
      </c>
      <c r="C38" s="201">
        <v>40.398560000000003</v>
      </c>
      <c r="D38" s="201">
        <v>7.5888799999999996</v>
      </c>
      <c r="E38" s="203">
        <v>-10.4849</v>
      </c>
      <c r="F38" s="204"/>
      <c r="G38" s="201">
        <v>-13.44412</v>
      </c>
      <c r="H38" s="201">
        <v>-32.569020000000002</v>
      </c>
      <c r="I38" s="201">
        <v>4.8068099999999996</v>
      </c>
      <c r="J38" s="201">
        <v>0.75758999999999999</v>
      </c>
      <c r="K38" s="202"/>
      <c r="L38" s="201">
        <v>-9.1258900000000001</v>
      </c>
      <c r="M38" s="201">
        <v>-12.80939</v>
      </c>
      <c r="N38" s="201">
        <v>-22.38015</v>
      </c>
      <c r="O38" s="201">
        <v>2.5847899999999999</v>
      </c>
      <c r="P38" s="202"/>
      <c r="Q38" s="201">
        <v>-36.134869999999999</v>
      </c>
      <c r="R38" s="201">
        <v>-9.0703399999999998</v>
      </c>
      <c r="S38" s="201">
        <v>-10.63109</v>
      </c>
      <c r="T38" s="201">
        <v>-12.83756</v>
      </c>
      <c r="U38" s="202"/>
      <c r="V38" s="201">
        <v>-10.11947</v>
      </c>
      <c r="W38" s="201">
        <v>-3.4775299999999998</v>
      </c>
      <c r="X38" s="201">
        <v>-21.182749999999999</v>
      </c>
      <c r="Y38" s="201">
        <v>-11.536479999999999</v>
      </c>
      <c r="AA38" s="67" t="s">
        <v>26</v>
      </c>
    </row>
    <row r="39" spans="1:27" x14ac:dyDescent="0.25">
      <c r="A39" s="69" t="s">
        <v>109</v>
      </c>
      <c r="B39" s="205">
        <v>5352.6687657142857</v>
      </c>
      <c r="C39" s="205">
        <v>13300.15402771323</v>
      </c>
      <c r="D39" s="212">
        <v>11907.899276363885</v>
      </c>
      <c r="E39" s="206">
        <v>7849.3455535166568</v>
      </c>
      <c r="F39" s="213"/>
      <c r="G39" s="205">
        <v>-2426.3833886343668</v>
      </c>
      <c r="H39" s="205">
        <v>580.06145344559854</v>
      </c>
      <c r="I39" s="205">
        <v>515.35438571515863</v>
      </c>
      <c r="J39" s="205">
        <v>3496.826504828457</v>
      </c>
      <c r="K39" s="214"/>
      <c r="L39" s="205">
        <v>2053.8165048748147</v>
      </c>
      <c r="M39" s="205">
        <v>-15374.155171061671</v>
      </c>
      <c r="N39" s="205">
        <v>153.45410648095429</v>
      </c>
      <c r="O39" s="205">
        <v>-618.20377918977999</v>
      </c>
      <c r="P39" s="214"/>
      <c r="Q39" s="205">
        <v>-17659.96811368514</v>
      </c>
      <c r="R39" s="205">
        <v>-1531.3765701177158</v>
      </c>
      <c r="S39" s="205">
        <v>664.93093201287718</v>
      </c>
      <c r="T39" s="205">
        <v>2733.090369737457</v>
      </c>
      <c r="U39" s="214"/>
      <c r="V39" s="205">
        <v>-15591.263990298716</v>
      </c>
      <c r="W39" s="205">
        <v>-2066.7416381876001</v>
      </c>
      <c r="X39" s="205">
        <v>3304.747165612986</v>
      </c>
      <c r="Y39" s="205">
        <v>3591.2050400588714</v>
      </c>
      <c r="Z39" s="207"/>
      <c r="AA39" s="78" t="s">
        <v>110</v>
      </c>
    </row>
    <row r="40" spans="1:27" x14ac:dyDescent="0.25">
      <c r="C40" s="201"/>
      <c r="D40" s="201"/>
      <c r="E40" s="203"/>
      <c r="F40" s="204"/>
      <c r="G40" s="201"/>
      <c r="H40" s="201"/>
      <c r="I40" s="201"/>
      <c r="J40" s="201"/>
      <c r="K40" s="202"/>
      <c r="L40" s="201"/>
      <c r="M40" s="201"/>
      <c r="N40" s="201"/>
      <c r="O40" s="201"/>
      <c r="P40" s="202"/>
      <c r="Q40" s="201"/>
      <c r="R40" s="201"/>
      <c r="S40" s="201"/>
      <c r="T40" s="201"/>
      <c r="U40" s="202"/>
      <c r="V40" s="201"/>
      <c r="W40" s="201"/>
      <c r="X40" s="201"/>
      <c r="Y40" s="201"/>
    </row>
    <row r="41" spans="1:27" ht="26.25" customHeight="1" x14ac:dyDescent="0.25">
      <c r="C41" s="201"/>
      <c r="D41" s="201"/>
      <c r="E41" s="201"/>
      <c r="F41" s="202"/>
      <c r="G41" s="201"/>
      <c r="H41" s="201"/>
      <c r="I41" s="201"/>
      <c r="J41" s="201"/>
      <c r="K41" s="202"/>
      <c r="L41" s="201"/>
      <c r="M41" s="201"/>
      <c r="N41" s="201"/>
      <c r="O41" s="201"/>
      <c r="P41" s="202"/>
      <c r="Q41" s="201"/>
      <c r="R41" s="201"/>
      <c r="S41" s="201"/>
      <c r="T41" s="201"/>
      <c r="U41" s="202"/>
      <c r="V41" s="201"/>
      <c r="W41" s="201"/>
      <c r="X41" s="201"/>
      <c r="Y41" s="201"/>
    </row>
    <row r="42" spans="1:27" ht="13.5" customHeight="1" x14ac:dyDescent="0.25">
      <c r="A42" s="184" t="s">
        <v>4</v>
      </c>
      <c r="B42" s="185">
        <v>2018</v>
      </c>
      <c r="C42" s="185"/>
      <c r="D42" s="185"/>
      <c r="E42" s="185"/>
      <c r="F42" s="186"/>
      <c r="G42" s="185">
        <v>2017</v>
      </c>
      <c r="H42" s="185"/>
      <c r="I42" s="185"/>
      <c r="J42" s="185"/>
      <c r="K42" s="186"/>
      <c r="L42" s="185">
        <v>2016</v>
      </c>
      <c r="M42" s="185"/>
      <c r="N42" s="185"/>
      <c r="O42" s="185"/>
      <c r="P42" s="186"/>
      <c r="Q42" s="185">
        <v>2015</v>
      </c>
      <c r="R42" s="185"/>
      <c r="S42" s="185"/>
      <c r="T42" s="185"/>
      <c r="U42" s="186"/>
      <c r="V42" s="185">
        <v>2014</v>
      </c>
      <c r="W42" s="185"/>
      <c r="X42" s="185"/>
      <c r="Y42" s="185"/>
      <c r="Z42" s="186"/>
      <c r="AA42" s="187" t="s">
        <v>4</v>
      </c>
    </row>
    <row r="43" spans="1:27" x14ac:dyDescent="0.25">
      <c r="A43" s="188"/>
      <c r="B43" s="189" t="s">
        <v>172</v>
      </c>
      <c r="C43" s="189" t="s">
        <v>173</v>
      </c>
      <c r="D43" s="189" t="s">
        <v>174</v>
      </c>
      <c r="E43" s="189" t="s">
        <v>175</v>
      </c>
      <c r="F43" s="190"/>
      <c r="G43" s="189" t="s">
        <v>172</v>
      </c>
      <c r="H43" s="189" t="s">
        <v>173</v>
      </c>
      <c r="I43" s="189" t="s">
        <v>174</v>
      </c>
      <c r="J43" s="189" t="s">
        <v>175</v>
      </c>
      <c r="K43" s="191"/>
      <c r="L43" s="189" t="s">
        <v>176</v>
      </c>
      <c r="M43" s="189" t="s">
        <v>173</v>
      </c>
      <c r="N43" s="189" t="s">
        <v>174</v>
      </c>
      <c r="O43" s="189" t="s">
        <v>177</v>
      </c>
      <c r="P43" s="191"/>
      <c r="Q43" s="189" t="s">
        <v>172</v>
      </c>
      <c r="R43" s="189" t="s">
        <v>173</v>
      </c>
      <c r="S43" s="189" t="s">
        <v>174</v>
      </c>
      <c r="T43" s="189" t="s">
        <v>175</v>
      </c>
      <c r="U43" s="191"/>
      <c r="V43" s="189" t="s">
        <v>172</v>
      </c>
      <c r="W43" s="189" t="s">
        <v>178</v>
      </c>
      <c r="X43" s="189" t="s">
        <v>174</v>
      </c>
      <c r="Y43" s="189" t="s">
        <v>175</v>
      </c>
      <c r="Z43" s="191"/>
      <c r="AA43" s="192"/>
    </row>
    <row r="44" spans="1:27" x14ac:dyDescent="0.25">
      <c r="A44" s="57" t="s">
        <v>113</v>
      </c>
      <c r="B44" s="57"/>
      <c r="C44" s="208"/>
      <c r="D44" s="208"/>
      <c r="E44" s="208"/>
      <c r="F44" s="209"/>
      <c r="G44" s="208"/>
      <c r="H44" s="208"/>
      <c r="I44" s="208"/>
      <c r="J44" s="208"/>
      <c r="K44" s="209"/>
      <c r="L44" s="208"/>
      <c r="M44" s="208"/>
      <c r="N44" s="208"/>
      <c r="O44" s="208"/>
      <c r="P44" s="209"/>
      <c r="Q44" s="208"/>
      <c r="R44" s="208"/>
      <c r="S44" s="208"/>
      <c r="T44" s="208"/>
      <c r="U44" s="209"/>
      <c r="V44" s="208"/>
      <c r="W44" s="208"/>
      <c r="X44" s="208"/>
      <c r="Y44" s="208"/>
      <c r="Z44" s="210"/>
      <c r="AA44" s="88"/>
    </row>
    <row r="45" spans="1:27" x14ac:dyDescent="0.25">
      <c r="A45" t="s">
        <v>56</v>
      </c>
      <c r="B45" s="201">
        <v>4427.8209999999999</v>
      </c>
      <c r="C45" s="201">
        <v>4212</v>
      </c>
      <c r="D45" s="201">
        <v>2781.636</v>
      </c>
      <c r="E45" s="201">
        <v>2953.277</v>
      </c>
      <c r="F45" s="202"/>
      <c r="G45" s="201">
        <v>2676.05</v>
      </c>
      <c r="H45" s="201">
        <v>2124</v>
      </c>
      <c r="I45" s="201">
        <v>2228.2109999999998</v>
      </c>
      <c r="J45" s="201">
        <v>1612.548</v>
      </c>
      <c r="K45" s="202"/>
      <c r="L45" s="201">
        <v>1771.9960000000001</v>
      </c>
      <c r="M45" s="201">
        <v>1522.6579999999999</v>
      </c>
      <c r="N45" s="201">
        <v>1375</v>
      </c>
      <c r="O45" s="201">
        <v>1348.223</v>
      </c>
      <c r="P45" s="202"/>
      <c r="Q45" s="201">
        <v>1244.732</v>
      </c>
      <c r="R45" s="201">
        <v>1186.8579999999999</v>
      </c>
      <c r="S45" s="201">
        <v>948.40599999999995</v>
      </c>
      <c r="T45" s="201">
        <v>958.40099999999995</v>
      </c>
      <c r="U45" s="202"/>
      <c r="V45" s="201">
        <v>882.59699999999998</v>
      </c>
      <c r="W45" s="201">
        <v>931.24800000000005</v>
      </c>
      <c r="X45" s="201">
        <v>693.24400000000003</v>
      </c>
      <c r="Y45" s="201">
        <v>830.70100000000002</v>
      </c>
      <c r="AA45" s="67" t="s">
        <v>56</v>
      </c>
    </row>
    <row r="46" spans="1:27" x14ac:dyDescent="0.25">
      <c r="A46" t="s">
        <v>40</v>
      </c>
      <c r="B46" s="201">
        <v>5243.2640000000001</v>
      </c>
      <c r="C46" s="201">
        <v>3828.1469999999999</v>
      </c>
      <c r="D46" s="201">
        <v>3115.6489999999999</v>
      </c>
      <c r="E46" s="201">
        <v>3542.183</v>
      </c>
      <c r="F46" s="202"/>
      <c r="G46" s="201">
        <v>3011.65</v>
      </c>
      <c r="H46" s="201">
        <v>2733.6190000000001</v>
      </c>
      <c r="I46" s="201">
        <v>2223.509</v>
      </c>
      <c r="J46" s="201">
        <v>2005.248</v>
      </c>
      <c r="K46" s="202"/>
      <c r="L46" s="201">
        <v>1695.2529999999999</v>
      </c>
      <c r="M46" s="201">
        <v>1632.692</v>
      </c>
      <c r="N46" s="201">
        <v>1805.258</v>
      </c>
      <c r="O46" s="201">
        <v>1407.6289999999999</v>
      </c>
      <c r="P46" s="202"/>
      <c r="Q46" s="201">
        <v>1966.866</v>
      </c>
      <c r="R46" s="201">
        <v>3043.0230000000001</v>
      </c>
      <c r="S46" s="201">
        <v>824.16700000000003</v>
      </c>
      <c r="T46" s="201">
        <v>1114.2190000000001</v>
      </c>
      <c r="U46" s="202"/>
      <c r="V46" s="201">
        <v>574.98199999999997</v>
      </c>
      <c r="W46" s="201">
        <v>985.60900000000004</v>
      </c>
      <c r="X46" s="201">
        <v>732.60199999999998</v>
      </c>
      <c r="Y46" s="201">
        <v>1186.338</v>
      </c>
      <c r="AA46" s="67" t="s">
        <v>40</v>
      </c>
    </row>
    <row r="47" spans="1:27" x14ac:dyDescent="0.25">
      <c r="A47" t="s">
        <v>62</v>
      </c>
      <c r="B47" s="201">
        <v>2936.6280000000002</v>
      </c>
      <c r="C47" s="201">
        <v>3007.8409999999999</v>
      </c>
      <c r="D47" s="201">
        <v>2123.92</v>
      </c>
      <c r="E47" s="203">
        <v>1545.298</v>
      </c>
      <c r="F47" s="204"/>
      <c r="G47" s="201">
        <v>1420.91</v>
      </c>
      <c r="H47" s="201">
        <v>1134.58</v>
      </c>
      <c r="I47" s="201">
        <v>-282.995</v>
      </c>
      <c r="J47" s="201">
        <v>1605.77</v>
      </c>
      <c r="K47" s="202"/>
      <c r="L47" s="201">
        <v>582.40499999999997</v>
      </c>
      <c r="M47" s="201">
        <v>932.92499999999995</v>
      </c>
      <c r="N47" s="201">
        <v>963.25800000000004</v>
      </c>
      <c r="O47" s="201">
        <v>1165.0840000000001</v>
      </c>
      <c r="P47" s="202"/>
      <c r="Q47" s="201">
        <v>1188.261</v>
      </c>
      <c r="R47" s="201">
        <v>998.07</v>
      </c>
      <c r="S47" s="201">
        <v>667.21</v>
      </c>
      <c r="T47" s="201">
        <v>930.94600000000003</v>
      </c>
      <c r="U47" s="202"/>
      <c r="V47" s="201">
        <v>814.35699999999997</v>
      </c>
      <c r="W47" s="201">
        <v>628.97</v>
      </c>
      <c r="X47" s="201">
        <v>399.05099999999999</v>
      </c>
      <c r="Y47" s="201">
        <v>1362.1179999999999</v>
      </c>
      <c r="AA47" s="67" t="s">
        <v>62</v>
      </c>
    </row>
    <row r="48" spans="1:27" x14ac:dyDescent="0.25">
      <c r="A48" t="s">
        <v>77</v>
      </c>
      <c r="B48" s="201">
        <v>2913.2629999999999</v>
      </c>
      <c r="C48" s="201">
        <v>3000.701</v>
      </c>
      <c r="D48" s="201">
        <v>2281.2649999999999</v>
      </c>
      <c r="E48" s="203">
        <v>1695.742</v>
      </c>
      <c r="F48" s="204"/>
      <c r="G48" s="201">
        <v>1579.4680000000001</v>
      </c>
      <c r="H48" s="201">
        <v>930.83699999999999</v>
      </c>
      <c r="I48" s="201">
        <v>1165.037</v>
      </c>
      <c r="J48" s="201">
        <v>1530.663</v>
      </c>
      <c r="K48" s="202"/>
      <c r="L48" s="201">
        <v>1657.962</v>
      </c>
      <c r="M48" s="201">
        <v>1324.6579999999999</v>
      </c>
      <c r="N48" s="201">
        <v>1364.0609999999999</v>
      </c>
      <c r="O48" s="201">
        <v>839.899</v>
      </c>
      <c r="P48" s="202"/>
      <c r="Q48" s="201">
        <v>1436.856</v>
      </c>
      <c r="R48" s="201">
        <v>1006.088</v>
      </c>
      <c r="S48" s="201">
        <v>905.08500000000004</v>
      </c>
      <c r="T48" s="201">
        <v>860.50900000000001</v>
      </c>
      <c r="U48" s="202"/>
      <c r="V48" s="201">
        <v>807.89700000000005</v>
      </c>
      <c r="W48" s="201">
        <v>821.87900000000002</v>
      </c>
      <c r="X48" s="201">
        <v>629.00599999999997</v>
      </c>
      <c r="Y48" s="201">
        <v>974.25900000000001</v>
      </c>
      <c r="AA48" s="67" t="s">
        <v>77</v>
      </c>
    </row>
    <row r="49" spans="1:27" x14ac:dyDescent="0.25">
      <c r="A49" t="s">
        <v>59</v>
      </c>
      <c r="B49" s="201">
        <v>1272.5609999999999</v>
      </c>
      <c r="C49" s="201">
        <v>1760.7539999999999</v>
      </c>
      <c r="D49" s="201">
        <v>1495.2</v>
      </c>
      <c r="E49" s="203">
        <v>822.15499999999997</v>
      </c>
      <c r="F49" s="204"/>
      <c r="G49" s="201">
        <v>1031.6790000000001</v>
      </c>
      <c r="H49" s="201">
        <v>1639.558</v>
      </c>
      <c r="I49" s="201">
        <v>884.78499999999997</v>
      </c>
      <c r="J49" s="201">
        <v>752.24900000000002</v>
      </c>
      <c r="K49" s="202"/>
      <c r="L49" s="201">
        <v>851.92399999999998</v>
      </c>
      <c r="M49" s="201">
        <v>841.15599999999995</v>
      </c>
      <c r="N49" s="201">
        <v>822.33500000000004</v>
      </c>
      <c r="O49" s="201">
        <v>753.577</v>
      </c>
      <c r="P49" s="202"/>
      <c r="Q49" s="201">
        <v>735.65499999999997</v>
      </c>
      <c r="R49" s="201">
        <v>602.21900000000005</v>
      </c>
      <c r="S49" s="201">
        <v>473.416</v>
      </c>
      <c r="T49" s="201">
        <v>575.46400000000006</v>
      </c>
      <c r="U49" s="202"/>
      <c r="V49" s="201">
        <v>453.61700000000002</v>
      </c>
      <c r="W49" s="201">
        <v>454.42500000000001</v>
      </c>
      <c r="X49" s="201">
        <v>393.60300000000001</v>
      </c>
      <c r="Y49" s="201">
        <v>874.33199999999999</v>
      </c>
      <c r="AA49" s="67" t="s">
        <v>59</v>
      </c>
    </row>
    <row r="50" spans="1:27" x14ac:dyDescent="0.25">
      <c r="A50" t="s">
        <v>69</v>
      </c>
      <c r="B50" s="201">
        <v>-1059.5079000000001</v>
      </c>
      <c r="C50" s="201">
        <v>1509.7485300000001</v>
      </c>
      <c r="D50" s="201">
        <v>925.12660000000005</v>
      </c>
      <c r="E50" s="203">
        <v>475.56831</v>
      </c>
      <c r="F50" s="204"/>
      <c r="G50" s="201">
        <v>416.35762999999997</v>
      </c>
      <c r="H50" s="201">
        <v>302.29617000000002</v>
      </c>
      <c r="I50" s="201">
        <v>262.25869999999998</v>
      </c>
      <c r="J50" s="201">
        <v>135.98909</v>
      </c>
      <c r="K50" s="202"/>
      <c r="L50" s="201" t="s">
        <v>464</v>
      </c>
      <c r="M50" s="201" t="s">
        <v>464</v>
      </c>
      <c r="N50" s="201" t="s">
        <v>464</v>
      </c>
      <c r="O50" s="201" t="s">
        <v>464</v>
      </c>
      <c r="P50" s="202"/>
      <c r="Q50" s="201" t="s">
        <v>464</v>
      </c>
      <c r="R50" s="201" t="s">
        <v>464</v>
      </c>
      <c r="S50" s="201" t="s">
        <v>464</v>
      </c>
      <c r="T50" s="201" t="s">
        <v>464</v>
      </c>
      <c r="U50" s="202"/>
      <c r="V50" s="201" t="s">
        <v>464</v>
      </c>
      <c r="W50" s="201" t="s">
        <v>464</v>
      </c>
      <c r="X50" s="201" t="s">
        <v>464</v>
      </c>
      <c r="Y50" s="201" t="s">
        <v>464</v>
      </c>
      <c r="AA50" s="67" t="s">
        <v>69</v>
      </c>
    </row>
    <row r="51" spans="1:27" x14ac:dyDescent="0.25">
      <c r="A51" t="s">
        <v>39</v>
      </c>
      <c r="B51" s="201">
        <v>509.67099999999999</v>
      </c>
      <c r="C51" s="201">
        <v>541.68899999999996</v>
      </c>
      <c r="D51" s="201">
        <v>468.673</v>
      </c>
      <c r="E51" s="203">
        <v>531.37900000000002</v>
      </c>
      <c r="F51" s="204"/>
      <c r="G51" s="201">
        <v>482.24099999999999</v>
      </c>
      <c r="H51" s="201">
        <v>436.14699999999999</v>
      </c>
      <c r="I51" s="201">
        <v>408.02699999999999</v>
      </c>
      <c r="J51" s="201">
        <v>221.626</v>
      </c>
      <c r="K51" s="202"/>
      <c r="L51" s="201">
        <v>136.35499999999999</v>
      </c>
      <c r="M51" s="201">
        <v>103.631</v>
      </c>
      <c r="N51" s="201">
        <v>144.96299999999999</v>
      </c>
      <c r="O51" s="201">
        <v>230.37899999999999</v>
      </c>
      <c r="P51" s="202"/>
      <c r="Q51" s="201">
        <v>522.71600000000001</v>
      </c>
      <c r="R51" s="201">
        <v>217.47200000000001</v>
      </c>
      <c r="S51" s="201">
        <v>169.54499999999999</v>
      </c>
      <c r="T51" s="201">
        <v>176.08099999999999</v>
      </c>
      <c r="U51" s="202"/>
      <c r="V51" s="201">
        <v>46.295000000000002</v>
      </c>
      <c r="W51" s="201">
        <v>145.26900000000001</v>
      </c>
      <c r="X51" s="201">
        <v>155.98599999999999</v>
      </c>
      <c r="Y51" s="201">
        <v>202.422</v>
      </c>
      <c r="AA51" s="67" t="s">
        <v>39</v>
      </c>
    </row>
    <row r="52" spans="1:27" x14ac:dyDescent="0.25">
      <c r="A52" t="s">
        <v>32</v>
      </c>
      <c r="B52" s="201">
        <v>378.16018000000003</v>
      </c>
      <c r="C52" s="201">
        <v>295.13029</v>
      </c>
      <c r="D52" s="201">
        <v>184.61172999999999</v>
      </c>
      <c r="E52" s="203">
        <v>132.62880000000001</v>
      </c>
      <c r="F52" s="204"/>
      <c r="G52" s="201">
        <v>102.95681999999999</v>
      </c>
      <c r="H52" s="201">
        <v>225.96592000000001</v>
      </c>
      <c r="I52" s="201">
        <v>126.50736999999999</v>
      </c>
      <c r="J52" s="201">
        <v>58.993490000000001</v>
      </c>
      <c r="K52" s="202"/>
      <c r="L52" s="201">
        <v>-273.18453</v>
      </c>
      <c r="M52" s="201">
        <v>132.61247</v>
      </c>
      <c r="N52" s="201">
        <v>141.72747000000001</v>
      </c>
      <c r="O52" s="201">
        <v>120.05844</v>
      </c>
      <c r="P52" s="202"/>
      <c r="Q52" s="201">
        <v>-42.072040000000001</v>
      </c>
      <c r="R52" s="201">
        <v>-4.2868899999999996</v>
      </c>
      <c r="S52" s="201">
        <v>117.96357</v>
      </c>
      <c r="T52" s="201">
        <v>119.62826</v>
      </c>
      <c r="U52" s="202"/>
      <c r="V52" s="201">
        <v>40.367629999999998</v>
      </c>
      <c r="W52" s="201">
        <v>103.36821</v>
      </c>
      <c r="X52" s="201">
        <v>80.68486</v>
      </c>
      <c r="Y52" s="201">
        <v>121.83654</v>
      </c>
      <c r="AA52" s="67" t="s">
        <v>32</v>
      </c>
    </row>
    <row r="53" spans="1:27" x14ac:dyDescent="0.25">
      <c r="A53" s="69" t="s">
        <v>109</v>
      </c>
      <c r="B53" s="205">
        <v>2077.7325350000001</v>
      </c>
      <c r="C53" s="205">
        <v>2269.5013524999999</v>
      </c>
      <c r="D53" s="205">
        <v>1672.0101662500001</v>
      </c>
      <c r="E53" s="206">
        <v>1462.2788887500003</v>
      </c>
      <c r="F53" s="206"/>
      <c r="G53" s="205">
        <v>1340.1640562500002</v>
      </c>
      <c r="H53" s="205">
        <v>1190.8753862500002</v>
      </c>
      <c r="I53" s="205">
        <v>876.91750875000002</v>
      </c>
      <c r="J53" s="205">
        <v>990.38582250000013</v>
      </c>
      <c r="K53" s="205"/>
      <c r="L53" s="205">
        <v>917.53006714285709</v>
      </c>
      <c r="M53" s="205">
        <v>927.19035285714278</v>
      </c>
      <c r="N53" s="205">
        <v>945.22892428571413</v>
      </c>
      <c r="O53" s="205">
        <v>837.83563428571426</v>
      </c>
      <c r="P53" s="205"/>
      <c r="Q53" s="205">
        <v>1007.5734228571429</v>
      </c>
      <c r="R53" s="205">
        <v>1007.0633014285713</v>
      </c>
      <c r="S53" s="205">
        <v>586.54179571428574</v>
      </c>
      <c r="T53" s="205">
        <v>676.46403714285714</v>
      </c>
      <c r="U53" s="205"/>
      <c r="V53" s="205">
        <v>517.15894714285719</v>
      </c>
      <c r="W53" s="205">
        <v>581.53831571428577</v>
      </c>
      <c r="X53" s="205">
        <v>440.59669428571425</v>
      </c>
      <c r="Y53" s="205">
        <v>793.14379142857149</v>
      </c>
      <c r="Z53" s="207"/>
      <c r="AA53" s="78" t="s">
        <v>110</v>
      </c>
    </row>
    <row r="54" spans="1:27" ht="7.5" customHeight="1" x14ac:dyDescent="0.25">
      <c r="C54" s="201"/>
      <c r="D54" s="201"/>
      <c r="E54" s="203"/>
      <c r="F54" s="204"/>
      <c r="G54" s="201"/>
      <c r="H54" s="201"/>
      <c r="I54" s="201"/>
      <c r="J54" s="201"/>
      <c r="K54" s="202"/>
      <c r="L54" s="201"/>
      <c r="M54" s="201"/>
      <c r="N54" s="201"/>
      <c r="O54" s="201"/>
      <c r="P54" s="202"/>
      <c r="Q54" s="201"/>
      <c r="R54" s="201"/>
      <c r="S54" s="201"/>
      <c r="T54" s="201"/>
      <c r="U54" s="202"/>
      <c r="V54" s="201"/>
      <c r="W54" s="201"/>
      <c r="X54" s="201"/>
      <c r="Y54" s="201"/>
    </row>
    <row r="55" spans="1:27" x14ac:dyDescent="0.25">
      <c r="A55" s="57" t="s">
        <v>114</v>
      </c>
      <c r="B55" s="57"/>
      <c r="C55" s="208"/>
      <c r="D55" s="208"/>
      <c r="E55" s="208"/>
      <c r="F55" s="209"/>
      <c r="G55" s="208"/>
      <c r="H55" s="208"/>
      <c r="I55" s="208"/>
      <c r="J55" s="208"/>
      <c r="K55" s="209"/>
      <c r="L55" s="208"/>
      <c r="M55" s="208"/>
      <c r="N55" s="208"/>
      <c r="O55" s="208"/>
      <c r="P55" s="209"/>
      <c r="Q55" s="208"/>
      <c r="R55" s="208"/>
      <c r="S55" s="208"/>
      <c r="T55" s="208"/>
      <c r="U55" s="209"/>
      <c r="V55" s="208"/>
      <c r="W55" s="208"/>
      <c r="X55" s="208"/>
      <c r="Y55" s="208"/>
      <c r="Z55" s="210"/>
      <c r="AA55" s="88"/>
    </row>
    <row r="56" spans="1:27" x14ac:dyDescent="0.25">
      <c r="A56" t="s">
        <v>42</v>
      </c>
      <c r="B56" s="201">
        <v>-19463.877270000001</v>
      </c>
      <c r="C56" s="201">
        <v>16265.49876</v>
      </c>
      <c r="D56" s="201">
        <v>215.46609000000001</v>
      </c>
      <c r="E56" s="201">
        <v>134.80141</v>
      </c>
      <c r="F56" s="202"/>
      <c r="G56" s="201">
        <v>217.65065000000001</v>
      </c>
      <c r="H56" s="201">
        <v>100.93375</v>
      </c>
      <c r="I56" s="201">
        <v>74.424319999999994</v>
      </c>
      <c r="J56" s="201">
        <v>74.631479999999996</v>
      </c>
      <c r="K56" s="202"/>
      <c r="L56" s="201">
        <v>89.189350000000005</v>
      </c>
      <c r="M56" s="201">
        <v>90.307389999999998</v>
      </c>
      <c r="N56" s="215">
        <v>57.349429999999998</v>
      </c>
      <c r="O56" s="215">
        <v>54.455860000000001</v>
      </c>
      <c r="P56" s="202"/>
      <c r="Q56" s="201">
        <v>-43.990180000000002</v>
      </c>
      <c r="R56" s="201">
        <v>49.575029999999998</v>
      </c>
      <c r="S56" s="201">
        <v>45.541330000000002</v>
      </c>
      <c r="T56" s="201">
        <v>24.100539999999999</v>
      </c>
      <c r="U56" s="202"/>
      <c r="V56" s="201">
        <v>21.317699999999999</v>
      </c>
      <c r="W56" s="201">
        <v>23.100850000000001</v>
      </c>
      <c r="X56" s="201">
        <v>25.547989999999999</v>
      </c>
      <c r="Y56" s="201">
        <v>-51.844769999999997</v>
      </c>
      <c r="AA56" s="67" t="s">
        <v>42</v>
      </c>
    </row>
    <row r="57" spans="1:27" x14ac:dyDescent="0.25">
      <c r="A57" t="s">
        <v>37</v>
      </c>
      <c r="B57" s="201">
        <v>-2533.4236999999998</v>
      </c>
      <c r="C57" s="201">
        <v>8329.2664000000004</v>
      </c>
      <c r="D57" s="201">
        <v>267.95902000000001</v>
      </c>
      <c r="E57" s="201">
        <v>201.85955000000001</v>
      </c>
      <c r="F57" s="202"/>
      <c r="G57" s="201">
        <v>129.00845000000001</v>
      </c>
      <c r="H57" s="201">
        <v>98.566590000000005</v>
      </c>
      <c r="I57" s="201">
        <v>87.49324</v>
      </c>
      <c r="J57" s="201">
        <v>74.819190000000006</v>
      </c>
      <c r="K57" s="202"/>
      <c r="L57" s="201">
        <v>33.845869999999998</v>
      </c>
      <c r="M57" s="201">
        <v>40.383519999999997</v>
      </c>
      <c r="N57" s="201">
        <v>38.095219999999998</v>
      </c>
      <c r="O57" s="201">
        <v>52.090850000000003</v>
      </c>
      <c r="P57" s="202"/>
      <c r="Q57" s="201">
        <v>26.012070000000001</v>
      </c>
      <c r="R57" s="201">
        <v>3.0806</v>
      </c>
      <c r="S57" s="201">
        <v>12.69045</v>
      </c>
      <c r="T57" s="201">
        <v>24.929549999999999</v>
      </c>
      <c r="U57" s="202"/>
      <c r="V57" s="201">
        <v>-4.2421499999999996</v>
      </c>
      <c r="W57" s="201">
        <v>5.5738599999999998</v>
      </c>
      <c r="X57" s="201">
        <v>6.2876799999999999</v>
      </c>
      <c r="Y57" s="201">
        <v>22.602730000000001</v>
      </c>
      <c r="AA57" s="67" t="s">
        <v>37</v>
      </c>
    </row>
    <row r="58" spans="1:27" x14ac:dyDescent="0.25">
      <c r="A58" t="s">
        <v>71</v>
      </c>
      <c r="B58" s="201">
        <v>61.341999999999999</v>
      </c>
      <c r="C58" s="201">
        <v>61.341999999999999</v>
      </c>
      <c r="D58" s="201">
        <v>69.742999999999995</v>
      </c>
      <c r="E58" s="203">
        <v>87.24</v>
      </c>
      <c r="F58" s="204"/>
      <c r="G58" s="201">
        <v>68.186999999999998</v>
      </c>
      <c r="H58" s="201">
        <v>42.146999999999998</v>
      </c>
      <c r="I58" s="201">
        <v>102.443</v>
      </c>
      <c r="J58" s="201">
        <v>35.865000000000002</v>
      </c>
      <c r="K58" s="202"/>
      <c r="L58" s="201">
        <v>59.624000000000002</v>
      </c>
      <c r="M58" s="201">
        <v>44.052</v>
      </c>
      <c r="N58" s="201">
        <v>14.319000000000001</v>
      </c>
      <c r="O58" s="201">
        <v>25.744</v>
      </c>
      <c r="P58" s="202"/>
      <c r="Q58" s="201">
        <v>45.916809999999998</v>
      </c>
      <c r="R58" s="201">
        <v>12.076180000000001</v>
      </c>
      <c r="S58" s="201">
        <v>19.488199999999999</v>
      </c>
      <c r="T58" s="201">
        <v>22.630559999999999</v>
      </c>
      <c r="U58" s="202"/>
      <c r="V58" s="201">
        <v>34.849780000000003</v>
      </c>
      <c r="W58" s="201">
        <v>11.97682</v>
      </c>
      <c r="X58" s="201">
        <v>9.7357399999999998</v>
      </c>
      <c r="Y58" s="201">
        <v>9.2265899999999998</v>
      </c>
      <c r="AA58" s="67" t="s">
        <v>71</v>
      </c>
    </row>
    <row r="59" spans="1:27" x14ac:dyDescent="0.25">
      <c r="A59" t="s">
        <v>31</v>
      </c>
      <c r="B59" s="201">
        <v>-70.914400000000001</v>
      </c>
      <c r="C59" s="201">
        <v>3.2984100000000001</v>
      </c>
      <c r="D59" s="201">
        <v>150.51616000000001</v>
      </c>
      <c r="E59" s="203">
        <v>305.73761999999999</v>
      </c>
      <c r="F59" s="204"/>
      <c r="G59" s="201">
        <v>30.652059999999999</v>
      </c>
      <c r="H59" s="201">
        <v>0.76742999999999995</v>
      </c>
      <c r="I59" s="201">
        <v>14.430580000000001</v>
      </c>
      <c r="J59" s="201">
        <v>-0.71997999999999995</v>
      </c>
      <c r="K59" s="202"/>
      <c r="L59" s="201">
        <v>5.0508699999999997</v>
      </c>
      <c r="M59" s="201">
        <v>-0.54352</v>
      </c>
      <c r="N59" s="201">
        <v>14.18685</v>
      </c>
      <c r="O59" s="201">
        <v>43.54768</v>
      </c>
      <c r="P59" s="202"/>
      <c r="Q59" s="201">
        <v>57.644590000000001</v>
      </c>
      <c r="R59" s="201">
        <v>-1.22333</v>
      </c>
      <c r="S59" s="201">
        <v>-2.8014299999999999</v>
      </c>
      <c r="T59" s="201">
        <v>10.349880000000001</v>
      </c>
      <c r="U59" s="202"/>
      <c r="V59" s="201">
        <v>-15.223140000000001</v>
      </c>
      <c r="W59" s="201">
        <v>18.569189999999999</v>
      </c>
      <c r="X59" s="201">
        <v>-2.5369100000000002</v>
      </c>
      <c r="Y59" s="201">
        <v>73.943150000000003</v>
      </c>
      <c r="AA59" s="67" t="s">
        <v>31</v>
      </c>
    </row>
    <row r="60" spans="1:27" x14ac:dyDescent="0.25">
      <c r="A60" t="s">
        <v>48</v>
      </c>
      <c r="B60" s="201">
        <v>-5.6334400000000002</v>
      </c>
      <c r="C60" s="201">
        <v>56.72569</v>
      </c>
      <c r="D60" s="201">
        <v>23.279730000000001</v>
      </c>
      <c r="E60" s="203">
        <v>26.178789999999999</v>
      </c>
      <c r="F60" s="204"/>
      <c r="G60" s="201">
        <v>37.667029999999997</v>
      </c>
      <c r="H60" s="201">
        <v>33.531790000000001</v>
      </c>
      <c r="I60" s="201">
        <v>7.51539</v>
      </c>
      <c r="J60" s="201">
        <v>7.42476</v>
      </c>
      <c r="K60" s="202"/>
      <c r="L60" s="201">
        <v>33.27337</v>
      </c>
      <c r="M60" s="201">
        <v>46.247869999999999</v>
      </c>
      <c r="N60" s="201">
        <v>14.99508</v>
      </c>
      <c r="O60" s="201">
        <v>73.918970000000002</v>
      </c>
      <c r="P60" s="202"/>
      <c r="Q60" s="201">
        <v>93.859300000000005</v>
      </c>
      <c r="R60" s="201">
        <v>67.537030000000001</v>
      </c>
      <c r="S60" s="201">
        <v>39.597920000000002</v>
      </c>
      <c r="T60" s="201">
        <v>37.57546</v>
      </c>
      <c r="U60" s="202"/>
      <c r="V60" s="201">
        <v>39.4208</v>
      </c>
      <c r="W60" s="201">
        <v>45.087829999999997</v>
      </c>
      <c r="X60" s="201">
        <v>28.66771</v>
      </c>
      <c r="Y60" s="201">
        <v>39.037509999999997</v>
      </c>
      <c r="AA60" s="67" t="s">
        <v>48</v>
      </c>
    </row>
    <row r="61" spans="1:27" x14ac:dyDescent="0.25">
      <c r="A61" t="s">
        <v>36</v>
      </c>
      <c r="B61" s="201">
        <v>-88.671139999999994</v>
      </c>
      <c r="C61" s="201">
        <v>10.66722</v>
      </c>
      <c r="D61" s="201">
        <v>12.21838</v>
      </c>
      <c r="E61" s="203">
        <v>18.733650000000001</v>
      </c>
      <c r="F61" s="204"/>
      <c r="G61" s="201">
        <v>48.667020000000001</v>
      </c>
      <c r="H61" s="201">
        <v>3.6675800000000001</v>
      </c>
      <c r="I61" s="201">
        <v>16.72148</v>
      </c>
      <c r="J61" s="201">
        <v>7.43574</v>
      </c>
      <c r="K61" s="202"/>
      <c r="L61" s="201">
        <v>48.117069999999998</v>
      </c>
      <c r="M61" s="201">
        <v>-12.241289999999999</v>
      </c>
      <c r="N61" s="201">
        <v>12.517849999999999</v>
      </c>
      <c r="O61" s="201">
        <v>-11.8429</v>
      </c>
      <c r="P61" s="202"/>
      <c r="Q61" s="201">
        <v>1.88575</v>
      </c>
      <c r="R61" s="201">
        <v>-2.5537100000000001</v>
      </c>
      <c r="S61" s="201">
        <v>3.1218900000000001</v>
      </c>
      <c r="T61" s="201">
        <v>3.1249899999999999</v>
      </c>
      <c r="U61" s="202"/>
      <c r="V61" s="201">
        <v>6.6935700000000002</v>
      </c>
      <c r="W61" s="201">
        <v>15.66968</v>
      </c>
      <c r="X61" s="201">
        <v>-0.20041999999999999</v>
      </c>
      <c r="Y61" s="201">
        <v>-20.22064</v>
      </c>
      <c r="AA61" s="67" t="s">
        <v>36</v>
      </c>
    </row>
    <row r="62" spans="1:27" x14ac:dyDescent="0.25">
      <c r="A62" t="s">
        <v>24</v>
      </c>
      <c r="B62" s="201">
        <v>-36.026649999999997</v>
      </c>
      <c r="C62" s="201">
        <v>36.904220000000002</v>
      </c>
      <c r="D62" s="201">
        <v>5.5265899999999997</v>
      </c>
      <c r="E62" s="203">
        <v>-27.051110000000001</v>
      </c>
      <c r="F62" s="204"/>
      <c r="G62" s="201">
        <v>5.1477599999999999</v>
      </c>
      <c r="H62" s="201">
        <v>43.843609999999998</v>
      </c>
      <c r="I62" s="201">
        <v>28.593679999999999</v>
      </c>
      <c r="J62" s="201">
        <v>-8.7820599999999995</v>
      </c>
      <c r="K62" s="202"/>
      <c r="L62" s="201">
        <v>24.434100000000001</v>
      </c>
      <c r="M62" s="201">
        <v>21.31326</v>
      </c>
      <c r="N62" s="201">
        <v>17.54617</v>
      </c>
      <c r="O62" s="201">
        <v>-12.682399999999999</v>
      </c>
      <c r="P62" s="202"/>
      <c r="Q62" s="201">
        <v>2.70764</v>
      </c>
      <c r="R62" s="201">
        <v>-9.3114899999999992</v>
      </c>
      <c r="S62" s="201">
        <v>-1.9644999999999999</v>
      </c>
      <c r="T62" s="201">
        <v>-9.7165300000000006</v>
      </c>
      <c r="U62" s="202"/>
      <c r="V62" s="201">
        <v>15.55325</v>
      </c>
      <c r="W62" s="201">
        <v>5.9498899999999999</v>
      </c>
      <c r="X62" s="201">
        <v>-8.0534499999999998</v>
      </c>
      <c r="Y62" s="201">
        <v>-9.6523500000000002</v>
      </c>
      <c r="AA62" s="67" t="s">
        <v>24</v>
      </c>
    </row>
    <row r="63" spans="1:27" x14ac:dyDescent="0.25">
      <c r="A63" t="s">
        <v>27</v>
      </c>
      <c r="B63" s="201" t="s">
        <v>464</v>
      </c>
      <c r="C63" s="201">
        <v>-41.851939999999999</v>
      </c>
      <c r="D63" s="201">
        <v>-18.83737</v>
      </c>
      <c r="E63" s="203">
        <v>4.4381300000000001</v>
      </c>
      <c r="F63" s="204"/>
      <c r="G63" s="201">
        <v>-13.049759999999999</v>
      </c>
      <c r="H63" s="201">
        <v>5.2244799999999998</v>
      </c>
      <c r="I63" s="201">
        <v>11.44408</v>
      </c>
      <c r="J63" s="201">
        <v>-13.20166</v>
      </c>
      <c r="K63" s="202"/>
      <c r="L63" s="201">
        <v>-19.508959999999998</v>
      </c>
      <c r="M63" s="201">
        <v>1.8480099999999999</v>
      </c>
      <c r="N63" s="201">
        <v>0.46537000000000001</v>
      </c>
      <c r="O63" s="201">
        <v>17.508279999999999</v>
      </c>
      <c r="P63" s="202"/>
      <c r="Q63" s="201">
        <v>10.631080000000001</v>
      </c>
      <c r="R63" s="201">
        <v>19.740970000000001</v>
      </c>
      <c r="S63" s="201">
        <v>24.062270000000002</v>
      </c>
      <c r="T63" s="201">
        <v>17.45993</v>
      </c>
      <c r="U63" s="202"/>
      <c r="V63" s="201">
        <v>2.8028599999999999</v>
      </c>
      <c r="W63" s="201">
        <v>1.4856499999999999</v>
      </c>
      <c r="X63" s="201">
        <v>34.448929999999997</v>
      </c>
      <c r="Y63" s="201">
        <v>16.767710000000001</v>
      </c>
      <c r="AA63" s="67" t="s">
        <v>27</v>
      </c>
    </row>
    <row r="64" spans="1:27" x14ac:dyDescent="0.25">
      <c r="A64" t="s">
        <v>11</v>
      </c>
      <c r="B64" s="201">
        <v>3.5793400000000002</v>
      </c>
      <c r="C64" s="201">
        <v>-1.8260700000000001</v>
      </c>
      <c r="D64" s="201">
        <v>4.9677600000000002</v>
      </c>
      <c r="E64" s="203">
        <v>5.5297599999999996</v>
      </c>
      <c r="F64" s="204"/>
      <c r="G64" s="201">
        <v>5.5141999999999998</v>
      </c>
      <c r="H64" s="201">
        <v>-2.9081600000000001</v>
      </c>
      <c r="I64" s="201">
        <v>2.94712</v>
      </c>
      <c r="J64" s="201">
        <v>5.41927</v>
      </c>
      <c r="K64" s="202"/>
      <c r="L64" s="201">
        <v>6.0571799999999998</v>
      </c>
      <c r="M64" s="201">
        <v>-5.4100900000000003</v>
      </c>
      <c r="N64" s="201">
        <v>2.71313</v>
      </c>
      <c r="O64" s="201">
        <v>2.5049399999999999</v>
      </c>
      <c r="P64" s="202"/>
      <c r="Q64" s="201">
        <v>-0.50175000000000003</v>
      </c>
      <c r="R64" s="201">
        <v>-1.2654799999999999</v>
      </c>
      <c r="S64" s="201">
        <v>1.6167400000000001</v>
      </c>
      <c r="T64" s="201">
        <v>1.34531</v>
      </c>
      <c r="U64" s="202"/>
      <c r="V64" s="201">
        <v>2.2804899999999999</v>
      </c>
      <c r="W64" s="201">
        <v>1.70072</v>
      </c>
      <c r="X64" s="201">
        <v>4.06881</v>
      </c>
      <c r="Y64" s="201">
        <v>0.40638999999999997</v>
      </c>
      <c r="AA64" s="67" t="s">
        <v>11</v>
      </c>
    </row>
    <row r="65" spans="1:27" x14ac:dyDescent="0.25">
      <c r="A65" t="s">
        <v>10</v>
      </c>
      <c r="B65" s="201">
        <v>10.475429999999999</v>
      </c>
      <c r="C65" s="201">
        <v>-1.1170599999999999</v>
      </c>
      <c r="D65" s="201">
        <v>-2.5009999999999999</v>
      </c>
      <c r="E65" s="203">
        <v>-1.3388500000000001</v>
      </c>
      <c r="F65" s="204"/>
      <c r="G65" s="201">
        <v>-3.85745</v>
      </c>
      <c r="H65" s="201">
        <v>-1.1521600000000001</v>
      </c>
      <c r="I65" s="201">
        <v>-1.21644</v>
      </c>
      <c r="J65" s="201">
        <v>-3.52461</v>
      </c>
      <c r="K65" s="202"/>
      <c r="L65" s="201">
        <v>-3.7904599999999999</v>
      </c>
      <c r="M65" s="201">
        <v>-1.5459400000000001</v>
      </c>
      <c r="N65" s="201">
        <v>-0.72997999999999996</v>
      </c>
      <c r="O65" s="201">
        <v>-1.0503899999999999</v>
      </c>
      <c r="P65" s="202"/>
      <c r="Q65" s="201">
        <v>-22.24953</v>
      </c>
      <c r="R65" s="201">
        <v>-0.77768000000000004</v>
      </c>
      <c r="S65" s="201">
        <v>-0.52551000000000003</v>
      </c>
      <c r="T65" s="201">
        <v>-0.60009000000000001</v>
      </c>
      <c r="U65" s="202"/>
      <c r="V65" s="201">
        <v>-0.34059</v>
      </c>
      <c r="W65" s="201">
        <v>1.2749999999999999E-2</v>
      </c>
      <c r="X65" s="201">
        <v>0.20721000000000001</v>
      </c>
      <c r="Y65" s="201">
        <v>7.9210000000000003E-2</v>
      </c>
      <c r="AA65" s="67" t="s">
        <v>10</v>
      </c>
    </row>
    <row r="66" spans="1:27" x14ac:dyDescent="0.25">
      <c r="A66" s="69" t="s">
        <v>109</v>
      </c>
      <c r="B66" s="205">
        <v>-2458.1277588888893</v>
      </c>
      <c r="C66" s="205">
        <v>2471.8907630000003</v>
      </c>
      <c r="D66" s="205">
        <v>72.833836000000019</v>
      </c>
      <c r="E66" s="206">
        <v>75.612895000000009</v>
      </c>
      <c r="F66" s="213"/>
      <c r="G66" s="205">
        <v>52.558695999999998</v>
      </c>
      <c r="H66" s="205">
        <v>32.462191000000004</v>
      </c>
      <c r="I66" s="205">
        <v>34.479644999999998</v>
      </c>
      <c r="J66" s="205">
        <v>17.936713000000005</v>
      </c>
      <c r="K66" s="214"/>
      <c r="L66" s="205">
        <v>27.629239000000002</v>
      </c>
      <c r="M66" s="205">
        <v>22.441120999999999</v>
      </c>
      <c r="N66" s="205">
        <v>17.145811999999999</v>
      </c>
      <c r="O66" s="205">
        <v>24.419489000000002</v>
      </c>
      <c r="P66" s="214"/>
      <c r="Q66" s="205">
        <v>17.191578</v>
      </c>
      <c r="R66" s="205">
        <v>13.687812000000003</v>
      </c>
      <c r="S66" s="205">
        <v>14.082736000000001</v>
      </c>
      <c r="T66" s="205">
        <v>13.119960000000003</v>
      </c>
      <c r="U66" s="214"/>
      <c r="V66" s="205">
        <v>10.311256999999999</v>
      </c>
      <c r="W66" s="205">
        <v>12.912724000000001</v>
      </c>
      <c r="X66" s="205">
        <v>9.8173290000000026</v>
      </c>
      <c r="Y66" s="205">
        <v>8.0345530000000025</v>
      </c>
      <c r="Z66" s="207"/>
      <c r="AA66" s="78" t="s">
        <v>110</v>
      </c>
    </row>
    <row r="67" spans="1:27" ht="8.25" customHeight="1" x14ac:dyDescent="0.25">
      <c r="C67" s="201"/>
      <c r="D67" s="201"/>
      <c r="E67" s="203"/>
      <c r="F67" s="204"/>
      <c r="G67" s="201"/>
      <c r="H67" s="201"/>
      <c r="I67" s="201"/>
      <c r="J67" s="201"/>
      <c r="K67" s="202"/>
      <c r="L67" s="201"/>
      <c r="M67" s="201"/>
      <c r="N67" s="201"/>
      <c r="O67" s="201"/>
      <c r="P67" s="202"/>
      <c r="Q67" s="201"/>
      <c r="R67" s="201"/>
      <c r="S67" s="201"/>
      <c r="T67" s="201"/>
      <c r="U67" s="202"/>
      <c r="V67" s="201"/>
      <c r="W67" s="201"/>
      <c r="X67" s="201"/>
      <c r="Y67" s="201"/>
    </row>
    <row r="68" spans="1:27" x14ac:dyDescent="0.25">
      <c r="A68" s="57" t="s">
        <v>115</v>
      </c>
      <c r="B68" s="57"/>
      <c r="C68" s="208"/>
      <c r="D68" s="208"/>
      <c r="E68" s="208"/>
      <c r="F68" s="209"/>
      <c r="G68" s="208"/>
      <c r="H68" s="208"/>
      <c r="I68" s="208"/>
      <c r="J68" s="208"/>
      <c r="K68" s="209"/>
      <c r="L68" s="208"/>
      <c r="M68" s="208"/>
      <c r="N68" s="208"/>
      <c r="O68" s="208"/>
      <c r="P68" s="209"/>
      <c r="Q68" s="208"/>
      <c r="R68" s="208"/>
      <c r="S68" s="208"/>
      <c r="T68" s="208"/>
      <c r="U68" s="209"/>
      <c r="V68" s="208"/>
      <c r="W68" s="208"/>
      <c r="X68" s="208"/>
      <c r="Y68" s="208"/>
      <c r="Z68" s="210"/>
      <c r="AA68" s="88"/>
    </row>
    <row r="69" spans="1:27" x14ac:dyDescent="0.25">
      <c r="A69" t="s">
        <v>50</v>
      </c>
      <c r="B69" s="201">
        <v>-7174</v>
      </c>
      <c r="C69" s="201">
        <v>9447</v>
      </c>
      <c r="D69" s="201" t="s">
        <v>464</v>
      </c>
      <c r="E69" s="201">
        <v>507</v>
      </c>
      <c r="F69" s="202"/>
      <c r="G69" s="201">
        <v>8171</v>
      </c>
      <c r="H69" s="201">
        <v>202</v>
      </c>
      <c r="I69" s="201">
        <v>930</v>
      </c>
      <c r="J69" s="201">
        <v>1166</v>
      </c>
      <c r="K69" s="202"/>
      <c r="L69" s="201">
        <v>-989</v>
      </c>
      <c r="M69" s="201">
        <v>551</v>
      </c>
      <c r="N69" s="201">
        <v>9037</v>
      </c>
      <c r="O69" s="201">
        <v>-21</v>
      </c>
      <c r="P69" s="202"/>
      <c r="Q69" s="201">
        <v>-213</v>
      </c>
      <c r="R69" s="201">
        <v>-275.69200000000001</v>
      </c>
      <c r="S69" s="201">
        <v>2703.6959999999999</v>
      </c>
      <c r="T69" s="201">
        <v>-249.21</v>
      </c>
      <c r="U69" s="202"/>
      <c r="V69" s="201">
        <v>2</v>
      </c>
      <c r="W69" s="201">
        <v>3</v>
      </c>
      <c r="X69" s="201">
        <v>-422.536</v>
      </c>
      <c r="Y69" s="201">
        <v>-70.352000000000004</v>
      </c>
      <c r="AA69" s="67" t="s">
        <v>50</v>
      </c>
    </row>
    <row r="70" spans="1:27" x14ac:dyDescent="0.25">
      <c r="A70" t="s">
        <v>35</v>
      </c>
      <c r="B70" s="201">
        <v>-4960.8059999999996</v>
      </c>
      <c r="C70" s="201">
        <v>7086.99</v>
      </c>
      <c r="D70" s="201">
        <v>3258.9780000000001</v>
      </c>
      <c r="E70" s="201">
        <v>598.90200000000004</v>
      </c>
      <c r="F70" s="202"/>
      <c r="G70" s="201">
        <v>9360.9140000000007</v>
      </c>
      <c r="H70" s="201">
        <v>1881.1420000000001</v>
      </c>
      <c r="I70" s="201">
        <v>901.93499999999995</v>
      </c>
      <c r="J70" s="201">
        <v>355.61700000000002</v>
      </c>
      <c r="K70" s="202"/>
      <c r="L70" s="201">
        <v>1250.8340000000001</v>
      </c>
      <c r="M70" s="201">
        <v>752.09</v>
      </c>
      <c r="N70" s="201">
        <v>1150.1310000000001</v>
      </c>
      <c r="O70" s="201">
        <v>6675.884</v>
      </c>
      <c r="P70" s="202"/>
      <c r="Q70" s="201">
        <v>276.23700000000002</v>
      </c>
      <c r="R70" s="201">
        <v>103.002</v>
      </c>
      <c r="S70" s="201">
        <v>1839.027</v>
      </c>
      <c r="T70" s="201">
        <v>99.96</v>
      </c>
      <c r="U70" s="202"/>
      <c r="V70" s="201">
        <v>193.732</v>
      </c>
      <c r="W70" s="201">
        <v>147.672</v>
      </c>
      <c r="X70" s="201">
        <v>87.557000000000002</v>
      </c>
      <c r="Y70" s="201">
        <v>48.877000000000002</v>
      </c>
      <c r="AA70" s="67" t="s">
        <v>35</v>
      </c>
    </row>
    <row r="71" spans="1:27" x14ac:dyDescent="0.25">
      <c r="A71" t="s">
        <v>54</v>
      </c>
      <c r="B71" s="201">
        <v>-4360</v>
      </c>
      <c r="C71" s="201">
        <v>2103</v>
      </c>
      <c r="D71" s="201" t="s">
        <v>464</v>
      </c>
      <c r="E71" s="203">
        <v>203</v>
      </c>
      <c r="F71" s="204"/>
      <c r="G71" s="201">
        <v>4198</v>
      </c>
      <c r="H71" s="201">
        <v>-130</v>
      </c>
      <c r="I71" s="201">
        <v>515</v>
      </c>
      <c r="J71" s="201">
        <v>1262</v>
      </c>
      <c r="K71" s="202"/>
      <c r="L71" s="201">
        <v>-352</v>
      </c>
      <c r="M71" s="201">
        <v>606</v>
      </c>
      <c r="N71" s="201">
        <v>5127</v>
      </c>
      <c r="O71" s="201">
        <v>4</v>
      </c>
      <c r="P71" s="202"/>
      <c r="Q71" s="201">
        <v>-483</v>
      </c>
      <c r="R71" s="201">
        <v>-288</v>
      </c>
      <c r="S71" s="201">
        <v>602.00900000000001</v>
      </c>
      <c r="T71" s="201">
        <v>288</v>
      </c>
      <c r="U71" s="202"/>
      <c r="V71" s="201">
        <v>-94</v>
      </c>
      <c r="W71" s="201">
        <v>-122.005</v>
      </c>
      <c r="X71" s="201">
        <v>-394.14400000000001</v>
      </c>
      <c r="Y71" s="201">
        <v>-162.208</v>
      </c>
      <c r="AA71" s="67" t="s">
        <v>54</v>
      </c>
    </row>
    <row r="72" spans="1:27" x14ac:dyDescent="0.25">
      <c r="A72" t="s">
        <v>46</v>
      </c>
      <c r="B72" s="201">
        <v>-2619.52</v>
      </c>
      <c r="C72" s="201">
        <v>2608.96</v>
      </c>
      <c r="D72" s="201">
        <v>1344.6030000000001</v>
      </c>
      <c r="E72" s="203">
        <v>319.41500000000002</v>
      </c>
      <c r="F72" s="204"/>
      <c r="G72" s="201">
        <v>851.09900000000005</v>
      </c>
      <c r="H72" s="201">
        <v>310.11900000000003</v>
      </c>
      <c r="I72" s="201">
        <v>267.52199999999999</v>
      </c>
      <c r="J72" s="201">
        <v>860.48599999999999</v>
      </c>
      <c r="K72" s="202"/>
      <c r="L72" s="201">
        <v>653.99599999999998</v>
      </c>
      <c r="M72" s="201">
        <v>138.44200000000001</v>
      </c>
      <c r="N72" s="201">
        <v>397.55900000000003</v>
      </c>
      <c r="O72" s="201">
        <v>347.21899999999999</v>
      </c>
      <c r="P72" s="202"/>
      <c r="Q72" s="201">
        <v>654.24099999999999</v>
      </c>
      <c r="R72" s="201">
        <v>206.738</v>
      </c>
      <c r="S72" s="201">
        <v>877.17600000000004</v>
      </c>
      <c r="T72" s="201">
        <v>170.54300000000001</v>
      </c>
      <c r="U72" s="202"/>
      <c r="V72" s="201">
        <v>250.506</v>
      </c>
      <c r="W72" s="201">
        <v>512.43499999999995</v>
      </c>
      <c r="X72" s="201">
        <v>-2.2029999999999998</v>
      </c>
      <c r="Y72" s="201">
        <v>196.19900000000001</v>
      </c>
      <c r="AA72" s="67" t="s">
        <v>46</v>
      </c>
    </row>
    <row r="73" spans="1:27" x14ac:dyDescent="0.25">
      <c r="A73" s="69" t="s">
        <v>109</v>
      </c>
      <c r="B73" s="205">
        <v>-4778.5815000000002</v>
      </c>
      <c r="C73" s="205">
        <v>5311.4874999999993</v>
      </c>
      <c r="D73" s="205">
        <v>2301.7905000000001</v>
      </c>
      <c r="E73" s="206">
        <v>407.07925</v>
      </c>
      <c r="F73" s="206"/>
      <c r="G73" s="205">
        <v>5645.2532499999998</v>
      </c>
      <c r="H73" s="205">
        <v>565.81524999999999</v>
      </c>
      <c r="I73" s="205">
        <v>653.61424999999997</v>
      </c>
      <c r="J73" s="205">
        <v>911.02575000000002</v>
      </c>
      <c r="K73" s="205"/>
      <c r="L73" s="205">
        <v>140.95750000000001</v>
      </c>
      <c r="M73" s="205">
        <v>511.88300000000004</v>
      </c>
      <c r="N73" s="205">
        <v>3927.9224999999997</v>
      </c>
      <c r="O73" s="205">
        <v>1751.52575</v>
      </c>
      <c r="P73" s="205"/>
      <c r="Q73" s="205">
        <v>58.619500000000002</v>
      </c>
      <c r="R73" s="205">
        <v>-63.488</v>
      </c>
      <c r="S73" s="205">
        <v>1505.4770000000001</v>
      </c>
      <c r="T73" s="205">
        <v>77.323250000000002</v>
      </c>
      <c r="U73" s="205"/>
      <c r="V73" s="205">
        <v>88.0595</v>
      </c>
      <c r="W73" s="205">
        <v>135.27549999999999</v>
      </c>
      <c r="X73" s="205">
        <v>-182.83150000000001</v>
      </c>
      <c r="Y73" s="205">
        <v>3.1290000000000049</v>
      </c>
      <c r="Z73" s="207"/>
      <c r="AA73" s="78" t="s">
        <v>110</v>
      </c>
    </row>
    <row r="74" spans="1:27" ht="8.25" customHeight="1" x14ac:dyDescent="0.25">
      <c r="C74" s="201"/>
      <c r="D74" s="201"/>
      <c r="E74" s="203"/>
      <c r="F74" s="204"/>
      <c r="G74" s="201"/>
      <c r="H74" s="201"/>
      <c r="I74" s="201"/>
      <c r="J74" s="201"/>
      <c r="K74" s="202"/>
      <c r="L74" s="201"/>
      <c r="M74" s="201"/>
      <c r="N74" s="201"/>
      <c r="O74" s="201"/>
      <c r="P74" s="202"/>
      <c r="Q74" s="201"/>
      <c r="R74" s="201"/>
      <c r="S74" s="201"/>
      <c r="T74" s="201"/>
      <c r="U74" s="202"/>
      <c r="V74" s="201"/>
      <c r="W74" s="201"/>
      <c r="X74" s="201"/>
      <c r="Y74" s="201"/>
    </row>
    <row r="75" spans="1:27" x14ac:dyDescent="0.25">
      <c r="A75" s="57" t="s">
        <v>116</v>
      </c>
      <c r="B75" s="57"/>
      <c r="C75" s="208"/>
      <c r="D75" s="208"/>
      <c r="E75" s="208"/>
      <c r="F75" s="209"/>
      <c r="G75" s="208"/>
      <c r="H75" s="208"/>
      <c r="I75" s="208"/>
      <c r="J75" s="208"/>
      <c r="K75" s="209"/>
      <c r="L75" s="208"/>
      <c r="M75" s="208"/>
      <c r="N75" s="208"/>
      <c r="O75" s="208"/>
      <c r="P75" s="209"/>
      <c r="Q75" s="208"/>
      <c r="R75" s="208"/>
      <c r="S75" s="208"/>
      <c r="T75" s="208"/>
      <c r="U75" s="209"/>
      <c r="V75" s="208"/>
      <c r="W75" s="208"/>
      <c r="X75" s="208"/>
      <c r="Y75" s="208"/>
      <c r="Z75" s="210"/>
      <c r="AA75" s="88"/>
    </row>
    <row r="76" spans="1:27" x14ac:dyDescent="0.25">
      <c r="A76" t="s">
        <v>78</v>
      </c>
      <c r="B76" s="201">
        <v>7248.28</v>
      </c>
      <c r="C76" s="201">
        <v>3034.56</v>
      </c>
      <c r="D76" s="201">
        <v>435.89400000000001</v>
      </c>
      <c r="E76" s="201">
        <v>2554.3530000000001</v>
      </c>
      <c r="F76" s="202"/>
      <c r="G76" s="201">
        <v>848.08199999999999</v>
      </c>
      <c r="H76" s="201">
        <v>1609.1369999999999</v>
      </c>
      <c r="I76" s="201">
        <v>1255.1110000000001</v>
      </c>
      <c r="J76" s="201">
        <v>1857.4259999999999</v>
      </c>
      <c r="K76" s="202"/>
      <c r="L76" s="201">
        <v>943.64499999999998</v>
      </c>
      <c r="M76" s="201">
        <v>1307.441</v>
      </c>
      <c r="N76" s="201">
        <v>811.99400000000003</v>
      </c>
      <c r="O76" s="201">
        <v>640.19899999999996</v>
      </c>
      <c r="P76" s="202"/>
      <c r="Q76" s="201">
        <v>155.042</v>
      </c>
      <c r="R76" s="201">
        <v>499.30399999999997</v>
      </c>
      <c r="S76" s="201">
        <v>361.31599999999997</v>
      </c>
      <c r="T76" s="201">
        <v>741.26800000000003</v>
      </c>
      <c r="U76" s="202"/>
      <c r="V76" s="201">
        <v>624.99300000000005</v>
      </c>
      <c r="W76" s="201">
        <v>-10.952</v>
      </c>
      <c r="X76" s="201">
        <v>869.41600000000005</v>
      </c>
      <c r="Y76" s="201">
        <v>888.26599999999996</v>
      </c>
      <c r="AA76" s="67" t="s">
        <v>78</v>
      </c>
    </row>
    <row r="77" spans="1:27" x14ac:dyDescent="0.25">
      <c r="A77" t="s">
        <v>52</v>
      </c>
      <c r="B77" s="201">
        <v>993.51324</v>
      </c>
      <c r="C77" s="201">
        <v>100.80507</v>
      </c>
      <c r="D77" s="201">
        <v>179.42474000000001</v>
      </c>
      <c r="E77" s="201">
        <v>526.12893999999994</v>
      </c>
      <c r="F77" s="202"/>
      <c r="G77" s="201">
        <v>665.24377000000004</v>
      </c>
      <c r="H77" s="201">
        <v>295.33672999999999</v>
      </c>
      <c r="I77" s="201">
        <v>276.13103000000001</v>
      </c>
      <c r="J77" s="201">
        <v>354.13085000000001</v>
      </c>
      <c r="K77" s="202"/>
      <c r="L77" s="201">
        <v>218.01402999999999</v>
      </c>
      <c r="M77" s="201">
        <v>120.91001</v>
      </c>
      <c r="N77" s="201">
        <v>35.750489999999999</v>
      </c>
      <c r="O77" s="201">
        <v>127.42547999999999</v>
      </c>
      <c r="P77" s="202"/>
      <c r="Q77" s="201" t="s">
        <v>464</v>
      </c>
      <c r="R77" s="201" t="s">
        <v>464</v>
      </c>
      <c r="S77" s="201" t="s">
        <v>464</v>
      </c>
      <c r="T77" s="201" t="s">
        <v>464</v>
      </c>
      <c r="U77" s="202"/>
      <c r="V77" s="201" t="s">
        <v>464</v>
      </c>
      <c r="W77" s="201" t="s">
        <v>464</v>
      </c>
      <c r="X77" s="201" t="s">
        <v>464</v>
      </c>
      <c r="Y77" s="201" t="s">
        <v>464</v>
      </c>
      <c r="AA77" s="67" t="s">
        <v>52</v>
      </c>
    </row>
    <row r="78" spans="1:27" x14ac:dyDescent="0.25">
      <c r="A78" t="s">
        <v>67</v>
      </c>
      <c r="B78" s="201">
        <v>1651.8220699999999</v>
      </c>
      <c r="C78" s="201">
        <v>1667.3850399999999</v>
      </c>
      <c r="D78" s="201">
        <v>828.25053000000003</v>
      </c>
      <c r="E78" s="203">
        <v>1114.40066</v>
      </c>
      <c r="F78" s="204"/>
      <c r="G78" s="201">
        <v>910.77777000000003</v>
      </c>
      <c r="H78" s="201">
        <v>787.63156000000004</v>
      </c>
      <c r="I78" s="201">
        <v>573.65854999999999</v>
      </c>
      <c r="J78" s="201">
        <v>535.10389999999995</v>
      </c>
      <c r="K78" s="202"/>
      <c r="L78" s="201">
        <v>386.65726999999998</v>
      </c>
      <c r="M78" s="201">
        <v>454.02001999999999</v>
      </c>
      <c r="N78" s="201">
        <v>397.71875999999997</v>
      </c>
      <c r="O78" s="201">
        <v>536.40148999999997</v>
      </c>
      <c r="P78" s="202"/>
      <c r="Q78" s="201">
        <v>96.145489999999995</v>
      </c>
      <c r="R78" s="201">
        <v>163.21404000000001</v>
      </c>
      <c r="S78" s="201">
        <v>177.38575</v>
      </c>
      <c r="T78" s="201">
        <v>299.35773</v>
      </c>
      <c r="U78" s="202"/>
      <c r="V78" s="201">
        <v>370.91737000000001</v>
      </c>
      <c r="W78" s="201">
        <v>429.25727000000001</v>
      </c>
      <c r="X78" s="201">
        <v>241.16394</v>
      </c>
      <c r="Y78" s="201">
        <v>200.83044000000001</v>
      </c>
      <c r="AA78" s="67" t="s">
        <v>67</v>
      </c>
    </row>
    <row r="79" spans="1:27" x14ac:dyDescent="0.25">
      <c r="A79" t="s">
        <v>12</v>
      </c>
      <c r="B79" s="201">
        <v>636.88824</v>
      </c>
      <c r="C79" s="201">
        <v>304.83645000000001</v>
      </c>
      <c r="D79" s="201">
        <v>359.54099000000002</v>
      </c>
      <c r="E79" s="203">
        <v>238.74958000000001</v>
      </c>
      <c r="F79" s="204"/>
      <c r="G79" s="201">
        <v>337.17189999999999</v>
      </c>
      <c r="H79" s="201">
        <v>331.26825000000002</v>
      </c>
      <c r="I79" s="201">
        <v>194.64167</v>
      </c>
      <c r="J79" s="201">
        <v>200.70214000000001</v>
      </c>
      <c r="K79" s="202"/>
      <c r="L79" s="201">
        <v>207.67632</v>
      </c>
      <c r="M79" s="201">
        <v>143.61825999999999</v>
      </c>
      <c r="N79" s="201">
        <v>63.983930000000001</v>
      </c>
      <c r="O79" s="201">
        <v>-24.472539999999999</v>
      </c>
      <c r="P79" s="202"/>
      <c r="Q79" s="201">
        <v>-79.292180000000002</v>
      </c>
      <c r="R79" s="201">
        <v>30.944669999999999</v>
      </c>
      <c r="S79" s="201">
        <v>60.350090000000002</v>
      </c>
      <c r="T79" s="201">
        <v>52.355670000000003</v>
      </c>
      <c r="U79" s="202"/>
      <c r="V79" s="201">
        <v>36.170569999999998</v>
      </c>
      <c r="W79" s="201">
        <v>2.5209299999999999</v>
      </c>
      <c r="X79" s="201">
        <v>32.77178</v>
      </c>
      <c r="Y79" s="201">
        <v>-12.51882</v>
      </c>
      <c r="AA79" s="67" t="s">
        <v>12</v>
      </c>
    </row>
    <row r="80" spans="1:27" x14ac:dyDescent="0.25">
      <c r="A80" t="s">
        <v>13</v>
      </c>
      <c r="B80" s="201">
        <v>673.28</v>
      </c>
      <c r="C80" s="201">
        <v>552.55700000000002</v>
      </c>
      <c r="D80" s="201">
        <v>21.696999999999999</v>
      </c>
      <c r="E80" s="203">
        <v>328.93099999999998</v>
      </c>
      <c r="F80" s="204"/>
      <c r="G80" s="201">
        <v>-37.289000000000001</v>
      </c>
      <c r="H80" s="201">
        <v>267.42599999999999</v>
      </c>
      <c r="I80" s="201">
        <v>82.125</v>
      </c>
      <c r="J80" s="201">
        <v>179.96100000000001</v>
      </c>
      <c r="K80" s="202"/>
      <c r="L80" s="201">
        <v>-401.37</v>
      </c>
      <c r="M80" s="201">
        <v>-2.0539999999999998</v>
      </c>
      <c r="N80" s="201">
        <v>-182.756</v>
      </c>
      <c r="O80" s="201">
        <v>-188.19300000000001</v>
      </c>
      <c r="P80" s="202"/>
      <c r="Q80" s="201">
        <v>-308.28800000000001</v>
      </c>
      <c r="R80" s="201">
        <v>-92.27</v>
      </c>
      <c r="S80" s="201">
        <v>-16.183</v>
      </c>
      <c r="T80" s="201">
        <v>-43.58</v>
      </c>
      <c r="U80" s="202"/>
      <c r="V80" s="201">
        <v>-125.97199999999999</v>
      </c>
      <c r="W80" s="201">
        <v>-127.35</v>
      </c>
      <c r="X80" s="201">
        <v>32.262999999999998</v>
      </c>
      <c r="Y80" s="201">
        <v>9.266</v>
      </c>
      <c r="AA80" s="67" t="s">
        <v>13</v>
      </c>
    </row>
    <row r="81" spans="1:27" x14ac:dyDescent="0.25">
      <c r="A81" t="s">
        <v>33</v>
      </c>
      <c r="B81" s="201">
        <v>7.30844</v>
      </c>
      <c r="C81" s="201">
        <v>7.30844</v>
      </c>
      <c r="D81" s="201">
        <v>53.584060000000001</v>
      </c>
      <c r="E81" s="203">
        <v>17.4345</v>
      </c>
      <c r="F81" s="204"/>
      <c r="G81" s="201">
        <v>19.825050000000001</v>
      </c>
      <c r="H81" s="201">
        <v>29.99222</v>
      </c>
      <c r="I81" s="201">
        <v>11.328569999999999</v>
      </c>
      <c r="J81" s="201">
        <v>9.9432100000000005</v>
      </c>
      <c r="K81" s="202"/>
      <c r="L81" s="201">
        <v>14.41009</v>
      </c>
      <c r="M81" s="201">
        <v>39.077860000000001</v>
      </c>
      <c r="N81" s="201">
        <v>19.996390000000002</v>
      </c>
      <c r="O81" s="201">
        <v>63.221629999999998</v>
      </c>
      <c r="P81" s="202"/>
      <c r="Q81" s="201">
        <v>31.901710000000001</v>
      </c>
      <c r="R81" s="201">
        <v>24.188420000000001</v>
      </c>
      <c r="S81" s="201">
        <v>19.37575</v>
      </c>
      <c r="T81" s="201">
        <v>18.241009999999999</v>
      </c>
      <c r="U81" s="202"/>
      <c r="V81" s="201">
        <v>14.338039999999999</v>
      </c>
      <c r="W81" s="201">
        <v>17.512029999999999</v>
      </c>
      <c r="X81" s="201">
        <v>25.636569999999999</v>
      </c>
      <c r="Y81" s="201">
        <v>24.931920000000002</v>
      </c>
      <c r="AA81" s="67" t="s">
        <v>33</v>
      </c>
    </row>
    <row r="82" spans="1:27" x14ac:dyDescent="0.25">
      <c r="A82" t="s">
        <v>14</v>
      </c>
      <c r="B82" s="201">
        <v>57.241999999999997</v>
      </c>
      <c r="C82" s="201">
        <v>57.241999999999997</v>
      </c>
      <c r="D82" s="201">
        <v>-1180.8810000000001</v>
      </c>
      <c r="E82" s="203">
        <v>-548.12599999999998</v>
      </c>
      <c r="F82" s="204"/>
      <c r="G82" s="201">
        <v>-518.61900000000003</v>
      </c>
      <c r="H82" s="201">
        <v>-49.487000000000002</v>
      </c>
      <c r="I82" s="201">
        <v>-115.904</v>
      </c>
      <c r="J82" s="201">
        <v>-834.52700000000004</v>
      </c>
      <c r="K82" s="202"/>
      <c r="L82" s="201">
        <v>-81.245000000000005</v>
      </c>
      <c r="M82" s="201">
        <v>-170.066</v>
      </c>
      <c r="N82" s="201">
        <v>-141.297</v>
      </c>
      <c r="O82" s="201">
        <v>166.316</v>
      </c>
      <c r="P82" s="202"/>
      <c r="Q82" s="201">
        <v>-264.625</v>
      </c>
      <c r="R82" s="201">
        <v>-0.46700000000000003</v>
      </c>
      <c r="S82" s="201">
        <v>-1.327</v>
      </c>
      <c r="T82" s="201">
        <v>53.488</v>
      </c>
      <c r="U82" s="202"/>
      <c r="V82" s="201">
        <v>22.439</v>
      </c>
      <c r="W82" s="201">
        <v>35.36</v>
      </c>
      <c r="X82" s="201">
        <v>-35.125</v>
      </c>
      <c r="Y82" s="201">
        <v>44.146999999999998</v>
      </c>
      <c r="AA82" s="67" t="s">
        <v>14</v>
      </c>
    </row>
    <row r="83" spans="1:27" hidden="1" x14ac:dyDescent="0.25">
      <c r="A83" t="s">
        <v>8</v>
      </c>
      <c r="B83" s="201" t="s">
        <v>464</v>
      </c>
      <c r="C83" s="202" t="s">
        <v>464</v>
      </c>
      <c r="D83" s="202" t="s">
        <v>464</v>
      </c>
      <c r="E83" s="203" t="s">
        <v>464</v>
      </c>
      <c r="F83" s="204"/>
      <c r="G83" s="201" t="s">
        <v>464</v>
      </c>
      <c r="H83" s="201" t="s">
        <v>464</v>
      </c>
      <c r="I83" s="201" t="s">
        <v>464</v>
      </c>
      <c r="J83" s="201" t="s">
        <v>464</v>
      </c>
      <c r="K83" s="202"/>
      <c r="L83" s="201" t="s">
        <v>464</v>
      </c>
      <c r="M83" s="201" t="s">
        <v>464</v>
      </c>
      <c r="N83" s="201" t="s">
        <v>464</v>
      </c>
      <c r="O83" s="201" t="s">
        <v>464</v>
      </c>
      <c r="P83" s="202"/>
      <c r="Q83" s="201" t="s">
        <v>464</v>
      </c>
      <c r="R83" s="201" t="s">
        <v>464</v>
      </c>
      <c r="S83" s="201" t="s">
        <v>464</v>
      </c>
      <c r="T83" s="201" t="s">
        <v>464</v>
      </c>
      <c r="U83" s="202"/>
      <c r="V83" s="201" t="s">
        <v>464</v>
      </c>
      <c r="W83" s="201" t="s">
        <v>464</v>
      </c>
      <c r="X83" s="201" t="s">
        <v>464</v>
      </c>
      <c r="Y83" s="201" t="s">
        <v>464</v>
      </c>
      <c r="AA83" s="67" t="s">
        <v>8</v>
      </c>
    </row>
    <row r="84" spans="1:27" x14ac:dyDescent="0.25">
      <c r="A84" t="s">
        <v>23</v>
      </c>
      <c r="B84" s="201">
        <v>-36.185980000000001</v>
      </c>
      <c r="C84" s="201">
        <v>-26.661570000000001</v>
      </c>
      <c r="D84" s="201">
        <v>-2.5581800000000001</v>
      </c>
      <c r="E84" s="203">
        <v>-0.34200000000000003</v>
      </c>
      <c r="F84" s="204"/>
      <c r="G84" s="201">
        <v>4.5223300000000002</v>
      </c>
      <c r="H84" s="201">
        <v>4.6324899999999998</v>
      </c>
      <c r="I84" s="201">
        <v>-11.005000000000001</v>
      </c>
      <c r="J84" s="201">
        <v>9.9198000000000004</v>
      </c>
      <c r="K84" s="202"/>
      <c r="L84" s="201">
        <v>2.3709099999999999</v>
      </c>
      <c r="M84" s="201">
        <v>-1.18876</v>
      </c>
      <c r="N84" s="201">
        <v>2.2932800000000002</v>
      </c>
      <c r="O84" s="201">
        <v>10.08705</v>
      </c>
      <c r="P84" s="202"/>
      <c r="Q84" s="201">
        <v>3.6339000000000001</v>
      </c>
      <c r="R84" s="201">
        <v>1.36538</v>
      </c>
      <c r="S84" s="201">
        <v>2.6122299999999998</v>
      </c>
      <c r="T84" s="201">
        <v>-4.4082100000000004</v>
      </c>
      <c r="U84" s="202"/>
      <c r="V84" s="201">
        <v>0.95864000000000005</v>
      </c>
      <c r="W84" s="201">
        <v>0.67083000000000004</v>
      </c>
      <c r="X84" s="201">
        <v>-3.2575099999999999</v>
      </c>
      <c r="Y84" s="201">
        <v>2.9218000000000002</v>
      </c>
      <c r="AA84" s="67" t="s">
        <v>23</v>
      </c>
    </row>
    <row r="85" spans="1:27" x14ac:dyDescent="0.25">
      <c r="A85" t="s">
        <v>25</v>
      </c>
      <c r="B85" s="201">
        <v>11.384</v>
      </c>
      <c r="C85" s="201">
        <v>-9.5640000000000001</v>
      </c>
      <c r="D85" s="201">
        <v>-11.449</v>
      </c>
      <c r="E85" s="203">
        <v>-2.6579999999999999</v>
      </c>
      <c r="F85" s="204"/>
      <c r="G85" s="201">
        <v>-51.651000000000003</v>
      </c>
      <c r="H85" s="201">
        <v>-21.317</v>
      </c>
      <c r="I85" s="201">
        <v>-17.53</v>
      </c>
      <c r="J85" s="201">
        <v>-14.459</v>
      </c>
      <c r="K85" s="202"/>
      <c r="L85" s="201">
        <v>-15.241</v>
      </c>
      <c r="M85" s="201">
        <v>-10.343</v>
      </c>
      <c r="N85" s="201">
        <v>-1.5980000000000001</v>
      </c>
      <c r="O85" s="201">
        <v>-5.4589999999999996</v>
      </c>
      <c r="P85" s="202"/>
      <c r="Q85" s="201">
        <v>7.7080000000000002</v>
      </c>
      <c r="R85" s="201">
        <v>-2.9000000000000001E-2</v>
      </c>
      <c r="S85" s="201">
        <v>-0.81499999999999995</v>
      </c>
      <c r="T85" s="201">
        <v>7.4260000000000002</v>
      </c>
      <c r="U85" s="202"/>
      <c r="V85" s="201">
        <v>0.154</v>
      </c>
      <c r="W85" s="201">
        <v>1.5649999999999999</v>
      </c>
      <c r="X85" s="201">
        <v>-10.085000000000001</v>
      </c>
      <c r="Y85" s="201">
        <v>4.9189999999999996</v>
      </c>
      <c r="AA85" s="67" t="s">
        <v>25</v>
      </c>
    </row>
    <row r="86" spans="1:27" x14ac:dyDescent="0.25">
      <c r="A86" s="69" t="s">
        <v>109</v>
      </c>
      <c r="B86" s="205">
        <v>1249.2813344444446</v>
      </c>
      <c r="C86" s="205">
        <v>632.05204777777772</v>
      </c>
      <c r="D86" s="205">
        <v>75.944793333333294</v>
      </c>
      <c r="E86" s="206">
        <v>469.87463111111106</v>
      </c>
      <c r="F86" s="206"/>
      <c r="G86" s="205">
        <v>242.00709111111104</v>
      </c>
      <c r="H86" s="205">
        <v>361.62447222222221</v>
      </c>
      <c r="I86" s="205">
        <v>249.83964666666665</v>
      </c>
      <c r="J86" s="205">
        <v>255.35565555555553</v>
      </c>
      <c r="K86" s="205"/>
      <c r="L86" s="205">
        <v>141.65751333333336</v>
      </c>
      <c r="M86" s="205">
        <v>209.0461544444444</v>
      </c>
      <c r="N86" s="205">
        <v>111.78731666666667</v>
      </c>
      <c r="O86" s="205">
        <v>147.2806788888889</v>
      </c>
      <c r="P86" s="205"/>
      <c r="Q86" s="205">
        <v>-44.721760000000003</v>
      </c>
      <c r="R86" s="205">
        <v>78.281313749999981</v>
      </c>
      <c r="S86" s="205">
        <v>75.33935249999999</v>
      </c>
      <c r="T86" s="205">
        <v>140.51852499999998</v>
      </c>
      <c r="U86" s="205"/>
      <c r="V86" s="205">
        <v>117.99982749999999</v>
      </c>
      <c r="W86" s="205">
        <v>43.57300750000001</v>
      </c>
      <c r="X86" s="205">
        <v>144.0979725</v>
      </c>
      <c r="Y86" s="205">
        <v>145.34541750000002</v>
      </c>
      <c r="Z86" s="207"/>
      <c r="AA86" s="78" t="s">
        <v>110</v>
      </c>
    </row>
    <row r="87" spans="1:27" ht="26.25" customHeight="1" x14ac:dyDescent="0.25">
      <c r="A87" s="96"/>
      <c r="B87" s="96"/>
      <c r="C87" s="216"/>
      <c r="D87" s="216"/>
      <c r="E87" s="217"/>
      <c r="F87" s="218"/>
      <c r="G87" s="216"/>
      <c r="H87" s="216"/>
      <c r="I87" s="216"/>
      <c r="J87" s="216"/>
      <c r="K87" s="219"/>
      <c r="L87" s="216"/>
      <c r="M87" s="216"/>
      <c r="N87" s="216"/>
      <c r="O87" s="216"/>
      <c r="P87" s="219"/>
      <c r="Q87" s="216"/>
      <c r="R87" s="216"/>
      <c r="S87" s="216"/>
      <c r="T87" s="216"/>
      <c r="U87" s="219"/>
      <c r="V87" s="216"/>
      <c r="W87" s="216"/>
      <c r="X87" s="216"/>
      <c r="Y87" s="216"/>
      <c r="Z87" s="220"/>
      <c r="AA87" s="102"/>
    </row>
    <row r="88" spans="1:27" x14ac:dyDescent="0.25">
      <c r="A88" s="184" t="s">
        <v>4</v>
      </c>
      <c r="B88" s="185">
        <v>2018</v>
      </c>
      <c r="C88" s="185"/>
      <c r="D88" s="185"/>
      <c r="E88" s="185"/>
      <c r="F88" s="186"/>
      <c r="G88" s="185">
        <v>2017</v>
      </c>
      <c r="H88" s="185"/>
      <c r="I88" s="185"/>
      <c r="J88" s="185"/>
      <c r="K88" s="186"/>
      <c r="L88" s="185">
        <v>2016</v>
      </c>
      <c r="M88" s="185"/>
      <c r="N88" s="185"/>
      <c r="O88" s="185"/>
      <c r="P88" s="186"/>
      <c r="Q88" s="185">
        <v>2015</v>
      </c>
      <c r="R88" s="185"/>
      <c r="S88" s="185"/>
      <c r="T88" s="185"/>
      <c r="U88" s="186"/>
      <c r="V88" s="185">
        <v>2014</v>
      </c>
      <c r="W88" s="185"/>
      <c r="X88" s="185"/>
      <c r="Y88" s="185"/>
      <c r="Z88" s="186"/>
      <c r="AA88" s="187" t="s">
        <v>4</v>
      </c>
    </row>
    <row r="89" spans="1:27" x14ac:dyDescent="0.25">
      <c r="A89" s="188"/>
      <c r="B89" s="189" t="s">
        <v>172</v>
      </c>
      <c r="C89" s="189" t="s">
        <v>173</v>
      </c>
      <c r="D89" s="189" t="s">
        <v>174</v>
      </c>
      <c r="E89" s="189" t="s">
        <v>175</v>
      </c>
      <c r="F89" s="190"/>
      <c r="G89" s="189" t="s">
        <v>172</v>
      </c>
      <c r="H89" s="189" t="s">
        <v>173</v>
      </c>
      <c r="I89" s="189" t="s">
        <v>174</v>
      </c>
      <c r="J89" s="189" t="s">
        <v>175</v>
      </c>
      <c r="K89" s="191"/>
      <c r="L89" s="189" t="s">
        <v>176</v>
      </c>
      <c r="M89" s="189" t="s">
        <v>173</v>
      </c>
      <c r="N89" s="189" t="s">
        <v>174</v>
      </c>
      <c r="O89" s="189" t="s">
        <v>177</v>
      </c>
      <c r="P89" s="191"/>
      <c r="Q89" s="189" t="s">
        <v>172</v>
      </c>
      <c r="R89" s="189" t="s">
        <v>173</v>
      </c>
      <c r="S89" s="189" t="s">
        <v>174</v>
      </c>
      <c r="T89" s="189" t="s">
        <v>175</v>
      </c>
      <c r="U89" s="191"/>
      <c r="V89" s="189" t="s">
        <v>172</v>
      </c>
      <c r="W89" s="189" t="s">
        <v>178</v>
      </c>
      <c r="X89" s="189" t="s">
        <v>174</v>
      </c>
      <c r="Y89" s="189" t="s">
        <v>175</v>
      </c>
      <c r="Z89" s="191"/>
      <c r="AA89" s="192"/>
    </row>
    <row r="90" spans="1:27" x14ac:dyDescent="0.25">
      <c r="A90" s="57" t="s">
        <v>117</v>
      </c>
      <c r="B90" s="57"/>
      <c r="C90" s="208"/>
      <c r="D90" s="208"/>
      <c r="E90" s="208"/>
      <c r="F90" s="209"/>
      <c r="G90" s="208"/>
      <c r="H90" s="208"/>
      <c r="I90" s="208"/>
      <c r="J90" s="208"/>
      <c r="K90" s="209"/>
      <c r="L90" s="208"/>
      <c r="M90" s="208"/>
      <c r="N90" s="208"/>
      <c r="O90" s="208"/>
      <c r="P90" s="209"/>
      <c r="Q90" s="208"/>
      <c r="R90" s="208"/>
      <c r="S90" s="208"/>
      <c r="T90" s="208"/>
      <c r="U90" s="209"/>
      <c r="V90" s="208"/>
      <c r="W90" s="208"/>
      <c r="X90" s="208"/>
      <c r="Y90" s="208"/>
      <c r="Z90" s="210"/>
      <c r="AA90" s="88"/>
    </row>
    <row r="91" spans="1:27" x14ac:dyDescent="0.25">
      <c r="A91" t="s">
        <v>28</v>
      </c>
      <c r="B91" s="201">
        <v>-216.37526</v>
      </c>
      <c r="C91" s="201">
        <v>12.56948</v>
      </c>
      <c r="D91" s="201">
        <v>-41.315750000000001</v>
      </c>
      <c r="E91" s="201">
        <v>20.261119999999998</v>
      </c>
      <c r="F91" s="202"/>
      <c r="G91" s="201">
        <v>10.03572</v>
      </c>
      <c r="H91" s="201">
        <v>17.650919999999999</v>
      </c>
      <c r="I91" s="201">
        <v>2.3791699999999998</v>
      </c>
      <c r="J91" s="201">
        <v>10.63012</v>
      </c>
      <c r="K91" s="202"/>
      <c r="L91" s="201">
        <v>69.602189999999993</v>
      </c>
      <c r="M91" s="201">
        <v>20.317519999999998</v>
      </c>
      <c r="N91" s="201">
        <v>5.0203100000000003</v>
      </c>
      <c r="O91" s="201">
        <v>-0.14488000000000001</v>
      </c>
      <c r="P91" s="202"/>
      <c r="Q91" s="201" t="s">
        <v>464</v>
      </c>
      <c r="R91" s="201" t="s">
        <v>464</v>
      </c>
      <c r="S91" s="201" t="s">
        <v>464</v>
      </c>
      <c r="T91" s="201" t="s">
        <v>464</v>
      </c>
      <c r="U91" s="202"/>
      <c r="V91" s="201" t="s">
        <v>464</v>
      </c>
      <c r="W91" s="201" t="s">
        <v>464</v>
      </c>
      <c r="X91" s="201" t="s">
        <v>464</v>
      </c>
      <c r="Y91" s="201" t="s">
        <v>464</v>
      </c>
      <c r="AA91" s="67" t="s">
        <v>28</v>
      </c>
    </row>
    <row r="92" spans="1:27" x14ac:dyDescent="0.25">
      <c r="A92" t="s">
        <v>72</v>
      </c>
      <c r="B92" s="201">
        <v>-143.60301999999999</v>
      </c>
      <c r="C92" s="201">
        <v>20.646730000000002</v>
      </c>
      <c r="D92" s="201">
        <v>3.3237399999999999</v>
      </c>
      <c r="E92" s="201">
        <v>-2.0512199999999998</v>
      </c>
      <c r="F92" s="202"/>
      <c r="G92" s="201">
        <v>-3.2082299999999999</v>
      </c>
      <c r="H92" s="201">
        <v>-0.92839000000000005</v>
      </c>
      <c r="I92" s="201">
        <v>2.0605099999999998</v>
      </c>
      <c r="J92" s="201">
        <v>2.00379</v>
      </c>
      <c r="K92" s="202"/>
      <c r="L92" s="201">
        <v>7.5257899999999998</v>
      </c>
      <c r="M92" s="201">
        <v>-0.41177000000000002</v>
      </c>
      <c r="N92" s="201">
        <v>1.8685499999999999</v>
      </c>
      <c r="O92" s="201">
        <v>1.1801299999999999</v>
      </c>
      <c r="P92" s="202"/>
      <c r="Q92" s="201">
        <v>6.0059100000000001</v>
      </c>
      <c r="R92" s="201">
        <v>-3.0125500000000001</v>
      </c>
      <c r="S92" s="201">
        <v>-3.2687900000000001</v>
      </c>
      <c r="T92" s="201">
        <v>-0.45202999999999999</v>
      </c>
      <c r="U92" s="202"/>
      <c r="V92" s="201">
        <v>-3.3644699999999998</v>
      </c>
      <c r="W92" s="201">
        <v>5.8523699999999996</v>
      </c>
      <c r="X92" s="201">
        <v>-5.7577400000000001</v>
      </c>
      <c r="Y92" s="201">
        <v>11.616059999999999</v>
      </c>
      <c r="AA92" s="67" t="s">
        <v>72</v>
      </c>
    </row>
    <row r="93" spans="1:27" x14ac:dyDescent="0.25">
      <c r="A93" s="69" t="s">
        <v>109</v>
      </c>
      <c r="B93" s="205">
        <v>-179.98913999999999</v>
      </c>
      <c r="C93" s="205">
        <v>16.608105000000002</v>
      </c>
      <c r="D93" s="205">
        <v>-18.996005</v>
      </c>
      <c r="E93" s="206">
        <v>9.1049499999999988</v>
      </c>
      <c r="F93" s="213"/>
      <c r="G93" s="205">
        <v>3.4137449999999996</v>
      </c>
      <c r="H93" s="205">
        <v>8.3612649999999995</v>
      </c>
      <c r="I93" s="205">
        <v>2.2198399999999996</v>
      </c>
      <c r="J93" s="205">
        <v>6.3169550000000001</v>
      </c>
      <c r="K93" s="214"/>
      <c r="L93" s="205">
        <v>38.563989999999997</v>
      </c>
      <c r="M93" s="205">
        <v>9.9528749999999988</v>
      </c>
      <c r="N93" s="205">
        <v>3.4444300000000001</v>
      </c>
      <c r="O93" s="205">
        <v>0.517625</v>
      </c>
      <c r="P93" s="214"/>
      <c r="Q93" s="205">
        <v>6.0059100000000001</v>
      </c>
      <c r="R93" s="205">
        <v>-3.0125500000000001</v>
      </c>
      <c r="S93" s="205">
        <v>-3.2687900000000001</v>
      </c>
      <c r="T93" s="205">
        <v>-0.45202999999999999</v>
      </c>
      <c r="U93" s="214"/>
      <c r="V93" s="205">
        <v>-3.3644699999999998</v>
      </c>
      <c r="W93" s="205">
        <v>5.8523699999999996</v>
      </c>
      <c r="X93" s="205">
        <v>-5.7577400000000001</v>
      </c>
      <c r="Y93" s="205">
        <v>11.616059999999999</v>
      </c>
      <c r="Z93" s="207"/>
      <c r="AA93" s="78" t="s">
        <v>110</v>
      </c>
    </row>
    <row r="94" spans="1:27" x14ac:dyDescent="0.25">
      <c r="C94" s="201"/>
      <c r="D94" s="201"/>
      <c r="E94" s="203"/>
      <c r="F94" s="204"/>
      <c r="G94" s="201"/>
      <c r="H94" s="201"/>
      <c r="I94" s="201"/>
      <c r="J94" s="201"/>
      <c r="K94" s="202"/>
      <c r="L94" s="201"/>
      <c r="M94" s="201"/>
      <c r="N94" s="201"/>
      <c r="O94" s="201"/>
      <c r="P94" s="202"/>
      <c r="Q94" s="201"/>
      <c r="R94" s="201"/>
      <c r="S94" s="201"/>
      <c r="T94" s="201"/>
      <c r="U94" s="202"/>
      <c r="V94" s="201"/>
      <c r="W94" s="201"/>
      <c r="X94" s="201"/>
      <c r="Y94" s="201"/>
    </row>
    <row r="95" spans="1:27" x14ac:dyDescent="0.25">
      <c r="A95" s="57" t="s">
        <v>118</v>
      </c>
      <c r="B95" s="57"/>
      <c r="C95" s="208"/>
      <c r="D95" s="208"/>
      <c r="E95" s="208"/>
      <c r="F95" s="209"/>
      <c r="G95" s="208"/>
      <c r="H95" s="208"/>
      <c r="I95" s="208"/>
      <c r="J95" s="208"/>
      <c r="K95" s="209"/>
      <c r="L95" s="208"/>
      <c r="M95" s="208"/>
      <c r="N95" s="208"/>
      <c r="O95" s="208"/>
      <c r="P95" s="209"/>
      <c r="Q95" s="208"/>
      <c r="R95" s="208"/>
      <c r="S95" s="208"/>
      <c r="T95" s="208"/>
      <c r="U95" s="209"/>
      <c r="V95" s="208"/>
      <c r="W95" s="208"/>
      <c r="X95" s="208"/>
      <c r="Y95" s="208"/>
      <c r="Z95" s="210"/>
      <c r="AA95" s="88"/>
    </row>
    <row r="96" spans="1:27" x14ac:dyDescent="0.25">
      <c r="A96" t="s">
        <v>49</v>
      </c>
      <c r="B96" s="201">
        <v>829.65272000000004</v>
      </c>
      <c r="C96" s="201">
        <v>829.65272000000004</v>
      </c>
      <c r="D96" s="201">
        <v>592.47630000000004</v>
      </c>
      <c r="E96" s="201">
        <v>-23.90381</v>
      </c>
      <c r="F96" s="202"/>
      <c r="G96" s="201">
        <v>149.26545999999999</v>
      </c>
      <c r="H96" s="201">
        <v>245.37494000000001</v>
      </c>
      <c r="I96" s="201">
        <v>174.26070000000001</v>
      </c>
      <c r="J96" s="201">
        <v>-25.925999999999998</v>
      </c>
      <c r="K96" s="202"/>
      <c r="L96" s="201">
        <v>365.65839999999997</v>
      </c>
      <c r="M96" s="201">
        <v>-29.433949999999999</v>
      </c>
      <c r="N96" s="201">
        <v>-44.531739999999999</v>
      </c>
      <c r="O96" s="201">
        <v>-49.951390000000004</v>
      </c>
      <c r="P96" s="202"/>
      <c r="Q96" s="201">
        <v>76.804839999999999</v>
      </c>
      <c r="R96" s="201">
        <v>56.600029999999997</v>
      </c>
      <c r="S96" s="201">
        <v>125.44410999999999</v>
      </c>
      <c r="T96" s="201">
        <v>-44.952179999999998</v>
      </c>
      <c r="U96" s="202"/>
      <c r="V96" s="201">
        <v>-60.207610000000003</v>
      </c>
      <c r="W96" s="201">
        <v>-8.3692399999999996</v>
      </c>
      <c r="X96" s="201">
        <v>18.709409999999998</v>
      </c>
      <c r="Y96" s="201">
        <v>-6.59945</v>
      </c>
      <c r="AA96" s="67" t="s">
        <v>49</v>
      </c>
    </row>
    <row r="97" spans="1:27" x14ac:dyDescent="0.25">
      <c r="A97" t="s">
        <v>73</v>
      </c>
      <c r="B97" s="201">
        <v>15245</v>
      </c>
      <c r="C97" s="201">
        <v>-7112</v>
      </c>
      <c r="D97" s="201">
        <v>-5199</v>
      </c>
      <c r="E97" s="201">
        <v>2482</v>
      </c>
      <c r="F97" s="202"/>
      <c r="G97" s="201">
        <v>1418</v>
      </c>
      <c r="H97" s="201">
        <v>1184</v>
      </c>
      <c r="I97" s="201">
        <v>15</v>
      </c>
      <c r="J97" s="201">
        <v>1607</v>
      </c>
      <c r="K97" s="202"/>
      <c r="L97" s="201">
        <v>910</v>
      </c>
      <c r="M97" s="201">
        <v>-932</v>
      </c>
      <c r="N97" s="201">
        <v>-669</v>
      </c>
      <c r="O97" s="201">
        <v>608</v>
      </c>
      <c r="P97" s="202"/>
      <c r="Q97" s="201">
        <v>2061.7992800000002</v>
      </c>
      <c r="R97" s="201">
        <v>40.269410000000001</v>
      </c>
      <c r="S97" s="201">
        <v>61.077309999999997</v>
      </c>
      <c r="T97" s="201">
        <v>901.94343000000003</v>
      </c>
      <c r="U97" s="202"/>
      <c r="V97" s="201">
        <v>727.97691999999995</v>
      </c>
      <c r="W97" s="201">
        <v>95.597120000000004</v>
      </c>
      <c r="X97" s="201">
        <v>309.69054</v>
      </c>
      <c r="Y97" s="201">
        <v>-390.10523000000001</v>
      </c>
      <c r="AA97" s="67" t="s">
        <v>73</v>
      </c>
    </row>
    <row r="98" spans="1:27" x14ac:dyDescent="0.25">
      <c r="A98" t="s">
        <v>44</v>
      </c>
      <c r="B98" s="201">
        <v>2196.8270000000002</v>
      </c>
      <c r="C98" s="201">
        <v>847.40499999999997</v>
      </c>
      <c r="D98" s="201">
        <v>-197.584</v>
      </c>
      <c r="E98" s="203">
        <v>1450.818</v>
      </c>
      <c r="F98" s="204"/>
      <c r="G98" s="201">
        <v>22.24</v>
      </c>
      <c r="H98" s="201">
        <v>291.17599999999999</v>
      </c>
      <c r="I98" s="201">
        <v>-52.609000000000002</v>
      </c>
      <c r="J98" s="201">
        <v>421.38299999999998</v>
      </c>
      <c r="K98" s="202"/>
      <c r="L98" s="201">
        <v>653.58399999999995</v>
      </c>
      <c r="M98" s="201">
        <v>-656.76700000000005</v>
      </c>
      <c r="N98" s="201">
        <v>-1060.4280000000001</v>
      </c>
      <c r="O98" s="201">
        <v>-125.03700000000001</v>
      </c>
      <c r="P98" s="202"/>
      <c r="Q98" s="201" t="s">
        <v>464</v>
      </c>
      <c r="R98" s="201">
        <v>214.13</v>
      </c>
      <c r="S98" s="201">
        <v>254.857</v>
      </c>
      <c r="T98" s="201">
        <v>469.88600000000002</v>
      </c>
      <c r="U98" s="202"/>
      <c r="V98" s="201">
        <v>663.98500000000001</v>
      </c>
      <c r="W98" s="201">
        <v>-720.9</v>
      </c>
      <c r="X98" s="201">
        <v>15.762</v>
      </c>
      <c r="Y98" s="201">
        <v>-738.56299999999999</v>
      </c>
      <c r="AA98" s="67" t="s">
        <v>44</v>
      </c>
    </row>
    <row r="99" spans="1:27" x14ac:dyDescent="0.25">
      <c r="A99" t="s">
        <v>63</v>
      </c>
      <c r="B99" s="201">
        <v>657.40800000000002</v>
      </c>
      <c r="C99" s="201">
        <v>858.30399999999997</v>
      </c>
      <c r="D99" s="201">
        <v>731.23800000000006</v>
      </c>
      <c r="E99" s="203">
        <v>807.98500000000001</v>
      </c>
      <c r="F99" s="204"/>
      <c r="G99" s="201">
        <v>895.96501999999998</v>
      </c>
      <c r="H99" s="201">
        <v>510.19472999999999</v>
      </c>
      <c r="I99" s="201">
        <v>452.71800000000002</v>
      </c>
      <c r="J99" s="201">
        <v>423.21499999999997</v>
      </c>
      <c r="K99" s="202"/>
      <c r="L99" s="201">
        <v>484.46620000000001</v>
      </c>
      <c r="M99" s="201">
        <v>-269.85557</v>
      </c>
      <c r="N99" s="201">
        <v>-159.19166999999999</v>
      </c>
      <c r="O99" s="201">
        <v>-112.23196</v>
      </c>
      <c r="P99" s="202"/>
      <c r="Q99" s="201">
        <v>-98.40258</v>
      </c>
      <c r="R99" s="201">
        <v>33.119840000000003</v>
      </c>
      <c r="S99" s="201">
        <v>117.52892</v>
      </c>
      <c r="T99" s="201">
        <v>18.207640000000001</v>
      </c>
      <c r="U99" s="202"/>
      <c r="V99" s="201">
        <v>104.52914</v>
      </c>
      <c r="W99" s="201">
        <v>44.682969999999997</v>
      </c>
      <c r="X99" s="201">
        <v>88.835220000000007</v>
      </c>
      <c r="Y99" s="201">
        <v>-92.847989999999996</v>
      </c>
      <c r="AA99" s="67" t="s">
        <v>63</v>
      </c>
    </row>
    <row r="100" spans="1:27" x14ac:dyDescent="0.25">
      <c r="A100" t="s">
        <v>80</v>
      </c>
      <c r="B100" s="201">
        <v>2408.9850000000001</v>
      </c>
      <c r="C100" s="201">
        <v>-214.74799999999999</v>
      </c>
      <c r="D100" s="201">
        <v>-1797.2470000000001</v>
      </c>
      <c r="E100" s="203">
        <v>-402.84800000000001</v>
      </c>
      <c r="F100" s="204"/>
      <c r="G100" s="201">
        <v>-258.178</v>
      </c>
      <c r="H100" s="201">
        <v>312.70499999999998</v>
      </c>
      <c r="I100" s="201">
        <v>201.446</v>
      </c>
      <c r="J100" s="201">
        <v>516.91999999999996</v>
      </c>
      <c r="K100" s="202"/>
      <c r="L100" s="201">
        <v>282.27600000000001</v>
      </c>
      <c r="M100" s="201">
        <v>-205.20500000000001</v>
      </c>
      <c r="N100" s="201">
        <v>-90.174000000000007</v>
      </c>
      <c r="O100" s="215">
        <v>-586.57899999999995</v>
      </c>
      <c r="P100" s="202"/>
      <c r="Q100" s="201">
        <v>-547.69399999999996</v>
      </c>
      <c r="R100" s="201">
        <v>77.031000000000006</v>
      </c>
      <c r="S100" s="201">
        <v>26.398</v>
      </c>
      <c r="T100" s="221">
        <v>-120.636</v>
      </c>
      <c r="U100" s="222"/>
      <c r="V100" s="221">
        <v>-277.10899999999998</v>
      </c>
      <c r="W100" s="221">
        <v>-21.105</v>
      </c>
      <c r="X100" s="221">
        <v>7.5780000000000003</v>
      </c>
      <c r="Y100" s="221">
        <v>-340.78300000000002</v>
      </c>
      <c r="AA100" s="67" t="s">
        <v>80</v>
      </c>
    </row>
    <row r="101" spans="1:27" x14ac:dyDescent="0.25">
      <c r="A101" t="s">
        <v>79</v>
      </c>
      <c r="B101" s="201">
        <v>2448.0288500000001</v>
      </c>
      <c r="C101" s="201">
        <v>271.65670999999998</v>
      </c>
      <c r="D101" s="201">
        <v>312.83195000000001</v>
      </c>
      <c r="E101" s="203">
        <v>-214.22022000000001</v>
      </c>
      <c r="F101" s="204"/>
      <c r="G101" s="201">
        <v>-77.570059999999998</v>
      </c>
      <c r="H101" s="201">
        <v>379.83377000000002</v>
      </c>
      <c r="I101" s="201">
        <v>263.86640999999997</v>
      </c>
      <c r="J101" s="201">
        <v>258.82616999999999</v>
      </c>
      <c r="K101" s="202"/>
      <c r="L101" s="201">
        <v>-16.13532</v>
      </c>
      <c r="M101" s="201">
        <v>30.616019999999999</v>
      </c>
      <c r="N101" s="201">
        <v>-125.81035</v>
      </c>
      <c r="O101" s="201">
        <v>-95.954650000000001</v>
      </c>
      <c r="P101" s="202"/>
      <c r="Q101" s="201">
        <v>21.969380000000001</v>
      </c>
      <c r="R101" s="201">
        <v>152.80104</v>
      </c>
      <c r="S101" s="201">
        <v>-42.08099</v>
      </c>
      <c r="T101" s="201">
        <v>-41.882800000000003</v>
      </c>
      <c r="U101" s="202"/>
      <c r="V101" s="201">
        <v>-64.86533</v>
      </c>
      <c r="W101" s="201">
        <v>-21.183420000000002</v>
      </c>
      <c r="X101" s="201">
        <v>15.37391</v>
      </c>
      <c r="Y101" s="201">
        <v>-16.832909999999998</v>
      </c>
      <c r="AA101" s="67" t="s">
        <v>79</v>
      </c>
    </row>
    <row r="102" spans="1:27" x14ac:dyDescent="0.25">
      <c r="A102" t="s">
        <v>70</v>
      </c>
      <c r="B102" s="201">
        <v>793.44500000000005</v>
      </c>
      <c r="C102" s="201">
        <v>-361.13400000000001</v>
      </c>
      <c r="D102" s="201">
        <v>-141.55600000000001</v>
      </c>
      <c r="E102" s="203">
        <v>270.08452999999997</v>
      </c>
      <c r="F102" s="204"/>
      <c r="G102" s="201">
        <v>173.68800999999999</v>
      </c>
      <c r="H102" s="201">
        <v>270.58703000000003</v>
      </c>
      <c r="I102" s="201">
        <v>-18.656890000000001</v>
      </c>
      <c r="J102" s="201">
        <v>227.57427000000001</v>
      </c>
      <c r="K102" s="202"/>
      <c r="L102" s="201">
        <v>94.910049999999998</v>
      </c>
      <c r="M102" s="201">
        <v>171.06032999999999</v>
      </c>
      <c r="N102" s="201">
        <v>69.990030000000004</v>
      </c>
      <c r="O102" s="201">
        <v>88.239590000000007</v>
      </c>
      <c r="P102" s="202"/>
      <c r="Q102" s="201">
        <v>-411.21755000000002</v>
      </c>
      <c r="R102" s="201">
        <v>16.87434</v>
      </c>
      <c r="S102" s="201">
        <v>46.547179999999997</v>
      </c>
      <c r="T102" s="201">
        <v>-77.780090000000001</v>
      </c>
      <c r="U102" s="202"/>
      <c r="V102" s="201">
        <v>23.839359999999999</v>
      </c>
      <c r="W102" s="201">
        <v>19.957439999999998</v>
      </c>
      <c r="X102" s="201">
        <v>34.514780000000002</v>
      </c>
      <c r="Y102" s="201">
        <v>78.998729999999995</v>
      </c>
      <c r="AA102" s="67" t="s">
        <v>70</v>
      </c>
    </row>
    <row r="103" spans="1:27" x14ac:dyDescent="0.25">
      <c r="A103" t="s">
        <v>81</v>
      </c>
      <c r="B103" s="201">
        <v>174.88399999999999</v>
      </c>
      <c r="C103" s="201">
        <v>479.101</v>
      </c>
      <c r="D103" s="201">
        <v>357.959</v>
      </c>
      <c r="E103" s="203">
        <v>186.249</v>
      </c>
      <c r="F103" s="204"/>
      <c r="G103" s="201">
        <v>368.96499999999997</v>
      </c>
      <c r="H103" s="201">
        <v>159.74799999999999</v>
      </c>
      <c r="I103" s="201">
        <v>81.995999999999995</v>
      </c>
      <c r="J103" s="201">
        <v>-22.224</v>
      </c>
      <c r="K103" s="202"/>
      <c r="L103" s="201">
        <v>116.32899999999999</v>
      </c>
      <c r="M103" s="201">
        <v>-13.834</v>
      </c>
      <c r="N103" s="201">
        <v>33.817999999999998</v>
      </c>
      <c r="O103" s="201">
        <v>0.30599999999999999</v>
      </c>
      <c r="P103" s="202"/>
      <c r="Q103" s="201">
        <v>27.228000000000002</v>
      </c>
      <c r="R103" s="201">
        <v>20.309999999999999</v>
      </c>
      <c r="S103" s="201">
        <v>-13.182</v>
      </c>
      <c r="T103" s="201">
        <v>-19.803999999999998</v>
      </c>
      <c r="U103" s="202"/>
      <c r="V103" s="201">
        <v>3.6749999999999998</v>
      </c>
      <c r="W103" s="201">
        <v>12.696</v>
      </c>
      <c r="X103" s="201">
        <v>10.087999999999999</v>
      </c>
      <c r="Y103" s="201">
        <v>4.2130000000000001</v>
      </c>
      <c r="AA103" s="67" t="s">
        <v>81</v>
      </c>
    </row>
    <row r="104" spans="1:27" x14ac:dyDescent="0.25">
      <c r="A104" t="s">
        <v>65</v>
      </c>
      <c r="B104" s="201">
        <v>413.642</v>
      </c>
      <c r="C104" s="201">
        <v>5709.8779999999997</v>
      </c>
      <c r="D104" s="201">
        <v>4126.5379999999996</v>
      </c>
      <c r="E104" s="203">
        <v>6993.3620000000001</v>
      </c>
      <c r="F104" s="204"/>
      <c r="G104" s="201">
        <v>937.10199999999998</v>
      </c>
      <c r="H104" s="201">
        <v>639.26599999999996</v>
      </c>
      <c r="I104" s="201">
        <v>609.87</v>
      </c>
      <c r="J104" s="201">
        <v>410.45400000000001</v>
      </c>
      <c r="K104" s="202"/>
      <c r="L104" s="201">
        <v>365.63099999999997</v>
      </c>
      <c r="M104" s="201">
        <v>303.12900000000002</v>
      </c>
      <c r="N104" s="201">
        <v>352.81799999999998</v>
      </c>
      <c r="O104" s="201">
        <v>747.26400000000001</v>
      </c>
      <c r="P104" s="202"/>
      <c r="Q104" s="201">
        <v>723.48800000000006</v>
      </c>
      <c r="R104" s="201">
        <v>420.41199999999998</v>
      </c>
      <c r="S104" s="201">
        <v>20.451000000000001</v>
      </c>
      <c r="T104" s="201">
        <v>177.64699999999999</v>
      </c>
      <c r="U104" s="202"/>
      <c r="V104" s="201">
        <v>23.62</v>
      </c>
      <c r="W104" s="201">
        <v>44.527000000000001</v>
      </c>
      <c r="X104" s="201">
        <v>168.54400000000001</v>
      </c>
      <c r="Y104" s="201">
        <v>81.040000000000006</v>
      </c>
      <c r="AA104" s="67" t="s">
        <v>65</v>
      </c>
    </row>
    <row r="105" spans="1:27" x14ac:dyDescent="0.25">
      <c r="A105" t="s">
        <v>41</v>
      </c>
      <c r="B105" s="201">
        <v>2658.6621700000001</v>
      </c>
      <c r="C105" s="201">
        <v>197.72069999999999</v>
      </c>
      <c r="D105" s="201">
        <v>-36.071300000000001</v>
      </c>
      <c r="E105" s="203">
        <v>72.636009999999999</v>
      </c>
      <c r="F105" s="204"/>
      <c r="G105" s="201">
        <v>394.44092999999998</v>
      </c>
      <c r="H105" s="201">
        <v>38.43694</v>
      </c>
      <c r="I105" s="201">
        <v>37.549849999999999</v>
      </c>
      <c r="J105" s="201">
        <v>-100.64673999999999</v>
      </c>
      <c r="K105" s="202"/>
      <c r="L105" s="201">
        <v>117.30734</v>
      </c>
      <c r="M105" s="201">
        <v>32.793889999999998</v>
      </c>
      <c r="N105" s="201">
        <v>16.36093</v>
      </c>
      <c r="O105" s="201">
        <v>-50.002279999999999</v>
      </c>
      <c r="P105" s="202"/>
      <c r="Q105" s="201">
        <v>-81.554289999999995</v>
      </c>
      <c r="R105" s="201">
        <v>50.119190000000003</v>
      </c>
      <c r="S105" s="201">
        <v>-75.293899999999994</v>
      </c>
      <c r="T105" s="201">
        <v>15.97242</v>
      </c>
      <c r="U105" s="202"/>
      <c r="V105" s="201">
        <v>1018.4373900000001</v>
      </c>
      <c r="W105" s="201">
        <v>-90.97484</v>
      </c>
      <c r="X105" s="201">
        <v>-12.8179</v>
      </c>
      <c r="Y105" s="201">
        <v>-313.10539999999997</v>
      </c>
      <c r="AA105" s="67" t="s">
        <v>41</v>
      </c>
    </row>
    <row r="106" spans="1:27" x14ac:dyDescent="0.25">
      <c r="A106" s="69" t="s">
        <v>109</v>
      </c>
      <c r="B106" s="205">
        <v>2782.6534739999997</v>
      </c>
      <c r="C106" s="205">
        <v>150.58361299999999</v>
      </c>
      <c r="D106" s="205">
        <v>-125.041505</v>
      </c>
      <c r="E106" s="206">
        <v>1162.2162510000001</v>
      </c>
      <c r="F106" s="206"/>
      <c r="G106" s="205">
        <v>402.39183599999996</v>
      </c>
      <c r="H106" s="205">
        <v>403.13224100000002</v>
      </c>
      <c r="I106" s="205">
        <v>176.544107</v>
      </c>
      <c r="J106" s="205">
        <v>371.65756999999996</v>
      </c>
      <c r="K106" s="205"/>
      <c r="L106" s="205">
        <v>337.40266699999995</v>
      </c>
      <c r="M106" s="205">
        <v>-156.94962800000002</v>
      </c>
      <c r="N106" s="205">
        <v>-167.61488000000003</v>
      </c>
      <c r="O106" s="205">
        <v>42.405331000000004</v>
      </c>
      <c r="P106" s="205"/>
      <c r="Q106" s="205">
        <v>196.93567555555558</v>
      </c>
      <c r="R106" s="205">
        <v>108.166685</v>
      </c>
      <c r="S106" s="205">
        <v>52.174662999999995</v>
      </c>
      <c r="T106" s="205">
        <v>127.860142</v>
      </c>
      <c r="U106" s="205"/>
      <c r="V106" s="205">
        <v>216.38808699999998</v>
      </c>
      <c r="W106" s="205">
        <v>-64.507196999999991</v>
      </c>
      <c r="X106" s="205">
        <v>65.627796000000004</v>
      </c>
      <c r="Y106" s="205">
        <v>-173.45852500000001</v>
      </c>
      <c r="Z106" s="207"/>
      <c r="AA106" s="78" t="s">
        <v>110</v>
      </c>
    </row>
    <row r="107" spans="1:27" x14ac:dyDescent="0.25">
      <c r="C107" s="201"/>
      <c r="D107" s="201"/>
      <c r="E107" s="203"/>
      <c r="F107" s="204"/>
      <c r="G107" s="201"/>
      <c r="H107" s="201"/>
      <c r="I107" s="201"/>
      <c r="J107" s="201"/>
      <c r="K107" s="202"/>
      <c r="L107" s="201"/>
      <c r="M107" s="201"/>
      <c r="N107" s="201"/>
      <c r="O107" s="201"/>
      <c r="P107" s="202"/>
      <c r="Q107" s="201"/>
      <c r="R107" s="201"/>
      <c r="S107" s="201"/>
      <c r="T107" s="201"/>
      <c r="U107" s="202"/>
      <c r="V107" s="201"/>
      <c r="W107" s="201"/>
      <c r="X107" s="201"/>
      <c r="Y107" s="201"/>
    </row>
    <row r="108" spans="1:27" x14ac:dyDescent="0.25">
      <c r="A108" s="57" t="s">
        <v>119</v>
      </c>
      <c r="B108" s="57"/>
      <c r="C108" s="208"/>
      <c r="D108" s="208"/>
      <c r="E108" s="208"/>
      <c r="F108" s="208"/>
      <c r="G108" s="208"/>
      <c r="H108" s="208"/>
      <c r="I108" s="208"/>
      <c r="J108" s="208"/>
      <c r="K108" s="209"/>
      <c r="L108" s="208"/>
      <c r="M108" s="208"/>
      <c r="N108" s="208"/>
      <c r="O108" s="208"/>
      <c r="P108" s="209"/>
      <c r="Q108" s="208"/>
      <c r="R108" s="208"/>
      <c r="S108" s="208"/>
      <c r="T108" s="208"/>
      <c r="U108" s="209"/>
      <c r="V108" s="208"/>
      <c r="W108" s="208"/>
      <c r="X108" s="208"/>
      <c r="Y108" s="208"/>
      <c r="Z108" s="210"/>
      <c r="AA108" s="88"/>
    </row>
    <row r="109" spans="1:27" x14ac:dyDescent="0.25">
      <c r="A109" t="s">
        <v>60</v>
      </c>
      <c r="B109" s="201">
        <v>45.601469999999999</v>
      </c>
      <c r="C109" s="201">
        <v>152.45572999999999</v>
      </c>
      <c r="D109" s="201">
        <v>59.307360000000003</v>
      </c>
      <c r="E109" s="201">
        <v>144.36427</v>
      </c>
      <c r="F109" s="202"/>
      <c r="G109" s="201">
        <v>204.08196000000001</v>
      </c>
      <c r="H109" s="201">
        <v>66.530969999999996</v>
      </c>
      <c r="I109" s="201">
        <v>99.971299999999999</v>
      </c>
      <c r="J109" s="201">
        <v>81.080590000000001</v>
      </c>
      <c r="K109" s="202"/>
      <c r="L109" s="201">
        <v>238.80364</v>
      </c>
      <c r="M109" s="201">
        <v>37.386490000000002</v>
      </c>
      <c r="N109" s="201">
        <v>48.302300000000002</v>
      </c>
      <c r="O109" s="201">
        <v>46.260509999999996</v>
      </c>
      <c r="P109" s="202"/>
      <c r="Q109" s="201">
        <v>54.1783</v>
      </c>
      <c r="R109" s="201">
        <v>29.343810000000001</v>
      </c>
      <c r="S109" s="201">
        <v>38.190860000000001</v>
      </c>
      <c r="T109" s="201">
        <v>67.773960000000002</v>
      </c>
      <c r="U109" s="202"/>
      <c r="V109" s="201">
        <v>121.02784</v>
      </c>
      <c r="W109" s="201">
        <v>14.24165</v>
      </c>
      <c r="X109" s="201">
        <v>23.30545</v>
      </c>
      <c r="Y109" s="201">
        <v>33.518569999999997</v>
      </c>
      <c r="AA109" s="67" t="s">
        <v>60</v>
      </c>
    </row>
    <row r="110" spans="1:27" x14ac:dyDescent="0.25">
      <c r="A110" s="69" t="s">
        <v>109</v>
      </c>
      <c r="B110" s="69"/>
      <c r="C110" s="205">
        <v>152.45572999999999</v>
      </c>
      <c r="D110" s="205">
        <v>59.307360000000003</v>
      </c>
      <c r="E110" s="205">
        <v>144.36427</v>
      </c>
      <c r="F110" s="205"/>
      <c r="G110" s="205">
        <v>204.08196000000001</v>
      </c>
      <c r="H110" s="205">
        <v>66.530969999999996</v>
      </c>
      <c r="I110" s="205">
        <v>99.971299999999999</v>
      </c>
      <c r="J110" s="205">
        <v>81.080590000000001</v>
      </c>
      <c r="K110" s="205"/>
      <c r="L110" s="205">
        <v>238.80364</v>
      </c>
      <c r="M110" s="205">
        <v>37.386490000000002</v>
      </c>
      <c r="N110" s="205">
        <v>48.302300000000002</v>
      </c>
      <c r="O110" s="205">
        <v>46.260509999999996</v>
      </c>
      <c r="P110" s="205"/>
      <c r="Q110" s="205">
        <v>54.1783</v>
      </c>
      <c r="R110" s="205">
        <v>29.343810000000001</v>
      </c>
      <c r="S110" s="205">
        <v>38.190860000000001</v>
      </c>
      <c r="T110" s="205">
        <v>67.773960000000002</v>
      </c>
      <c r="U110" s="205"/>
      <c r="V110" s="205">
        <v>121.02784</v>
      </c>
      <c r="W110" s="205">
        <v>14.24165</v>
      </c>
      <c r="X110" s="205">
        <v>23.30545</v>
      </c>
      <c r="Y110" s="205">
        <v>33.518569999999997</v>
      </c>
      <c r="Z110" s="207"/>
      <c r="AA110" s="78" t="s">
        <v>110</v>
      </c>
    </row>
    <row r="111" spans="1:27" x14ac:dyDescent="0.25">
      <c r="C111" s="201"/>
      <c r="D111" s="201"/>
      <c r="E111" s="203"/>
      <c r="F111" s="204"/>
      <c r="G111" s="201"/>
      <c r="H111" s="201"/>
      <c r="I111" s="201"/>
      <c r="J111" s="201"/>
      <c r="K111" s="202"/>
      <c r="L111" s="201"/>
      <c r="M111" s="201"/>
      <c r="N111" s="201"/>
      <c r="O111" s="201"/>
      <c r="P111" s="202"/>
      <c r="Q111" s="201"/>
      <c r="R111" s="201"/>
      <c r="S111" s="201"/>
      <c r="T111" s="201"/>
      <c r="U111" s="202"/>
      <c r="V111" s="201"/>
      <c r="W111" s="201"/>
      <c r="X111" s="201"/>
      <c r="Y111" s="201"/>
    </row>
    <row r="112" spans="1:27" x14ac:dyDescent="0.25">
      <c r="A112" s="57" t="s">
        <v>120</v>
      </c>
      <c r="B112" s="57"/>
      <c r="C112" s="208"/>
      <c r="D112" s="208"/>
      <c r="E112" s="208"/>
      <c r="F112" s="209"/>
      <c r="G112" s="208"/>
      <c r="H112" s="208"/>
      <c r="I112" s="208"/>
      <c r="J112" s="208"/>
      <c r="K112" s="209"/>
      <c r="L112" s="208"/>
      <c r="M112" s="208"/>
      <c r="N112" s="208"/>
      <c r="O112" s="208"/>
      <c r="P112" s="209"/>
      <c r="Q112" s="208"/>
      <c r="R112" s="208"/>
      <c r="S112" s="208"/>
      <c r="T112" s="208"/>
      <c r="U112" s="209"/>
      <c r="V112" s="208"/>
      <c r="W112" s="208"/>
      <c r="X112" s="208"/>
      <c r="Y112" s="208"/>
      <c r="Z112" s="210"/>
      <c r="AA112" s="88"/>
    </row>
    <row r="113" spans="1:27" x14ac:dyDescent="0.25">
      <c r="A113" t="s">
        <v>19</v>
      </c>
      <c r="B113" s="201">
        <v>610</v>
      </c>
      <c r="C113" s="201">
        <v>54578.708486656498</v>
      </c>
      <c r="D113" s="211">
        <v>30468.8915110872</v>
      </c>
      <c r="E113" s="201">
        <v>20714.078016805899</v>
      </c>
      <c r="F113" s="202"/>
      <c r="G113" s="201">
        <v>15457.6384640299</v>
      </c>
      <c r="H113" s="223">
        <v>17133.7951807229</v>
      </c>
      <c r="I113" s="223">
        <v>15573.5192990873</v>
      </c>
      <c r="J113" s="201">
        <v>12747.740293485</v>
      </c>
      <c r="K113" s="202"/>
      <c r="L113" s="201">
        <v>2400.1009251471801</v>
      </c>
      <c r="M113" s="201">
        <v>16951.5137552819</v>
      </c>
      <c r="N113" s="201">
        <v>14047.669279797499</v>
      </c>
      <c r="O113" s="201">
        <v>9158.7934781372005</v>
      </c>
      <c r="P113" s="202"/>
      <c r="Q113" s="201">
        <v>-31412.204906549701</v>
      </c>
      <c r="R113" s="201">
        <v>7476.1190026487202</v>
      </c>
      <c r="S113" s="201">
        <v>16652.348703330499</v>
      </c>
      <c r="T113" s="201">
        <v>4710.5797396911903</v>
      </c>
      <c r="U113" s="202"/>
      <c r="V113" s="201">
        <v>2045.55688622755</v>
      </c>
      <c r="W113" s="201">
        <v>7943.3876468359203</v>
      </c>
      <c r="X113" s="201">
        <v>12556.2410153202</v>
      </c>
      <c r="Y113" s="201">
        <v>6543.4716752499198</v>
      </c>
      <c r="AA113" s="67" t="s">
        <v>19</v>
      </c>
    </row>
    <row r="114" spans="1:27" x14ac:dyDescent="0.25">
      <c r="A114" t="s">
        <v>34</v>
      </c>
      <c r="B114" s="201">
        <v>23883</v>
      </c>
      <c r="C114" s="201">
        <v>-13677</v>
      </c>
      <c r="D114" s="201">
        <v>-8372</v>
      </c>
      <c r="E114" s="201">
        <v>3460</v>
      </c>
      <c r="F114" s="202"/>
      <c r="G114" s="201">
        <v>1989</v>
      </c>
      <c r="H114" s="201">
        <v>2026</v>
      </c>
      <c r="I114" s="201">
        <v>1660</v>
      </c>
      <c r="J114" s="201">
        <v>1955</v>
      </c>
      <c r="K114" s="202"/>
      <c r="L114" s="201">
        <v>1504</v>
      </c>
      <c r="M114" s="201">
        <v>746</v>
      </c>
      <c r="N114" s="201">
        <v>800</v>
      </c>
      <c r="O114" s="201">
        <v>925</v>
      </c>
      <c r="P114" s="202"/>
      <c r="Q114" s="201">
        <v>646</v>
      </c>
      <c r="R114" s="201">
        <v>801</v>
      </c>
      <c r="S114" s="201">
        <v>928</v>
      </c>
      <c r="T114" s="201">
        <v>1028</v>
      </c>
      <c r="U114" s="202"/>
      <c r="V114" s="201">
        <v>1029</v>
      </c>
      <c r="W114" s="201">
        <v>839</v>
      </c>
      <c r="X114" s="201">
        <v>916</v>
      </c>
      <c r="Y114" s="201">
        <v>889</v>
      </c>
      <c r="AA114" s="67" t="s">
        <v>34</v>
      </c>
    </row>
    <row r="115" spans="1:27" x14ac:dyDescent="0.25">
      <c r="A115" t="s">
        <v>74</v>
      </c>
      <c r="B115" s="201">
        <v>10956</v>
      </c>
      <c r="C115" s="201">
        <v>-7827</v>
      </c>
      <c r="D115" s="201">
        <v>-4953</v>
      </c>
      <c r="E115" s="203">
        <v>220</v>
      </c>
      <c r="F115" s="204"/>
      <c r="G115" s="201">
        <v>-365.92329999999998</v>
      </c>
      <c r="H115" s="201">
        <v>717.07866999999999</v>
      </c>
      <c r="I115" s="201" t="s">
        <v>464</v>
      </c>
      <c r="J115" s="201" t="s">
        <v>464</v>
      </c>
      <c r="K115" s="202"/>
      <c r="L115" s="201" t="s">
        <v>464</v>
      </c>
      <c r="M115" s="201" t="s">
        <v>464</v>
      </c>
      <c r="N115" s="201" t="s">
        <v>464</v>
      </c>
      <c r="O115" s="201" t="s">
        <v>464</v>
      </c>
      <c r="P115" s="202"/>
      <c r="Q115" s="201" t="s">
        <v>464</v>
      </c>
      <c r="R115" s="201" t="s">
        <v>464</v>
      </c>
      <c r="S115" s="201" t="s">
        <v>464</v>
      </c>
      <c r="T115" s="201" t="s">
        <v>464</v>
      </c>
      <c r="U115" s="202"/>
      <c r="V115" s="201" t="s">
        <v>464</v>
      </c>
      <c r="W115" s="201" t="s">
        <v>464</v>
      </c>
      <c r="X115" s="201" t="s">
        <v>464</v>
      </c>
      <c r="Y115" s="201" t="s">
        <v>464</v>
      </c>
      <c r="AA115" s="67" t="s">
        <v>74</v>
      </c>
    </row>
    <row r="116" spans="1:27" x14ac:dyDescent="0.25">
      <c r="A116" t="s">
        <v>45</v>
      </c>
      <c r="B116" s="201">
        <v>-1456.3340599999999</v>
      </c>
      <c r="C116" s="201">
        <v>47.288989999999998</v>
      </c>
      <c r="D116" s="201">
        <v>534.86848999999995</v>
      </c>
      <c r="E116" s="203">
        <v>18.19088</v>
      </c>
      <c r="F116" s="204"/>
      <c r="G116" s="201">
        <v>-22.661740000000002</v>
      </c>
      <c r="H116" s="201">
        <v>214.5795</v>
      </c>
      <c r="I116" s="201">
        <v>-16.969809999999999</v>
      </c>
      <c r="J116" s="201">
        <v>-855.41684999999995</v>
      </c>
      <c r="K116" s="202"/>
      <c r="L116" s="201">
        <v>-320.02888000000002</v>
      </c>
      <c r="M116" s="201">
        <v>-355.23043000000001</v>
      </c>
      <c r="N116" s="201">
        <v>-240.49304000000001</v>
      </c>
      <c r="O116" s="201">
        <v>-509.7373</v>
      </c>
      <c r="P116" s="202"/>
      <c r="Q116" s="201">
        <v>178.4984</v>
      </c>
      <c r="R116" s="201">
        <v>-121.59520000000001</v>
      </c>
      <c r="S116" s="201">
        <v>565.10359000000005</v>
      </c>
      <c r="T116" s="201">
        <v>469.23970000000003</v>
      </c>
      <c r="U116" s="202"/>
      <c r="V116" s="201">
        <v>375.13835</v>
      </c>
      <c r="W116" s="201">
        <v>249.36904000000001</v>
      </c>
      <c r="X116" s="201">
        <v>220.62164999999999</v>
      </c>
      <c r="Y116" s="201">
        <v>-41.027349999999998</v>
      </c>
      <c r="AA116" s="67" t="s">
        <v>45</v>
      </c>
    </row>
    <row r="117" spans="1:27" x14ac:dyDescent="0.25">
      <c r="A117" s="109" t="s">
        <v>109</v>
      </c>
      <c r="B117" s="224">
        <v>8498.1664849999997</v>
      </c>
      <c r="C117" s="224">
        <v>8280.4993691641248</v>
      </c>
      <c r="D117" s="224">
        <v>4419.6900002718003</v>
      </c>
      <c r="E117" s="225">
        <v>6103.0672242014743</v>
      </c>
      <c r="F117" s="225"/>
      <c r="G117" s="224">
        <v>4264.5133560074755</v>
      </c>
      <c r="H117" s="224">
        <v>5022.8633376807247</v>
      </c>
      <c r="I117" s="224">
        <v>5738.8498296957669</v>
      </c>
      <c r="J117" s="224">
        <v>4615.7744811616667</v>
      </c>
      <c r="K117" s="224"/>
      <c r="L117" s="224">
        <v>1194.6906817157267</v>
      </c>
      <c r="M117" s="224">
        <v>5780.7611084273003</v>
      </c>
      <c r="N117" s="224">
        <v>4869.0587465991666</v>
      </c>
      <c r="O117" s="224">
        <v>3191.3520593790668</v>
      </c>
      <c r="P117" s="224"/>
      <c r="Q117" s="224">
        <v>-10195.9021688499</v>
      </c>
      <c r="R117" s="224">
        <v>2718.5079342162403</v>
      </c>
      <c r="S117" s="224">
        <v>6048.4840977768326</v>
      </c>
      <c r="T117" s="224">
        <v>2069.2731465637303</v>
      </c>
      <c r="U117" s="224"/>
      <c r="V117" s="224">
        <v>1149.89841207585</v>
      </c>
      <c r="W117" s="224">
        <v>3010.5855622786398</v>
      </c>
      <c r="X117" s="224">
        <v>4564.2875551067327</v>
      </c>
      <c r="Y117" s="224">
        <v>2463.8147750833064</v>
      </c>
      <c r="Z117" s="226"/>
      <c r="AA117" s="117" t="s">
        <v>110</v>
      </c>
    </row>
    <row r="118" spans="1:27" x14ac:dyDescent="0.25">
      <c r="A118" s="122"/>
      <c r="B118" s="122"/>
      <c r="C118" s="201"/>
      <c r="D118" s="201"/>
      <c r="E118" s="203"/>
      <c r="F118" s="204"/>
      <c r="G118" s="201"/>
      <c r="H118" s="201"/>
      <c r="I118" s="201"/>
      <c r="J118" s="201"/>
      <c r="K118" s="202"/>
      <c r="L118" s="201"/>
      <c r="M118" s="201"/>
      <c r="N118" s="201"/>
      <c r="O118" s="201"/>
      <c r="P118" s="202"/>
      <c r="Q118" s="201"/>
      <c r="R118" s="201"/>
      <c r="S118" s="201"/>
      <c r="T118" s="201"/>
      <c r="U118" s="202"/>
      <c r="V118" s="201"/>
      <c r="W118" s="201"/>
      <c r="X118" s="201"/>
      <c r="Y118" s="201"/>
      <c r="AA118" s="120"/>
    </row>
    <row r="119" spans="1:27" x14ac:dyDescent="0.25">
      <c r="A119" s="122" t="s">
        <v>122</v>
      </c>
      <c r="B119" s="122"/>
      <c r="C119" s="201"/>
      <c r="D119" s="201"/>
      <c r="E119" s="201"/>
      <c r="F119" s="202"/>
      <c r="G119" s="201"/>
      <c r="H119" s="201"/>
      <c r="I119" s="201"/>
      <c r="J119" s="201"/>
      <c r="K119" s="202"/>
      <c r="L119" s="201"/>
      <c r="M119" s="201"/>
      <c r="N119" s="201"/>
      <c r="O119" s="201"/>
      <c r="P119" s="202"/>
      <c r="Q119" s="201"/>
      <c r="R119" s="201"/>
      <c r="S119" s="201"/>
      <c r="T119" s="201"/>
      <c r="U119" s="202"/>
      <c r="V119" s="201"/>
      <c r="W119" s="201"/>
      <c r="X119" s="201"/>
      <c r="Y119" s="201"/>
      <c r="AA119" s="120"/>
    </row>
  </sheetData>
  <mergeCells count="22">
    <mergeCell ref="AA88:AA89"/>
    <mergeCell ref="A88:A89"/>
    <mergeCell ref="B88:E88"/>
    <mergeCell ref="G88:J88"/>
    <mergeCell ref="L88:O88"/>
    <mergeCell ref="Q88:T88"/>
    <mergeCell ref="V88:Y88"/>
    <mergeCell ref="AA4:AA5"/>
    <mergeCell ref="A6:E6"/>
    <mergeCell ref="A42:A43"/>
    <mergeCell ref="B42:E42"/>
    <mergeCell ref="G42:J42"/>
    <mergeCell ref="L42:O42"/>
    <mergeCell ref="Q42:T42"/>
    <mergeCell ref="V42:Y42"/>
    <mergeCell ref="AA42:AA43"/>
    <mergeCell ref="A4:A5"/>
    <mergeCell ref="B4:E4"/>
    <mergeCell ref="G4:J4"/>
    <mergeCell ref="L4:O4"/>
    <mergeCell ref="Q4:T4"/>
    <mergeCell ref="V4:Y4"/>
  </mergeCells>
  <pageMargins left="0.6" right="0" top="0.65" bottom="0.5" header="0.3" footer="0.3"/>
  <pageSetup paperSize="9" scale="75"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view="pageBreakPreview" zoomScale="80" zoomScaleNormal="100" zoomScaleSheetLayoutView="80" workbookViewId="0">
      <selection activeCell="L30" sqref="L30"/>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1"/>
  </cols>
  <sheetData>
    <row r="1" spans="1:11" ht="26.25" x14ac:dyDescent="0.4">
      <c r="A1" s="178" t="s">
        <v>253</v>
      </c>
      <c r="B1" s="178"/>
    </row>
    <row r="2" spans="1:11" ht="9.75" customHeight="1" x14ac:dyDescent="0.25"/>
    <row r="3" spans="1:11" x14ac:dyDescent="0.25">
      <c r="A3" s="227" t="s">
        <v>82</v>
      </c>
      <c r="B3" s="227"/>
    </row>
    <row r="4" spans="1:11" ht="7.5" customHeight="1" x14ac:dyDescent="0.25"/>
    <row r="5" spans="1:11" ht="19.5" customHeight="1" x14ac:dyDescent="0.25">
      <c r="A5" s="228" t="s">
        <v>254</v>
      </c>
      <c r="B5" s="228"/>
      <c r="C5" s="229" t="s">
        <v>255</v>
      </c>
      <c r="D5" s="229"/>
      <c r="E5" s="229"/>
      <c r="F5" s="229"/>
      <c r="G5" s="229"/>
      <c r="H5" s="229"/>
      <c r="I5" s="229"/>
      <c r="J5" s="229"/>
      <c r="K5" s="229"/>
    </row>
    <row r="6" spans="1:11" ht="18.75" customHeight="1" x14ac:dyDescent="0.25">
      <c r="A6" s="228" t="s">
        <v>256</v>
      </c>
      <c r="B6" s="228"/>
      <c r="C6" s="229" t="s">
        <v>257</v>
      </c>
      <c r="D6" s="229"/>
      <c r="E6" s="229"/>
      <c r="F6" s="229"/>
      <c r="G6" s="229"/>
      <c r="H6" s="229"/>
      <c r="I6" s="229"/>
      <c r="J6" s="229"/>
      <c r="K6" s="229"/>
    </row>
    <row r="7" spans="1:11" ht="33" customHeight="1" x14ac:dyDescent="0.25">
      <c r="A7" s="228" t="s">
        <v>258</v>
      </c>
      <c r="B7" s="228"/>
      <c r="C7" s="230" t="s">
        <v>259</v>
      </c>
      <c r="D7" s="230"/>
      <c r="E7" s="230"/>
      <c r="F7" s="230"/>
      <c r="G7" s="230"/>
      <c r="H7" s="230"/>
      <c r="I7" s="230"/>
      <c r="J7" s="230"/>
      <c r="K7" s="230"/>
    </row>
    <row r="8" spans="1:11" ht="33.75" customHeight="1" x14ac:dyDescent="0.25">
      <c r="A8" s="228" t="s">
        <v>260</v>
      </c>
      <c r="B8" s="228"/>
      <c r="C8" s="230" t="s">
        <v>261</v>
      </c>
      <c r="D8" s="230"/>
      <c r="E8" s="230"/>
      <c r="F8" s="230"/>
      <c r="G8" s="230"/>
      <c r="H8" s="230"/>
      <c r="I8" s="230"/>
      <c r="J8" s="230"/>
      <c r="K8" s="230"/>
    </row>
    <row r="9" spans="1:11" ht="48" customHeight="1" x14ac:dyDescent="0.25">
      <c r="A9" s="228" t="s">
        <v>262</v>
      </c>
      <c r="B9" s="228"/>
      <c r="C9" s="230" t="s">
        <v>263</v>
      </c>
      <c r="D9" s="231"/>
      <c r="E9" s="231"/>
      <c r="F9" s="230"/>
      <c r="G9" s="230"/>
      <c r="H9" s="230"/>
      <c r="I9" s="230"/>
      <c r="J9" s="230"/>
      <c r="K9" s="230"/>
    </row>
    <row r="10" spans="1:11" ht="63" customHeight="1" x14ac:dyDescent="0.25">
      <c r="A10" s="228" t="s">
        <v>264</v>
      </c>
      <c r="B10" s="228"/>
      <c r="C10" s="230" t="s">
        <v>265</v>
      </c>
      <c r="D10" s="231"/>
      <c r="E10" s="231"/>
      <c r="F10" s="230"/>
      <c r="G10" s="230"/>
      <c r="H10" s="230"/>
      <c r="I10" s="230"/>
      <c r="J10" s="230"/>
      <c r="K10" s="230"/>
    </row>
    <row r="11" spans="1:11" ht="47.25" customHeight="1" x14ac:dyDescent="0.25">
      <c r="A11" s="228" t="s">
        <v>89</v>
      </c>
      <c r="B11" s="228"/>
      <c r="C11" s="230" t="s">
        <v>266</v>
      </c>
      <c r="D11" s="231"/>
      <c r="E11" s="231"/>
      <c r="F11" s="230"/>
      <c r="G11" s="230"/>
      <c r="H11" s="230"/>
      <c r="I11" s="230"/>
      <c r="J11" s="230"/>
      <c r="K11" s="230"/>
    </row>
    <row r="12" spans="1:11" ht="18.75" customHeight="1" x14ac:dyDescent="0.25">
      <c r="A12" s="228" t="s">
        <v>267</v>
      </c>
      <c r="B12" s="228"/>
      <c r="C12" s="229" t="s">
        <v>268</v>
      </c>
      <c r="D12" s="177"/>
      <c r="E12" s="177"/>
      <c r="F12" s="229"/>
      <c r="G12" s="229"/>
      <c r="H12" s="229"/>
      <c r="I12" s="229"/>
      <c r="J12" s="229"/>
      <c r="K12" s="229"/>
    </row>
    <row r="13" spans="1:11" ht="33" customHeight="1" x14ac:dyDescent="0.25">
      <c r="A13" s="228" t="s">
        <v>269</v>
      </c>
      <c r="B13" s="228"/>
      <c r="C13" s="230" t="s">
        <v>270</v>
      </c>
      <c r="D13" s="231"/>
      <c r="E13" s="231"/>
      <c r="F13" s="230"/>
      <c r="G13" s="230"/>
      <c r="H13" s="230"/>
      <c r="I13" s="230"/>
      <c r="J13" s="230"/>
      <c r="K13" s="230"/>
    </row>
    <row r="14" spans="1:11" ht="48" customHeight="1" x14ac:dyDescent="0.25">
      <c r="A14" s="228" t="s">
        <v>271</v>
      </c>
      <c r="B14" s="228"/>
      <c r="C14" s="230" t="s">
        <v>272</v>
      </c>
      <c r="D14" s="231"/>
      <c r="E14" s="231"/>
      <c r="F14" s="230"/>
      <c r="G14" s="230"/>
      <c r="H14" s="230"/>
      <c r="I14" s="230"/>
      <c r="J14" s="230"/>
      <c r="K14" s="230"/>
    </row>
    <row r="15" spans="1:11" ht="47.25" customHeight="1" x14ac:dyDescent="0.25">
      <c r="A15" s="228" t="s">
        <v>102</v>
      </c>
      <c r="B15" s="228"/>
      <c r="C15" s="230" t="s">
        <v>273</v>
      </c>
      <c r="D15" s="231"/>
      <c r="E15" s="231"/>
      <c r="F15" s="230"/>
      <c r="G15" s="230"/>
      <c r="H15" s="230"/>
      <c r="I15" s="230"/>
      <c r="J15" s="230"/>
      <c r="K15" s="230"/>
    </row>
    <row r="16" spans="1:11" ht="33" customHeight="1" x14ac:dyDescent="0.25">
      <c r="A16" s="228" t="s">
        <v>92</v>
      </c>
      <c r="B16" s="228"/>
      <c r="C16" s="230" t="s">
        <v>274</v>
      </c>
      <c r="D16" s="231"/>
      <c r="E16" s="231"/>
      <c r="F16" s="230"/>
      <c r="G16" s="230"/>
      <c r="H16" s="230"/>
      <c r="I16" s="230"/>
      <c r="J16" s="230"/>
      <c r="K16" s="230"/>
    </row>
    <row r="17" spans="1:56" ht="32.25" customHeight="1" x14ac:dyDescent="0.25">
      <c r="A17" s="228" t="s">
        <v>103</v>
      </c>
      <c r="B17" s="228"/>
      <c r="C17" s="232" t="s">
        <v>275</v>
      </c>
      <c r="D17" s="233"/>
      <c r="E17" s="233"/>
      <c r="F17" s="232"/>
      <c r="G17" s="232"/>
      <c r="H17" s="232"/>
      <c r="I17" s="232"/>
      <c r="J17" s="232"/>
      <c r="K17" s="232"/>
    </row>
    <row r="18" spans="1:56" ht="47.25" customHeight="1" x14ac:dyDescent="0.25">
      <c r="A18" s="228" t="s">
        <v>104</v>
      </c>
      <c r="B18" s="228"/>
      <c r="C18" s="230" t="s">
        <v>276</v>
      </c>
      <c r="D18" s="231"/>
      <c r="E18" s="231"/>
      <c r="F18" s="230"/>
      <c r="G18" s="230"/>
      <c r="H18" s="230"/>
      <c r="I18" s="230"/>
      <c r="J18" s="230"/>
      <c r="K18" s="230"/>
    </row>
    <row r="19" spans="1:56" ht="35.25" customHeight="1" x14ac:dyDescent="0.25">
      <c r="A19" s="228" t="s">
        <v>105</v>
      </c>
      <c r="B19" s="228"/>
      <c r="C19" s="230" t="s">
        <v>277</v>
      </c>
      <c r="D19" s="234"/>
      <c r="E19" s="234"/>
      <c r="F19" s="235"/>
      <c r="G19" s="235"/>
      <c r="H19" s="235"/>
      <c r="I19" s="235"/>
      <c r="J19" s="235"/>
      <c r="K19" s="235"/>
    </row>
    <row r="20" spans="1:56" ht="34.5" customHeight="1" x14ac:dyDescent="0.25">
      <c r="A20" s="228" t="s">
        <v>106</v>
      </c>
      <c r="B20" s="228"/>
      <c r="C20" s="230" t="s">
        <v>278</v>
      </c>
      <c r="D20" s="230"/>
      <c r="E20" s="230"/>
      <c r="F20" s="230"/>
      <c r="G20" s="230"/>
      <c r="H20" s="230"/>
      <c r="I20" s="230"/>
      <c r="J20" s="230"/>
      <c r="K20" s="230"/>
    </row>
    <row r="21" spans="1:56" ht="35.25" customHeight="1" x14ac:dyDescent="0.25">
      <c r="A21" s="228" t="s">
        <v>107</v>
      </c>
      <c r="B21" s="228"/>
      <c r="C21" s="230" t="s">
        <v>279</v>
      </c>
      <c r="D21" s="230"/>
      <c r="E21" s="230"/>
      <c r="F21" s="230"/>
      <c r="G21" s="230"/>
      <c r="H21" s="230"/>
      <c r="I21" s="230"/>
      <c r="J21" s="230"/>
      <c r="K21" s="230"/>
    </row>
    <row r="22" spans="1:56" x14ac:dyDescent="0.25">
      <c r="A22" s="227" t="s">
        <v>280</v>
      </c>
      <c r="B22" s="227"/>
    </row>
    <row r="23" spans="1:56" ht="9" customHeight="1" x14ac:dyDescent="0.25">
      <c r="D23" s="177"/>
      <c r="E23" s="177"/>
    </row>
    <row r="24" spans="1:56" ht="21" customHeight="1" x14ac:dyDescent="0.25">
      <c r="A24" s="236" t="s">
        <v>125</v>
      </c>
      <c r="B24" s="236"/>
      <c r="C24" s="229" t="s">
        <v>281</v>
      </c>
      <c r="D24" s="177"/>
      <c r="E24" s="177"/>
      <c r="F24" s="229"/>
      <c r="G24" s="229"/>
      <c r="H24" s="229"/>
      <c r="I24" s="229"/>
      <c r="J24" s="229"/>
      <c r="K24" s="229"/>
    </row>
    <row r="25" spans="1:56" ht="23.25" customHeight="1" x14ac:dyDescent="0.25">
      <c r="A25" s="236" t="s">
        <v>126</v>
      </c>
      <c r="B25" s="236"/>
      <c r="C25" s="229" t="s">
        <v>282</v>
      </c>
      <c r="D25" s="177"/>
      <c r="E25" s="177"/>
      <c r="F25" s="229"/>
      <c r="G25" s="229"/>
      <c r="H25" s="229"/>
      <c r="I25" s="229"/>
      <c r="J25" s="229"/>
      <c r="K25" s="229"/>
    </row>
    <row r="26" spans="1:56" ht="21" customHeight="1" x14ac:dyDescent="0.25">
      <c r="A26" s="228" t="s">
        <v>131</v>
      </c>
      <c r="B26" s="228"/>
      <c r="C26" s="229" t="s">
        <v>283</v>
      </c>
      <c r="D26" s="177"/>
      <c r="E26" s="177"/>
      <c r="F26" s="229"/>
      <c r="G26" s="229"/>
      <c r="H26" s="229"/>
      <c r="I26" s="229"/>
      <c r="J26" s="229"/>
      <c r="K26" s="229"/>
    </row>
    <row r="27" spans="1:56" ht="39" customHeight="1" x14ac:dyDescent="0.25">
      <c r="A27" s="237" t="s">
        <v>284</v>
      </c>
      <c r="B27" s="237"/>
      <c r="C27" s="230" t="s">
        <v>285</v>
      </c>
      <c r="D27" s="231"/>
      <c r="E27" s="231"/>
      <c r="F27" s="230"/>
      <c r="G27" s="230"/>
      <c r="H27" s="230"/>
      <c r="I27" s="230"/>
      <c r="J27" s="230"/>
      <c r="K27" s="230"/>
    </row>
    <row r="28" spans="1:56" ht="38.25" customHeight="1" x14ac:dyDescent="0.25">
      <c r="A28" s="228" t="s">
        <v>286</v>
      </c>
      <c r="B28" s="228"/>
      <c r="C28" s="230" t="s">
        <v>287</v>
      </c>
      <c r="D28" s="231"/>
      <c r="E28" s="231"/>
      <c r="F28" s="230"/>
      <c r="G28" s="230"/>
      <c r="H28" s="230"/>
      <c r="I28" s="230"/>
      <c r="J28" s="230"/>
      <c r="K28" s="230"/>
    </row>
    <row r="29" spans="1:56" ht="38.25" customHeight="1" x14ac:dyDescent="0.25">
      <c r="A29" s="228" t="s">
        <v>288</v>
      </c>
      <c r="B29" s="228"/>
      <c r="C29" s="230" t="s">
        <v>289</v>
      </c>
      <c r="D29" s="231"/>
      <c r="E29" s="231"/>
      <c r="F29" s="230"/>
      <c r="G29" s="230"/>
      <c r="H29" s="230"/>
      <c r="I29" s="230"/>
      <c r="J29" s="230"/>
      <c r="K29" s="230"/>
    </row>
    <row r="30" spans="1:56" ht="37.5" customHeight="1" x14ac:dyDescent="0.25">
      <c r="A30" s="228" t="s">
        <v>290</v>
      </c>
      <c r="B30" s="228"/>
      <c r="C30" s="238" t="s">
        <v>291</v>
      </c>
      <c r="D30" s="238"/>
      <c r="E30" s="238"/>
      <c r="F30" s="238"/>
      <c r="G30" s="238"/>
      <c r="H30" s="238"/>
      <c r="I30" s="238"/>
      <c r="J30" s="238"/>
      <c r="K30" s="238"/>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40"/>
    </row>
    <row r="31" spans="1:56" ht="36" customHeight="1" x14ac:dyDescent="0.25">
      <c r="A31" s="237" t="s">
        <v>292</v>
      </c>
      <c r="B31" s="237"/>
      <c r="C31" s="238" t="s">
        <v>293</v>
      </c>
      <c r="D31" s="238"/>
      <c r="E31" s="238"/>
      <c r="F31" s="238"/>
      <c r="G31" s="238"/>
      <c r="H31" s="238"/>
      <c r="I31" s="238"/>
      <c r="J31" s="238"/>
      <c r="K31" s="238"/>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41"/>
    </row>
    <row r="32" spans="1:56" ht="37.5" customHeight="1" x14ac:dyDescent="0.25">
      <c r="A32" s="228" t="s">
        <v>294</v>
      </c>
      <c r="B32" s="228"/>
      <c r="C32" s="242" t="s">
        <v>295</v>
      </c>
      <c r="D32" s="242"/>
      <c r="E32" s="242"/>
      <c r="F32" s="242"/>
      <c r="G32" s="242"/>
      <c r="H32" s="242"/>
      <c r="I32" s="242"/>
      <c r="J32" s="242"/>
      <c r="K32" s="242"/>
      <c r="L32" s="243"/>
      <c r="M32" s="243"/>
      <c r="N32" s="243"/>
      <c r="O32" s="243"/>
      <c r="P32" s="243"/>
      <c r="Q32" s="243"/>
      <c r="R32" s="243"/>
      <c r="S32" s="243"/>
      <c r="T32" s="243"/>
      <c r="U32" s="243"/>
      <c r="V32" s="243"/>
      <c r="W32" s="243"/>
      <c r="X32" s="243"/>
      <c r="Y32" s="243"/>
      <c r="Z32" s="243"/>
      <c r="AA32" s="244"/>
      <c r="AB32" s="244"/>
      <c r="AC32" s="243"/>
      <c r="AD32" s="243"/>
      <c r="AE32" s="243"/>
      <c r="AF32" s="243"/>
      <c r="AG32" s="243"/>
      <c r="AH32" s="243"/>
      <c r="AI32" s="243"/>
      <c r="AJ32" s="243"/>
      <c r="AK32" s="243"/>
      <c r="AL32" s="243"/>
      <c r="AM32" s="243"/>
      <c r="AN32" s="243"/>
      <c r="AO32" s="243"/>
      <c r="AP32" s="243"/>
      <c r="AQ32" s="243"/>
      <c r="AR32" s="243"/>
      <c r="AS32" s="243"/>
      <c r="AT32" s="243"/>
      <c r="AU32" s="243"/>
      <c r="AV32" s="243"/>
      <c r="AW32" s="243"/>
      <c r="AX32" s="243"/>
      <c r="AY32" s="243"/>
      <c r="AZ32" s="243"/>
      <c r="BA32" s="243"/>
      <c r="BB32" s="243"/>
      <c r="BC32" s="243"/>
      <c r="BD32" s="241"/>
    </row>
    <row r="33" spans="1:56" ht="37.5" customHeight="1" x14ac:dyDescent="0.25">
      <c r="A33" s="228" t="s">
        <v>296</v>
      </c>
      <c r="B33" s="228"/>
      <c r="C33" s="242" t="s">
        <v>297</v>
      </c>
      <c r="D33" s="231"/>
      <c r="E33" s="231"/>
      <c r="F33" s="242"/>
      <c r="G33" s="242"/>
      <c r="H33" s="242"/>
      <c r="I33" s="242"/>
      <c r="J33" s="242"/>
      <c r="K33" s="242"/>
      <c r="L33" s="243"/>
      <c r="M33" s="243"/>
      <c r="N33" s="243"/>
      <c r="O33" s="243"/>
      <c r="P33" s="243"/>
      <c r="Q33" s="243"/>
      <c r="R33" s="243"/>
      <c r="S33" s="243"/>
      <c r="T33" s="243"/>
      <c r="U33" s="243"/>
      <c r="V33" s="243"/>
      <c r="W33" s="243"/>
      <c r="X33" s="243"/>
      <c r="Y33" s="243"/>
      <c r="Z33" s="243"/>
      <c r="AA33" s="244"/>
      <c r="AB33" s="244"/>
      <c r="AC33" s="243"/>
      <c r="AD33" s="243"/>
      <c r="AE33" s="243"/>
      <c r="AF33" s="243"/>
      <c r="AG33" s="243"/>
      <c r="AH33" s="243"/>
      <c r="AI33" s="243"/>
      <c r="AJ33" s="243"/>
      <c r="AK33" s="243"/>
      <c r="AL33" s="243"/>
      <c r="AM33" s="243"/>
      <c r="AN33" s="243"/>
      <c r="AO33" s="243"/>
      <c r="AP33" s="243"/>
      <c r="AQ33" s="243"/>
      <c r="AR33" s="243"/>
      <c r="AS33" s="243"/>
      <c r="AT33" s="243"/>
      <c r="AU33" s="243"/>
      <c r="AV33" s="243"/>
      <c r="AW33" s="243"/>
      <c r="AX33" s="243"/>
      <c r="AY33" s="243"/>
      <c r="AZ33" s="243"/>
      <c r="BA33" s="243"/>
      <c r="BB33" s="243"/>
      <c r="BC33" s="243"/>
      <c r="BD33" s="241"/>
    </row>
    <row r="34" spans="1:56" ht="36.75" customHeight="1" x14ac:dyDescent="0.25">
      <c r="A34" s="228" t="s">
        <v>298</v>
      </c>
      <c r="B34" s="228"/>
      <c r="C34" s="242" t="s">
        <v>299</v>
      </c>
      <c r="D34" s="231"/>
      <c r="E34" s="231"/>
      <c r="F34" s="242"/>
      <c r="G34" s="242"/>
      <c r="H34" s="242"/>
      <c r="I34" s="242"/>
      <c r="J34" s="242"/>
      <c r="K34" s="242"/>
      <c r="L34" s="245"/>
      <c r="M34" s="245"/>
      <c r="N34" s="245"/>
      <c r="O34" s="245"/>
      <c r="P34" s="245"/>
      <c r="Q34" s="245"/>
      <c r="R34" s="245"/>
      <c r="S34" s="245"/>
      <c r="T34" s="245"/>
      <c r="U34" s="245"/>
      <c r="V34" s="245"/>
      <c r="W34" s="245"/>
      <c r="X34" s="245"/>
      <c r="Y34" s="245"/>
      <c r="Z34" s="245"/>
      <c r="AA34" s="246"/>
      <c r="AB34" s="246"/>
      <c r="AC34" s="245"/>
      <c r="AD34" s="245"/>
      <c r="AE34" s="245"/>
      <c r="AF34" s="245"/>
      <c r="AG34" s="245"/>
      <c r="AH34" s="245"/>
      <c r="AI34" s="245"/>
      <c r="AJ34" s="245"/>
      <c r="AK34" s="245"/>
      <c r="AL34" s="245"/>
      <c r="AM34" s="245"/>
      <c r="AN34" s="245"/>
      <c r="AO34" s="245"/>
      <c r="AP34" s="245"/>
      <c r="AQ34" s="245"/>
      <c r="AR34" s="245"/>
      <c r="AS34" s="245"/>
      <c r="AT34" s="245"/>
      <c r="AU34" s="245"/>
      <c r="AV34" s="245"/>
      <c r="AW34" s="245"/>
      <c r="AX34" s="245"/>
      <c r="AY34" s="245"/>
      <c r="AZ34" s="245"/>
      <c r="BA34" s="245"/>
      <c r="BB34" s="245"/>
      <c r="BC34" s="245"/>
      <c r="BD34" s="241"/>
    </row>
    <row r="35" spans="1:56" ht="37.5" customHeight="1" x14ac:dyDescent="0.25">
      <c r="A35" s="228" t="s">
        <v>140</v>
      </c>
      <c r="B35" s="228"/>
      <c r="C35" s="242" t="s">
        <v>300</v>
      </c>
      <c r="D35" s="231"/>
      <c r="E35" s="231"/>
      <c r="F35" s="242"/>
      <c r="G35" s="242"/>
      <c r="H35" s="242"/>
      <c r="I35" s="242"/>
      <c r="J35" s="242"/>
      <c r="K35" s="242"/>
      <c r="L35" s="243"/>
      <c r="M35" s="243"/>
      <c r="N35" s="243"/>
      <c r="O35" s="243"/>
      <c r="P35" s="243"/>
      <c r="Q35" s="243"/>
      <c r="R35" s="243"/>
      <c r="S35" s="243"/>
      <c r="T35" s="243"/>
      <c r="U35" s="243"/>
      <c r="V35" s="243"/>
      <c r="W35" s="243"/>
      <c r="X35" s="243"/>
      <c r="Y35" s="243"/>
      <c r="Z35" s="243"/>
      <c r="AA35" s="244"/>
      <c r="AB35" s="244"/>
      <c r="AC35" s="243"/>
      <c r="AD35" s="243"/>
      <c r="AE35" s="243"/>
      <c r="AF35" s="243"/>
      <c r="AG35" s="243"/>
      <c r="AH35" s="243"/>
      <c r="AI35" s="243"/>
      <c r="AJ35" s="243"/>
      <c r="AK35" s="243"/>
      <c r="AL35" s="243"/>
      <c r="AM35" s="243"/>
      <c r="AN35" s="243"/>
      <c r="AO35" s="243"/>
      <c r="AP35" s="243"/>
      <c r="AQ35" s="243"/>
      <c r="AR35" s="243"/>
      <c r="AS35" s="243"/>
      <c r="AT35" s="243"/>
      <c r="AU35" s="243"/>
      <c r="AV35" s="243"/>
      <c r="AW35" s="243"/>
      <c r="AX35" s="243"/>
      <c r="AY35" s="243"/>
      <c r="AZ35" s="243"/>
      <c r="BA35" s="243"/>
      <c r="BB35" s="243"/>
      <c r="BC35" s="243"/>
      <c r="BD35" s="241"/>
    </row>
    <row r="36" spans="1:56" ht="51" customHeight="1" x14ac:dyDescent="0.25">
      <c r="A36" s="237" t="s">
        <v>301</v>
      </c>
      <c r="B36" s="237"/>
      <c r="C36" s="242" t="s">
        <v>302</v>
      </c>
      <c r="D36" s="231"/>
      <c r="E36" s="231"/>
      <c r="F36" s="242"/>
      <c r="G36" s="242"/>
      <c r="H36" s="242"/>
      <c r="I36" s="242"/>
      <c r="J36" s="242"/>
      <c r="K36" s="242"/>
      <c r="L36" s="243"/>
      <c r="M36" s="243"/>
      <c r="N36" s="243"/>
      <c r="O36" s="243"/>
      <c r="P36" s="243"/>
      <c r="Q36" s="243"/>
      <c r="R36" s="243"/>
      <c r="S36" s="243"/>
      <c r="T36" s="243"/>
      <c r="U36" s="243"/>
      <c r="V36" s="243"/>
      <c r="W36" s="243"/>
      <c r="X36" s="243"/>
      <c r="Y36" s="243"/>
      <c r="Z36" s="243"/>
      <c r="AA36" s="244"/>
      <c r="AB36" s="244"/>
      <c r="AC36" s="243"/>
      <c r="AD36" s="243"/>
      <c r="AE36" s="243"/>
      <c r="AF36" s="243"/>
      <c r="AG36" s="243"/>
      <c r="AH36" s="243"/>
      <c r="AI36" s="243"/>
      <c r="AJ36" s="243"/>
      <c r="AK36" s="243"/>
      <c r="AL36" s="243"/>
      <c r="AM36" s="243"/>
      <c r="AN36" s="243"/>
      <c r="AO36" s="243"/>
      <c r="AP36" s="243"/>
      <c r="AQ36" s="243"/>
      <c r="AR36" s="243"/>
      <c r="AS36" s="243"/>
      <c r="AT36" s="243"/>
      <c r="AU36" s="243"/>
      <c r="AV36" s="243"/>
      <c r="AW36" s="243"/>
      <c r="AX36" s="243"/>
      <c r="AY36" s="243"/>
      <c r="AZ36" s="243"/>
      <c r="BA36" s="243"/>
      <c r="BB36" s="243"/>
      <c r="BC36" s="243"/>
      <c r="BD36" s="241"/>
    </row>
    <row r="37" spans="1:56" ht="45" customHeight="1" x14ac:dyDescent="0.25">
      <c r="A37" s="228" t="s">
        <v>303</v>
      </c>
      <c r="B37" s="228"/>
      <c r="C37" s="242" t="s">
        <v>304</v>
      </c>
      <c r="D37" s="231"/>
      <c r="E37" s="231"/>
      <c r="F37" s="242"/>
      <c r="G37" s="242"/>
      <c r="H37" s="242"/>
      <c r="I37" s="242"/>
      <c r="J37" s="242"/>
      <c r="K37" s="242"/>
      <c r="L37" s="243"/>
      <c r="M37" s="243"/>
      <c r="N37" s="243"/>
      <c r="O37" s="243"/>
      <c r="P37" s="243"/>
      <c r="Q37" s="243"/>
      <c r="R37" s="243"/>
      <c r="S37" s="243"/>
      <c r="T37" s="243"/>
      <c r="U37" s="243"/>
      <c r="V37" s="243"/>
      <c r="W37" s="243"/>
      <c r="X37" s="243"/>
      <c r="Y37" s="243"/>
      <c r="Z37" s="243"/>
      <c r="AA37" s="244"/>
      <c r="AB37" s="244"/>
      <c r="AC37" s="243"/>
      <c r="AD37" s="243"/>
      <c r="AE37" s="243"/>
      <c r="AF37" s="243"/>
      <c r="AG37" s="243"/>
      <c r="AH37" s="243"/>
      <c r="AI37" s="243"/>
      <c r="AJ37" s="243"/>
      <c r="AK37" s="243"/>
      <c r="AL37" s="243"/>
      <c r="AM37" s="243"/>
      <c r="AN37" s="243"/>
      <c r="AO37" s="243"/>
      <c r="AP37" s="243"/>
      <c r="AQ37" s="243"/>
      <c r="AR37" s="243"/>
      <c r="AS37" s="243"/>
      <c r="AT37" s="243"/>
      <c r="AU37" s="243"/>
      <c r="AV37" s="243"/>
      <c r="AW37" s="243"/>
      <c r="AX37" s="243"/>
      <c r="AY37" s="243"/>
      <c r="AZ37" s="243"/>
      <c r="BA37" s="243"/>
      <c r="BB37" s="243"/>
      <c r="BC37" s="243"/>
      <c r="BD37" s="241"/>
    </row>
    <row r="38" spans="1:56" ht="36.75" customHeight="1" x14ac:dyDescent="0.25">
      <c r="A38" s="228" t="s">
        <v>305</v>
      </c>
      <c r="B38" s="228"/>
      <c r="C38" s="242" t="s">
        <v>306</v>
      </c>
      <c r="D38" s="231"/>
      <c r="E38" s="231"/>
      <c r="F38" s="242"/>
      <c r="G38" s="242"/>
      <c r="H38" s="242"/>
      <c r="I38" s="242"/>
      <c r="J38" s="242"/>
      <c r="K38" s="242"/>
      <c r="L38" s="245"/>
      <c r="M38" s="245"/>
      <c r="N38" s="245"/>
      <c r="O38" s="245"/>
      <c r="P38" s="245"/>
      <c r="Q38" s="245"/>
      <c r="R38" s="245"/>
      <c r="S38" s="245"/>
      <c r="T38" s="245"/>
      <c r="U38" s="245"/>
      <c r="V38" s="245"/>
      <c r="W38" s="245"/>
      <c r="X38" s="245"/>
      <c r="Y38" s="245"/>
      <c r="Z38" s="245"/>
      <c r="AA38" s="246"/>
      <c r="AB38" s="246"/>
      <c r="AC38" s="245"/>
      <c r="AD38" s="245"/>
      <c r="AE38" s="245"/>
      <c r="AF38" s="245"/>
      <c r="AG38" s="245"/>
      <c r="AH38" s="245"/>
      <c r="AI38" s="245"/>
      <c r="AJ38" s="245"/>
      <c r="AK38" s="245"/>
      <c r="AL38" s="245"/>
      <c r="AM38" s="245"/>
      <c r="AN38" s="245"/>
      <c r="AO38" s="245"/>
      <c r="AP38" s="245"/>
      <c r="AQ38" s="245"/>
      <c r="AR38" s="245"/>
      <c r="AS38" s="245"/>
      <c r="AT38" s="245"/>
      <c r="AU38" s="245"/>
      <c r="AV38" s="245"/>
      <c r="AW38" s="245"/>
      <c r="AX38" s="245"/>
      <c r="AY38" s="245"/>
      <c r="AZ38" s="245"/>
      <c r="BA38" s="245"/>
      <c r="BB38" s="245"/>
      <c r="BC38" s="245"/>
      <c r="BD38" s="241"/>
    </row>
    <row r="39" spans="1:56" ht="36.75" customHeight="1" x14ac:dyDescent="0.25">
      <c r="A39" s="237" t="s">
        <v>307</v>
      </c>
      <c r="B39" s="237"/>
      <c r="C39" s="242" t="s">
        <v>308</v>
      </c>
      <c r="D39" s="231"/>
      <c r="E39" s="231"/>
      <c r="F39" s="242"/>
      <c r="G39" s="242"/>
      <c r="H39" s="242"/>
      <c r="I39" s="242"/>
      <c r="J39" s="242"/>
      <c r="K39" s="242"/>
      <c r="L39" s="247"/>
      <c r="M39" s="247"/>
      <c r="N39" s="247"/>
      <c r="O39" s="247"/>
      <c r="P39" s="247"/>
      <c r="Q39" s="247"/>
      <c r="R39" s="247"/>
      <c r="S39" s="247"/>
      <c r="T39" s="247"/>
      <c r="U39" s="247"/>
      <c r="V39" s="247"/>
      <c r="W39" s="247"/>
      <c r="X39" s="247"/>
      <c r="Y39" s="247"/>
      <c r="Z39" s="247"/>
      <c r="AA39" s="248"/>
      <c r="AB39" s="248"/>
      <c r="AC39" s="247"/>
      <c r="AD39" s="247"/>
      <c r="AE39" s="247"/>
      <c r="AF39" s="247"/>
      <c r="AG39" s="247"/>
      <c r="AH39" s="247"/>
      <c r="AI39" s="247"/>
      <c r="AJ39" s="247"/>
      <c r="AK39" s="247"/>
      <c r="AL39" s="247"/>
      <c r="AM39" s="247"/>
      <c r="AN39" s="247"/>
      <c r="AO39" s="247"/>
      <c r="AP39" s="247"/>
      <c r="AQ39" s="247"/>
      <c r="AR39" s="247"/>
      <c r="AS39" s="247"/>
      <c r="AT39" s="247"/>
      <c r="AU39" s="247"/>
      <c r="AV39" s="247"/>
      <c r="AW39" s="247"/>
      <c r="AX39" s="247"/>
      <c r="AY39" s="247"/>
      <c r="AZ39" s="247"/>
      <c r="BA39" s="247"/>
      <c r="BB39" s="247"/>
      <c r="BC39" s="247"/>
      <c r="BD39" s="241"/>
    </row>
    <row r="40" spans="1:56" ht="20.25" customHeight="1" x14ac:dyDescent="0.25">
      <c r="A40" s="237" t="s">
        <v>145</v>
      </c>
      <c r="B40" s="237"/>
      <c r="C40" s="249" t="s">
        <v>309</v>
      </c>
      <c r="D40" s="233"/>
      <c r="E40" s="233"/>
      <c r="F40" s="249"/>
      <c r="G40" s="249"/>
      <c r="H40" s="249"/>
      <c r="I40" s="249"/>
      <c r="J40" s="249"/>
      <c r="K40" s="249"/>
      <c r="L40" s="250"/>
      <c r="M40" s="250"/>
      <c r="N40" s="250"/>
      <c r="O40" s="250"/>
      <c r="P40" s="250"/>
      <c r="Q40" s="250"/>
      <c r="R40" s="250"/>
      <c r="S40" s="250"/>
      <c r="T40" s="250"/>
      <c r="U40" s="250"/>
      <c r="V40" s="250"/>
      <c r="W40" s="250"/>
      <c r="X40" s="250"/>
      <c r="Y40" s="250"/>
      <c r="Z40" s="250"/>
      <c r="AA40" s="251"/>
      <c r="AB40" s="251"/>
      <c r="AC40" s="250"/>
      <c r="AD40" s="250"/>
      <c r="AE40" s="250"/>
      <c r="AF40" s="250"/>
      <c r="AG40" s="250"/>
      <c r="AH40" s="250"/>
      <c r="AI40" s="250"/>
      <c r="AJ40" s="250"/>
      <c r="AK40" s="250"/>
      <c r="AL40" s="250"/>
      <c r="AM40" s="250"/>
      <c r="AN40" s="250"/>
      <c r="AO40" s="250"/>
      <c r="AP40" s="250"/>
      <c r="AQ40" s="250"/>
      <c r="AR40" s="250"/>
      <c r="AS40" s="250"/>
      <c r="AT40" s="250"/>
      <c r="AU40" s="250"/>
      <c r="AV40" s="250"/>
      <c r="AW40" s="250"/>
      <c r="AX40" s="250"/>
      <c r="AY40" s="250"/>
      <c r="AZ40" s="250"/>
      <c r="BA40" s="250"/>
      <c r="BB40" s="250"/>
      <c r="BC40" s="250"/>
      <c r="BD40" s="241"/>
    </row>
    <row r="41" spans="1:56" ht="21" customHeight="1" x14ac:dyDescent="0.25">
      <c r="A41" s="228" t="s">
        <v>146</v>
      </c>
      <c r="B41" s="228"/>
      <c r="C41" s="252" t="s">
        <v>310</v>
      </c>
      <c r="D41" s="252"/>
      <c r="E41" s="252"/>
      <c r="F41" s="252"/>
      <c r="G41" s="252"/>
      <c r="H41" s="252"/>
      <c r="I41" s="252"/>
      <c r="J41" s="252"/>
      <c r="K41" s="252"/>
      <c r="L41" s="245"/>
      <c r="M41" s="245"/>
      <c r="N41" s="245"/>
      <c r="O41" s="245"/>
      <c r="P41" s="245"/>
      <c r="Q41" s="245"/>
      <c r="R41" s="245"/>
      <c r="S41" s="245"/>
      <c r="T41" s="245"/>
      <c r="U41" s="245"/>
      <c r="V41" s="245"/>
      <c r="W41" s="245"/>
      <c r="X41" s="245"/>
      <c r="Y41" s="245"/>
      <c r="Z41" s="245"/>
      <c r="AA41" s="246"/>
      <c r="AB41" s="246"/>
      <c r="AC41" s="245"/>
      <c r="AD41" s="245"/>
      <c r="AE41" s="245"/>
      <c r="AF41" s="245"/>
      <c r="AG41" s="245"/>
      <c r="AH41" s="245"/>
      <c r="AI41" s="245"/>
      <c r="AJ41" s="245"/>
      <c r="AK41" s="245"/>
      <c r="AL41" s="245"/>
      <c r="AM41" s="245"/>
      <c r="AN41" s="245"/>
      <c r="AO41" s="245"/>
      <c r="AP41" s="245"/>
      <c r="AQ41" s="245"/>
      <c r="AR41" s="245"/>
      <c r="AS41" s="245"/>
      <c r="AT41" s="245"/>
      <c r="AU41" s="245"/>
      <c r="AV41" s="245"/>
      <c r="AW41" s="245"/>
      <c r="AX41" s="245"/>
      <c r="AY41" s="245"/>
      <c r="AZ41" s="245"/>
      <c r="BA41" s="245"/>
      <c r="BB41" s="245"/>
      <c r="BC41" s="245"/>
      <c r="BD41" s="241"/>
    </row>
    <row r="42" spans="1:56" ht="19.5" customHeight="1" x14ac:dyDescent="0.25">
      <c r="A42" s="228" t="s">
        <v>147</v>
      </c>
      <c r="B42" s="228"/>
      <c r="C42" s="252" t="s">
        <v>311</v>
      </c>
      <c r="D42" s="252"/>
      <c r="E42" s="252"/>
      <c r="F42" s="252"/>
      <c r="G42" s="252"/>
      <c r="H42" s="252"/>
      <c r="I42" s="252"/>
      <c r="J42" s="252"/>
      <c r="K42" s="252"/>
      <c r="L42" s="243"/>
      <c r="M42" s="243"/>
      <c r="N42" s="243"/>
      <c r="O42" s="243"/>
      <c r="P42" s="243"/>
      <c r="Q42" s="243"/>
      <c r="R42" s="243"/>
      <c r="S42" s="243"/>
      <c r="T42" s="243"/>
      <c r="U42" s="243"/>
      <c r="V42" s="243"/>
      <c r="W42" s="243"/>
      <c r="X42" s="243"/>
      <c r="Y42" s="243"/>
      <c r="Z42" s="243"/>
      <c r="AA42" s="244"/>
      <c r="AB42" s="244"/>
      <c r="AC42" s="243"/>
      <c r="AD42" s="243"/>
      <c r="AE42" s="243"/>
      <c r="AF42" s="243"/>
      <c r="AG42" s="243"/>
      <c r="AH42" s="243"/>
      <c r="AI42" s="243"/>
      <c r="AJ42" s="243"/>
      <c r="AK42" s="243"/>
      <c r="AL42" s="243"/>
      <c r="AM42" s="243"/>
      <c r="AN42" s="243"/>
      <c r="AO42" s="243"/>
      <c r="AP42" s="243"/>
      <c r="AQ42" s="243"/>
      <c r="AR42" s="243"/>
      <c r="AS42" s="243"/>
      <c r="AT42" s="243"/>
      <c r="AU42" s="243"/>
      <c r="AV42" s="243"/>
      <c r="AW42" s="243"/>
      <c r="AX42" s="243"/>
      <c r="AY42" s="243"/>
      <c r="AZ42" s="243"/>
      <c r="BA42" s="243"/>
      <c r="BB42" s="243"/>
      <c r="BC42" s="243"/>
      <c r="BD42" s="241"/>
    </row>
    <row r="43" spans="1:56" ht="21" customHeight="1" x14ac:dyDescent="0.25">
      <c r="A43" s="228" t="s">
        <v>312</v>
      </c>
      <c r="B43" s="228"/>
      <c r="C43" s="252" t="s">
        <v>313</v>
      </c>
      <c r="D43" s="252"/>
      <c r="E43" s="252"/>
      <c r="F43" s="252"/>
      <c r="G43" s="252"/>
      <c r="H43" s="252"/>
      <c r="I43" s="252"/>
      <c r="J43" s="252"/>
      <c r="K43" s="252"/>
      <c r="L43" s="243"/>
      <c r="M43" s="243"/>
      <c r="N43" s="243"/>
      <c r="O43" s="243"/>
      <c r="P43" s="243"/>
      <c r="Q43" s="243"/>
      <c r="R43" s="243"/>
      <c r="S43" s="243"/>
      <c r="T43" s="243"/>
      <c r="U43" s="243"/>
      <c r="V43" s="243"/>
      <c r="W43" s="243"/>
      <c r="X43" s="243"/>
      <c r="Y43" s="243"/>
      <c r="Z43" s="243"/>
      <c r="AA43" s="244"/>
      <c r="AB43" s="244"/>
      <c r="AC43" s="243"/>
      <c r="AD43" s="243"/>
      <c r="AE43" s="243"/>
      <c r="AF43" s="243"/>
      <c r="AG43" s="243"/>
      <c r="AH43" s="243"/>
      <c r="AI43" s="243"/>
      <c r="AJ43" s="243"/>
      <c r="AK43" s="243"/>
      <c r="AL43" s="243"/>
      <c r="AM43" s="243"/>
      <c r="AN43" s="243"/>
      <c r="AO43" s="243"/>
      <c r="AP43" s="243"/>
      <c r="AQ43" s="243"/>
      <c r="AR43" s="243"/>
      <c r="AS43" s="243"/>
      <c r="AT43" s="243"/>
      <c r="AU43" s="243"/>
      <c r="AV43" s="243"/>
      <c r="AW43" s="243"/>
      <c r="AX43" s="243"/>
      <c r="AY43" s="243"/>
      <c r="AZ43" s="243"/>
      <c r="BA43" s="243"/>
      <c r="BB43" s="243"/>
      <c r="BC43" s="243"/>
      <c r="BD43" s="241"/>
    </row>
    <row r="44" spans="1:56" ht="18.75" customHeight="1" x14ac:dyDescent="0.25">
      <c r="A44" s="228" t="s">
        <v>149</v>
      </c>
      <c r="B44" s="228"/>
      <c r="C44" s="252" t="s">
        <v>314</v>
      </c>
      <c r="D44" s="252"/>
      <c r="E44" s="252"/>
      <c r="F44" s="252"/>
      <c r="G44" s="252"/>
      <c r="H44" s="252"/>
      <c r="I44" s="252"/>
      <c r="J44" s="252"/>
      <c r="K44" s="252"/>
      <c r="L44" s="243"/>
      <c r="M44" s="243"/>
      <c r="N44" s="243"/>
      <c r="O44" s="243"/>
      <c r="P44" s="243"/>
      <c r="Q44" s="243"/>
      <c r="R44" s="243"/>
      <c r="S44" s="243"/>
      <c r="T44" s="243"/>
      <c r="U44" s="243"/>
      <c r="V44" s="243"/>
      <c r="W44" s="243"/>
      <c r="X44" s="243"/>
      <c r="Y44" s="243"/>
      <c r="Z44" s="243"/>
      <c r="AA44" s="244"/>
      <c r="AB44" s="244"/>
      <c r="AC44" s="243"/>
      <c r="AD44" s="243"/>
      <c r="AE44" s="243"/>
      <c r="AF44" s="243"/>
      <c r="AG44" s="243"/>
      <c r="AH44" s="243"/>
      <c r="AI44" s="243"/>
      <c r="AJ44" s="243"/>
      <c r="AK44" s="243"/>
      <c r="AL44" s="243"/>
      <c r="AM44" s="243"/>
      <c r="AN44" s="243"/>
      <c r="AO44" s="243"/>
      <c r="AP44" s="243"/>
      <c r="AQ44" s="243"/>
      <c r="AR44" s="243"/>
      <c r="AS44" s="243"/>
      <c r="AT44" s="243"/>
      <c r="AU44" s="243"/>
      <c r="AV44" s="243"/>
      <c r="AW44" s="243"/>
      <c r="AX44" s="243"/>
      <c r="AY44" s="243"/>
      <c r="AZ44" s="243"/>
      <c r="BA44" s="243"/>
      <c r="BB44" s="243"/>
      <c r="BC44" s="243"/>
      <c r="BD44" s="241"/>
    </row>
    <row r="45" spans="1:56" ht="18.75" customHeight="1" x14ac:dyDescent="0.25">
      <c r="A45" s="253"/>
      <c r="B45" s="253"/>
      <c r="C45" s="254"/>
      <c r="D45" s="254"/>
      <c r="E45" s="254"/>
      <c r="F45" s="254"/>
      <c r="G45" s="254"/>
      <c r="H45" s="254"/>
      <c r="I45" s="254"/>
      <c r="J45" s="254"/>
      <c r="K45" s="254"/>
      <c r="L45" s="243"/>
      <c r="M45" s="243"/>
      <c r="N45" s="243"/>
      <c r="O45" s="243"/>
      <c r="P45" s="243"/>
      <c r="Q45" s="243"/>
      <c r="R45" s="243"/>
      <c r="S45" s="243"/>
      <c r="T45" s="243"/>
      <c r="U45" s="243"/>
      <c r="V45" s="243"/>
      <c r="W45" s="243"/>
      <c r="X45" s="243"/>
      <c r="Y45" s="243"/>
      <c r="Z45" s="243"/>
      <c r="AA45" s="244"/>
      <c r="AB45" s="244"/>
      <c r="AC45" s="243"/>
      <c r="AD45" s="243"/>
      <c r="AE45" s="243"/>
      <c r="AF45" s="243"/>
      <c r="AG45" s="243"/>
      <c r="AH45" s="243"/>
      <c r="AI45" s="243"/>
      <c r="AJ45" s="243"/>
      <c r="AK45" s="243"/>
      <c r="AL45" s="243"/>
      <c r="AM45" s="243"/>
      <c r="AN45" s="243"/>
      <c r="AO45" s="243"/>
      <c r="AP45" s="243"/>
      <c r="AQ45" s="243"/>
      <c r="AR45" s="243"/>
      <c r="AS45" s="243"/>
      <c r="AT45" s="243"/>
      <c r="AU45" s="243"/>
      <c r="AV45" s="243"/>
      <c r="AW45" s="243"/>
      <c r="AX45" s="243"/>
      <c r="AY45" s="243"/>
      <c r="AZ45" s="243"/>
      <c r="BA45" s="243"/>
      <c r="BB45" s="243"/>
      <c r="BC45" s="243"/>
      <c r="BD45" s="241"/>
    </row>
    <row r="46" spans="1:56" ht="15.75" x14ac:dyDescent="0.25">
      <c r="A46" s="255" t="s">
        <v>315</v>
      </c>
      <c r="B46" s="256"/>
      <c r="C46" s="239"/>
      <c r="D46" s="239"/>
      <c r="E46" s="239"/>
      <c r="F46" s="239"/>
      <c r="G46" s="239"/>
      <c r="H46" s="239"/>
      <c r="I46" s="239"/>
      <c r="J46" s="239"/>
      <c r="K46" s="239"/>
      <c r="L46" s="239"/>
      <c r="M46" s="239"/>
      <c r="N46" s="239"/>
      <c r="O46" s="239"/>
      <c r="P46" s="239"/>
      <c r="Q46" s="239"/>
      <c r="R46" s="239"/>
      <c r="S46" s="239"/>
      <c r="T46" s="239"/>
      <c r="U46" s="239"/>
      <c r="V46" s="239"/>
      <c r="W46" s="239"/>
      <c r="X46" s="239"/>
      <c r="Y46" s="239"/>
      <c r="Z46" s="239"/>
      <c r="AA46" s="239"/>
      <c r="AB46" s="239"/>
      <c r="AC46" s="239"/>
      <c r="AD46" s="239"/>
      <c r="AE46" s="239"/>
      <c r="AF46" s="239"/>
      <c r="AG46" s="239"/>
      <c r="AH46" s="239"/>
      <c r="AI46" s="239"/>
      <c r="AJ46" s="239"/>
      <c r="AK46" s="239"/>
      <c r="AL46" s="239"/>
      <c r="AM46" s="239"/>
      <c r="AN46" s="239"/>
      <c r="AO46" s="239"/>
      <c r="AP46" s="239"/>
      <c r="AQ46" s="239"/>
      <c r="AR46" s="239"/>
      <c r="AS46" s="239"/>
      <c r="AT46" s="239"/>
      <c r="AU46" s="239"/>
      <c r="AV46" s="239"/>
      <c r="AW46" s="239"/>
      <c r="AX46" s="239"/>
      <c r="AY46" s="239"/>
      <c r="AZ46" s="239"/>
      <c r="BA46" s="239"/>
      <c r="BB46" s="239"/>
      <c r="BC46" s="239"/>
      <c r="BD46" s="241"/>
    </row>
    <row r="47" spans="1:56" x14ac:dyDescent="0.25">
      <c r="A47" s="257"/>
      <c r="B47" s="257"/>
      <c r="C47" s="257"/>
      <c r="D47" s="258"/>
      <c r="E47" s="258"/>
      <c r="F47" s="257"/>
      <c r="G47" s="257"/>
      <c r="H47" s="25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7"/>
      <c r="AH47" s="257"/>
      <c r="AI47" s="257"/>
      <c r="AJ47" s="257"/>
      <c r="AK47" s="257"/>
      <c r="AL47" s="257"/>
      <c r="AM47" s="257"/>
      <c r="AN47" s="257"/>
      <c r="AO47" s="257"/>
      <c r="AP47" s="257"/>
      <c r="AQ47" s="257"/>
      <c r="AR47" s="257"/>
      <c r="AS47" s="257"/>
      <c r="AT47" s="257"/>
      <c r="AU47" s="257"/>
      <c r="AV47" s="259"/>
      <c r="AW47" s="259"/>
      <c r="AX47" s="259"/>
      <c r="AY47" s="260"/>
      <c r="AZ47" s="260"/>
      <c r="BA47" s="260"/>
      <c r="BB47" s="260"/>
      <c r="BC47" s="260"/>
      <c r="BD47" s="261"/>
    </row>
    <row r="48" spans="1:56" s="31" customFormat="1" ht="18.75" x14ac:dyDescent="0.25">
      <c r="A48" s="262" t="s">
        <v>4</v>
      </c>
      <c r="B48" s="263" t="s">
        <v>316</v>
      </c>
      <c r="C48" s="37"/>
      <c r="D48" s="264"/>
      <c r="E48" s="265"/>
      <c r="F48" s="262" t="s">
        <v>4</v>
      </c>
      <c r="G48" s="263" t="s">
        <v>316</v>
      </c>
      <c r="H48" s="266"/>
      <c r="I48" s="266"/>
      <c r="J48" s="266"/>
      <c r="K48" s="266"/>
      <c r="L48" s="267"/>
      <c r="M48" s="267"/>
      <c r="N48" s="267"/>
      <c r="O48" s="267"/>
      <c r="P48" s="267"/>
      <c r="Q48" s="267"/>
      <c r="R48" s="267"/>
      <c r="S48" s="267"/>
      <c r="T48" s="267"/>
      <c r="U48" s="267"/>
      <c r="V48" s="268"/>
      <c r="W48" s="268"/>
      <c r="X48" s="268"/>
      <c r="Y48" s="268"/>
      <c r="AA48" s="267"/>
      <c r="AC48" s="267"/>
      <c r="AD48" s="267"/>
      <c r="AE48" s="267"/>
      <c r="AF48" s="267"/>
      <c r="AG48" s="267"/>
      <c r="AH48" s="267"/>
      <c r="AI48" s="267"/>
      <c r="AQ48" s="267"/>
      <c r="AR48" s="267"/>
      <c r="AS48" s="267"/>
      <c r="AT48" s="267"/>
      <c r="AU48" s="267"/>
      <c r="AV48" s="267"/>
      <c r="AW48" s="267"/>
      <c r="AX48" s="267"/>
      <c r="AY48" s="267"/>
      <c r="AZ48" s="269"/>
      <c r="BA48" s="270"/>
      <c r="BB48" s="270"/>
      <c r="BC48" s="270"/>
      <c r="BD48" s="271"/>
    </row>
    <row r="49" spans="1:56" ht="15.75" x14ac:dyDescent="0.25">
      <c r="A49" s="272" t="s">
        <v>24</v>
      </c>
      <c r="B49" s="273" t="s">
        <v>317</v>
      </c>
      <c r="D49" s="177"/>
      <c r="E49" s="274"/>
      <c r="F49" s="275" t="s">
        <v>11</v>
      </c>
      <c r="G49" s="276" t="str">
        <f>VLOOKUP(F49,'[2]Mkt cap'!$G$4:$H$82,2,FALSE)</f>
        <v>INSUMOS AGROQUIMICOS S.A.</v>
      </c>
      <c r="H49" s="277"/>
      <c r="I49" s="277"/>
      <c r="J49" s="277"/>
      <c r="K49" s="277"/>
      <c r="L49" s="277"/>
      <c r="M49" s="277"/>
      <c r="N49" s="277"/>
      <c r="O49" s="277"/>
      <c r="P49" s="277"/>
      <c r="Q49" s="277"/>
      <c r="R49" s="277"/>
      <c r="S49" s="277"/>
      <c r="T49" s="277"/>
      <c r="U49" s="277"/>
      <c r="V49" s="277"/>
      <c r="W49" s="277"/>
      <c r="X49" s="277"/>
      <c r="Y49" s="277"/>
      <c r="AA49" s="278"/>
      <c r="AC49" s="279"/>
      <c r="AD49" s="279"/>
      <c r="AE49" s="279"/>
      <c r="AF49" s="279"/>
      <c r="AG49" s="277"/>
      <c r="AH49" s="277"/>
      <c r="AI49" s="277"/>
      <c r="AQ49" s="277"/>
      <c r="AR49" s="277"/>
      <c r="AS49" s="277"/>
      <c r="AT49" s="277"/>
      <c r="AU49" s="277"/>
      <c r="AV49" s="280"/>
      <c r="AW49" s="280"/>
      <c r="AX49" s="280"/>
      <c r="AY49" s="281"/>
      <c r="AZ49" s="281"/>
      <c r="BA49" s="260"/>
      <c r="BB49" s="260"/>
      <c r="BC49" s="260"/>
      <c r="BD49" s="261"/>
    </row>
    <row r="50" spans="1:56" ht="15.75" x14ac:dyDescent="0.25">
      <c r="A50" s="272" t="s">
        <v>67</v>
      </c>
      <c r="B50" s="282" t="s">
        <v>318</v>
      </c>
      <c r="D50" s="177"/>
      <c r="E50" s="274"/>
      <c r="F50" s="275" t="s">
        <v>13</v>
      </c>
      <c r="G50" s="273" t="str">
        <f>VLOOKUP(F50,'[2]Mkt cap'!$G$4:$H$82,2,FALSE)</f>
        <v>UNIPAR INDUPA SOCIEDAD ANONIMA INDUSTRIAL Y COMERCIAL</v>
      </c>
      <c r="H50" s="277"/>
      <c r="I50" s="277"/>
      <c r="J50" s="277"/>
      <c r="K50" s="277"/>
      <c r="L50" s="277"/>
      <c r="M50" s="277"/>
      <c r="N50" s="277"/>
      <c r="O50" s="277"/>
      <c r="P50" s="277"/>
      <c r="Q50" s="277"/>
      <c r="R50" s="277"/>
      <c r="S50" s="277"/>
      <c r="T50" s="277"/>
      <c r="U50" s="277"/>
      <c r="V50" s="277"/>
      <c r="W50" s="277"/>
      <c r="X50" s="277"/>
      <c r="Y50" s="277"/>
      <c r="AA50" s="278"/>
      <c r="AC50" s="279"/>
      <c r="AD50" s="277"/>
      <c r="AE50" s="277"/>
      <c r="AF50" s="277"/>
      <c r="AG50" s="277"/>
      <c r="AH50" s="277"/>
      <c r="AI50" s="277"/>
      <c r="AQ50" s="277"/>
      <c r="AR50" s="277"/>
      <c r="AS50" s="277"/>
      <c r="AT50" s="277"/>
      <c r="AU50" s="277"/>
      <c r="AV50" s="280"/>
      <c r="AW50" s="280"/>
      <c r="AX50" s="280"/>
      <c r="AY50" s="281"/>
      <c r="AZ50" s="281"/>
      <c r="BA50" s="260"/>
      <c r="BB50" s="260"/>
      <c r="BC50" s="260"/>
      <c r="BD50" s="261"/>
    </row>
    <row r="51" spans="1:56" ht="15.75" x14ac:dyDescent="0.25">
      <c r="A51" s="272" t="s">
        <v>20</v>
      </c>
      <c r="B51" s="282" t="s">
        <v>319</v>
      </c>
      <c r="D51" s="177"/>
      <c r="E51" s="274"/>
      <c r="F51" s="272" t="s">
        <v>76</v>
      </c>
      <c r="G51" s="273" t="str">
        <f>VLOOKUP(F51,'[2]Mkt cap'!$G$4:$H$82,2,FALSE)</f>
        <v>COMPAÑIA INTRODUCTORA DE BUENOS AIRES S.A.</v>
      </c>
      <c r="H51" s="277"/>
      <c r="I51" s="277"/>
      <c r="J51" s="277"/>
      <c r="K51" s="277"/>
      <c r="L51" s="277"/>
      <c r="M51" s="277"/>
      <c r="N51" s="277"/>
      <c r="O51" s="277"/>
      <c r="P51" s="277"/>
      <c r="Q51" s="277"/>
      <c r="R51" s="277"/>
      <c r="S51" s="277"/>
      <c r="T51" s="277"/>
      <c r="U51" s="277"/>
      <c r="V51" s="277"/>
      <c r="W51" s="277"/>
      <c r="X51" s="277"/>
      <c r="Y51" s="277"/>
      <c r="AA51" s="283"/>
      <c r="AC51" s="277"/>
      <c r="AD51" s="277"/>
      <c r="AE51" s="277"/>
      <c r="AF51" s="277"/>
      <c r="AG51" s="277"/>
      <c r="AH51" s="277"/>
      <c r="AI51" s="277"/>
      <c r="AQ51" s="277"/>
      <c r="AR51" s="277"/>
      <c r="AS51" s="277"/>
      <c r="AT51" s="277"/>
      <c r="AU51" s="277"/>
      <c r="AV51" s="280"/>
      <c r="AW51" s="280"/>
      <c r="AX51" s="280"/>
      <c r="AY51" s="281"/>
      <c r="AZ51" s="281"/>
      <c r="BA51" s="260"/>
      <c r="BB51" s="260"/>
      <c r="BC51" s="260"/>
      <c r="BD51" s="261"/>
    </row>
    <row r="52" spans="1:56" ht="15.75" x14ac:dyDescent="0.25">
      <c r="A52" s="272" t="s">
        <v>42</v>
      </c>
      <c r="B52" s="282" t="s">
        <v>320</v>
      </c>
      <c r="D52" s="177"/>
      <c r="E52" s="274"/>
      <c r="F52" s="272" t="s">
        <v>18</v>
      </c>
      <c r="G52" s="273" t="str">
        <f>VLOOKUP(F52,'[2]Mkt cap'!$G$4:$H$82,2,FALSE)</f>
        <v>INVERSORA JURAMENTO S.A.</v>
      </c>
      <c r="H52" s="277"/>
      <c r="I52" s="277"/>
      <c r="J52" s="257"/>
      <c r="K52" s="257"/>
      <c r="L52" s="257"/>
      <c r="M52" s="257"/>
      <c r="N52" s="277"/>
      <c r="O52" s="277"/>
      <c r="P52" s="277"/>
      <c r="Q52" s="277"/>
      <c r="R52" s="277"/>
      <c r="S52" s="277"/>
      <c r="T52" s="277"/>
      <c r="U52" s="277"/>
      <c r="V52" s="277"/>
      <c r="W52" s="277"/>
      <c r="X52" s="277"/>
      <c r="Y52" s="277"/>
      <c r="AA52" s="283"/>
      <c r="AC52" s="277"/>
      <c r="AD52" s="277"/>
      <c r="AE52" s="277"/>
      <c r="AF52" s="277"/>
      <c r="AG52" s="277"/>
      <c r="AH52" s="277"/>
      <c r="AI52" s="277"/>
      <c r="AQ52" s="277"/>
      <c r="AR52" s="277"/>
      <c r="AS52" s="277"/>
      <c r="AT52" s="277"/>
      <c r="AU52" s="277"/>
      <c r="AV52" s="280"/>
      <c r="AW52" s="280"/>
      <c r="AX52" s="280"/>
      <c r="AY52" s="281"/>
      <c r="AZ52" s="281"/>
      <c r="BA52" s="260"/>
      <c r="BB52" s="260"/>
      <c r="BC52" s="260"/>
      <c r="BD52" s="261"/>
    </row>
    <row r="53" spans="1:56" ht="15.75" x14ac:dyDescent="0.25">
      <c r="A53" s="272" t="s">
        <v>39</v>
      </c>
      <c r="B53" s="282" t="s">
        <v>321</v>
      </c>
      <c r="D53" s="177"/>
      <c r="E53" s="274"/>
      <c r="F53" s="272" t="s">
        <v>35</v>
      </c>
      <c r="G53" s="273" t="str">
        <f>VLOOKUP(F53,'[2]Mkt cap'!$G$4:$H$82,2,FALSE)</f>
        <v>IRSA PROPIEDADES COMERCIALES S.A.</v>
      </c>
      <c r="H53" s="277"/>
      <c r="I53" s="277"/>
      <c r="J53" s="277"/>
      <c r="K53" s="277"/>
      <c r="L53" s="277"/>
      <c r="M53" s="277"/>
      <c r="N53" s="277"/>
      <c r="O53" s="277"/>
      <c r="P53" s="277"/>
      <c r="Q53" s="277"/>
      <c r="R53" s="277"/>
      <c r="S53" s="277"/>
      <c r="T53" s="277"/>
      <c r="U53" s="277"/>
      <c r="V53" s="277"/>
      <c r="W53" s="277"/>
      <c r="X53" s="277"/>
      <c r="Y53" s="277"/>
      <c r="AA53" s="283"/>
      <c r="AC53" s="277"/>
      <c r="AD53" s="277"/>
      <c r="AE53" s="277"/>
      <c r="AF53" s="277"/>
      <c r="AG53" s="277"/>
      <c r="AH53" s="277"/>
      <c r="AI53" s="277"/>
      <c r="AQ53" s="277"/>
      <c r="AR53" s="277"/>
      <c r="AS53" s="277"/>
      <c r="AT53" s="277"/>
      <c r="AU53" s="277"/>
      <c r="AV53" s="280"/>
      <c r="AW53" s="280"/>
      <c r="AX53" s="280"/>
      <c r="AY53" s="281"/>
      <c r="AZ53" s="281"/>
      <c r="BA53" s="260"/>
      <c r="BB53" s="260"/>
      <c r="BC53" s="260"/>
      <c r="BD53" s="261"/>
    </row>
    <row r="54" spans="1:56" ht="15.75" x14ac:dyDescent="0.25">
      <c r="A54" s="272" t="s">
        <v>40</v>
      </c>
      <c r="B54" s="282" t="s">
        <v>322</v>
      </c>
      <c r="D54" s="177"/>
      <c r="E54" s="274"/>
      <c r="F54" s="272" t="s">
        <v>50</v>
      </c>
      <c r="G54" s="273" t="str">
        <f>VLOOKUP(F54,'[2]Mkt cap'!$G$4:$H$82,2,FALSE)</f>
        <v>IRSA INVERSIONES Y REPRESENTACIONES S.A.</v>
      </c>
      <c r="H54" s="277"/>
      <c r="I54" s="277"/>
      <c r="J54" s="277"/>
      <c r="K54" s="277"/>
      <c r="L54" s="277"/>
      <c r="M54" s="277"/>
      <c r="N54" s="277"/>
      <c r="O54" s="277"/>
      <c r="P54" s="277"/>
      <c r="Q54" s="277"/>
      <c r="R54" s="277"/>
      <c r="S54" s="277"/>
      <c r="T54" s="277"/>
      <c r="U54" s="277"/>
      <c r="V54" s="277"/>
      <c r="W54" s="277"/>
      <c r="X54" s="277"/>
      <c r="Y54" s="277"/>
      <c r="AA54" s="283"/>
      <c r="AC54" s="277"/>
      <c r="AD54" s="277"/>
      <c r="AE54" s="277"/>
      <c r="AF54" s="277"/>
      <c r="AG54" s="277"/>
      <c r="AH54" s="277"/>
      <c r="AI54" s="277"/>
      <c r="AQ54" s="277"/>
      <c r="AR54" s="277"/>
      <c r="AS54" s="277"/>
      <c r="AT54" s="277"/>
      <c r="AU54" s="277"/>
      <c r="AV54" s="280"/>
      <c r="AW54" s="280"/>
      <c r="AX54" s="280"/>
      <c r="AY54" s="281"/>
      <c r="AZ54" s="281"/>
      <c r="BA54" s="260"/>
      <c r="BB54" s="260"/>
      <c r="BC54" s="260"/>
      <c r="BD54" s="261"/>
    </row>
    <row r="55" spans="1:56" ht="15.75" x14ac:dyDescent="0.25">
      <c r="A55" s="272" t="s">
        <v>60</v>
      </c>
      <c r="B55" s="282" t="s">
        <v>323</v>
      </c>
      <c r="E55" s="277"/>
      <c r="F55" s="272" t="s">
        <v>43</v>
      </c>
      <c r="G55" s="273" t="str">
        <f>VLOOKUP(F55,'[2]Mkt cap'!$G$4:$H$82,2,FALSE)</f>
        <v>LEDESMA S.A.</v>
      </c>
      <c r="H55" s="277"/>
      <c r="I55" s="277"/>
      <c r="J55" s="277"/>
      <c r="K55" s="277"/>
      <c r="L55" s="277"/>
      <c r="M55" s="277"/>
      <c r="N55" s="277"/>
      <c r="O55" s="277"/>
      <c r="P55" s="277"/>
      <c r="Q55" s="277"/>
      <c r="R55" s="277"/>
      <c r="S55" s="277"/>
      <c r="T55" s="277"/>
      <c r="U55" s="277"/>
      <c r="V55" s="277"/>
      <c r="W55" s="277"/>
      <c r="X55" s="277"/>
      <c r="Y55" s="277"/>
      <c r="AA55" s="283"/>
      <c r="AC55" s="277"/>
      <c r="AD55" s="277"/>
      <c r="AE55" s="277"/>
      <c r="AF55" s="277"/>
      <c r="AG55" s="277"/>
      <c r="AH55" s="277"/>
      <c r="AI55" s="277"/>
      <c r="AQ55" s="277"/>
      <c r="AR55" s="277"/>
      <c r="AS55" s="277"/>
      <c r="AT55" s="277"/>
      <c r="AU55" s="277"/>
      <c r="AV55" s="280"/>
      <c r="AW55" s="280"/>
      <c r="AX55" s="280"/>
      <c r="AY55" s="281"/>
      <c r="AZ55" s="281"/>
      <c r="BA55" s="260"/>
      <c r="BB55" s="260"/>
      <c r="BC55" s="260"/>
      <c r="BD55" s="261"/>
    </row>
    <row r="56" spans="1:56" ht="15.75" x14ac:dyDescent="0.25">
      <c r="A56" s="272" t="s">
        <v>59</v>
      </c>
      <c r="B56" s="282" t="s">
        <v>324</v>
      </c>
      <c r="E56" s="277"/>
      <c r="F56" s="272" t="s">
        <v>52</v>
      </c>
      <c r="G56" s="273" t="str">
        <f>VLOOKUP(F56,'[2]Mkt cap'!$G$4:$H$82,2,FALSE)</f>
        <v>LOMA NEGRA COMPAÑIA INDUSTRIAL ARGENTINA SOCIEDAD ANONIMA</v>
      </c>
      <c r="H56" s="277"/>
      <c r="I56" s="277"/>
      <c r="J56" s="277"/>
      <c r="K56" s="277"/>
      <c r="L56" s="277"/>
      <c r="M56" s="277"/>
      <c r="N56" s="277"/>
      <c r="O56" s="277"/>
      <c r="P56" s="277"/>
      <c r="Q56" s="277"/>
      <c r="R56" s="277"/>
      <c r="S56" s="277"/>
      <c r="T56" s="277"/>
      <c r="U56" s="277"/>
      <c r="V56" s="277"/>
      <c r="W56" s="277"/>
      <c r="X56" s="277"/>
      <c r="Y56" s="277"/>
      <c r="AA56" s="283"/>
      <c r="AC56" s="277"/>
      <c r="AD56" s="277"/>
      <c r="AE56" s="277"/>
      <c r="AF56" s="277"/>
      <c r="AG56" s="277"/>
      <c r="AH56" s="277"/>
      <c r="AI56" s="277"/>
      <c r="AQ56" s="277"/>
      <c r="AR56" s="277"/>
      <c r="AS56" s="277"/>
      <c r="AT56" s="277"/>
      <c r="AU56" s="277"/>
      <c r="AV56" s="280"/>
      <c r="AW56" s="280"/>
      <c r="AX56" s="280"/>
      <c r="AY56" s="281"/>
      <c r="AZ56" s="281"/>
      <c r="BA56" s="260"/>
      <c r="BB56" s="260"/>
      <c r="BC56" s="260"/>
      <c r="BD56" s="261"/>
    </row>
    <row r="57" spans="1:56" ht="15.75" x14ac:dyDescent="0.25">
      <c r="A57" s="272" t="s">
        <v>77</v>
      </c>
      <c r="B57" s="282" t="s">
        <v>325</v>
      </c>
      <c r="E57" s="277"/>
      <c r="F57" s="284" t="s">
        <v>16</v>
      </c>
      <c r="G57" s="273" t="str">
        <f>VLOOKUP(F57,'[2]Mkt cap'!$G$4:$H$82,2,FALSE)</f>
        <v>LONGVIE S.A.</v>
      </c>
      <c r="H57" s="277"/>
      <c r="I57" s="277"/>
      <c r="J57" s="277"/>
      <c r="K57" s="277"/>
      <c r="L57" s="277"/>
      <c r="M57" s="277"/>
      <c r="N57" s="277"/>
      <c r="O57" s="277"/>
      <c r="P57" s="277"/>
      <c r="Q57" s="277"/>
      <c r="R57" s="277"/>
      <c r="S57" s="277"/>
      <c r="T57" s="277"/>
      <c r="U57" s="277"/>
      <c r="V57" s="277"/>
      <c r="W57" s="277"/>
      <c r="X57" s="277"/>
      <c r="Y57" s="277"/>
      <c r="AA57" s="285"/>
      <c r="AC57" s="277"/>
      <c r="AD57" s="277"/>
      <c r="AE57" s="277"/>
      <c r="AF57" s="277"/>
      <c r="AG57" s="277"/>
      <c r="AH57" s="277"/>
      <c r="AI57" s="277"/>
      <c r="AQ57" s="277"/>
      <c r="AR57" s="277"/>
      <c r="AS57" s="277"/>
      <c r="AT57" s="277"/>
      <c r="AU57" s="277"/>
      <c r="AV57" s="280"/>
      <c r="AW57" s="280"/>
      <c r="AX57" s="280"/>
      <c r="AY57" s="281"/>
      <c r="AZ57" s="281"/>
      <c r="BA57" s="260"/>
      <c r="BB57" s="260"/>
      <c r="BC57" s="260"/>
      <c r="BD57" s="261"/>
    </row>
    <row r="58" spans="1:56" ht="15.75" x14ac:dyDescent="0.25">
      <c r="A58" s="272" t="s">
        <v>69</v>
      </c>
      <c r="B58" s="273" t="s">
        <v>326</v>
      </c>
      <c r="D58" s="177"/>
      <c r="E58" s="274"/>
      <c r="F58" s="272" t="s">
        <v>8</v>
      </c>
      <c r="G58" s="282" t="s">
        <v>327</v>
      </c>
      <c r="H58" s="277"/>
      <c r="I58" s="277"/>
      <c r="J58" s="277"/>
      <c r="K58" s="277"/>
      <c r="L58" s="277"/>
      <c r="M58" s="277"/>
      <c r="N58" s="277"/>
      <c r="O58" s="277"/>
      <c r="P58" s="277"/>
      <c r="Q58" s="277"/>
      <c r="R58" s="277"/>
      <c r="S58" s="277"/>
      <c r="T58" s="277"/>
      <c r="U58" s="277"/>
      <c r="V58" s="277"/>
      <c r="W58" s="277"/>
      <c r="X58" s="277"/>
      <c r="Y58" s="277"/>
      <c r="AA58" s="285"/>
      <c r="AC58" s="286"/>
      <c r="AD58" s="277"/>
      <c r="AE58" s="277"/>
      <c r="AF58" s="277"/>
      <c r="AG58" s="277"/>
      <c r="AH58" s="277"/>
      <c r="AI58" s="277"/>
      <c r="AQ58" s="277"/>
      <c r="AR58" s="277"/>
      <c r="AS58" s="277"/>
      <c r="AT58" s="277"/>
      <c r="AU58" s="277"/>
      <c r="AV58" s="280"/>
      <c r="AW58" s="280"/>
      <c r="AX58" s="280"/>
      <c r="AY58" s="281"/>
      <c r="AZ58" s="281"/>
      <c r="BA58" s="260"/>
      <c r="BB58" s="260"/>
      <c r="BC58" s="260"/>
      <c r="BD58" s="261"/>
    </row>
    <row r="59" spans="1:56" ht="15.75" x14ac:dyDescent="0.25">
      <c r="A59" s="272" t="s">
        <v>31</v>
      </c>
      <c r="B59" s="282" t="s">
        <v>328</v>
      </c>
      <c r="D59" s="177"/>
      <c r="E59" s="274"/>
      <c r="F59" s="284" t="s">
        <v>80</v>
      </c>
      <c r="G59" s="273" t="str">
        <f>VLOOKUP(F59,'[2]Mkt cap'!$G$4:$H$82,2,FALSE)</f>
        <v>METROGAS S.A.</v>
      </c>
      <c r="H59" s="277"/>
      <c r="I59" s="277"/>
      <c r="J59" s="277"/>
      <c r="K59" s="277"/>
      <c r="L59" s="277"/>
      <c r="M59" s="277"/>
      <c r="N59" s="277"/>
      <c r="O59" s="277"/>
      <c r="P59" s="277"/>
      <c r="Q59" s="277"/>
      <c r="R59" s="277"/>
      <c r="S59" s="277"/>
      <c r="T59" s="277"/>
      <c r="U59" s="277"/>
      <c r="V59" s="277"/>
      <c r="W59" s="277"/>
      <c r="X59" s="277"/>
      <c r="Y59" s="277"/>
      <c r="AA59" s="285"/>
      <c r="AC59" s="277"/>
      <c r="AD59" s="279"/>
      <c r="AE59" s="277"/>
      <c r="AF59" s="277"/>
      <c r="AG59" s="277"/>
      <c r="AH59" s="277"/>
      <c r="AI59" s="277"/>
      <c r="AQ59" s="277"/>
      <c r="AR59" s="277"/>
      <c r="AS59" s="277"/>
      <c r="AT59" s="277"/>
      <c r="AU59" s="277"/>
      <c r="AV59" s="280"/>
      <c r="AW59" s="280"/>
      <c r="AX59" s="280"/>
      <c r="AY59" s="281"/>
      <c r="AZ59" s="281"/>
      <c r="BA59" s="260"/>
      <c r="BB59" s="260"/>
      <c r="BC59" s="260"/>
      <c r="BD59" s="261"/>
    </row>
    <row r="60" spans="1:56" ht="15.75" x14ac:dyDescent="0.25">
      <c r="A60" s="272" t="s">
        <v>71</v>
      </c>
      <c r="B60" s="282" t="s">
        <v>329</v>
      </c>
      <c r="D60" s="177"/>
      <c r="E60" s="274"/>
      <c r="F60" s="284" t="s">
        <v>61</v>
      </c>
      <c r="G60" s="273" t="str">
        <f>VLOOKUP(F60,'[2]Mkt cap'!$G$4:$H$82,2,FALSE)</f>
        <v>MIRGOR S.A.</v>
      </c>
      <c r="H60" s="277"/>
      <c r="I60" s="277"/>
      <c r="J60" s="277"/>
      <c r="K60" s="277"/>
      <c r="L60" s="277"/>
      <c r="M60" s="277"/>
      <c r="N60" s="277"/>
      <c r="O60" s="277"/>
      <c r="P60" s="277"/>
      <c r="Q60" s="277"/>
      <c r="R60" s="277"/>
      <c r="S60" s="277"/>
      <c r="T60" s="277"/>
      <c r="U60" s="277"/>
      <c r="V60" s="277"/>
      <c r="W60" s="277"/>
      <c r="X60" s="277"/>
      <c r="Y60" s="277"/>
      <c r="AA60" s="285"/>
      <c r="AC60" s="277"/>
      <c r="AD60" s="277"/>
      <c r="AE60" s="277"/>
      <c r="AF60" s="277"/>
      <c r="AG60" s="277"/>
      <c r="AH60" s="277"/>
      <c r="AI60" s="277"/>
      <c r="AQ60" s="277"/>
      <c r="AR60" s="277"/>
      <c r="AS60" s="277"/>
      <c r="AT60" s="277"/>
      <c r="AU60" s="277"/>
      <c r="AV60" s="280"/>
      <c r="AW60" s="280"/>
      <c r="AX60" s="280"/>
      <c r="AY60" s="281"/>
      <c r="AZ60" s="281"/>
      <c r="BA60" s="260"/>
      <c r="BB60" s="260"/>
      <c r="BC60" s="260"/>
      <c r="BD60" s="261"/>
    </row>
    <row r="61" spans="1:56" ht="15.75" x14ac:dyDescent="0.25">
      <c r="A61" s="272" t="s">
        <v>70</v>
      </c>
      <c r="B61" s="282" t="s">
        <v>330</v>
      </c>
      <c r="D61" s="177"/>
      <c r="E61" s="274"/>
      <c r="F61" s="284" t="s">
        <v>51</v>
      </c>
      <c r="G61" s="273" t="str">
        <f>VLOOKUP(F61,'[2]Mkt cap'!$G$4:$H$82,2,FALSE)</f>
        <v>MOLINOS AGRO S.A.</v>
      </c>
      <c r="H61" s="277"/>
      <c r="I61" s="277"/>
      <c r="J61" s="277"/>
      <c r="K61" s="277"/>
      <c r="L61" s="277"/>
      <c r="M61" s="277"/>
      <c r="N61" s="277"/>
      <c r="O61" s="277"/>
      <c r="P61" s="277"/>
      <c r="Q61" s="277"/>
      <c r="R61" s="277"/>
      <c r="S61" s="277"/>
      <c r="T61" s="277"/>
      <c r="U61" s="277"/>
      <c r="V61" s="277"/>
      <c r="W61" s="277"/>
      <c r="X61" s="277"/>
      <c r="Y61" s="277"/>
      <c r="AA61" s="287"/>
      <c r="AC61" s="288"/>
      <c r="AD61" s="277"/>
      <c r="AE61" s="277"/>
      <c r="AF61" s="277"/>
      <c r="AG61" s="277"/>
      <c r="AH61" s="277"/>
      <c r="AI61" s="277"/>
      <c r="AQ61" s="277"/>
      <c r="AR61" s="277"/>
      <c r="AS61" s="277"/>
      <c r="AT61" s="277"/>
      <c r="AU61" s="277"/>
      <c r="AV61" s="280"/>
      <c r="AW61" s="280"/>
      <c r="AX61" s="280"/>
      <c r="AY61" s="281"/>
      <c r="AZ61" s="281"/>
      <c r="BA61" s="260"/>
      <c r="BB61" s="260"/>
      <c r="BC61" s="260"/>
      <c r="BD61" s="261"/>
    </row>
    <row r="62" spans="1:56" ht="15.75" x14ac:dyDescent="0.25">
      <c r="A62" s="272" t="s">
        <v>26</v>
      </c>
      <c r="B62" s="282" t="s">
        <v>331</v>
      </c>
      <c r="D62" s="177"/>
      <c r="E62" s="274"/>
      <c r="F62" s="289" t="s">
        <v>47</v>
      </c>
      <c r="G62" s="273" t="str">
        <f>VLOOKUP(F62,'[2]Mkt cap'!$G$4:$H$82,2,FALSE)</f>
        <v>MOLINOS RIO DE LA PLATA S.A.</v>
      </c>
      <c r="H62" s="277"/>
      <c r="I62" s="277"/>
      <c r="J62" s="277"/>
      <c r="K62" s="277"/>
      <c r="L62" s="277"/>
      <c r="M62" s="277"/>
      <c r="N62" s="277"/>
      <c r="O62" s="277"/>
      <c r="P62" s="277"/>
      <c r="Q62" s="277"/>
      <c r="R62" s="277"/>
      <c r="S62" s="277"/>
      <c r="T62" s="277"/>
      <c r="U62" s="277"/>
      <c r="V62" s="277"/>
      <c r="W62" s="277"/>
      <c r="X62" s="277"/>
      <c r="Y62" s="277"/>
      <c r="AA62" s="285"/>
      <c r="AC62" s="277"/>
      <c r="AD62" s="277"/>
      <c r="AE62" s="277"/>
      <c r="AF62" s="277"/>
      <c r="AG62" s="277"/>
      <c r="AH62" s="277"/>
      <c r="AI62" s="277"/>
      <c r="AQ62" s="277"/>
      <c r="AR62" s="277"/>
      <c r="AS62" s="277"/>
      <c r="AT62" s="277"/>
      <c r="AU62" s="277"/>
      <c r="AV62" s="280"/>
      <c r="AW62" s="280"/>
      <c r="AX62" s="280"/>
      <c r="AY62" s="281"/>
      <c r="AZ62" s="281"/>
      <c r="BA62" s="260"/>
      <c r="BB62" s="260"/>
      <c r="BC62" s="260"/>
      <c r="BD62" s="261"/>
    </row>
    <row r="63" spans="1:56" ht="15.75" x14ac:dyDescent="0.25">
      <c r="A63" s="272" t="s">
        <v>41</v>
      </c>
      <c r="B63" s="282" t="s">
        <v>332</v>
      </c>
      <c r="D63" s="177"/>
      <c r="E63" s="274"/>
      <c r="F63" s="284" t="s">
        <v>30</v>
      </c>
      <c r="G63" s="273" t="str">
        <f>VLOOKUP(F63,'[2]Mkt cap'!$G$4:$H$82,2,FALSE)</f>
        <v>MORIXE HERMANOS S.A.</v>
      </c>
      <c r="H63" s="277"/>
      <c r="I63" s="277"/>
      <c r="J63" s="277"/>
      <c r="K63" s="277"/>
      <c r="L63" s="277"/>
      <c r="M63" s="277"/>
      <c r="N63" s="277"/>
      <c r="O63" s="277"/>
      <c r="P63" s="277"/>
      <c r="Q63" s="277"/>
      <c r="R63" s="277"/>
      <c r="S63" s="277"/>
      <c r="T63" s="277"/>
      <c r="U63" s="277"/>
      <c r="V63" s="277"/>
      <c r="W63" s="277"/>
      <c r="X63" s="277"/>
      <c r="Y63" s="277"/>
      <c r="AA63" s="285"/>
      <c r="AC63" s="277"/>
      <c r="AD63" s="277"/>
      <c r="AE63" s="277"/>
      <c r="AF63" s="277"/>
      <c r="AG63" s="277"/>
      <c r="AH63" s="277"/>
      <c r="AI63" s="277"/>
      <c r="AQ63" s="277"/>
      <c r="AR63" s="277"/>
      <c r="AS63" s="277"/>
      <c r="AT63" s="277"/>
      <c r="AU63" s="277"/>
      <c r="AV63" s="280"/>
      <c r="AW63" s="280"/>
      <c r="AX63" s="280"/>
      <c r="AY63" s="281"/>
      <c r="AZ63" s="281"/>
      <c r="BA63" s="260"/>
      <c r="BB63" s="260"/>
      <c r="BC63" s="260"/>
      <c r="BD63" s="261"/>
    </row>
    <row r="64" spans="1:56" ht="15.75" x14ac:dyDescent="0.25">
      <c r="A64" s="272" t="s">
        <v>14</v>
      </c>
      <c r="B64" s="282" t="s">
        <v>333</v>
      </c>
      <c r="D64" s="177"/>
      <c r="E64" s="274"/>
      <c r="F64" s="284" t="s">
        <v>37</v>
      </c>
      <c r="G64" s="273" t="str">
        <f>VLOOKUP(F64,'[2]Mkt cap'!$G$4:$H$82,2,FALSE)</f>
        <v>GRUPO CONCESIONARIO DEL OESTE S.A.</v>
      </c>
      <c r="H64" s="277"/>
      <c r="I64" s="277"/>
      <c r="J64" s="277"/>
      <c r="K64" s="277"/>
      <c r="L64" s="277"/>
      <c r="M64" s="277"/>
      <c r="N64" s="277"/>
      <c r="O64" s="277"/>
      <c r="P64" s="277"/>
      <c r="Q64" s="277"/>
      <c r="R64" s="277"/>
      <c r="S64" s="277"/>
      <c r="T64" s="277"/>
      <c r="U64" s="277"/>
      <c r="V64" s="277"/>
      <c r="W64" s="277"/>
      <c r="X64" s="277"/>
      <c r="Y64" s="277"/>
      <c r="AA64" s="285"/>
      <c r="AC64" s="277"/>
      <c r="AD64" s="277"/>
      <c r="AE64" s="277"/>
      <c r="AF64" s="277"/>
      <c r="AG64" s="277"/>
      <c r="AH64" s="277"/>
      <c r="AI64" s="277"/>
      <c r="AQ64" s="277"/>
      <c r="AR64" s="277"/>
      <c r="AS64" s="277"/>
      <c r="AT64" s="277"/>
      <c r="AU64" s="277"/>
      <c r="AV64" s="280"/>
      <c r="AW64" s="280"/>
      <c r="AX64" s="280"/>
      <c r="AY64" s="281"/>
      <c r="AZ64" s="281"/>
      <c r="BA64" s="260"/>
      <c r="BB64" s="260"/>
      <c r="BC64" s="260"/>
      <c r="BD64" s="261"/>
    </row>
    <row r="65" spans="1:56" ht="15.75" x14ac:dyDescent="0.25">
      <c r="A65" s="272" t="s">
        <v>65</v>
      </c>
      <c r="B65" s="282" t="s">
        <v>334</v>
      </c>
      <c r="D65" s="177"/>
      <c r="E65" s="274"/>
      <c r="F65" s="284" t="s">
        <v>73</v>
      </c>
      <c r="G65" s="273" t="str">
        <f>VLOOKUP(F65,'[2]Mkt cap'!$G$4:$H$82,2,FALSE)</f>
        <v>PAMPA ENERGIA S.A</v>
      </c>
      <c r="H65" s="277"/>
      <c r="I65" s="277"/>
      <c r="J65" s="277"/>
      <c r="K65" s="277"/>
      <c r="L65" s="277"/>
      <c r="M65" s="277"/>
      <c r="N65" s="277"/>
      <c r="O65" s="277"/>
      <c r="P65" s="277"/>
      <c r="Q65" s="277"/>
      <c r="R65" s="277"/>
      <c r="S65" s="277"/>
      <c r="T65" s="277"/>
      <c r="U65" s="277"/>
      <c r="V65" s="277"/>
      <c r="W65" s="277"/>
      <c r="X65" s="277"/>
      <c r="Y65" s="277"/>
      <c r="AA65" s="285"/>
      <c r="AC65" s="277"/>
      <c r="AD65" s="277"/>
      <c r="AE65" s="277"/>
      <c r="AF65" s="277"/>
      <c r="AG65" s="277"/>
      <c r="AH65" s="277"/>
      <c r="AI65" s="277"/>
      <c r="AQ65" s="277"/>
      <c r="AR65" s="277"/>
      <c r="AS65" s="277"/>
      <c r="AT65" s="277"/>
      <c r="AU65" s="277"/>
      <c r="AV65" s="280"/>
      <c r="AW65" s="280"/>
      <c r="AX65" s="280"/>
      <c r="AY65" s="281"/>
      <c r="AZ65" s="281"/>
      <c r="BA65" s="260"/>
      <c r="BB65" s="260"/>
      <c r="BC65" s="260"/>
      <c r="BD65" s="261"/>
    </row>
    <row r="66" spans="1:56" ht="15.75" x14ac:dyDescent="0.25">
      <c r="A66" s="272" t="s">
        <v>79</v>
      </c>
      <c r="B66" s="282" t="s">
        <v>335</v>
      </c>
      <c r="D66" s="177"/>
      <c r="E66" s="274"/>
      <c r="F66" s="284" t="s">
        <v>29</v>
      </c>
      <c r="G66" s="273" t="str">
        <f>VLOOKUP(F66,'[2]Mkt cap'!$G$4:$H$82,2,FALSE)</f>
        <v>IMPORTADORA Y EXPORTADORA DE LA PATAGONIA S.A.</v>
      </c>
      <c r="H66" s="277"/>
      <c r="I66" s="277"/>
      <c r="J66" s="277"/>
      <c r="K66" s="277"/>
      <c r="L66" s="277"/>
      <c r="M66" s="277"/>
      <c r="N66" s="277"/>
      <c r="O66" s="277"/>
      <c r="P66" s="277"/>
      <c r="Q66" s="277"/>
      <c r="R66" s="277"/>
      <c r="S66" s="277"/>
      <c r="T66" s="277"/>
      <c r="U66" s="277"/>
      <c r="V66" s="277"/>
      <c r="W66" s="277"/>
      <c r="X66" s="277"/>
      <c r="Y66" s="277"/>
      <c r="AA66" s="285"/>
      <c r="AC66" s="277"/>
      <c r="AD66" s="277"/>
      <c r="AE66" s="277"/>
      <c r="AF66" s="277"/>
      <c r="AG66" s="277"/>
      <c r="AH66" s="277"/>
      <c r="AI66" s="277"/>
      <c r="AQ66" s="277"/>
      <c r="AR66" s="277"/>
      <c r="AS66" s="277"/>
      <c r="AT66" s="277"/>
      <c r="AU66" s="277"/>
      <c r="AV66" s="280"/>
      <c r="AW66" s="280"/>
      <c r="AX66" s="280"/>
      <c r="AY66" s="281"/>
      <c r="AZ66" s="281"/>
      <c r="BA66" s="260"/>
      <c r="BB66" s="260"/>
      <c r="BC66" s="260"/>
      <c r="BD66" s="261"/>
    </row>
    <row r="67" spans="1:56" ht="15.75" x14ac:dyDescent="0.25">
      <c r="A67" s="272" t="s">
        <v>25</v>
      </c>
      <c r="B67" s="282" t="s">
        <v>336</v>
      </c>
      <c r="D67" s="177"/>
      <c r="E67" s="274"/>
      <c r="F67" s="284" t="s">
        <v>15</v>
      </c>
      <c r="G67" s="273" t="str">
        <f>VLOOKUP(F67,'[2]Mkt cap'!$G$4:$H$82,2,FALSE)</f>
        <v>QUICKFOOD S.A.</v>
      </c>
      <c r="H67" s="277"/>
      <c r="I67" s="277"/>
      <c r="J67" s="277"/>
      <c r="K67" s="277"/>
      <c r="L67" s="277"/>
      <c r="M67" s="277"/>
      <c r="N67" s="277"/>
      <c r="O67" s="277"/>
      <c r="P67" s="277"/>
      <c r="Q67" s="277"/>
      <c r="R67" s="277"/>
      <c r="S67" s="277"/>
      <c r="T67" s="277"/>
      <c r="U67" s="277"/>
      <c r="V67" s="277"/>
      <c r="W67" s="277"/>
      <c r="X67" s="277"/>
      <c r="Y67" s="277"/>
      <c r="AA67" s="285"/>
      <c r="AC67" s="277"/>
      <c r="AD67" s="277"/>
      <c r="AE67" s="257"/>
      <c r="AF67" s="277"/>
      <c r="AG67" s="277"/>
      <c r="AH67" s="277"/>
      <c r="AI67" s="277"/>
      <c r="AQ67" s="277"/>
      <c r="AR67" s="277"/>
      <c r="AS67" s="277"/>
      <c r="AT67" s="277"/>
      <c r="AU67" s="277"/>
      <c r="AV67" s="280"/>
      <c r="AW67" s="280"/>
      <c r="AX67" s="280"/>
      <c r="AY67" s="281"/>
      <c r="AZ67" s="281"/>
      <c r="BA67" s="260"/>
      <c r="BB67" s="260"/>
      <c r="BC67" s="260"/>
      <c r="BD67" s="261"/>
    </row>
    <row r="68" spans="1:56" ht="15.75" x14ac:dyDescent="0.25">
      <c r="A68" s="272" t="s">
        <v>64</v>
      </c>
      <c r="B68" s="273" t="s">
        <v>337</v>
      </c>
      <c r="E68" s="277"/>
      <c r="F68" s="284" t="s">
        <v>55</v>
      </c>
      <c r="G68" s="273" t="str">
        <f>VLOOKUP(F68,'[2]Mkt cap'!$G$4:$H$82,2,FALSE)</f>
        <v>PHOENIX GLOBAL RESOURCES P.L.C.</v>
      </c>
      <c r="H68" s="277"/>
      <c r="I68" s="277"/>
      <c r="J68" s="277"/>
      <c r="K68" s="277"/>
      <c r="L68" s="277"/>
      <c r="M68" s="277"/>
      <c r="N68" s="277"/>
      <c r="O68" s="277"/>
      <c r="P68" s="277"/>
      <c r="Q68" s="277"/>
      <c r="R68" s="277"/>
      <c r="S68" s="277"/>
      <c r="T68" s="277"/>
      <c r="U68" s="277"/>
      <c r="V68" s="277"/>
      <c r="W68" s="277"/>
      <c r="X68" s="277"/>
      <c r="Y68" s="277"/>
      <c r="AA68" s="285"/>
      <c r="AC68" s="277"/>
      <c r="AD68" s="277"/>
      <c r="AE68" s="277"/>
      <c r="AF68" s="277"/>
      <c r="AG68" s="257"/>
      <c r="AH68" s="257"/>
      <c r="AI68" s="277"/>
      <c r="AQ68" s="277"/>
      <c r="AR68" s="277"/>
      <c r="AS68" s="277"/>
      <c r="AT68" s="277"/>
      <c r="AU68" s="277"/>
      <c r="AV68" s="280"/>
      <c r="AW68" s="280"/>
      <c r="AX68" s="280"/>
      <c r="AY68" s="281"/>
      <c r="AZ68" s="281"/>
      <c r="BA68" s="260"/>
      <c r="BB68" s="260"/>
      <c r="BC68" s="260"/>
      <c r="BD68" s="261"/>
    </row>
    <row r="69" spans="1:56" ht="15.75" x14ac:dyDescent="0.25">
      <c r="A69" s="272" t="s">
        <v>54</v>
      </c>
      <c r="B69" s="273" t="s">
        <v>338</v>
      </c>
      <c r="E69" s="277"/>
      <c r="F69" s="284" t="s">
        <v>10</v>
      </c>
      <c r="G69" s="273" t="str">
        <f>VLOOKUP(F69,'[2]Mkt cap'!$G$4:$H$82,2,FALSE)</f>
        <v>POLLEDO S.A.</v>
      </c>
      <c r="H69" s="277"/>
      <c r="I69" s="277"/>
      <c r="J69" s="277"/>
      <c r="K69" s="277"/>
      <c r="L69" s="277"/>
      <c r="M69" s="277"/>
      <c r="N69" s="277"/>
      <c r="O69" s="277"/>
      <c r="P69" s="277"/>
      <c r="Q69" s="277"/>
      <c r="R69" s="277"/>
      <c r="S69" s="277"/>
      <c r="T69" s="277"/>
      <c r="U69" s="277"/>
      <c r="V69" s="277"/>
      <c r="W69" s="277"/>
      <c r="X69" s="277"/>
      <c r="Y69" s="277"/>
      <c r="AA69" s="285"/>
      <c r="AC69" s="277"/>
      <c r="AD69" s="277"/>
      <c r="AE69" s="277"/>
      <c r="AF69" s="257"/>
      <c r="AG69" s="277"/>
      <c r="AH69" s="277"/>
      <c r="AI69" s="277"/>
      <c r="AQ69" s="277"/>
      <c r="AR69" s="277"/>
      <c r="AS69" s="277"/>
      <c r="AT69" s="277"/>
      <c r="AU69" s="277"/>
      <c r="AV69" s="280"/>
      <c r="AW69" s="280"/>
      <c r="AX69" s="280"/>
      <c r="AY69" s="281"/>
      <c r="AZ69" s="281"/>
      <c r="BA69" s="260"/>
      <c r="BB69" s="260"/>
      <c r="BC69" s="260"/>
      <c r="BD69" s="261"/>
    </row>
    <row r="70" spans="1:56" ht="15.75" x14ac:dyDescent="0.25">
      <c r="A70" s="272" t="s">
        <v>46</v>
      </c>
      <c r="B70" s="273" t="s">
        <v>339</v>
      </c>
      <c r="E70" s="277"/>
      <c r="F70" s="284" t="s">
        <v>7</v>
      </c>
      <c r="G70" s="273" t="str">
        <f>VLOOKUP(F70,'[2]Mkt cap'!$G$4:$H$82,2,FALSE)</f>
        <v>PETROLERA DEL CONOSUR S.A.</v>
      </c>
      <c r="H70" s="277"/>
      <c r="I70" s="277"/>
      <c r="J70" s="277"/>
      <c r="K70" s="277"/>
      <c r="L70" s="277"/>
      <c r="M70" s="277"/>
      <c r="N70" s="277"/>
      <c r="O70" s="277"/>
      <c r="P70" s="277"/>
      <c r="Q70" s="277"/>
      <c r="R70" s="277"/>
      <c r="S70" s="277"/>
      <c r="T70" s="277"/>
      <c r="U70" s="277"/>
      <c r="V70" s="277"/>
      <c r="W70" s="277"/>
      <c r="X70" s="277"/>
      <c r="Y70" s="277"/>
      <c r="AA70" s="285"/>
      <c r="AC70" s="277"/>
      <c r="AD70" s="277"/>
      <c r="AE70" s="277"/>
      <c r="AF70" s="277"/>
      <c r="AG70" s="277"/>
      <c r="AH70" s="277"/>
      <c r="AI70" s="277"/>
      <c r="AQ70" s="277"/>
      <c r="AR70" s="277"/>
      <c r="AS70" s="277"/>
      <c r="AT70" s="277"/>
      <c r="AU70" s="277"/>
      <c r="AV70" s="280"/>
      <c r="AW70" s="280"/>
      <c r="AX70" s="280"/>
      <c r="AY70" s="281"/>
      <c r="AZ70" s="281"/>
      <c r="BA70" s="260"/>
      <c r="BB70" s="260"/>
      <c r="BC70" s="260"/>
      <c r="BD70" s="261"/>
    </row>
    <row r="71" spans="1:56" ht="15.75" x14ac:dyDescent="0.25">
      <c r="A71" s="272" t="s">
        <v>74</v>
      </c>
      <c r="B71" s="273" t="s">
        <v>340</v>
      </c>
      <c r="D71" s="177"/>
      <c r="E71" s="274"/>
      <c r="F71" s="284" t="s">
        <v>28</v>
      </c>
      <c r="G71" s="273" t="str">
        <f>VLOOKUP(F71,'[2]Mkt cap'!$G$4:$H$82,2,FALSE)</f>
        <v>LABORATORIOS RICHMOND S.A.C.I.F.</v>
      </c>
      <c r="H71" s="257"/>
      <c r="I71" s="257"/>
      <c r="J71" s="277"/>
      <c r="K71" s="277"/>
      <c r="L71" s="277"/>
      <c r="M71" s="277"/>
      <c r="N71" s="277"/>
      <c r="O71" s="277"/>
      <c r="P71" s="277"/>
      <c r="Q71" s="277"/>
      <c r="R71" s="277"/>
      <c r="S71" s="277"/>
      <c r="T71" s="277"/>
      <c r="U71" s="277"/>
      <c r="V71" s="277"/>
      <c r="W71" s="277"/>
      <c r="X71" s="277"/>
      <c r="Y71" s="277"/>
      <c r="AA71" s="285"/>
      <c r="AC71" s="277"/>
      <c r="AD71" s="277"/>
      <c r="AE71" s="277"/>
      <c r="AF71" s="277"/>
      <c r="AG71" s="277"/>
      <c r="AH71" s="277"/>
      <c r="AI71" s="277"/>
      <c r="AQ71" s="277"/>
      <c r="AR71" s="277"/>
      <c r="AS71" s="277"/>
      <c r="AT71" s="277"/>
      <c r="AU71" s="277"/>
      <c r="AV71" s="280"/>
      <c r="AW71" s="280"/>
      <c r="AX71" s="280"/>
      <c r="AY71" s="281"/>
      <c r="AZ71" s="281"/>
      <c r="BA71" s="260"/>
      <c r="BB71" s="260"/>
      <c r="BC71" s="260"/>
      <c r="BD71" s="261"/>
    </row>
    <row r="72" spans="1:56" ht="15.75" x14ac:dyDescent="0.25">
      <c r="A72" s="272" t="s">
        <v>81</v>
      </c>
      <c r="B72" s="273" t="s">
        <v>341</v>
      </c>
      <c r="D72" s="177"/>
      <c r="E72" s="274"/>
      <c r="F72" s="284" t="s">
        <v>33</v>
      </c>
      <c r="G72" s="273" t="str">
        <f>VLOOKUP(F72,'[2]Mkt cap'!$G$4:$H$82,2,FALSE)</f>
        <v>RIGOLLEAU S.A.</v>
      </c>
      <c r="H72" s="277"/>
      <c r="I72" s="277"/>
      <c r="J72" s="277"/>
      <c r="K72" s="277"/>
      <c r="L72" s="277"/>
      <c r="M72" s="277"/>
      <c r="N72" s="277"/>
      <c r="O72" s="277"/>
      <c r="P72" s="277"/>
      <c r="Q72" s="277"/>
      <c r="R72" s="277"/>
      <c r="S72" s="277"/>
      <c r="T72" s="277"/>
      <c r="U72" s="277"/>
      <c r="V72" s="277"/>
      <c r="W72" s="277"/>
      <c r="X72" s="277"/>
      <c r="Y72" s="277"/>
      <c r="AA72" s="285"/>
      <c r="AC72" s="277"/>
      <c r="AD72" s="277"/>
      <c r="AE72" s="277"/>
      <c r="AF72" s="277"/>
      <c r="AG72" s="277"/>
      <c r="AH72" s="277"/>
      <c r="AI72" s="277"/>
      <c r="AQ72" s="277"/>
      <c r="AR72" s="277"/>
      <c r="AS72" s="277"/>
      <c r="AT72" s="277"/>
      <c r="AU72" s="277"/>
      <c r="AV72" s="280"/>
      <c r="AW72" s="280"/>
      <c r="AX72" s="280"/>
      <c r="AY72" s="281"/>
      <c r="AZ72" s="281"/>
      <c r="BA72" s="260"/>
      <c r="BB72" s="260"/>
      <c r="BC72" s="260"/>
      <c r="BD72" s="261"/>
    </row>
    <row r="73" spans="1:56" ht="15.75" x14ac:dyDescent="0.25">
      <c r="A73" s="272" t="s">
        <v>9</v>
      </c>
      <c r="B73" s="273" t="s">
        <v>342</v>
      </c>
      <c r="D73" s="177"/>
      <c r="E73" s="274"/>
      <c r="F73" s="289" t="s">
        <v>72</v>
      </c>
      <c r="G73" s="273" t="str">
        <f>VLOOKUP(F73,'[2]Mkt cap'!$G$4:$H$82,2,FALSE)</f>
        <v>INSTITUTO ROSENBUSCH S.A.</v>
      </c>
      <c r="H73" s="277"/>
      <c r="I73" s="277"/>
      <c r="J73" s="277"/>
      <c r="K73" s="277"/>
      <c r="L73" s="277"/>
      <c r="M73" s="277"/>
      <c r="N73" s="277"/>
      <c r="O73" s="277"/>
      <c r="P73" s="277"/>
      <c r="Q73" s="277"/>
      <c r="R73" s="277"/>
      <c r="S73" s="277"/>
      <c r="T73" s="277"/>
      <c r="U73" s="277"/>
      <c r="V73" s="277"/>
      <c r="W73" s="277"/>
      <c r="X73" s="277"/>
      <c r="Y73" s="277"/>
      <c r="AA73" s="287"/>
      <c r="AC73" s="277"/>
      <c r="AD73" s="277"/>
      <c r="AE73" s="277"/>
      <c r="AF73" s="277"/>
      <c r="AG73" s="277"/>
      <c r="AH73" s="277"/>
      <c r="AI73" s="277"/>
      <c r="AQ73" s="277"/>
      <c r="AR73" s="277"/>
      <c r="AS73" s="277"/>
      <c r="AT73" s="277"/>
      <c r="AU73" s="277"/>
      <c r="AV73" s="280"/>
      <c r="AW73" s="280"/>
      <c r="AX73" s="280"/>
      <c r="AY73" s="281"/>
      <c r="AZ73" s="281"/>
      <c r="BA73" s="260"/>
      <c r="BB73" s="260"/>
      <c r="BC73" s="260"/>
      <c r="BD73" s="261"/>
    </row>
    <row r="74" spans="1:56" ht="15.75" x14ac:dyDescent="0.25">
      <c r="A74" s="272" t="s">
        <v>36</v>
      </c>
      <c r="B74" s="273" t="s">
        <v>343</v>
      </c>
      <c r="D74" s="177"/>
      <c r="E74" s="274"/>
      <c r="F74" s="284" t="s">
        <v>66</v>
      </c>
      <c r="G74" s="273" t="str">
        <f>VLOOKUP(F74,'[2]Mkt cap'!$G$4:$H$82,2,FALSE)</f>
        <v>S.A. SAN MIGUEL</v>
      </c>
      <c r="H74" s="277"/>
      <c r="I74" s="277"/>
      <c r="J74" s="277"/>
      <c r="K74" s="277"/>
      <c r="L74" s="277"/>
      <c r="M74" s="277"/>
      <c r="N74" s="277"/>
      <c r="O74" s="277"/>
      <c r="P74" s="277"/>
      <c r="Q74" s="277"/>
      <c r="R74" s="277"/>
      <c r="S74" s="277"/>
      <c r="T74" s="277"/>
      <c r="U74" s="277"/>
      <c r="V74" s="277"/>
      <c r="W74" s="277"/>
      <c r="X74" s="277"/>
      <c r="Y74" s="277"/>
      <c r="AA74" s="285"/>
      <c r="AC74" s="277"/>
      <c r="AD74" s="277"/>
      <c r="AE74" s="277"/>
      <c r="AF74" s="277"/>
      <c r="AG74" s="277"/>
      <c r="AH74" s="277"/>
      <c r="AI74" s="277"/>
      <c r="AQ74" s="277"/>
      <c r="AR74" s="277"/>
      <c r="AS74" s="277"/>
      <c r="AT74" s="277"/>
      <c r="AU74" s="277"/>
      <c r="AV74" s="280"/>
      <c r="AW74" s="280"/>
      <c r="AX74" s="280"/>
      <c r="AY74" s="281"/>
      <c r="AZ74" s="281"/>
      <c r="BA74" s="260"/>
      <c r="BB74" s="260"/>
      <c r="BC74" s="260"/>
      <c r="BD74" s="261"/>
    </row>
    <row r="75" spans="1:56" ht="15.75" x14ac:dyDescent="0.25">
      <c r="A75" s="272" t="s">
        <v>44</v>
      </c>
      <c r="B75" s="273" t="s">
        <v>344</v>
      </c>
      <c r="E75" s="277"/>
      <c r="F75" s="284" t="s">
        <v>58</v>
      </c>
      <c r="G75" s="273" t="str">
        <f>VLOOKUP(F75,'[2]Mkt cap'!$G$4:$H$82,2,FALSE)</f>
        <v>MOLINOS JUAN SEMINO S.A.</v>
      </c>
      <c r="H75" s="277"/>
      <c r="I75" s="277"/>
      <c r="J75" s="277"/>
      <c r="K75" s="277"/>
      <c r="L75" s="277"/>
      <c r="M75" s="277"/>
      <c r="N75" s="277"/>
      <c r="O75" s="277"/>
      <c r="P75" s="277"/>
      <c r="Q75" s="277"/>
      <c r="R75" s="277"/>
      <c r="S75" s="277"/>
      <c r="T75" s="277"/>
      <c r="U75" s="277"/>
      <c r="V75" s="277"/>
      <c r="W75" s="277"/>
      <c r="X75" s="277"/>
      <c r="Y75" s="277"/>
      <c r="AA75" s="285"/>
      <c r="AC75" s="277"/>
      <c r="AD75" s="277"/>
      <c r="AE75" s="277"/>
      <c r="AF75" s="277"/>
      <c r="AG75" s="277"/>
      <c r="AH75" s="277"/>
      <c r="AI75" s="277"/>
      <c r="AQ75" s="277"/>
      <c r="AR75" s="277"/>
      <c r="AS75" s="277"/>
      <c r="AT75" s="277"/>
      <c r="AU75" s="277"/>
      <c r="AV75" s="280"/>
      <c r="AW75" s="280"/>
      <c r="AX75" s="280"/>
      <c r="AY75" s="281"/>
      <c r="AZ75" s="281"/>
      <c r="BA75" s="260"/>
      <c r="BB75" s="260"/>
      <c r="BC75" s="260"/>
      <c r="BD75" s="261"/>
    </row>
    <row r="76" spans="1:56" ht="15.75" x14ac:dyDescent="0.25">
      <c r="A76" s="272" t="s">
        <v>22</v>
      </c>
      <c r="B76" s="273" t="s">
        <v>345</v>
      </c>
      <c r="E76" s="277"/>
      <c r="F76" s="284" t="s">
        <v>34</v>
      </c>
      <c r="G76" s="273" t="str">
        <f>VLOOKUP(F76,'[2]Mkt cap'!$G$4:$H$82,2,FALSE)</f>
        <v>TELECOM ARGENTINA S. A.</v>
      </c>
      <c r="H76" s="277"/>
      <c r="I76" s="277"/>
      <c r="J76" s="277"/>
      <c r="K76" s="277"/>
      <c r="L76" s="277"/>
      <c r="M76" s="277"/>
      <c r="N76" s="277"/>
      <c r="O76" s="277"/>
      <c r="P76" s="277"/>
      <c r="Q76" s="277"/>
      <c r="R76" s="277"/>
      <c r="S76" s="277"/>
      <c r="T76" s="277"/>
      <c r="U76" s="277"/>
      <c r="V76" s="277"/>
      <c r="W76" s="277"/>
      <c r="X76" s="277"/>
      <c r="Y76" s="277"/>
      <c r="AA76" s="285"/>
      <c r="AC76" s="277"/>
      <c r="AD76" s="277"/>
      <c r="AE76" s="277"/>
      <c r="AF76" s="277"/>
      <c r="AG76" s="277"/>
      <c r="AH76" s="277"/>
      <c r="AI76" s="277"/>
      <c r="AQ76" s="277"/>
      <c r="AR76" s="277"/>
      <c r="AS76" s="277"/>
      <c r="AT76" s="277"/>
      <c r="AU76" s="277"/>
      <c r="AV76" s="280"/>
      <c r="AW76" s="280"/>
      <c r="AX76" s="280"/>
      <c r="AY76" s="281"/>
      <c r="AZ76" s="281"/>
      <c r="BA76" s="260"/>
      <c r="BB76" s="260"/>
      <c r="BC76" s="260"/>
      <c r="BD76" s="261"/>
    </row>
    <row r="77" spans="1:56" ht="15.75" x14ac:dyDescent="0.25">
      <c r="A77" s="272" t="s">
        <v>48</v>
      </c>
      <c r="B77" s="273" t="s">
        <v>346</v>
      </c>
      <c r="E77" s="277"/>
      <c r="F77" s="284" t="s">
        <v>19</v>
      </c>
      <c r="G77" s="273" t="str">
        <f>VLOOKUP(F77,'[2]Mkt cap'!$G$4:$H$82,2,FALSE)</f>
        <v>TELEFONICA S.A.</v>
      </c>
      <c r="H77" s="277"/>
      <c r="I77" s="277"/>
      <c r="J77" s="277"/>
      <c r="K77" s="277"/>
      <c r="L77" s="277"/>
      <c r="M77" s="277"/>
      <c r="N77" s="277"/>
      <c r="O77" s="277"/>
      <c r="P77" s="277"/>
      <c r="Q77" s="277"/>
      <c r="R77" s="277"/>
      <c r="S77" s="277"/>
      <c r="T77" s="277"/>
      <c r="U77" s="277"/>
      <c r="V77" s="277"/>
      <c r="W77" s="277"/>
      <c r="X77" s="277"/>
      <c r="Y77" s="277"/>
      <c r="AA77" s="285"/>
      <c r="AC77" s="277"/>
      <c r="AD77" s="277"/>
      <c r="AE77" s="277"/>
      <c r="AF77" s="277"/>
      <c r="AG77" s="277"/>
      <c r="AH77" s="277"/>
      <c r="AI77" s="277"/>
      <c r="AQ77" s="277"/>
      <c r="AR77" s="277"/>
      <c r="AS77" s="277"/>
      <c r="AT77" s="277"/>
      <c r="AU77" s="277"/>
      <c r="AV77" s="280"/>
      <c r="AW77" s="280"/>
      <c r="AX77" s="280"/>
      <c r="AY77" s="281"/>
      <c r="AZ77" s="281"/>
      <c r="BA77" s="260"/>
      <c r="BB77" s="260"/>
      <c r="BC77" s="260"/>
      <c r="BD77" s="261"/>
    </row>
    <row r="78" spans="1:56" ht="15.75" x14ac:dyDescent="0.25">
      <c r="A78" s="272" t="s">
        <v>23</v>
      </c>
      <c r="B78" s="273" t="s">
        <v>347</v>
      </c>
      <c r="D78" s="177"/>
      <c r="E78" s="274"/>
      <c r="F78" s="284" t="s">
        <v>68</v>
      </c>
      <c r="G78" s="273" t="str">
        <f>VLOOKUP(F78,'[2]Mkt cap'!$G$4:$H$82,2,FALSE)</f>
        <v>TGLT S.A.</v>
      </c>
      <c r="H78" s="277"/>
      <c r="I78" s="277"/>
      <c r="J78" s="277"/>
      <c r="K78" s="277"/>
      <c r="L78" s="277"/>
      <c r="M78" s="277"/>
      <c r="N78" s="277"/>
      <c r="O78" s="277"/>
      <c r="P78" s="277"/>
      <c r="Q78" s="277"/>
      <c r="R78" s="277"/>
      <c r="S78" s="277"/>
      <c r="T78" s="277"/>
      <c r="U78" s="277"/>
      <c r="V78" s="277"/>
      <c r="W78" s="277"/>
      <c r="X78" s="277"/>
      <c r="Y78" s="277"/>
      <c r="AA78" s="285"/>
      <c r="AC78" s="277"/>
      <c r="AD78" s="277"/>
      <c r="AE78" s="277"/>
      <c r="AF78" s="277"/>
      <c r="AG78" s="277"/>
      <c r="AH78" s="277"/>
      <c r="AI78" s="277"/>
      <c r="AQ78" s="277"/>
      <c r="AR78" s="277"/>
      <c r="AS78" s="277"/>
      <c r="AT78" s="277"/>
      <c r="AU78" s="277"/>
      <c r="AV78" s="280"/>
      <c r="AW78" s="280"/>
      <c r="AX78" s="280"/>
      <c r="AY78" s="281"/>
      <c r="AZ78" s="281"/>
      <c r="BA78" s="260"/>
      <c r="BB78" s="260"/>
      <c r="BC78" s="260"/>
      <c r="BD78" s="261"/>
    </row>
    <row r="79" spans="1:56" ht="15.75" x14ac:dyDescent="0.25">
      <c r="A79" s="272" t="s">
        <v>62</v>
      </c>
      <c r="B79" s="273" t="s">
        <v>348</v>
      </c>
      <c r="D79" s="177"/>
      <c r="E79" s="274"/>
      <c r="F79" s="284" t="s">
        <v>75</v>
      </c>
      <c r="G79" s="273" t="str">
        <f>VLOOKUP(F79,'[2]Mkt cap'!$G$4:$H$82,2,FALSE)</f>
        <v>TRANSPORTADORA DE GAS DEL NORTE S.A.</v>
      </c>
      <c r="H79" s="277"/>
      <c r="I79" s="277"/>
      <c r="J79" s="277"/>
      <c r="K79" s="277"/>
      <c r="L79" s="277"/>
      <c r="M79" s="277"/>
      <c r="N79" s="277"/>
      <c r="O79" s="277"/>
      <c r="P79" s="277"/>
      <c r="Q79" s="277"/>
      <c r="R79" s="277"/>
      <c r="S79" s="277"/>
      <c r="T79" s="277"/>
      <c r="U79" s="277"/>
      <c r="V79" s="277"/>
      <c r="W79" s="277"/>
      <c r="X79" s="277"/>
      <c r="Y79" s="277"/>
      <c r="AA79" s="285"/>
      <c r="AC79" s="277"/>
      <c r="AD79" s="277"/>
      <c r="AE79" s="277"/>
      <c r="AF79" s="277"/>
      <c r="AG79" s="277"/>
      <c r="AH79" s="277"/>
      <c r="AI79" s="277"/>
      <c r="AQ79" s="277"/>
      <c r="AR79" s="277"/>
      <c r="AS79" s="277"/>
      <c r="AT79" s="277"/>
      <c r="AU79" s="277"/>
      <c r="AV79" s="280"/>
      <c r="AW79" s="280"/>
      <c r="AX79" s="280"/>
      <c r="AY79" s="281"/>
      <c r="AZ79" s="281"/>
      <c r="BA79" s="260"/>
      <c r="BB79" s="260"/>
      <c r="BC79" s="260"/>
      <c r="BD79" s="261"/>
    </row>
    <row r="80" spans="1:56" ht="15.75" x14ac:dyDescent="0.25">
      <c r="A80" s="272" t="s">
        <v>27</v>
      </c>
      <c r="B80" s="273" t="s">
        <v>349</v>
      </c>
      <c r="D80" s="177"/>
      <c r="E80" s="274"/>
      <c r="F80" s="284" t="s">
        <v>53</v>
      </c>
      <c r="G80" s="273" t="str">
        <f>VLOOKUP(F80,'[2]Mkt cap'!$G$4:$H$82,2,FALSE)</f>
        <v>TRANSPORTADORA DE GAS DEL SUR S.A.</v>
      </c>
      <c r="H80" s="277"/>
      <c r="I80" s="277"/>
      <c r="J80" s="277"/>
      <c r="K80" s="277"/>
      <c r="L80" s="277"/>
      <c r="M80" s="277"/>
      <c r="N80" s="277"/>
      <c r="O80" s="277"/>
      <c r="P80" s="277"/>
      <c r="Q80" s="277"/>
      <c r="R80" s="277"/>
      <c r="S80" s="277"/>
      <c r="T80" s="277"/>
      <c r="U80" s="277"/>
      <c r="V80" s="277"/>
      <c r="W80" s="277"/>
      <c r="X80" s="277"/>
      <c r="Y80" s="277"/>
      <c r="AA80" s="285"/>
      <c r="AC80" s="277"/>
      <c r="AD80" s="277"/>
      <c r="AE80" s="277"/>
      <c r="AF80" s="277"/>
      <c r="AG80" s="277"/>
      <c r="AH80" s="277"/>
      <c r="AI80" s="277"/>
      <c r="AQ80" s="277"/>
      <c r="AR80" s="277"/>
      <c r="AS80" s="277"/>
      <c r="AT80" s="277"/>
      <c r="AU80" s="277"/>
      <c r="AV80" s="280"/>
      <c r="AW80" s="280"/>
      <c r="AX80" s="280"/>
      <c r="AY80" s="281"/>
      <c r="AZ80" s="281"/>
      <c r="BA80" s="260"/>
      <c r="BB80" s="260"/>
      <c r="BC80" s="260"/>
      <c r="BD80" s="261"/>
    </row>
    <row r="81" spans="1:56" ht="15.75" x14ac:dyDescent="0.25">
      <c r="A81" s="272" t="s">
        <v>49</v>
      </c>
      <c r="B81" s="273" t="s">
        <v>350</v>
      </c>
      <c r="D81" s="177"/>
      <c r="E81" s="274"/>
      <c r="F81" s="284" t="s">
        <v>63</v>
      </c>
      <c r="G81" s="273" t="str">
        <f>VLOOKUP(F81,'[2]Mkt cap'!$G$4:$H$82,2,FALSE)</f>
        <v>TRANSENER CIA. DE TRANSP. DE ENERGIA ELECTR. EN ALTA TENSION</v>
      </c>
      <c r="H81" s="277"/>
      <c r="I81" s="277"/>
      <c r="J81" s="277"/>
      <c r="K81" s="277"/>
      <c r="L81" s="277"/>
      <c r="M81" s="277"/>
      <c r="N81" s="277"/>
      <c r="O81" s="277"/>
      <c r="P81" s="277"/>
      <c r="Q81" s="277"/>
      <c r="R81" s="277"/>
      <c r="S81" s="277"/>
      <c r="T81" s="277"/>
      <c r="U81" s="277"/>
      <c r="V81" s="277"/>
      <c r="W81" s="277"/>
      <c r="X81" s="277"/>
      <c r="Y81" s="277"/>
      <c r="AA81" s="285"/>
      <c r="AC81" s="277"/>
      <c r="AD81" s="277"/>
      <c r="AE81" s="277"/>
      <c r="AF81" s="277"/>
      <c r="AG81" s="277"/>
      <c r="AH81" s="277"/>
      <c r="AI81" s="277"/>
      <c r="AQ81" s="277"/>
      <c r="AR81" s="277"/>
      <c r="AS81" s="277"/>
      <c r="AT81" s="277"/>
      <c r="AU81" s="277"/>
      <c r="AV81" s="280"/>
      <c r="AW81" s="280"/>
      <c r="AX81" s="280"/>
      <c r="AY81" s="281"/>
      <c r="AZ81" s="281"/>
      <c r="BA81" s="260"/>
      <c r="BB81" s="260"/>
      <c r="BC81" s="260"/>
      <c r="BD81" s="261"/>
    </row>
    <row r="82" spans="1:56" ht="15.75" x14ac:dyDescent="0.25">
      <c r="A82" s="272" t="s">
        <v>45</v>
      </c>
      <c r="B82" s="273" t="s">
        <v>351</v>
      </c>
      <c r="D82" s="177"/>
      <c r="E82" s="274"/>
      <c r="F82" s="284" t="s">
        <v>17</v>
      </c>
      <c r="G82" s="273" t="str">
        <f>VLOOKUP(F82,'[2]Mkt cap'!$G$4:$H$82,2,FALSE)</f>
        <v>TENARIS S.A.</v>
      </c>
      <c r="H82" s="277"/>
      <c r="I82" s="277"/>
      <c r="J82" s="277"/>
      <c r="K82" s="277"/>
      <c r="L82" s="277"/>
      <c r="M82" s="277"/>
      <c r="N82" s="277"/>
      <c r="O82" s="277"/>
      <c r="P82" s="277"/>
      <c r="Q82" s="277"/>
      <c r="R82" s="277"/>
      <c r="S82" s="277"/>
      <c r="T82" s="277"/>
      <c r="U82" s="277"/>
      <c r="V82" s="277"/>
      <c r="W82" s="277"/>
      <c r="X82" s="277"/>
      <c r="Y82" s="277"/>
      <c r="AA82" s="285"/>
      <c r="AC82" s="277"/>
      <c r="AD82" s="277"/>
      <c r="AE82" s="277"/>
      <c r="AF82" s="277"/>
      <c r="AG82" s="277"/>
      <c r="AH82" s="277"/>
      <c r="AI82" s="277"/>
      <c r="AQ82" s="277"/>
      <c r="AR82" s="277"/>
      <c r="AS82" s="277"/>
      <c r="AT82" s="277"/>
      <c r="AU82" s="277"/>
      <c r="AV82" s="280"/>
      <c r="AW82" s="280"/>
      <c r="AX82" s="280"/>
      <c r="AY82" s="281"/>
      <c r="AZ82" s="281"/>
      <c r="BA82" s="260"/>
      <c r="BB82" s="260"/>
      <c r="BC82" s="260"/>
      <c r="BD82" s="261"/>
    </row>
    <row r="83" spans="1:56" ht="15.75" x14ac:dyDescent="0.25">
      <c r="A83" s="272" t="s">
        <v>56</v>
      </c>
      <c r="B83" s="273" t="s">
        <v>352</v>
      </c>
      <c r="D83" s="177"/>
      <c r="E83" s="274"/>
      <c r="F83" s="284" t="s">
        <v>78</v>
      </c>
      <c r="G83" s="273" t="str">
        <f>VLOOKUP(F83,'[2]Mkt cap'!$G$4:$H$82,2,FALSE)</f>
        <v>TERNIUM ARGENTINA S.A.</v>
      </c>
      <c r="H83" s="277"/>
      <c r="I83" s="277"/>
      <c r="J83" s="277"/>
      <c r="K83" s="277"/>
      <c r="L83" s="277"/>
      <c r="M83" s="277"/>
      <c r="N83" s="277"/>
      <c r="O83" s="277"/>
      <c r="P83" s="277"/>
      <c r="Q83" s="277"/>
      <c r="R83" s="277"/>
      <c r="S83" s="277"/>
      <c r="T83" s="277"/>
      <c r="U83" s="277"/>
      <c r="V83" s="277"/>
      <c r="W83" s="277"/>
      <c r="X83" s="277"/>
      <c r="Y83" s="277"/>
      <c r="AA83" s="285"/>
      <c r="AC83" s="277"/>
      <c r="AD83" s="277"/>
      <c r="AE83" s="277"/>
      <c r="AF83" s="277"/>
      <c r="AG83" s="277"/>
      <c r="AH83" s="277"/>
      <c r="AI83" s="277"/>
      <c r="AQ83" s="277"/>
      <c r="AR83" s="277"/>
      <c r="AS83" s="277"/>
      <c r="AT83" s="277"/>
      <c r="AU83" s="277"/>
      <c r="AV83" s="280"/>
      <c r="AW83" s="280"/>
      <c r="AX83" s="280"/>
      <c r="AY83" s="281"/>
      <c r="AZ83" s="281"/>
      <c r="BA83" s="260"/>
      <c r="BB83" s="260"/>
      <c r="BC83" s="260"/>
      <c r="BD83" s="261"/>
    </row>
    <row r="84" spans="1:56" ht="15.75" x14ac:dyDescent="0.25">
      <c r="A84" s="272" t="s">
        <v>38</v>
      </c>
      <c r="B84" s="273" t="s">
        <v>353</v>
      </c>
      <c r="D84" s="177"/>
      <c r="E84" s="274"/>
      <c r="F84" s="284" t="s">
        <v>32</v>
      </c>
      <c r="G84" s="273" t="str">
        <f>VLOOKUP(F84,'[2]Mkt cap'!$G$4:$H$82,2,FALSE)</f>
        <v>GRUPO FINANCIERO VALORES SOCIEDAD ANONIMA</v>
      </c>
      <c r="H84" s="277"/>
      <c r="I84" s="277"/>
      <c r="J84" s="277"/>
      <c r="K84" s="277"/>
      <c r="L84" s="277"/>
      <c r="M84" s="277"/>
      <c r="N84" s="277"/>
      <c r="O84" s="277"/>
      <c r="P84" s="277"/>
      <c r="Q84" s="277"/>
      <c r="R84" s="277"/>
      <c r="S84" s="277"/>
      <c r="T84" s="277"/>
      <c r="U84" s="277"/>
      <c r="V84" s="277"/>
      <c r="W84" s="277"/>
      <c r="X84" s="277"/>
      <c r="Y84" s="277"/>
      <c r="AA84" s="285"/>
      <c r="AC84" s="277"/>
      <c r="AD84" s="277"/>
      <c r="AE84" s="279"/>
      <c r="AF84" s="277"/>
      <c r="AG84" s="277"/>
      <c r="AH84" s="277"/>
      <c r="AI84" s="277"/>
      <c r="AQ84" s="277"/>
      <c r="AR84" s="277"/>
      <c r="AS84" s="277"/>
      <c r="AT84" s="277"/>
      <c r="AU84" s="277"/>
      <c r="AV84" s="280"/>
      <c r="AW84" s="280"/>
      <c r="AX84" s="280"/>
      <c r="AY84" s="281"/>
      <c r="AZ84" s="281"/>
      <c r="BA84" s="260"/>
      <c r="BB84" s="260"/>
      <c r="BC84" s="260"/>
      <c r="BD84" s="261"/>
    </row>
    <row r="85" spans="1:56" ht="15.75" x14ac:dyDescent="0.25">
      <c r="A85" s="272" t="s">
        <v>12</v>
      </c>
      <c r="B85" s="273" t="s">
        <v>354</v>
      </c>
      <c r="D85" s="177"/>
      <c r="E85" s="274"/>
      <c r="F85" s="289" t="s">
        <v>21</v>
      </c>
      <c r="G85" s="273" t="str">
        <f>VLOOKUP(F85,'[2]Mkt cap'!$G$4:$H$82,2,FALSE)</f>
        <v>YPF S.A.</v>
      </c>
      <c r="H85" s="277"/>
      <c r="I85" s="277"/>
      <c r="J85" s="277"/>
      <c r="K85" s="277"/>
      <c r="L85" s="277"/>
      <c r="M85" s="277"/>
      <c r="N85" s="277"/>
      <c r="O85" s="277"/>
      <c r="P85" s="277"/>
      <c r="Q85" s="277"/>
      <c r="R85" s="277"/>
      <c r="S85" s="277"/>
      <c r="T85" s="277"/>
      <c r="U85" s="277"/>
      <c r="V85" s="277"/>
      <c r="W85" s="277"/>
      <c r="X85" s="277"/>
      <c r="Y85" s="277"/>
      <c r="AA85" s="285"/>
      <c r="AC85" s="277"/>
      <c r="AD85" s="279"/>
      <c r="AE85" s="279"/>
      <c r="AF85" s="277"/>
      <c r="AG85" s="277"/>
      <c r="AH85" s="277"/>
      <c r="AI85" s="257"/>
      <c r="AQ85" s="257"/>
      <c r="AR85" s="257"/>
      <c r="AS85" s="257"/>
      <c r="AT85" s="277"/>
      <c r="AU85" s="277"/>
      <c r="AV85" s="280"/>
      <c r="AW85" s="280"/>
      <c r="AX85" s="280"/>
      <c r="AY85" s="281"/>
      <c r="AZ85" s="281"/>
      <c r="BA85" s="260"/>
      <c r="BB85" s="260"/>
      <c r="BC85" s="260"/>
      <c r="BD85" s="261"/>
    </row>
    <row r="86" spans="1:56" ht="15.75" x14ac:dyDescent="0.25">
      <c r="A86" s="289" t="s">
        <v>57</v>
      </c>
      <c r="B86" s="273" t="s">
        <v>355</v>
      </c>
      <c r="D86" s="177"/>
      <c r="E86" s="290"/>
      <c r="H86" s="277"/>
      <c r="I86" s="277"/>
      <c r="J86" s="277"/>
      <c r="K86" s="277"/>
      <c r="L86" s="277"/>
      <c r="M86" s="277"/>
      <c r="N86" s="277"/>
      <c r="O86" s="277"/>
      <c r="P86" s="277"/>
      <c r="Q86" s="277"/>
      <c r="R86" s="277"/>
      <c r="S86" s="277"/>
      <c r="T86" s="277"/>
      <c r="U86" s="277"/>
      <c r="V86" s="277"/>
      <c r="W86" s="277"/>
      <c r="X86" s="277"/>
      <c r="Y86" s="277"/>
      <c r="AA86" s="285"/>
      <c r="AC86" s="277"/>
      <c r="AD86" s="279"/>
      <c r="AE86" s="279"/>
      <c r="AF86" s="279"/>
      <c r="AG86" s="279"/>
      <c r="AH86" s="279"/>
      <c r="AI86" s="279"/>
      <c r="AQ86" s="279"/>
      <c r="AR86" s="279"/>
      <c r="AS86" s="279"/>
      <c r="AT86" s="277"/>
      <c r="AU86" s="277"/>
      <c r="AV86" s="280"/>
      <c r="AW86" s="280"/>
      <c r="AX86" s="280"/>
      <c r="AY86" s="281"/>
      <c r="AZ86" s="281"/>
      <c r="BA86" s="260"/>
      <c r="BB86" s="260"/>
      <c r="BC86" s="260"/>
      <c r="BD86" s="261"/>
    </row>
    <row r="87" spans="1:56" ht="15.75" x14ac:dyDescent="0.25">
      <c r="A87" s="289"/>
      <c r="B87" s="291"/>
      <c r="D87" s="177"/>
      <c r="E87" s="290"/>
      <c r="H87" s="277"/>
      <c r="I87" s="277"/>
      <c r="J87" s="277"/>
      <c r="K87" s="277"/>
      <c r="L87" s="277"/>
      <c r="M87" s="277"/>
      <c r="N87" s="277"/>
      <c r="O87" s="277"/>
      <c r="P87" s="277"/>
      <c r="Q87" s="277"/>
      <c r="R87" s="277"/>
      <c r="S87" s="277"/>
      <c r="T87" s="277"/>
      <c r="U87" s="277"/>
      <c r="V87" s="277"/>
      <c r="W87" s="277"/>
      <c r="X87" s="277"/>
      <c r="Y87" s="277"/>
      <c r="AA87" s="285"/>
      <c r="AC87" s="277"/>
      <c r="AD87" s="279"/>
      <c r="AE87" s="279"/>
      <c r="AF87" s="279"/>
      <c r="AG87" s="279"/>
      <c r="AH87" s="279"/>
      <c r="AI87" s="279"/>
      <c r="AQ87" s="279"/>
      <c r="AR87" s="279"/>
      <c r="AS87" s="279"/>
      <c r="AT87" s="277"/>
      <c r="AU87" s="277"/>
      <c r="AV87" s="280"/>
      <c r="AW87" s="280"/>
      <c r="AX87" s="280"/>
      <c r="AY87" s="281"/>
      <c r="AZ87" s="281"/>
      <c r="BA87" s="260"/>
      <c r="BB87" s="260"/>
      <c r="BC87" s="260"/>
      <c r="BD87" s="261"/>
    </row>
    <row r="88" spans="1:56" ht="15.75" x14ac:dyDescent="0.25">
      <c r="A88" s="255" t="s">
        <v>356</v>
      </c>
      <c r="B88" s="292"/>
      <c r="D88" s="293"/>
      <c r="E88" s="277"/>
      <c r="F88" s="277"/>
      <c r="G88" s="257"/>
      <c r="H88" s="257"/>
      <c r="I88" s="257"/>
      <c r="J88" s="257"/>
      <c r="K88" s="257"/>
      <c r="L88" s="257"/>
      <c r="M88" s="257"/>
      <c r="N88" s="257"/>
      <c r="O88" s="257"/>
      <c r="P88" s="257"/>
      <c r="Q88" s="257"/>
      <c r="R88" s="257"/>
      <c r="S88" s="257"/>
      <c r="T88" s="257"/>
      <c r="U88" s="257"/>
      <c r="V88" s="257"/>
      <c r="W88" s="257"/>
      <c r="X88" s="257"/>
      <c r="Y88" s="257"/>
      <c r="Z88" s="257"/>
      <c r="AA88" s="257"/>
      <c r="AB88" s="257"/>
      <c r="AC88" s="257"/>
      <c r="AD88" s="257"/>
      <c r="AE88" s="257"/>
      <c r="AF88" s="257"/>
      <c r="AG88" s="257"/>
      <c r="AH88" s="257"/>
      <c r="AI88" s="257"/>
      <c r="AJ88" s="257"/>
      <c r="AK88" s="257"/>
      <c r="AL88" s="257"/>
      <c r="AM88" s="257"/>
      <c r="AN88" s="256" t="s">
        <v>357</v>
      </c>
      <c r="AO88" s="257"/>
      <c r="AP88" s="257"/>
      <c r="AQ88" s="257"/>
      <c r="AR88" s="257"/>
      <c r="AS88" s="257"/>
      <c r="AT88" s="257"/>
      <c r="AU88" s="257"/>
      <c r="AV88" s="259"/>
      <c r="AW88" s="259"/>
      <c r="AX88" s="259"/>
      <c r="AY88" s="260"/>
      <c r="AZ88" s="260"/>
      <c r="BA88" s="260"/>
      <c r="BB88" s="260"/>
      <c r="BC88" s="260"/>
      <c r="BD88" s="261"/>
    </row>
    <row r="89" spans="1:56" ht="6" customHeight="1" x14ac:dyDescent="0.25">
      <c r="A89" s="292"/>
      <c r="B89" s="292"/>
      <c r="C89" s="294"/>
      <c r="D89" s="293"/>
      <c r="E89" s="277"/>
      <c r="F89" s="277"/>
      <c r="G89" s="257"/>
      <c r="H89" s="257"/>
      <c r="I89" s="257"/>
      <c r="J89" s="257"/>
      <c r="K89" s="257"/>
      <c r="L89" s="257"/>
      <c r="M89" s="257"/>
      <c r="N89" s="257"/>
      <c r="O89" s="257"/>
      <c r="P89" s="257"/>
      <c r="Q89" s="257"/>
      <c r="R89" s="257"/>
      <c r="S89" s="257"/>
      <c r="T89" s="257"/>
      <c r="U89" s="257"/>
      <c r="V89" s="257"/>
      <c r="W89" s="257"/>
      <c r="X89" s="257"/>
      <c r="Y89" s="257"/>
      <c r="Z89" s="257"/>
      <c r="AA89" s="257"/>
      <c r="AB89" s="257"/>
      <c r="AC89" s="257"/>
      <c r="AD89" s="257"/>
      <c r="AE89" s="257"/>
      <c r="AF89" s="257"/>
      <c r="AG89" s="257"/>
      <c r="AH89" s="257"/>
      <c r="AI89" s="257"/>
      <c r="AJ89" s="257"/>
      <c r="AK89" s="257"/>
      <c r="AL89" s="257"/>
      <c r="AM89" s="257"/>
      <c r="AN89" s="257"/>
      <c r="AO89" s="257"/>
      <c r="AP89" s="257"/>
      <c r="AQ89" s="257"/>
      <c r="AR89" s="257"/>
      <c r="AS89" s="257"/>
      <c r="AT89" s="257"/>
      <c r="AU89" s="257"/>
      <c r="AV89" s="259"/>
      <c r="AW89" s="259"/>
      <c r="AX89" s="259"/>
      <c r="AY89" s="260"/>
      <c r="AZ89" s="260"/>
      <c r="BA89" s="260"/>
      <c r="BB89" s="260"/>
      <c r="BC89" s="260"/>
      <c r="BD89" s="261"/>
    </row>
    <row r="90" spans="1:56" ht="15.75" x14ac:dyDescent="0.25">
      <c r="A90" s="295" t="s">
        <v>358</v>
      </c>
      <c r="B90" s="295"/>
      <c r="C90" s="296"/>
      <c r="D90" s="293"/>
      <c r="E90" s="295" t="s">
        <v>359</v>
      </c>
      <c r="F90" s="295"/>
      <c r="G90" s="296"/>
      <c r="H90" s="220"/>
      <c r="I90" s="295" t="s">
        <v>360</v>
      </c>
      <c r="J90" s="295"/>
      <c r="L90" s="257"/>
      <c r="M90" s="257"/>
      <c r="N90" s="257"/>
      <c r="O90" s="257"/>
      <c r="P90" s="257"/>
      <c r="Q90" s="31"/>
      <c r="R90" s="297"/>
      <c r="S90" s="297"/>
      <c r="T90" s="297"/>
      <c r="U90" s="297"/>
      <c r="V90" s="257"/>
      <c r="W90" s="257"/>
      <c r="X90" s="257"/>
      <c r="Y90" s="257"/>
      <c r="Z90" s="257"/>
      <c r="AC90" s="31"/>
      <c r="AD90" s="297"/>
      <c r="AE90" s="297"/>
      <c r="AF90" s="257"/>
      <c r="AG90" s="257"/>
      <c r="AH90" s="257"/>
      <c r="AI90" s="257"/>
      <c r="AJ90" s="257"/>
      <c r="AK90" s="257"/>
      <c r="AL90" s="257"/>
      <c r="AM90" s="257"/>
      <c r="AN90" s="298" t="s">
        <v>361</v>
      </c>
      <c r="AO90" s="257"/>
      <c r="AP90" s="257"/>
      <c r="AQ90" s="257"/>
      <c r="AR90" s="257"/>
      <c r="AS90" s="257"/>
      <c r="AT90" s="257"/>
      <c r="AU90" s="257"/>
      <c r="AV90" s="259"/>
      <c r="AW90" s="259"/>
      <c r="AX90" s="259"/>
      <c r="AY90" s="260"/>
      <c r="AZ90" s="260"/>
      <c r="BA90" s="260"/>
      <c r="BB90" s="260"/>
      <c r="BC90" s="260"/>
      <c r="BD90" s="261"/>
    </row>
    <row r="91" spans="1:56" ht="15.75" x14ac:dyDescent="0.25">
      <c r="A91" s="299" t="s">
        <v>4</v>
      </c>
      <c r="B91" s="300" t="s">
        <v>362</v>
      </c>
      <c r="C91" s="31"/>
      <c r="D91" s="293"/>
      <c r="E91" s="299" t="s">
        <v>4</v>
      </c>
      <c r="F91" s="300" t="s">
        <v>362</v>
      </c>
      <c r="G91" s="296"/>
      <c r="H91" s="220"/>
      <c r="I91" s="299" t="s">
        <v>4</v>
      </c>
      <c r="J91" s="300" t="s">
        <v>362</v>
      </c>
      <c r="L91" s="257"/>
      <c r="M91" s="257"/>
      <c r="N91" s="257"/>
      <c r="O91" s="257"/>
      <c r="P91" s="257"/>
      <c r="Q91" s="31"/>
      <c r="R91" s="301"/>
      <c r="S91" s="31"/>
      <c r="T91" s="301"/>
      <c r="U91" s="301"/>
      <c r="V91" s="257"/>
      <c r="W91" s="257"/>
      <c r="X91" s="257"/>
      <c r="Y91" s="257"/>
      <c r="Z91" s="257"/>
      <c r="AC91" s="31"/>
      <c r="AD91" s="301"/>
      <c r="AE91" s="301"/>
      <c r="AF91" s="257"/>
      <c r="AG91" s="257"/>
      <c r="AH91" s="257"/>
      <c r="AI91" s="257"/>
      <c r="AJ91" s="257"/>
      <c r="AK91" s="257"/>
      <c r="AL91" s="257"/>
      <c r="AM91" s="257"/>
      <c r="AN91" s="257"/>
      <c r="AO91" s="257"/>
      <c r="AP91" s="257"/>
      <c r="AQ91" s="257"/>
      <c r="AR91" s="257"/>
      <c r="AS91" s="257"/>
      <c r="AT91" s="257"/>
      <c r="AU91" s="257"/>
      <c r="AV91" s="259"/>
      <c r="AW91" s="259"/>
      <c r="AX91" s="259"/>
      <c r="AY91" s="260"/>
      <c r="AZ91" s="260"/>
      <c r="BA91" s="260"/>
      <c r="BB91" s="260"/>
      <c r="BC91" s="260"/>
      <c r="BD91" s="261"/>
    </row>
    <row r="92" spans="1:56" ht="15.75" x14ac:dyDescent="0.25">
      <c r="A92" s="38" t="s">
        <v>56</v>
      </c>
      <c r="B92" s="302">
        <v>0.17580000000000001</v>
      </c>
      <c r="C92" s="38"/>
      <c r="D92" s="293"/>
      <c r="E92" s="38" t="s">
        <v>56</v>
      </c>
      <c r="F92" s="302">
        <v>0.1973</v>
      </c>
      <c r="G92" s="287"/>
      <c r="H92" s="220"/>
      <c r="I92" s="38" t="s">
        <v>56</v>
      </c>
      <c r="J92" s="302">
        <v>0.16520000000000001</v>
      </c>
      <c r="L92" s="257"/>
      <c r="M92" s="257"/>
      <c r="N92" s="257"/>
      <c r="O92" s="257"/>
      <c r="P92" s="257"/>
      <c r="Q92" s="31"/>
      <c r="R92" s="303"/>
      <c r="S92" s="31"/>
      <c r="T92" s="304"/>
      <c r="U92" s="304"/>
      <c r="V92" s="257"/>
      <c r="W92" s="257"/>
      <c r="X92" s="257"/>
      <c r="Y92" s="257"/>
      <c r="Z92" s="257"/>
      <c r="AC92" s="31"/>
      <c r="AD92" s="304"/>
      <c r="AE92" s="304"/>
      <c r="AF92" s="257"/>
      <c r="AG92" s="257"/>
      <c r="AH92" s="257"/>
      <c r="AI92" s="257"/>
      <c r="AJ92" s="257"/>
      <c r="AK92" s="257"/>
      <c r="AL92" s="257"/>
      <c r="AM92" s="257"/>
      <c r="AN92" s="298" t="s">
        <v>71</v>
      </c>
      <c r="AO92" s="257"/>
      <c r="AP92" s="257"/>
      <c r="AQ92" s="298" t="s">
        <v>27</v>
      </c>
      <c r="AR92" s="257"/>
      <c r="AS92" s="257"/>
      <c r="AT92" s="298" t="s">
        <v>16</v>
      </c>
      <c r="AU92" s="257"/>
      <c r="AV92" s="259"/>
      <c r="AW92" s="259"/>
      <c r="AX92" s="259"/>
      <c r="AY92" s="260"/>
      <c r="AZ92" s="260"/>
      <c r="BA92" s="260"/>
      <c r="BB92" s="260"/>
      <c r="BC92" s="260"/>
      <c r="BD92" s="261"/>
    </row>
    <row r="93" spans="1:56" ht="15.75" x14ac:dyDescent="0.25">
      <c r="A93" s="38" t="s">
        <v>20</v>
      </c>
      <c r="B93" s="302">
        <v>9.0700000000000003E-2</v>
      </c>
      <c r="C93" s="38"/>
      <c r="D93" s="305"/>
      <c r="E93" s="306" t="s">
        <v>363</v>
      </c>
      <c r="F93" s="302">
        <v>9.6100000000000005E-2</v>
      </c>
      <c r="G93" s="287"/>
      <c r="H93" s="220"/>
      <c r="I93" s="38" t="s">
        <v>20</v>
      </c>
      <c r="J93" s="302">
        <v>8.5300000000000001E-2</v>
      </c>
      <c r="L93" s="257"/>
      <c r="M93" s="257"/>
      <c r="N93" s="257"/>
      <c r="O93" s="257"/>
      <c r="P93" s="257"/>
      <c r="R93" s="279"/>
      <c r="T93" s="307"/>
      <c r="U93" s="307"/>
      <c r="V93" s="257"/>
      <c r="W93" s="257"/>
      <c r="X93" s="257"/>
      <c r="Y93" s="257"/>
      <c r="Z93" s="257"/>
      <c r="AD93" s="307"/>
      <c r="AE93" s="307"/>
      <c r="AF93" s="257"/>
      <c r="AG93" s="257"/>
      <c r="AH93" s="257"/>
      <c r="AI93" s="257"/>
      <c r="AJ93" s="257"/>
      <c r="AK93" s="257"/>
      <c r="AL93" s="257"/>
      <c r="AM93" s="257"/>
      <c r="AN93" s="298" t="s">
        <v>48</v>
      </c>
      <c r="AO93" s="257"/>
      <c r="AP93" s="257"/>
      <c r="AQ93" s="298" t="s">
        <v>35</v>
      </c>
      <c r="AR93" s="257"/>
      <c r="AS93" s="257"/>
      <c r="AT93" s="257"/>
      <c r="AU93" s="257"/>
      <c r="AV93" s="259"/>
      <c r="AW93" s="259"/>
      <c r="AX93" s="259"/>
      <c r="AY93" s="260"/>
      <c r="AZ93" s="260"/>
      <c r="BA93" s="260"/>
      <c r="BB93" s="260"/>
      <c r="BC93" s="260"/>
      <c r="BD93" s="261"/>
    </row>
    <row r="94" spans="1:56" ht="15.75" x14ac:dyDescent="0.25">
      <c r="A94" s="38" t="s">
        <v>363</v>
      </c>
      <c r="B94" s="302">
        <v>8.5599999999999996E-2</v>
      </c>
      <c r="C94" s="38"/>
      <c r="D94" s="305"/>
      <c r="E94" s="306" t="s">
        <v>40</v>
      </c>
      <c r="F94" s="302">
        <v>9.1300000000000006E-2</v>
      </c>
      <c r="G94" s="287"/>
      <c r="H94" s="220"/>
      <c r="I94" s="38" t="s">
        <v>363</v>
      </c>
      <c r="J94" s="302">
        <v>8.0399999999999999E-2</v>
      </c>
      <c r="L94" s="257"/>
      <c r="M94" s="257"/>
      <c r="N94" s="257"/>
      <c r="O94" s="257"/>
      <c r="P94" s="257"/>
      <c r="R94" s="308"/>
      <c r="T94" s="309"/>
      <c r="U94" s="309"/>
      <c r="V94" s="257"/>
      <c r="W94" s="257"/>
      <c r="X94" s="257"/>
      <c r="Y94" s="257"/>
      <c r="Z94" s="257"/>
      <c r="AD94" s="309"/>
      <c r="AE94" s="309"/>
      <c r="AF94" s="257"/>
      <c r="AG94" s="257"/>
      <c r="AH94" s="257"/>
      <c r="AI94" s="257"/>
      <c r="AJ94" s="257"/>
      <c r="AK94" s="257"/>
      <c r="AL94" s="257"/>
      <c r="AM94" s="257"/>
      <c r="AN94" s="257"/>
      <c r="AO94" s="257"/>
      <c r="AP94" s="257"/>
      <c r="AQ94" s="257"/>
      <c r="AR94" s="257"/>
      <c r="AS94" s="257"/>
      <c r="AT94" s="257"/>
      <c r="AU94" s="257"/>
      <c r="AV94" s="259"/>
      <c r="AW94" s="259"/>
      <c r="AX94" s="259"/>
      <c r="AY94" s="260"/>
      <c r="AZ94" s="260"/>
      <c r="BA94" s="260"/>
      <c r="BB94" s="260"/>
      <c r="BC94" s="260"/>
      <c r="BD94" s="261"/>
    </row>
    <row r="95" spans="1:56" ht="15.75" x14ac:dyDescent="0.25">
      <c r="A95" s="38" t="s">
        <v>40</v>
      </c>
      <c r="B95" s="302">
        <v>8.1299999999999997E-2</v>
      </c>
      <c r="C95" s="38"/>
      <c r="D95" s="293"/>
      <c r="E95" s="38" t="s">
        <v>21</v>
      </c>
      <c r="F95" s="302">
        <v>8.1799999999999998E-2</v>
      </c>
      <c r="G95" s="287"/>
      <c r="H95" s="220"/>
      <c r="I95" s="38" t="s">
        <v>40</v>
      </c>
      <c r="J95" s="302">
        <v>7.6399999999999996E-2</v>
      </c>
      <c r="L95" s="257"/>
      <c r="M95" s="257"/>
      <c r="N95" s="257"/>
      <c r="O95" s="257"/>
      <c r="P95" s="257"/>
      <c r="R95" s="279"/>
      <c r="T95" s="307"/>
      <c r="U95" s="307"/>
      <c r="V95" s="257"/>
      <c r="W95" s="257"/>
      <c r="X95" s="257"/>
      <c r="Y95" s="257"/>
      <c r="Z95" s="257"/>
      <c r="AD95" s="307"/>
      <c r="AE95" s="307"/>
      <c r="AF95" s="257"/>
      <c r="AG95" s="257"/>
      <c r="AH95" s="257"/>
      <c r="AI95" s="257"/>
      <c r="AJ95" s="257"/>
      <c r="AK95" s="257"/>
      <c r="AL95" s="257"/>
      <c r="AM95" s="257"/>
      <c r="AN95" s="257"/>
      <c r="AO95" s="257"/>
      <c r="AP95" s="257"/>
      <c r="AQ95" s="257"/>
      <c r="AR95" s="257"/>
      <c r="AS95" s="257"/>
      <c r="AT95" s="257"/>
      <c r="AU95" s="257"/>
      <c r="AV95" s="259"/>
      <c r="AW95" s="259"/>
      <c r="AX95" s="259"/>
      <c r="AY95" s="260"/>
      <c r="AZ95" s="260"/>
      <c r="BA95" s="260"/>
      <c r="BB95" s="260"/>
      <c r="BC95" s="260"/>
      <c r="BD95" s="261"/>
    </row>
    <row r="96" spans="1:56" ht="15.75" x14ac:dyDescent="0.25">
      <c r="A96" s="38" t="s">
        <v>21</v>
      </c>
      <c r="B96" s="302">
        <v>7.2800000000000004E-2</v>
      </c>
      <c r="C96" s="38"/>
      <c r="D96" s="293"/>
      <c r="E96" s="38" t="s">
        <v>73</v>
      </c>
      <c r="F96" s="302">
        <v>8.0600000000000005E-2</v>
      </c>
      <c r="G96" s="287"/>
      <c r="H96" s="220"/>
      <c r="I96" s="38" t="s">
        <v>21</v>
      </c>
      <c r="J96" s="302">
        <v>6.8400000000000002E-2</v>
      </c>
      <c r="L96" s="257"/>
      <c r="M96" s="257"/>
      <c r="N96" s="257"/>
      <c r="O96" s="257"/>
      <c r="P96" s="257"/>
      <c r="R96" s="308"/>
      <c r="T96" s="309"/>
      <c r="U96" s="309"/>
      <c r="V96" s="257"/>
      <c r="W96" s="257"/>
      <c r="X96" s="257"/>
      <c r="Y96" s="257"/>
      <c r="Z96" s="257"/>
      <c r="AD96" s="309"/>
      <c r="AE96" s="309"/>
      <c r="AF96" s="257"/>
      <c r="AG96" s="257"/>
      <c r="AH96" s="257"/>
      <c r="AI96" s="257"/>
      <c r="AJ96" s="257"/>
      <c r="AK96" s="257"/>
      <c r="AL96" s="257"/>
      <c r="AM96" s="257"/>
      <c r="AN96" s="257"/>
      <c r="AO96" s="257"/>
      <c r="AP96" s="257"/>
      <c r="AQ96" s="257"/>
      <c r="AR96" s="257"/>
      <c r="AS96" s="257"/>
      <c r="AT96" s="257"/>
      <c r="AU96" s="257"/>
      <c r="AV96" s="259"/>
      <c r="AW96" s="259"/>
      <c r="AX96" s="259"/>
      <c r="AY96" s="260"/>
      <c r="AZ96" s="260"/>
      <c r="BA96" s="260"/>
      <c r="BB96" s="260"/>
      <c r="BC96" s="260"/>
      <c r="BD96" s="261"/>
    </row>
    <row r="97" spans="1:56" ht="15.75" x14ac:dyDescent="0.25">
      <c r="A97" s="38" t="s">
        <v>73</v>
      </c>
      <c r="B97" s="302">
        <v>7.1800000000000003E-2</v>
      </c>
      <c r="C97" s="38"/>
      <c r="D97" s="293"/>
      <c r="E97" s="38" t="s">
        <v>65</v>
      </c>
      <c r="F97" s="302">
        <v>5.45E-2</v>
      </c>
      <c r="G97" s="287"/>
      <c r="H97" s="220"/>
      <c r="I97" s="38" t="s">
        <v>73</v>
      </c>
      <c r="J97" s="302">
        <v>6.7500000000000004E-2</v>
      </c>
      <c r="L97" s="257"/>
      <c r="M97" s="257"/>
      <c r="N97" s="257"/>
      <c r="O97" s="257"/>
      <c r="P97" s="257"/>
      <c r="R97" s="279"/>
      <c r="T97" s="307"/>
      <c r="U97" s="307"/>
      <c r="V97" s="257"/>
      <c r="W97" s="257"/>
      <c r="X97" s="257"/>
      <c r="Y97" s="257"/>
      <c r="Z97" s="257"/>
      <c r="AD97" s="307"/>
      <c r="AE97" s="307"/>
      <c r="AF97" s="257"/>
      <c r="AG97" s="257"/>
      <c r="AH97" s="257"/>
      <c r="AI97" s="257"/>
      <c r="AJ97" s="257"/>
      <c r="AK97" s="257"/>
      <c r="AL97" s="257"/>
      <c r="AM97" s="257"/>
      <c r="AN97" s="257"/>
      <c r="AO97" s="257"/>
      <c r="AP97" s="257"/>
      <c r="AQ97" s="257"/>
      <c r="AR97" s="257"/>
      <c r="AS97" s="257"/>
      <c r="AT97" s="257"/>
      <c r="AU97" s="257"/>
      <c r="AV97" s="259"/>
      <c r="AW97" s="259"/>
      <c r="AX97" s="259"/>
      <c r="AY97" s="260"/>
      <c r="AZ97" s="260"/>
      <c r="BA97" s="260"/>
      <c r="BB97" s="260"/>
      <c r="BC97" s="260"/>
      <c r="BD97" s="261"/>
    </row>
    <row r="98" spans="1:56" ht="15.75" x14ac:dyDescent="0.25">
      <c r="A98" s="38" t="s">
        <v>65</v>
      </c>
      <c r="B98" s="302">
        <v>4.8500000000000001E-2</v>
      </c>
      <c r="C98" s="38"/>
      <c r="D98" s="305"/>
      <c r="E98" s="306" t="s">
        <v>69</v>
      </c>
      <c r="F98" s="302">
        <v>5.0099999999999999E-2</v>
      </c>
      <c r="G98" s="287"/>
      <c r="H98" s="220"/>
      <c r="I98" s="38" t="s">
        <v>65</v>
      </c>
      <c r="J98" s="302">
        <v>4.5600000000000002E-2</v>
      </c>
      <c r="L98" s="257"/>
      <c r="M98" s="257"/>
      <c r="N98" s="257"/>
      <c r="O98" s="257"/>
      <c r="P98" s="257" t="str">
        <f>IFERROR(VLOOKUP(B98,[1]Datos!$A:$E,5,FALSE)/1000000000,"-")</f>
        <v>-</v>
      </c>
      <c r="R98" s="308"/>
      <c r="T98" s="309"/>
      <c r="U98" s="309"/>
      <c r="V98" s="257"/>
      <c r="W98" s="257"/>
      <c r="X98" s="257"/>
      <c r="Y98" s="257"/>
      <c r="Z98" s="257"/>
      <c r="AD98" s="309"/>
      <c r="AE98" s="309"/>
      <c r="AF98" s="257"/>
      <c r="AG98" s="257"/>
      <c r="AH98" s="257"/>
      <c r="AI98" s="257"/>
      <c r="AJ98" s="257"/>
      <c r="AK98" s="257"/>
      <c r="AL98" s="257"/>
      <c r="AM98" s="257"/>
      <c r="AN98" s="257"/>
      <c r="AO98" s="257"/>
      <c r="AP98" s="257"/>
      <c r="AQ98" s="257"/>
      <c r="AR98" s="257"/>
      <c r="AS98" s="257"/>
      <c r="AT98" s="257"/>
      <c r="AU98" s="257"/>
      <c r="AV98" s="259"/>
      <c r="AW98" s="259"/>
      <c r="AX98" s="259"/>
      <c r="AY98" s="260"/>
      <c r="AZ98" s="260"/>
      <c r="BA98" s="260"/>
      <c r="BB98" s="260"/>
      <c r="BC98" s="260"/>
      <c r="BD98" s="261"/>
    </row>
    <row r="99" spans="1:56" ht="15.75" x14ac:dyDescent="0.25">
      <c r="A99" s="38" t="s">
        <v>69</v>
      </c>
      <c r="B99" s="302">
        <v>4.4600000000000001E-2</v>
      </c>
      <c r="C99" s="38"/>
      <c r="D99" s="305"/>
      <c r="E99" s="306" t="s">
        <v>53</v>
      </c>
      <c r="F99" s="302">
        <v>4.1599999999999998E-2</v>
      </c>
      <c r="G99" s="287"/>
      <c r="H99" s="220"/>
      <c r="I99" s="38" t="s">
        <v>69</v>
      </c>
      <c r="J99" s="302">
        <v>4.19E-2</v>
      </c>
      <c r="L99" s="257"/>
      <c r="M99" s="257"/>
      <c r="N99" s="257"/>
      <c r="O99" s="257"/>
      <c r="P99" s="257"/>
      <c r="R99" s="279"/>
      <c r="T99" s="307"/>
      <c r="U99" s="307"/>
      <c r="V99" s="257"/>
      <c r="W99" s="257"/>
      <c r="X99" s="257"/>
      <c r="Y99" s="257"/>
      <c r="Z99" s="257"/>
      <c r="AD99" s="307"/>
      <c r="AE99" s="307"/>
      <c r="AF99" s="257"/>
      <c r="AG99" s="257"/>
      <c r="AH99" s="257"/>
      <c r="AI99" s="257"/>
      <c r="AJ99" s="257"/>
      <c r="AK99" s="257"/>
      <c r="AL99" s="257"/>
      <c r="AM99" s="257"/>
      <c r="AN99" s="257"/>
      <c r="AO99" s="257"/>
      <c r="AP99" s="257"/>
      <c r="AQ99" s="257"/>
      <c r="AR99" s="257"/>
      <c r="AS99" s="257"/>
      <c r="AT99" s="257"/>
      <c r="AU99" s="257"/>
      <c r="AV99" s="259"/>
      <c r="AW99" s="259"/>
      <c r="AX99" s="259"/>
      <c r="AY99" s="260"/>
      <c r="AZ99" s="260"/>
      <c r="BA99" s="260"/>
      <c r="BB99" s="260"/>
      <c r="BC99" s="260"/>
      <c r="BD99" s="261"/>
    </row>
    <row r="100" spans="1:56" ht="15.75" x14ac:dyDescent="0.25">
      <c r="A100" s="38" t="s">
        <v>53</v>
      </c>
      <c r="B100" s="302">
        <v>3.7100000000000001E-2</v>
      </c>
      <c r="C100" s="38"/>
      <c r="D100" s="305"/>
      <c r="E100" s="306" t="s">
        <v>67</v>
      </c>
      <c r="F100" s="302">
        <v>3.9600000000000003E-2</v>
      </c>
      <c r="G100" s="287"/>
      <c r="H100" s="220"/>
      <c r="I100" s="38" t="s">
        <v>53</v>
      </c>
      <c r="J100" s="302">
        <v>3.4799999999999998E-2</v>
      </c>
      <c r="L100" s="257"/>
      <c r="M100" s="257"/>
      <c r="N100" s="257"/>
      <c r="O100" s="257"/>
      <c r="P100" s="257"/>
      <c r="R100" s="308"/>
      <c r="T100" s="309"/>
      <c r="U100" s="309"/>
      <c r="V100" s="257"/>
      <c r="W100" s="257"/>
      <c r="X100" s="257"/>
      <c r="Y100" s="257"/>
      <c r="Z100" s="257"/>
      <c r="AD100" s="309"/>
      <c r="AE100" s="309"/>
      <c r="AF100" s="257"/>
      <c r="AG100" s="257"/>
      <c r="AH100" s="257"/>
      <c r="AI100" s="257"/>
      <c r="AJ100" s="257"/>
      <c r="AK100" s="257"/>
      <c r="AL100" s="257"/>
      <c r="AM100" s="257"/>
      <c r="AN100" s="257"/>
      <c r="AO100" s="257"/>
      <c r="AP100" s="257"/>
      <c r="AQ100" s="257"/>
      <c r="AR100" s="257"/>
      <c r="AS100" s="257"/>
      <c r="AT100" s="257"/>
      <c r="AU100" s="257"/>
      <c r="AV100" s="259"/>
      <c r="AW100" s="259"/>
      <c r="AX100" s="259"/>
      <c r="AY100" s="260"/>
      <c r="AZ100" s="260"/>
      <c r="BA100" s="260"/>
      <c r="BB100" s="260"/>
      <c r="BC100" s="260"/>
      <c r="BD100" s="261"/>
    </row>
    <row r="101" spans="1:56" ht="15.75" x14ac:dyDescent="0.25">
      <c r="A101" s="38" t="s">
        <v>67</v>
      </c>
      <c r="B101" s="302">
        <v>3.5299999999999998E-2</v>
      </c>
      <c r="C101" s="38"/>
      <c r="D101" s="305"/>
      <c r="E101" s="306" t="s">
        <v>63</v>
      </c>
      <c r="F101" s="302">
        <v>3.95E-2</v>
      </c>
      <c r="G101" s="287"/>
      <c r="H101" s="220"/>
      <c r="I101" s="38" t="s">
        <v>67</v>
      </c>
      <c r="J101" s="302">
        <v>3.32E-2</v>
      </c>
      <c r="L101" s="257"/>
      <c r="M101" s="257"/>
      <c r="N101" s="257"/>
      <c r="O101" s="257"/>
      <c r="P101" s="257"/>
      <c r="R101" s="279"/>
      <c r="T101" s="307"/>
      <c r="U101" s="307"/>
      <c r="V101" s="257"/>
      <c r="W101" s="257"/>
      <c r="X101" s="257"/>
      <c r="Y101" s="257"/>
      <c r="Z101" s="257"/>
      <c r="AD101" s="307"/>
      <c r="AE101" s="307"/>
      <c r="AF101" s="257"/>
      <c r="AG101" s="257"/>
      <c r="AH101" s="257"/>
      <c r="AI101" s="257"/>
      <c r="AJ101" s="257"/>
      <c r="AK101" s="257"/>
      <c r="AL101" s="257"/>
      <c r="AM101" s="257"/>
      <c r="AN101" s="257"/>
      <c r="AO101" s="257"/>
      <c r="AP101" s="257"/>
      <c r="AQ101" s="257"/>
      <c r="AR101" s="257"/>
      <c r="AS101" s="257"/>
      <c r="AT101" s="257"/>
      <c r="AU101" s="257"/>
      <c r="AV101" s="259"/>
      <c r="AW101" s="259"/>
      <c r="AX101" s="259"/>
      <c r="AY101" s="260"/>
      <c r="AZ101" s="260"/>
      <c r="BA101" s="260"/>
      <c r="BB101" s="260"/>
      <c r="BC101" s="260"/>
      <c r="BD101" s="261"/>
    </row>
    <row r="102" spans="1:56" ht="15.75" x14ac:dyDescent="0.25">
      <c r="A102" s="38" t="s">
        <v>63</v>
      </c>
      <c r="B102" s="302">
        <v>3.5200000000000002E-2</v>
      </c>
      <c r="C102" s="38"/>
      <c r="D102" s="305"/>
      <c r="E102" s="306" t="s">
        <v>78</v>
      </c>
      <c r="F102" s="302">
        <v>3.6999999999999998E-2</v>
      </c>
      <c r="G102" s="287"/>
      <c r="H102" s="220"/>
      <c r="I102" s="38" t="s">
        <v>63</v>
      </c>
      <c r="J102" s="302">
        <v>3.3099999999999997E-2</v>
      </c>
      <c r="L102" s="257"/>
      <c r="M102" s="257"/>
      <c r="N102" s="257"/>
      <c r="O102" s="257"/>
      <c r="P102" s="257"/>
      <c r="R102" s="308"/>
      <c r="T102" s="309"/>
      <c r="U102" s="309"/>
      <c r="V102" s="257"/>
      <c r="W102" s="257"/>
      <c r="X102" s="257"/>
      <c r="Y102" s="257"/>
      <c r="Z102" s="257"/>
      <c r="AD102" s="309"/>
      <c r="AE102" s="309"/>
      <c r="AF102" s="257"/>
      <c r="AG102" s="257"/>
      <c r="AH102" s="257"/>
      <c r="AI102" s="257"/>
      <c r="AJ102" s="257"/>
      <c r="AK102" s="257"/>
      <c r="AL102" s="257"/>
      <c r="AM102" s="257"/>
      <c r="AN102" s="257"/>
      <c r="AO102" s="257"/>
      <c r="AP102" s="257"/>
      <c r="AQ102" s="257"/>
      <c r="AR102" s="257"/>
      <c r="AS102" s="257"/>
      <c r="AT102" s="257"/>
      <c r="AU102" s="257"/>
      <c r="AV102" s="259"/>
      <c r="AW102" s="259"/>
      <c r="AX102" s="259"/>
      <c r="AY102" s="260"/>
      <c r="AZ102" s="260"/>
      <c r="BA102" s="260"/>
      <c r="BB102" s="260"/>
      <c r="BC102" s="260"/>
      <c r="BD102" s="261"/>
    </row>
    <row r="103" spans="1:56" ht="15.75" x14ac:dyDescent="0.25">
      <c r="A103" s="38" t="s">
        <v>17</v>
      </c>
      <c r="B103" s="302">
        <v>3.4799999999999998E-2</v>
      </c>
      <c r="C103" s="38"/>
      <c r="D103" s="305"/>
      <c r="E103" s="306" t="s">
        <v>32</v>
      </c>
      <c r="F103" s="302">
        <v>3.3700000000000001E-2</v>
      </c>
      <c r="G103" s="287"/>
      <c r="H103" s="220"/>
      <c r="I103" s="38" t="s">
        <v>17</v>
      </c>
      <c r="J103" s="302">
        <v>3.27E-2</v>
      </c>
      <c r="L103" s="257"/>
      <c r="M103" s="257"/>
      <c r="N103" s="257"/>
      <c r="O103" s="257"/>
      <c r="P103" s="257"/>
      <c r="R103" s="279"/>
      <c r="T103" s="307"/>
      <c r="U103" s="307"/>
      <c r="V103" s="257"/>
      <c r="W103" s="257"/>
      <c r="X103" s="257"/>
      <c r="Y103" s="257"/>
      <c r="Z103" s="257"/>
      <c r="AD103" s="307"/>
      <c r="AE103" s="307"/>
      <c r="AF103" s="257"/>
      <c r="AG103" s="257"/>
      <c r="AH103" s="257"/>
      <c r="AI103" s="257"/>
      <c r="AJ103" s="257"/>
      <c r="AK103" s="257"/>
      <c r="AL103" s="257"/>
      <c r="AM103" s="257"/>
      <c r="AN103" s="257"/>
      <c r="AO103" s="257"/>
      <c r="AP103" s="257"/>
      <c r="AQ103" s="257"/>
      <c r="AR103" s="257"/>
      <c r="AS103" s="257"/>
      <c r="AT103" s="257"/>
      <c r="AU103" s="257"/>
      <c r="AV103" s="259"/>
      <c r="AW103" s="259"/>
      <c r="AX103" s="259"/>
      <c r="AY103" s="260"/>
      <c r="AZ103" s="260"/>
      <c r="BA103" s="260"/>
      <c r="BB103" s="260"/>
      <c r="BC103" s="260"/>
      <c r="BD103" s="261"/>
    </row>
    <row r="104" spans="1:56" ht="15.75" x14ac:dyDescent="0.25">
      <c r="A104" s="38" t="s">
        <v>78</v>
      </c>
      <c r="B104" s="302">
        <v>3.3000000000000002E-2</v>
      </c>
      <c r="C104" s="38"/>
      <c r="D104" s="305"/>
      <c r="E104" s="306" t="s">
        <v>62</v>
      </c>
      <c r="F104" s="302">
        <v>2.9000000000000001E-2</v>
      </c>
      <c r="G104" s="287"/>
      <c r="H104" s="220"/>
      <c r="I104" s="38" t="s">
        <v>78</v>
      </c>
      <c r="J104" s="302">
        <v>3.1E-2</v>
      </c>
      <c r="L104" s="257"/>
      <c r="M104" s="257"/>
      <c r="N104" s="257"/>
      <c r="O104" s="257"/>
      <c r="P104" s="257"/>
      <c r="R104" s="308"/>
      <c r="T104" s="309"/>
      <c r="U104" s="309"/>
      <c r="V104" s="257"/>
      <c r="W104" s="257"/>
      <c r="X104" s="257"/>
      <c r="Y104" s="257"/>
      <c r="Z104" s="257"/>
      <c r="AD104" s="309"/>
      <c r="AE104" s="309"/>
      <c r="AF104" s="257"/>
      <c r="AG104" s="257"/>
      <c r="AH104" s="257"/>
      <c r="AI104" s="257"/>
      <c r="AJ104" s="257"/>
      <c r="AK104" s="257"/>
      <c r="AL104" s="257"/>
      <c r="AM104" s="257"/>
      <c r="AN104" s="257"/>
      <c r="AO104" s="257"/>
      <c r="AP104" s="257"/>
      <c r="AQ104" s="257"/>
      <c r="AR104" s="257"/>
      <c r="AS104" s="257"/>
      <c r="AT104" s="257"/>
      <c r="AU104" s="257"/>
      <c r="AV104" s="259"/>
      <c r="AW104" s="259"/>
      <c r="AX104" s="259"/>
      <c r="AY104" s="260"/>
      <c r="AZ104" s="260"/>
      <c r="BA104" s="260"/>
      <c r="BB104" s="260"/>
      <c r="BC104" s="260"/>
      <c r="BD104" s="261"/>
    </row>
    <row r="105" spans="1:56" ht="15.75" x14ac:dyDescent="0.25">
      <c r="A105" s="38" t="s">
        <v>32</v>
      </c>
      <c r="B105" s="302">
        <v>0.03</v>
      </c>
      <c r="C105" s="38"/>
      <c r="D105" s="305"/>
      <c r="E105" s="306" t="s">
        <v>75</v>
      </c>
      <c r="F105" s="302">
        <v>2.4E-2</v>
      </c>
      <c r="G105" s="287"/>
      <c r="H105" s="220"/>
      <c r="I105" s="38" t="s">
        <v>32</v>
      </c>
      <c r="J105" s="302">
        <v>2.8199999999999999E-2</v>
      </c>
      <c r="L105" s="257"/>
      <c r="M105" s="257"/>
      <c r="N105" s="257"/>
      <c r="O105" s="257"/>
      <c r="P105" s="257"/>
      <c r="R105" s="279"/>
      <c r="T105" s="307"/>
      <c r="U105" s="307"/>
      <c r="V105" s="257"/>
      <c r="W105" s="257"/>
      <c r="X105" s="257"/>
      <c r="Y105" s="257"/>
      <c r="Z105" s="257"/>
      <c r="AD105" s="307"/>
      <c r="AE105" s="307"/>
      <c r="AF105" s="257"/>
      <c r="AG105" s="257"/>
      <c r="AH105" s="257"/>
      <c r="AI105" s="257"/>
      <c r="AJ105" s="257"/>
      <c r="AK105" s="257"/>
      <c r="AL105" s="257"/>
      <c r="AM105" s="257"/>
      <c r="AN105" s="257"/>
      <c r="AO105" s="257"/>
      <c r="AP105" s="257"/>
      <c r="AQ105" s="257"/>
      <c r="AR105" s="257"/>
      <c r="AS105" s="257"/>
      <c r="AT105" s="257"/>
      <c r="AU105" s="257"/>
      <c r="AV105" s="259"/>
      <c r="AW105" s="259"/>
      <c r="AX105" s="259"/>
      <c r="AY105" s="260"/>
      <c r="AZ105" s="260"/>
      <c r="BA105" s="260"/>
      <c r="BB105" s="260"/>
      <c r="BC105" s="260"/>
      <c r="BD105" s="261"/>
    </row>
    <row r="106" spans="1:56" ht="15.75" x14ac:dyDescent="0.25">
      <c r="A106" s="38" t="s">
        <v>62</v>
      </c>
      <c r="B106" s="302">
        <v>2.58E-2</v>
      </c>
      <c r="C106" s="38"/>
      <c r="D106" s="305"/>
      <c r="E106" s="306" t="s">
        <v>44</v>
      </c>
      <c r="F106" s="302">
        <v>2.3900000000000001E-2</v>
      </c>
      <c r="G106" s="287"/>
      <c r="H106" s="220"/>
      <c r="I106" s="38" t="s">
        <v>62</v>
      </c>
      <c r="J106" s="302">
        <v>2.4299999999999999E-2</v>
      </c>
      <c r="L106" s="257"/>
      <c r="M106" s="257"/>
      <c r="N106" s="257"/>
      <c r="O106" s="257"/>
      <c r="P106" s="257"/>
      <c r="R106" s="308"/>
      <c r="T106" s="309"/>
      <c r="U106" s="309"/>
      <c r="V106" s="257"/>
      <c r="W106" s="257"/>
      <c r="X106" s="257"/>
      <c r="Y106" s="257"/>
      <c r="Z106" s="257"/>
      <c r="AD106" s="309"/>
      <c r="AE106" s="309"/>
      <c r="AF106" s="257"/>
      <c r="AG106" s="257"/>
      <c r="AH106" s="257"/>
      <c r="AI106" s="257"/>
      <c r="AJ106" s="257"/>
      <c r="AK106" s="257"/>
      <c r="AL106" s="257"/>
      <c r="AM106" s="257"/>
      <c r="AN106" s="257"/>
      <c r="AO106" s="257"/>
      <c r="AP106" s="257"/>
      <c r="AQ106" s="257"/>
      <c r="AR106" s="257"/>
      <c r="AS106" s="257"/>
      <c r="AT106" s="257"/>
      <c r="AU106" s="257"/>
      <c r="AV106" s="259"/>
      <c r="AW106" s="259"/>
      <c r="AX106" s="259"/>
      <c r="AY106" s="260"/>
      <c r="AZ106" s="260"/>
      <c r="BA106" s="260"/>
      <c r="BB106" s="260"/>
      <c r="BC106" s="260"/>
      <c r="BD106" s="261"/>
    </row>
    <row r="107" spans="1:56" ht="15.75" x14ac:dyDescent="0.25">
      <c r="A107" s="38" t="s">
        <v>75</v>
      </c>
      <c r="B107" s="302">
        <v>2.1299999999999999E-2</v>
      </c>
      <c r="C107" s="38"/>
      <c r="D107" s="305"/>
      <c r="E107" s="306" t="s">
        <v>74</v>
      </c>
      <c r="F107" s="302">
        <v>2.2200000000000001E-2</v>
      </c>
      <c r="G107" s="287"/>
      <c r="H107" s="220"/>
      <c r="I107" s="38" t="s">
        <v>75</v>
      </c>
      <c r="J107" s="302">
        <v>0.02</v>
      </c>
      <c r="L107" s="257"/>
      <c r="M107" s="257"/>
      <c r="N107" s="257"/>
      <c r="O107" s="257"/>
      <c r="P107" s="257"/>
      <c r="R107" s="279"/>
      <c r="T107" s="307"/>
      <c r="U107" s="307"/>
      <c r="V107" s="257"/>
      <c r="W107" s="257"/>
      <c r="X107" s="257"/>
      <c r="Y107" s="257"/>
      <c r="Z107" s="257"/>
      <c r="AD107" s="307"/>
      <c r="AE107" s="307"/>
      <c r="AF107" s="257"/>
      <c r="AG107" s="257"/>
      <c r="AH107" s="257"/>
      <c r="AI107" s="257"/>
      <c r="AJ107" s="257"/>
      <c r="AK107" s="257"/>
      <c r="AL107" s="257"/>
      <c r="AM107" s="257"/>
      <c r="AN107" s="257"/>
      <c r="AO107" s="257"/>
      <c r="AP107" s="257"/>
      <c r="AQ107" s="257"/>
      <c r="AR107" s="257"/>
      <c r="AS107" s="257"/>
      <c r="AT107" s="257"/>
      <c r="AU107" s="257"/>
      <c r="AV107" s="259"/>
      <c r="AW107" s="259"/>
      <c r="AX107" s="259"/>
      <c r="AY107" s="260"/>
      <c r="AZ107" s="260"/>
      <c r="BA107" s="260"/>
      <c r="BB107" s="260"/>
      <c r="BC107" s="260"/>
      <c r="BD107" s="261"/>
    </row>
    <row r="108" spans="1:56" ht="15.75" x14ac:dyDescent="0.25">
      <c r="A108" s="38" t="s">
        <v>44</v>
      </c>
      <c r="B108" s="302">
        <v>2.1299999999999999E-2</v>
      </c>
      <c r="C108" s="38"/>
      <c r="D108" s="293"/>
      <c r="E108" s="38" t="s">
        <v>61</v>
      </c>
      <c r="F108" s="302">
        <v>2.0500000000000001E-2</v>
      </c>
      <c r="G108" s="287"/>
      <c r="H108" s="220"/>
      <c r="I108" s="38" t="s">
        <v>44</v>
      </c>
      <c r="J108" s="302">
        <v>0.02</v>
      </c>
      <c r="L108" s="257"/>
      <c r="M108" s="257"/>
      <c r="N108" s="257"/>
      <c r="O108" s="257"/>
      <c r="P108" s="257"/>
      <c r="R108" s="308"/>
      <c r="T108" s="309"/>
      <c r="U108" s="309"/>
      <c r="V108" s="257"/>
      <c r="W108" s="257"/>
      <c r="X108" s="257"/>
      <c r="Y108" s="257"/>
      <c r="Z108" s="257"/>
      <c r="AD108" s="309"/>
      <c r="AE108" s="309"/>
      <c r="AF108" s="257"/>
      <c r="AG108" s="257"/>
      <c r="AH108" s="257"/>
      <c r="AI108" s="257"/>
      <c r="AJ108" s="257"/>
      <c r="AK108" s="257"/>
      <c r="AL108" s="257"/>
      <c r="AM108" s="257"/>
      <c r="AN108" s="257"/>
      <c r="AO108" s="257"/>
      <c r="AP108" s="257"/>
      <c r="AQ108" s="257"/>
      <c r="AR108" s="257"/>
      <c r="AS108" s="257"/>
      <c r="AT108" s="257"/>
      <c r="AU108" s="257"/>
      <c r="AV108" s="259"/>
      <c r="AW108" s="259"/>
      <c r="AX108" s="259"/>
      <c r="AY108" s="260"/>
      <c r="AZ108" s="260"/>
      <c r="BA108" s="260"/>
      <c r="BB108" s="260"/>
      <c r="BC108" s="260"/>
      <c r="BD108" s="261"/>
    </row>
    <row r="109" spans="1:56" ht="15.75" x14ac:dyDescent="0.25">
      <c r="A109" s="38" t="s">
        <v>74</v>
      </c>
      <c r="B109" s="302">
        <v>1.9800000000000002E-2</v>
      </c>
      <c r="C109" s="38"/>
      <c r="D109" s="293"/>
      <c r="E109" s="38" t="s">
        <v>64</v>
      </c>
      <c r="F109" s="302">
        <v>1.9099999999999999E-2</v>
      </c>
      <c r="G109" s="287"/>
      <c r="H109" s="220"/>
      <c r="I109" s="38" t="s">
        <v>74</v>
      </c>
      <c r="J109" s="302">
        <v>1.8599999999999998E-2</v>
      </c>
      <c r="L109" s="257"/>
      <c r="M109" s="257"/>
      <c r="N109" s="257"/>
      <c r="O109" s="257"/>
      <c r="P109" s="257"/>
      <c r="R109" s="278"/>
      <c r="S109" s="31"/>
      <c r="T109" s="310"/>
      <c r="U109" s="310"/>
      <c r="V109" s="257"/>
      <c r="W109" s="257"/>
      <c r="X109" s="257"/>
      <c r="Y109" s="257"/>
      <c r="Z109" s="257"/>
      <c r="AC109" s="31"/>
      <c r="AD109" s="310"/>
      <c r="AE109" s="310"/>
      <c r="AF109" s="257"/>
      <c r="AG109" s="257"/>
      <c r="AH109" s="257"/>
      <c r="AI109" s="257"/>
      <c r="AJ109" s="257"/>
      <c r="AK109" s="257"/>
      <c r="AL109" s="257"/>
      <c r="AM109" s="257"/>
      <c r="AN109" s="257"/>
      <c r="AO109" s="257"/>
      <c r="AP109" s="257"/>
      <c r="AQ109" s="257"/>
      <c r="AR109" s="257"/>
      <c r="AS109" s="257"/>
      <c r="AT109" s="257"/>
      <c r="AU109" s="257"/>
      <c r="AV109" s="259"/>
      <c r="AW109" s="259"/>
      <c r="AX109" s="259"/>
      <c r="AY109" s="260"/>
      <c r="AZ109" s="260"/>
      <c r="BA109" s="260"/>
      <c r="BB109" s="260"/>
      <c r="BC109" s="260"/>
      <c r="BD109" s="261"/>
    </row>
    <row r="110" spans="1:56" ht="15.75" x14ac:dyDescent="0.25">
      <c r="A110" s="38" t="s">
        <v>61</v>
      </c>
      <c r="B110" s="302">
        <v>1.83E-2</v>
      </c>
      <c r="C110" s="38"/>
      <c r="D110" s="293"/>
      <c r="E110" s="311" t="s">
        <v>54</v>
      </c>
      <c r="F110" s="312">
        <v>1.8100000000000002E-2</v>
      </c>
      <c r="G110" s="287"/>
      <c r="H110" s="220"/>
      <c r="I110" s="38" t="s">
        <v>61</v>
      </c>
      <c r="J110" s="302">
        <v>1.72E-2</v>
      </c>
      <c r="L110" s="257"/>
      <c r="M110" s="257"/>
      <c r="N110" s="257"/>
      <c r="O110" s="257"/>
      <c r="P110" s="257"/>
      <c r="R110" s="303"/>
      <c r="S110" s="31"/>
      <c r="T110" s="304"/>
      <c r="U110" s="304"/>
      <c r="V110" s="257"/>
      <c r="W110" s="257"/>
      <c r="X110" s="257"/>
      <c r="Y110" s="257"/>
      <c r="Z110" s="257"/>
      <c r="AC110" s="31"/>
      <c r="AD110" s="304"/>
      <c r="AE110" s="304"/>
      <c r="AF110" s="257"/>
      <c r="AG110" s="257"/>
      <c r="AH110" s="257"/>
      <c r="AI110" s="257"/>
      <c r="AJ110" s="257"/>
      <c r="AK110" s="257"/>
      <c r="AL110" s="257"/>
      <c r="AM110" s="257"/>
      <c r="AN110" s="257"/>
      <c r="AO110" s="257"/>
      <c r="AP110" s="257"/>
      <c r="AQ110" s="257"/>
      <c r="AR110" s="257"/>
      <c r="AS110" s="257"/>
      <c r="AT110" s="257"/>
      <c r="AU110" s="257"/>
      <c r="AV110" s="259"/>
      <c r="AW110" s="259"/>
      <c r="AX110" s="259"/>
      <c r="AY110" s="260"/>
      <c r="AZ110" s="260"/>
      <c r="BA110" s="260"/>
      <c r="BB110" s="260"/>
      <c r="BC110" s="260"/>
      <c r="BD110" s="261"/>
    </row>
    <row r="111" spans="1:56" ht="15.75" x14ac:dyDescent="0.25">
      <c r="A111" s="311" t="s">
        <v>64</v>
      </c>
      <c r="B111" s="312">
        <v>1.7000000000000001E-2</v>
      </c>
      <c r="C111" s="38"/>
      <c r="D111" s="305"/>
      <c r="E111" s="274"/>
      <c r="F111" s="38"/>
      <c r="G111" s="287"/>
      <c r="H111" s="220"/>
      <c r="I111" s="38" t="s">
        <v>64</v>
      </c>
      <c r="J111" s="302">
        <v>1.6E-2</v>
      </c>
      <c r="L111" s="257"/>
      <c r="M111" s="257"/>
      <c r="N111" s="257"/>
      <c r="O111" s="257"/>
      <c r="P111" s="257"/>
      <c r="Q111" s="257"/>
      <c r="R111" s="257"/>
      <c r="S111" s="257"/>
      <c r="T111" s="257"/>
      <c r="U111" s="257"/>
      <c r="V111" s="257"/>
      <c r="W111" s="257"/>
      <c r="X111" s="257"/>
      <c r="Y111" s="257"/>
      <c r="Z111" s="257"/>
      <c r="AC111" s="31"/>
      <c r="AD111" s="310"/>
      <c r="AE111" s="310"/>
      <c r="AF111" s="257"/>
      <c r="AG111" s="257"/>
      <c r="AH111" s="257"/>
      <c r="AI111" s="257"/>
      <c r="AJ111" s="257"/>
      <c r="AK111" s="257"/>
      <c r="AL111" s="257"/>
      <c r="AM111" s="257"/>
      <c r="AN111" s="257"/>
      <c r="AO111" s="257"/>
      <c r="AP111" s="257"/>
      <c r="AQ111" s="257"/>
      <c r="AR111" s="257"/>
      <c r="AS111" s="257"/>
      <c r="AT111" s="257"/>
      <c r="AU111" s="257"/>
      <c r="AV111" s="259"/>
      <c r="AW111" s="259"/>
      <c r="AX111" s="259"/>
      <c r="AY111" s="260"/>
      <c r="AZ111" s="260"/>
      <c r="BA111" s="260"/>
      <c r="BB111" s="260"/>
      <c r="BC111" s="260"/>
      <c r="BD111" s="261"/>
    </row>
    <row r="112" spans="1:56" ht="15.75" x14ac:dyDescent="0.25">
      <c r="A112" s="292"/>
      <c r="B112" s="292"/>
      <c r="C112" s="292"/>
      <c r="D112" s="293"/>
      <c r="E112" s="277"/>
      <c r="F112" s="38"/>
      <c r="G112" s="287"/>
      <c r="H112" s="220"/>
      <c r="I112" s="38" t="s">
        <v>54</v>
      </c>
      <c r="J112" s="302">
        <v>1.52E-2</v>
      </c>
      <c r="L112" s="257"/>
      <c r="M112" s="257"/>
      <c r="N112" s="257"/>
      <c r="O112" s="257"/>
      <c r="P112" s="257"/>
      <c r="Q112" s="257"/>
      <c r="R112" s="257"/>
      <c r="S112" s="257"/>
      <c r="T112" s="257"/>
      <c r="U112" s="257"/>
      <c r="V112" s="257"/>
      <c r="W112" s="257"/>
      <c r="X112" s="257"/>
      <c r="Y112" s="257"/>
      <c r="Z112" s="257"/>
      <c r="AA112" s="257"/>
      <c r="AB112" s="257"/>
      <c r="AC112" s="257"/>
      <c r="AD112" s="257"/>
      <c r="AE112" s="257"/>
      <c r="AF112" s="257"/>
      <c r="AG112" s="257"/>
      <c r="AH112" s="257"/>
      <c r="AI112" s="257"/>
      <c r="AJ112" s="257"/>
      <c r="AK112" s="257"/>
      <c r="AL112" s="257"/>
      <c r="AM112" s="257"/>
      <c r="AN112" s="257"/>
      <c r="AO112" s="257"/>
      <c r="AP112" s="257"/>
      <c r="AQ112" s="257"/>
      <c r="AR112" s="257"/>
      <c r="AS112" s="257"/>
      <c r="AT112" s="257"/>
      <c r="AU112" s="257"/>
      <c r="AV112" s="259"/>
      <c r="AW112" s="259"/>
      <c r="AX112" s="259"/>
      <c r="AY112" s="260"/>
      <c r="AZ112" s="260"/>
      <c r="BA112" s="260"/>
      <c r="BB112" s="260"/>
      <c r="BC112" s="260"/>
      <c r="BD112" s="261"/>
    </row>
    <row r="113" spans="1:56" ht="15.75" x14ac:dyDescent="0.25">
      <c r="A113" s="313" t="s">
        <v>364</v>
      </c>
      <c r="B113" s="292"/>
      <c r="C113" s="292"/>
      <c r="D113" s="293"/>
      <c r="E113" s="277"/>
      <c r="F113" s="38"/>
      <c r="G113" s="287"/>
      <c r="H113" s="220"/>
      <c r="I113" s="38" t="s">
        <v>34</v>
      </c>
      <c r="J113" s="302">
        <v>1.3100000000000001E-2</v>
      </c>
      <c r="L113" s="257"/>
      <c r="M113" s="257"/>
      <c r="N113" s="257"/>
      <c r="O113" s="257"/>
      <c r="P113" s="257"/>
      <c r="Q113" s="257"/>
      <c r="R113" s="257"/>
      <c r="S113" s="257"/>
      <c r="T113" s="257"/>
      <c r="U113" s="257"/>
      <c r="V113" s="257"/>
      <c r="W113" s="257"/>
      <c r="X113" s="257"/>
      <c r="Y113" s="257"/>
      <c r="Z113" s="257"/>
      <c r="AA113" s="257"/>
      <c r="AB113" s="257"/>
      <c r="AC113" s="257"/>
      <c r="AD113" s="257"/>
      <c r="AE113" s="257"/>
      <c r="AF113" s="257"/>
      <c r="AG113" s="257"/>
      <c r="AH113" s="257"/>
      <c r="AI113" s="257"/>
      <c r="AJ113" s="257"/>
      <c r="AK113" s="257"/>
      <c r="AL113" s="257"/>
      <c r="AM113" s="257"/>
      <c r="AN113" s="257"/>
      <c r="AO113" s="257"/>
      <c r="AP113" s="257"/>
      <c r="AQ113" s="257"/>
      <c r="AR113" s="257"/>
      <c r="AS113" s="257"/>
      <c r="AT113" s="257"/>
      <c r="AU113" s="257"/>
      <c r="AV113" s="259"/>
      <c r="AW113" s="259"/>
      <c r="AX113" s="259"/>
      <c r="AY113" s="260"/>
      <c r="AZ113" s="260"/>
      <c r="BA113" s="260"/>
      <c r="BB113" s="260"/>
      <c r="BC113" s="260"/>
      <c r="BD113" s="261"/>
    </row>
    <row r="114" spans="1:56" ht="15.75" x14ac:dyDescent="0.25">
      <c r="A114" s="293" t="s">
        <v>365</v>
      </c>
      <c r="B114" s="292"/>
      <c r="C114" s="292"/>
      <c r="D114" s="293"/>
      <c r="E114" s="277"/>
      <c r="F114" s="38"/>
      <c r="G114" s="287"/>
      <c r="H114" s="220"/>
      <c r="I114" s="38" t="s">
        <v>52</v>
      </c>
      <c r="J114" s="302">
        <v>1.23E-2</v>
      </c>
      <c r="L114" s="257"/>
      <c r="M114" s="257"/>
      <c r="N114" s="257"/>
      <c r="O114" s="257"/>
      <c r="P114" s="257"/>
      <c r="Q114" s="257"/>
      <c r="R114" s="257"/>
      <c r="S114" s="257"/>
      <c r="T114" s="257"/>
      <c r="U114" s="257"/>
      <c r="V114" s="257"/>
      <c r="W114" s="257"/>
      <c r="X114" s="257"/>
      <c r="Y114" s="257"/>
      <c r="Z114" s="257"/>
      <c r="AA114" s="257"/>
      <c r="AB114" s="257"/>
      <c r="AC114" s="257"/>
      <c r="AD114" s="257"/>
      <c r="AE114" s="257"/>
      <c r="AF114" s="257"/>
      <c r="AG114" s="257"/>
      <c r="AH114" s="257"/>
      <c r="AI114" s="257"/>
      <c r="AJ114" s="257"/>
      <c r="AK114" s="257"/>
      <c r="AL114" s="257"/>
      <c r="AM114" s="257"/>
      <c r="AN114" s="257"/>
      <c r="AO114" s="257"/>
      <c r="AP114" s="257"/>
      <c r="AQ114" s="257"/>
      <c r="AR114" s="257"/>
      <c r="AS114" s="257"/>
      <c r="AT114" s="257"/>
      <c r="AU114" s="257"/>
      <c r="AV114" s="259"/>
      <c r="AW114" s="259"/>
      <c r="AX114" s="259"/>
      <c r="AY114" s="260"/>
      <c r="AZ114" s="260"/>
      <c r="BA114" s="260"/>
      <c r="BB114" s="260"/>
      <c r="BC114" s="260"/>
      <c r="BD114" s="261"/>
    </row>
    <row r="115" spans="1:56" ht="15.75" x14ac:dyDescent="0.25">
      <c r="B115" s="292"/>
      <c r="C115" s="292"/>
      <c r="D115" s="305"/>
      <c r="E115" s="274"/>
      <c r="F115" s="38"/>
      <c r="G115" s="287"/>
      <c r="H115" s="220"/>
      <c r="I115" s="38" t="s">
        <v>80</v>
      </c>
      <c r="J115" s="302">
        <v>0.01</v>
      </c>
      <c r="L115" s="257"/>
      <c r="M115" s="257"/>
      <c r="N115" s="257"/>
      <c r="O115" s="257"/>
      <c r="P115" s="257"/>
      <c r="Q115" s="257"/>
      <c r="R115" s="257"/>
      <c r="S115" s="257"/>
      <c r="T115" s="257"/>
      <c r="U115" s="257"/>
      <c r="V115" s="257"/>
      <c r="W115" s="257"/>
      <c r="X115" s="257"/>
      <c r="Y115" s="257"/>
      <c r="Z115" s="257"/>
      <c r="AA115" s="257"/>
      <c r="AB115" s="257"/>
      <c r="AC115" s="257"/>
      <c r="AD115" s="257"/>
      <c r="AE115" s="257"/>
      <c r="AF115" s="257"/>
      <c r="AG115" s="257"/>
      <c r="AH115" s="257"/>
      <c r="AI115" s="257"/>
      <c r="AJ115" s="257"/>
      <c r="AK115" s="257"/>
      <c r="AL115" s="257"/>
      <c r="AM115" s="257"/>
      <c r="AN115" s="257"/>
      <c r="AO115" s="257"/>
      <c r="AP115" s="257"/>
      <c r="AQ115" s="257"/>
      <c r="AR115" s="257"/>
      <c r="AS115" s="257"/>
      <c r="AT115" s="257"/>
      <c r="AU115" s="257"/>
      <c r="AV115" s="259"/>
      <c r="AW115" s="259"/>
      <c r="AX115" s="259"/>
      <c r="AY115" s="260"/>
      <c r="AZ115" s="260"/>
      <c r="BA115" s="260"/>
      <c r="BB115" s="260"/>
      <c r="BC115" s="260"/>
      <c r="BD115" s="261"/>
    </row>
    <row r="116" spans="1:56" ht="15.75" x14ac:dyDescent="0.25">
      <c r="A116" s="38"/>
      <c r="B116" s="292"/>
      <c r="C116" s="292"/>
      <c r="D116" s="305"/>
      <c r="E116" s="274"/>
      <c r="F116" s="220"/>
      <c r="G116" s="287"/>
      <c r="H116" s="220"/>
      <c r="I116" s="311" t="s">
        <v>81</v>
      </c>
      <c r="J116" s="312">
        <v>9.7999999999999997E-3</v>
      </c>
      <c r="L116" s="257"/>
      <c r="M116" s="257"/>
      <c r="N116" s="257"/>
      <c r="O116" s="257"/>
      <c r="P116" s="257"/>
      <c r="Q116" s="257"/>
      <c r="R116" s="257"/>
      <c r="S116" s="257"/>
      <c r="T116" s="257"/>
      <c r="U116" s="257"/>
      <c r="V116" s="257"/>
      <c r="W116" s="257"/>
      <c r="X116" s="257"/>
      <c r="Y116" s="257"/>
      <c r="Z116" s="257"/>
      <c r="AA116" s="257"/>
      <c r="AB116" s="257"/>
      <c r="AC116" s="257"/>
      <c r="AD116" s="257"/>
      <c r="AE116" s="257"/>
      <c r="AF116" s="257"/>
      <c r="AG116" s="257"/>
      <c r="AH116" s="257"/>
      <c r="AI116" s="257"/>
      <c r="AJ116" s="257"/>
      <c r="AK116" s="257"/>
      <c r="AL116" s="257"/>
      <c r="AM116" s="257"/>
      <c r="AN116" s="257"/>
      <c r="AO116" s="257"/>
      <c r="AP116" s="257"/>
      <c r="AQ116" s="257"/>
      <c r="AR116" s="257"/>
      <c r="AS116" s="257"/>
      <c r="AT116" s="257"/>
      <c r="AU116" s="257"/>
      <c r="AV116" s="259"/>
      <c r="AW116" s="259"/>
      <c r="AX116" s="259"/>
      <c r="AY116" s="260"/>
      <c r="AZ116" s="260"/>
      <c r="BA116" s="260"/>
      <c r="BB116" s="260"/>
      <c r="BC116" s="260"/>
      <c r="BD116" s="261"/>
    </row>
    <row r="117" spans="1:56" ht="15.75" x14ac:dyDescent="0.25">
      <c r="A117" s="255" t="s">
        <v>366</v>
      </c>
      <c r="B117" s="313"/>
      <c r="D117" s="177"/>
      <c r="E117" s="305"/>
      <c r="F117" s="313"/>
      <c r="G117" s="283"/>
      <c r="H117" s="283"/>
      <c r="I117" s="283"/>
      <c r="J117" s="313"/>
      <c r="K117" s="313"/>
      <c r="L117" s="313"/>
      <c r="M117" s="313"/>
      <c r="N117" s="313"/>
      <c r="O117" s="313"/>
      <c r="P117" s="313"/>
      <c r="Q117" s="313"/>
      <c r="R117" s="313"/>
      <c r="S117" s="313"/>
      <c r="T117" s="313"/>
      <c r="U117" s="313"/>
      <c r="V117" s="313"/>
      <c r="W117" s="257"/>
      <c r="X117" s="257"/>
      <c r="Y117" s="257"/>
      <c r="Z117" s="257"/>
      <c r="AA117" s="257"/>
      <c r="AB117" s="257"/>
      <c r="AC117" s="257"/>
      <c r="AD117" s="257"/>
      <c r="AE117" s="257"/>
      <c r="AF117" s="257"/>
      <c r="AG117" s="257"/>
      <c r="AH117" s="257"/>
      <c r="AI117" s="257"/>
      <c r="AJ117" s="257"/>
      <c r="AK117" s="257"/>
      <c r="AL117" s="257"/>
      <c r="AM117" s="257"/>
      <c r="AN117" s="257"/>
      <c r="AO117" s="257"/>
      <c r="AP117" s="257"/>
      <c r="AQ117" s="257"/>
      <c r="AR117" s="257"/>
      <c r="AS117" s="257"/>
      <c r="AT117" s="257"/>
      <c r="AU117" s="257"/>
      <c r="AV117" s="259"/>
      <c r="AW117" s="259"/>
      <c r="AX117" s="259"/>
      <c r="AY117" s="260"/>
      <c r="AZ117" s="260"/>
      <c r="BA117" s="260"/>
      <c r="BB117" s="260"/>
      <c r="BC117" s="260"/>
      <c r="BD117" s="261"/>
    </row>
    <row r="118" spans="1:56" ht="9" customHeight="1" x14ac:dyDescent="0.25">
      <c r="D118" s="177"/>
      <c r="E118" s="177"/>
    </row>
    <row r="119" spans="1:56" x14ac:dyDescent="0.25">
      <c r="A119" s="262" t="s">
        <v>4</v>
      </c>
      <c r="B119" s="263" t="s">
        <v>316</v>
      </c>
      <c r="E119" s="262" t="s">
        <v>4</v>
      </c>
      <c r="F119" s="263" t="s">
        <v>316</v>
      </c>
      <c r="I119" s="262" t="s">
        <v>4</v>
      </c>
      <c r="J119" s="263" t="s">
        <v>316</v>
      </c>
    </row>
    <row r="120" spans="1:56" x14ac:dyDescent="0.25">
      <c r="A120" t="s">
        <v>367</v>
      </c>
      <c r="B120" s="314" t="s">
        <v>368</v>
      </c>
      <c r="E120" t="s">
        <v>369</v>
      </c>
      <c r="F120" s="314" t="s">
        <v>370</v>
      </c>
      <c r="I120" t="s">
        <v>371</v>
      </c>
      <c r="J120" s="315" t="s">
        <v>372</v>
      </c>
    </row>
    <row r="121" spans="1:56" x14ac:dyDescent="0.25">
      <c r="A121" t="s">
        <v>373</v>
      </c>
      <c r="B121" s="314" t="s">
        <v>374</v>
      </c>
      <c r="E121" t="s">
        <v>375</v>
      </c>
      <c r="F121" s="314" t="s">
        <v>376</v>
      </c>
      <c r="I121" t="s">
        <v>377</v>
      </c>
      <c r="J121" s="315" t="s">
        <v>378</v>
      </c>
    </row>
    <row r="122" spans="1:56" x14ac:dyDescent="0.25">
      <c r="A122" t="s">
        <v>379</v>
      </c>
      <c r="B122" s="314" t="s">
        <v>380</v>
      </c>
      <c r="E122" t="s">
        <v>381</v>
      </c>
      <c r="F122" s="314" t="s">
        <v>382</v>
      </c>
      <c r="I122" t="s">
        <v>383</v>
      </c>
      <c r="J122" s="315" t="s">
        <v>327</v>
      </c>
    </row>
    <row r="123" spans="1:56" x14ac:dyDescent="0.25">
      <c r="A123" t="s">
        <v>384</v>
      </c>
      <c r="B123" s="314" t="s">
        <v>385</v>
      </c>
      <c r="E123" t="s">
        <v>386</v>
      </c>
      <c r="F123" s="314" t="s">
        <v>387</v>
      </c>
      <c r="I123" t="s">
        <v>388</v>
      </c>
      <c r="J123" s="315" t="s">
        <v>389</v>
      </c>
    </row>
    <row r="124" spans="1:56" x14ac:dyDescent="0.25">
      <c r="A124" t="s">
        <v>390</v>
      </c>
      <c r="B124" s="314" t="s">
        <v>391</v>
      </c>
      <c r="E124" t="s">
        <v>392</v>
      </c>
      <c r="F124" s="314" t="s">
        <v>393</v>
      </c>
      <c r="I124" t="s">
        <v>394</v>
      </c>
      <c r="J124" s="315" t="s">
        <v>395</v>
      </c>
    </row>
    <row r="125" spans="1:56" x14ac:dyDescent="0.25">
      <c r="A125" t="s">
        <v>396</v>
      </c>
      <c r="B125" s="314" t="s">
        <v>397</v>
      </c>
      <c r="E125" t="s">
        <v>398</v>
      </c>
      <c r="F125" s="314" t="s">
        <v>399</v>
      </c>
      <c r="I125" t="s">
        <v>400</v>
      </c>
      <c r="J125" s="315" t="s">
        <v>401</v>
      </c>
    </row>
    <row r="126" spans="1:56" x14ac:dyDescent="0.25">
      <c r="A126" t="s">
        <v>402</v>
      </c>
      <c r="B126" s="314" t="s">
        <v>403</v>
      </c>
      <c r="E126" t="s">
        <v>404</v>
      </c>
      <c r="F126" s="314" t="s">
        <v>405</v>
      </c>
      <c r="I126" t="s">
        <v>406</v>
      </c>
      <c r="J126" s="315" t="s">
        <v>407</v>
      </c>
    </row>
    <row r="127" spans="1:56" x14ac:dyDescent="0.25">
      <c r="A127" t="s">
        <v>408</v>
      </c>
      <c r="B127" s="314" t="s">
        <v>409</v>
      </c>
      <c r="E127" t="s">
        <v>410</v>
      </c>
      <c r="F127" s="314" t="s">
        <v>411</v>
      </c>
      <c r="I127" t="s">
        <v>412</v>
      </c>
      <c r="J127" s="315" t="s">
        <v>413</v>
      </c>
    </row>
    <row r="128" spans="1:56" x14ac:dyDescent="0.25">
      <c r="A128" t="s">
        <v>414</v>
      </c>
      <c r="B128" s="314" t="s">
        <v>415</v>
      </c>
      <c r="E128" t="s">
        <v>416</v>
      </c>
      <c r="F128" s="314" t="s">
        <v>417</v>
      </c>
      <c r="I128" t="s">
        <v>418</v>
      </c>
      <c r="J128" s="315" t="s">
        <v>419</v>
      </c>
    </row>
    <row r="129" spans="1:11" x14ac:dyDescent="0.25">
      <c r="A129" t="s">
        <v>420</v>
      </c>
      <c r="B129" s="314" t="s">
        <v>421</v>
      </c>
      <c r="E129" t="s">
        <v>422</v>
      </c>
      <c r="F129" s="314" t="s">
        <v>423</v>
      </c>
      <c r="I129" t="s">
        <v>424</v>
      </c>
      <c r="J129" s="315" t="s">
        <v>425</v>
      </c>
    </row>
    <row r="130" spans="1:11" x14ac:dyDescent="0.25">
      <c r="A130" t="s">
        <v>426</v>
      </c>
      <c r="B130" s="314" t="s">
        <v>427</v>
      </c>
      <c r="E130" t="s">
        <v>428</v>
      </c>
      <c r="F130" s="314" t="s">
        <v>429</v>
      </c>
      <c r="I130" t="s">
        <v>430</v>
      </c>
      <c r="J130" s="315" t="s">
        <v>431</v>
      </c>
    </row>
    <row r="131" spans="1:11" x14ac:dyDescent="0.25">
      <c r="A131" s="31"/>
      <c r="B131" s="31"/>
      <c r="C131" s="31"/>
      <c r="D131" s="31"/>
      <c r="E131" s="31"/>
      <c r="F131" s="31"/>
      <c r="G131" s="31"/>
      <c r="H131" s="31"/>
      <c r="I131" s="31"/>
      <c r="J131" s="31"/>
    </row>
    <row r="132" spans="1:11" x14ac:dyDescent="0.25">
      <c r="A132" s="31"/>
      <c r="B132" s="31"/>
      <c r="C132" s="31"/>
      <c r="D132" s="31"/>
      <c r="E132" s="31"/>
      <c r="F132" s="31"/>
      <c r="G132" s="31"/>
      <c r="H132" s="31"/>
      <c r="I132" s="31"/>
      <c r="J132" s="31"/>
    </row>
    <row r="133" spans="1:11" x14ac:dyDescent="0.25">
      <c r="A133" s="31"/>
      <c r="B133" s="31"/>
      <c r="C133" s="31"/>
      <c r="D133" s="31"/>
      <c r="E133" s="31"/>
      <c r="F133" s="31"/>
      <c r="G133" s="31"/>
      <c r="H133" s="31"/>
      <c r="I133" s="31"/>
      <c r="J133" s="31"/>
    </row>
    <row r="134" spans="1:11" x14ac:dyDescent="0.25">
      <c r="A134" s="31"/>
      <c r="B134" s="31"/>
      <c r="C134" s="31"/>
      <c r="D134" s="31"/>
      <c r="E134" s="31"/>
      <c r="F134" s="31"/>
      <c r="G134" s="31"/>
      <c r="H134" s="31"/>
      <c r="I134" s="31"/>
      <c r="J134" s="31"/>
      <c r="K134" s="31"/>
    </row>
    <row r="135" spans="1:11" x14ac:dyDescent="0.25">
      <c r="A135" s="316" t="s">
        <v>1</v>
      </c>
      <c r="B135" s="31"/>
      <c r="C135" s="31"/>
      <c r="D135" s="31"/>
      <c r="E135" s="31"/>
      <c r="F135" s="31"/>
      <c r="G135" s="31"/>
      <c r="H135" s="31"/>
      <c r="I135" s="31"/>
      <c r="J135" s="31"/>
      <c r="K135" s="31"/>
    </row>
    <row r="136" spans="1:11" x14ac:dyDescent="0.25">
      <c r="A136" s="31"/>
      <c r="B136" s="31"/>
      <c r="C136" s="31"/>
      <c r="D136" s="31"/>
      <c r="E136" s="31"/>
      <c r="F136" s="31"/>
      <c r="G136" s="31"/>
      <c r="H136" s="31"/>
      <c r="I136" s="31"/>
      <c r="J136" s="31"/>
      <c r="K136" s="31"/>
    </row>
    <row r="137" spans="1:11" x14ac:dyDescent="0.25">
      <c r="A137" s="31" t="s">
        <v>432</v>
      </c>
      <c r="C137" s="31"/>
      <c r="D137" s="31"/>
      <c r="E137" s="31"/>
      <c r="F137" s="31"/>
      <c r="G137" s="31"/>
      <c r="H137" s="31"/>
      <c r="I137" s="31"/>
      <c r="J137" s="31"/>
      <c r="K137" s="31"/>
    </row>
    <row r="138" spans="1:11" x14ac:dyDescent="0.25">
      <c r="A138" s="31"/>
      <c r="C138" s="31"/>
      <c r="D138" s="31"/>
      <c r="E138" s="31"/>
      <c r="F138" s="31"/>
      <c r="G138" s="31"/>
      <c r="H138" s="31"/>
      <c r="I138" s="31"/>
      <c r="J138" s="31"/>
      <c r="K138" s="31"/>
    </row>
    <row r="139" spans="1:11" x14ac:dyDescent="0.25">
      <c r="A139" s="31"/>
      <c r="B139" s="62">
        <v>0.2</v>
      </c>
      <c r="C139" s="31"/>
      <c r="D139" s="31"/>
      <c r="E139" s="31"/>
      <c r="F139" s="31"/>
      <c r="G139" s="31"/>
      <c r="H139" s="31"/>
      <c r="I139" s="31"/>
      <c r="J139" s="31"/>
      <c r="K139" s="31"/>
    </row>
    <row r="140" spans="1:11" x14ac:dyDescent="0.25">
      <c r="A140" s="31"/>
      <c r="B140" s="62">
        <f>B139-0.05</f>
        <v>0.15000000000000002</v>
      </c>
      <c r="C140" s="31"/>
      <c r="D140" s="31"/>
      <c r="E140" s="31"/>
      <c r="F140" s="31"/>
      <c r="G140" s="31"/>
      <c r="H140" s="31"/>
      <c r="I140" s="31"/>
      <c r="J140" s="31"/>
      <c r="K140" s="31"/>
    </row>
    <row r="141" spans="1:11" x14ac:dyDescent="0.25">
      <c r="A141" s="31"/>
      <c r="B141" s="62">
        <f>B140-0.05</f>
        <v>0.10000000000000002</v>
      </c>
      <c r="C141" s="31"/>
      <c r="D141" s="31"/>
      <c r="E141" s="31"/>
      <c r="F141" s="31"/>
      <c r="G141" s="31"/>
      <c r="H141" s="31"/>
      <c r="I141" s="31"/>
      <c r="J141" s="31"/>
      <c r="K141" s="31"/>
    </row>
    <row r="142" spans="1:11" x14ac:dyDescent="0.25">
      <c r="A142" s="31"/>
      <c r="B142" s="62">
        <f>B141-0.05</f>
        <v>5.0000000000000017E-2</v>
      </c>
      <c r="C142" s="31"/>
      <c r="D142" s="31"/>
      <c r="E142" s="31"/>
      <c r="F142" s="31"/>
      <c r="G142" s="31"/>
      <c r="H142" s="31"/>
      <c r="I142" s="31"/>
      <c r="J142" s="31"/>
      <c r="K142" s="31"/>
    </row>
    <row r="143" spans="1:11" x14ac:dyDescent="0.25">
      <c r="A143" s="31"/>
      <c r="B143" s="62">
        <v>-0.05</v>
      </c>
      <c r="C143" s="31"/>
      <c r="D143" s="31"/>
      <c r="E143" s="31"/>
      <c r="F143" s="31"/>
      <c r="G143" s="31"/>
      <c r="H143" s="31"/>
      <c r="I143" s="31"/>
      <c r="J143" s="31"/>
      <c r="K143" s="31"/>
    </row>
    <row r="144" spans="1:11" x14ac:dyDescent="0.25">
      <c r="A144" s="31"/>
      <c r="B144" s="62">
        <f>B143-0.05</f>
        <v>-0.1</v>
      </c>
      <c r="C144" s="31"/>
      <c r="D144" s="31"/>
      <c r="E144" s="31"/>
      <c r="F144" s="31"/>
      <c r="G144" s="31"/>
      <c r="H144" s="31"/>
      <c r="I144" s="31"/>
      <c r="J144" s="31"/>
      <c r="K144" s="31"/>
    </row>
    <row r="145" spans="1:11" x14ac:dyDescent="0.25">
      <c r="A145" s="31"/>
      <c r="B145" s="62">
        <f>B144-0.05</f>
        <v>-0.15000000000000002</v>
      </c>
      <c r="C145" s="31"/>
      <c r="D145" s="31"/>
      <c r="E145" s="31"/>
      <c r="F145" s="31"/>
      <c r="G145" s="31"/>
      <c r="H145" s="31"/>
      <c r="I145" s="31"/>
      <c r="J145" s="31"/>
      <c r="K145" s="31"/>
    </row>
    <row r="146" spans="1:11" x14ac:dyDescent="0.25">
      <c r="A146" s="31"/>
      <c r="B146" s="62">
        <f>B145-0.05</f>
        <v>-0.2</v>
      </c>
      <c r="C146" s="31"/>
      <c r="D146" s="31"/>
      <c r="E146" s="31"/>
      <c r="F146" s="31"/>
      <c r="G146" s="31"/>
      <c r="H146" s="31"/>
      <c r="I146" s="31"/>
      <c r="J146" s="31"/>
      <c r="K146" s="31"/>
    </row>
    <row r="147" spans="1:11" x14ac:dyDescent="0.25">
      <c r="A147" s="31"/>
      <c r="C147" s="31"/>
      <c r="D147" s="31"/>
      <c r="E147" s="31"/>
      <c r="F147" s="31"/>
      <c r="G147" s="31"/>
      <c r="H147" s="31"/>
      <c r="I147" s="31"/>
      <c r="J147" s="31"/>
      <c r="K147" s="31"/>
    </row>
    <row r="148" spans="1:11" x14ac:dyDescent="0.25">
      <c r="A148" s="31"/>
      <c r="C148" s="31"/>
      <c r="D148" s="31"/>
      <c r="E148" s="31"/>
      <c r="F148" s="31"/>
      <c r="G148" s="31"/>
      <c r="H148" s="31"/>
      <c r="I148" s="31"/>
      <c r="J148" s="31"/>
      <c r="K148" s="31"/>
    </row>
    <row r="149" spans="1:11" x14ac:dyDescent="0.25">
      <c r="A149" s="31"/>
      <c r="C149" s="31"/>
      <c r="D149" s="31"/>
      <c r="E149" s="31"/>
      <c r="F149" s="31"/>
      <c r="G149" s="31"/>
      <c r="H149" s="31"/>
      <c r="I149" s="31"/>
      <c r="J149" s="31"/>
      <c r="K149" s="31"/>
    </row>
    <row r="150" spans="1:11" x14ac:dyDescent="0.25">
      <c r="A150" s="31"/>
      <c r="B150" s="31"/>
      <c r="C150" s="31"/>
      <c r="D150" s="31"/>
      <c r="E150" s="31"/>
      <c r="F150" s="31"/>
      <c r="G150" s="31"/>
      <c r="H150" s="31"/>
      <c r="I150" s="31"/>
      <c r="J150" s="31"/>
      <c r="K150" s="31"/>
    </row>
    <row r="151" spans="1:11" x14ac:dyDescent="0.25">
      <c r="A151" s="31"/>
      <c r="B151" s="31"/>
      <c r="C151" s="31"/>
      <c r="D151" s="31"/>
      <c r="E151" s="31"/>
      <c r="F151" s="31"/>
      <c r="G151" s="31"/>
      <c r="H151" s="31"/>
      <c r="I151" s="31"/>
      <c r="J151" s="31"/>
      <c r="K151" s="31"/>
    </row>
    <row r="152" spans="1:11" x14ac:dyDescent="0.25">
      <c r="A152" s="31"/>
      <c r="B152" s="31"/>
      <c r="C152" s="31"/>
      <c r="D152" s="31"/>
      <c r="E152" s="31"/>
      <c r="F152" s="31"/>
      <c r="G152" s="31"/>
      <c r="H152" s="31"/>
      <c r="I152" s="31"/>
      <c r="J152" s="31"/>
      <c r="K152" s="31"/>
    </row>
  </sheetData>
  <mergeCells count="73">
    <mergeCell ref="A44:B44"/>
    <mergeCell ref="C44:K44"/>
    <mergeCell ref="A90:B90"/>
    <mergeCell ref="E90:F90"/>
    <mergeCell ref="I90:J90"/>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7350000000000001" right="0.2" top="0.25" bottom="0.25" header="0.3" footer="0.3"/>
  <pageSetup paperSize="9" scale="77"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39"/>
  <sheetViews>
    <sheetView view="pageBreakPreview" zoomScaleNormal="100" zoomScaleSheetLayoutView="100" workbookViewId="0">
      <selection activeCell="U7" sqref="U7"/>
    </sheetView>
  </sheetViews>
  <sheetFormatPr baseColWidth="10" defaultRowHeight="15" x14ac:dyDescent="0.25"/>
  <cols>
    <col min="7" max="7" width="4.5703125" customWidth="1"/>
    <col min="9" max="9" width="14" customWidth="1"/>
    <col min="10" max="11" width="2.28515625" customWidth="1"/>
    <col min="12" max="18" width="2.7109375" customWidth="1"/>
    <col min="19" max="19" width="3" customWidth="1"/>
  </cols>
  <sheetData>
    <row r="2" spans="1:38" x14ac:dyDescent="0.25">
      <c r="AI2" s="317"/>
      <c r="AJ2" s="317"/>
      <c r="AK2" s="317"/>
      <c r="AL2" s="317"/>
    </row>
    <row r="9" spans="1:38" x14ac:dyDescent="0.25">
      <c r="D9" s="177"/>
      <c r="E9" s="177"/>
    </row>
    <row r="10" spans="1:38" x14ac:dyDescent="0.25">
      <c r="D10" s="177"/>
      <c r="E10" s="177"/>
    </row>
    <row r="11" spans="1:38" x14ac:dyDescent="0.25">
      <c r="D11" s="177"/>
      <c r="E11" s="177"/>
    </row>
    <row r="12" spans="1:38" ht="15" customHeight="1" x14ac:dyDescent="0.25">
      <c r="D12" s="177"/>
      <c r="E12" s="177"/>
    </row>
    <row r="13" spans="1:38" x14ac:dyDescent="0.25">
      <c r="D13" s="177"/>
      <c r="E13" s="177"/>
    </row>
    <row r="14" spans="1:38" x14ac:dyDescent="0.25">
      <c r="D14" s="177"/>
      <c r="E14" s="177"/>
    </row>
    <row r="15" spans="1:38" ht="15" customHeight="1" x14ac:dyDescent="0.25">
      <c r="A15" s="318" t="s">
        <v>433</v>
      </c>
      <c r="B15" s="318"/>
      <c r="C15" s="318"/>
      <c r="D15" s="319"/>
      <c r="E15" s="319"/>
      <c r="F15" s="318"/>
      <c r="G15" s="318"/>
      <c r="H15" s="318"/>
      <c r="I15" s="318"/>
      <c r="J15" s="318"/>
      <c r="K15" s="320"/>
      <c r="L15" s="321" t="s">
        <v>434</v>
      </c>
      <c r="M15" s="322"/>
      <c r="N15" s="323"/>
      <c r="O15" s="323"/>
      <c r="P15" s="323"/>
      <c r="Q15" s="323"/>
      <c r="R15" s="323"/>
      <c r="S15" s="323"/>
    </row>
    <row r="16" spans="1:38" x14ac:dyDescent="0.25">
      <c r="A16" s="318"/>
      <c r="B16" s="318"/>
      <c r="C16" s="318"/>
      <c r="D16" s="319"/>
      <c r="E16" s="319"/>
      <c r="F16" s="318"/>
      <c r="G16" s="318"/>
      <c r="H16" s="318"/>
      <c r="I16" s="318"/>
      <c r="J16" s="318"/>
      <c r="K16" s="320"/>
      <c r="L16" s="321" t="s">
        <v>435</v>
      </c>
      <c r="M16" s="322"/>
      <c r="N16" s="322"/>
      <c r="O16" s="323"/>
      <c r="P16" s="323"/>
      <c r="Q16" s="323"/>
      <c r="R16" s="323"/>
      <c r="S16" s="323"/>
    </row>
    <row r="17" spans="1:23" x14ac:dyDescent="0.25">
      <c r="A17" s="318"/>
      <c r="B17" s="318"/>
      <c r="C17" s="318"/>
      <c r="D17" s="319"/>
      <c r="E17" s="319"/>
      <c r="F17" s="318"/>
      <c r="G17" s="318"/>
      <c r="H17" s="318"/>
      <c r="I17" s="318"/>
      <c r="J17" s="318"/>
      <c r="K17" s="320"/>
      <c r="L17" s="321" t="s">
        <v>436</v>
      </c>
      <c r="M17" s="322"/>
      <c r="N17" s="322"/>
      <c r="O17" s="323"/>
      <c r="P17" s="323"/>
      <c r="Q17" s="323"/>
      <c r="R17" s="323"/>
      <c r="S17" s="323"/>
    </row>
    <row r="18" spans="1:23" x14ac:dyDescent="0.25">
      <c r="A18" s="318"/>
      <c r="B18" s="318"/>
      <c r="C18" s="318"/>
      <c r="D18" s="319"/>
      <c r="E18" s="319"/>
      <c r="F18" s="318"/>
      <c r="G18" s="318"/>
      <c r="H18" s="318"/>
      <c r="I18" s="318"/>
      <c r="J18" s="318"/>
      <c r="K18" s="320"/>
      <c r="L18" s="321"/>
      <c r="M18" s="322"/>
      <c r="N18" s="322"/>
      <c r="O18" s="323"/>
      <c r="P18" s="323"/>
      <c r="Q18" s="323"/>
      <c r="R18" s="323"/>
      <c r="S18" s="323"/>
    </row>
    <row r="19" spans="1:23" x14ac:dyDescent="0.25">
      <c r="A19" s="318"/>
      <c r="B19" s="318"/>
      <c r="C19" s="318"/>
      <c r="D19" s="319"/>
      <c r="E19" s="319"/>
      <c r="F19" s="318"/>
      <c r="G19" s="318"/>
      <c r="H19" s="318"/>
      <c r="I19" s="318"/>
      <c r="J19" s="318"/>
      <c r="K19" s="320"/>
      <c r="L19" s="321" t="s">
        <v>437</v>
      </c>
      <c r="M19" s="322"/>
      <c r="N19" s="322"/>
      <c r="O19" s="323"/>
      <c r="P19" s="323"/>
      <c r="Q19" s="323"/>
      <c r="R19" s="323"/>
      <c r="S19" s="323"/>
    </row>
    <row r="20" spans="1:23" x14ac:dyDescent="0.25">
      <c r="A20" s="318"/>
      <c r="B20" s="318"/>
      <c r="C20" s="318"/>
      <c r="D20" s="318"/>
      <c r="E20" s="318"/>
      <c r="F20" s="318"/>
      <c r="G20" s="318"/>
      <c r="H20" s="318"/>
      <c r="I20" s="318"/>
      <c r="J20" s="318"/>
      <c r="K20" s="320"/>
      <c r="L20" s="321" t="s">
        <v>438</v>
      </c>
      <c r="M20" s="322"/>
      <c r="N20" s="322"/>
      <c r="O20" s="323"/>
      <c r="P20" s="323"/>
      <c r="Q20" s="323"/>
      <c r="R20" s="323"/>
      <c r="S20" s="323"/>
    </row>
    <row r="21" spans="1:23" x14ac:dyDescent="0.25">
      <c r="A21" s="318"/>
      <c r="B21" s="318"/>
      <c r="C21" s="318"/>
      <c r="D21" s="318"/>
      <c r="E21" s="318"/>
      <c r="F21" s="318"/>
      <c r="G21" s="318"/>
      <c r="H21" s="318"/>
      <c r="I21" s="318"/>
      <c r="J21" s="318"/>
      <c r="K21" s="320"/>
      <c r="L21" s="321" t="s">
        <v>439</v>
      </c>
      <c r="M21" s="322"/>
      <c r="N21" s="322"/>
      <c r="O21" s="323"/>
      <c r="P21" s="323"/>
      <c r="Q21" s="323"/>
      <c r="R21" s="323"/>
      <c r="S21" s="323"/>
    </row>
    <row r="22" spans="1:23" x14ac:dyDescent="0.25">
      <c r="A22" s="318"/>
      <c r="B22" s="318"/>
      <c r="C22" s="318"/>
      <c r="D22" s="318"/>
      <c r="E22" s="318"/>
      <c r="F22" s="318"/>
      <c r="G22" s="318"/>
      <c r="H22" s="318"/>
      <c r="I22" s="318"/>
      <c r="J22" s="318"/>
      <c r="K22" s="320"/>
      <c r="L22" s="324"/>
      <c r="M22" s="322"/>
      <c r="N22" s="322"/>
      <c r="O22" s="323"/>
      <c r="P22" s="323"/>
      <c r="Q22" s="323"/>
      <c r="R22" s="323"/>
      <c r="S22" s="323"/>
    </row>
    <row r="23" spans="1:23" x14ac:dyDescent="0.25">
      <c r="A23" s="318"/>
      <c r="B23" s="318"/>
      <c r="C23" s="318"/>
      <c r="D23" s="319"/>
      <c r="E23" s="319"/>
      <c r="F23" s="318"/>
      <c r="G23" s="318"/>
      <c r="H23" s="318"/>
      <c r="I23" s="318"/>
      <c r="J23" s="318"/>
      <c r="K23" s="320"/>
      <c r="L23" s="321" t="s">
        <v>440</v>
      </c>
      <c r="M23" s="323"/>
      <c r="N23" s="322"/>
      <c r="O23" s="323"/>
      <c r="P23" s="323"/>
      <c r="Q23" s="323"/>
      <c r="R23" s="323"/>
      <c r="S23" s="323"/>
    </row>
    <row r="24" spans="1:23" x14ac:dyDescent="0.25">
      <c r="A24" s="318"/>
      <c r="B24" s="318"/>
      <c r="C24" s="318"/>
      <c r="D24" s="319"/>
      <c r="E24" s="319"/>
      <c r="F24" s="318"/>
      <c r="G24" s="318"/>
      <c r="H24" s="318"/>
      <c r="I24" s="318"/>
      <c r="J24" s="318"/>
      <c r="K24" s="320"/>
      <c r="L24" s="321" t="s">
        <v>441</v>
      </c>
      <c r="M24" s="323"/>
      <c r="N24" s="323"/>
      <c r="O24" s="323"/>
      <c r="P24" s="323"/>
      <c r="Q24" s="323"/>
      <c r="R24" s="323"/>
      <c r="S24" s="323"/>
    </row>
    <row r="25" spans="1:23" x14ac:dyDescent="0.25">
      <c r="A25" s="318"/>
      <c r="B25" s="318"/>
      <c r="C25" s="318"/>
      <c r="D25" s="319"/>
      <c r="E25" s="319"/>
      <c r="F25" s="318"/>
      <c r="G25" s="318"/>
      <c r="H25" s="318"/>
      <c r="I25" s="318"/>
      <c r="J25" s="318"/>
      <c r="K25" s="320"/>
      <c r="L25" s="321" t="s">
        <v>442</v>
      </c>
      <c r="M25" s="323"/>
      <c r="N25" s="323"/>
      <c r="O25" s="323"/>
      <c r="P25" s="323"/>
      <c r="Q25" s="323"/>
      <c r="R25" s="323"/>
      <c r="S25" s="323"/>
    </row>
    <row r="26" spans="1:23" x14ac:dyDescent="0.25">
      <c r="A26" s="318"/>
      <c r="B26" s="318"/>
      <c r="C26" s="318"/>
      <c r="D26" s="319"/>
      <c r="E26" s="319"/>
      <c r="F26" s="318"/>
      <c r="G26" s="318"/>
      <c r="H26" s="318"/>
      <c r="I26" s="318"/>
      <c r="J26" s="318"/>
      <c r="K26" s="320"/>
      <c r="L26" s="324"/>
      <c r="M26" s="322"/>
      <c r="N26" s="322"/>
      <c r="O26" s="323"/>
      <c r="P26" s="323"/>
      <c r="Q26" s="323"/>
      <c r="R26" s="323"/>
      <c r="S26" s="323"/>
      <c r="W26" s="323"/>
    </row>
    <row r="27" spans="1:23" x14ac:dyDescent="0.25">
      <c r="A27" s="318"/>
      <c r="B27" s="318"/>
      <c r="C27" s="318"/>
      <c r="D27" s="319"/>
      <c r="E27" s="319"/>
      <c r="F27" s="318"/>
      <c r="G27" s="318"/>
      <c r="H27" s="318"/>
      <c r="I27" s="318"/>
      <c r="J27" s="318"/>
      <c r="K27" s="320"/>
      <c r="L27" s="324"/>
      <c r="M27" s="322"/>
      <c r="N27" s="325" t="s">
        <v>443</v>
      </c>
      <c r="O27" s="323"/>
      <c r="P27" s="323"/>
      <c r="Q27" s="323"/>
      <c r="R27" s="323"/>
      <c r="S27" s="323"/>
    </row>
    <row r="28" spans="1:23" x14ac:dyDescent="0.25">
      <c r="A28" s="318"/>
      <c r="B28" s="318"/>
      <c r="C28" s="318"/>
      <c r="D28" s="319"/>
      <c r="E28" s="319"/>
      <c r="F28" s="318"/>
      <c r="G28" s="318"/>
      <c r="H28" s="318"/>
      <c r="I28" s="318"/>
      <c r="J28" s="318"/>
      <c r="K28" s="320"/>
      <c r="L28" s="324"/>
      <c r="M28" s="322"/>
      <c r="N28" s="326"/>
      <c r="O28" s="323"/>
      <c r="P28" s="323"/>
      <c r="Q28" s="323"/>
      <c r="R28" s="323"/>
      <c r="S28" s="323"/>
    </row>
    <row r="29" spans="1:23" x14ac:dyDescent="0.25">
      <c r="A29" s="318"/>
      <c r="B29" s="318"/>
      <c r="C29" s="318"/>
      <c r="D29" s="319"/>
      <c r="E29" s="319"/>
      <c r="F29" s="318"/>
      <c r="G29" s="318"/>
      <c r="H29" s="318"/>
      <c r="I29" s="318"/>
      <c r="J29" s="318"/>
      <c r="K29" s="320"/>
      <c r="L29" s="324"/>
      <c r="M29" s="322"/>
      <c r="N29" s="326" t="s">
        <v>444</v>
      </c>
      <c r="O29" s="323"/>
      <c r="P29" s="323"/>
      <c r="Q29" s="323"/>
      <c r="R29" s="323"/>
      <c r="S29" s="323"/>
    </row>
    <row r="30" spans="1:23" x14ac:dyDescent="0.25">
      <c r="A30" s="318"/>
      <c r="B30" s="318"/>
      <c r="C30" s="318"/>
      <c r="D30" s="318"/>
      <c r="E30" s="318"/>
      <c r="F30" s="318"/>
      <c r="G30" s="318"/>
      <c r="H30" s="318"/>
      <c r="I30" s="318"/>
      <c r="J30" s="318"/>
      <c r="K30" s="320"/>
      <c r="L30" s="324"/>
      <c r="M30" s="322"/>
      <c r="N30" s="326"/>
      <c r="O30" s="323"/>
      <c r="P30" s="323"/>
      <c r="Q30" s="323"/>
      <c r="R30" s="323"/>
      <c r="S30" s="323"/>
    </row>
    <row r="31" spans="1:23" x14ac:dyDescent="0.25">
      <c r="A31" s="318"/>
      <c r="B31" s="318"/>
      <c r="C31" s="318"/>
      <c r="D31" s="318"/>
      <c r="E31" s="318"/>
      <c r="F31" s="318"/>
      <c r="G31" s="318"/>
      <c r="H31" s="318"/>
      <c r="I31" s="318"/>
      <c r="J31" s="318"/>
      <c r="K31" s="320"/>
      <c r="L31" s="324"/>
      <c r="M31" s="322"/>
      <c r="N31" s="326" t="s">
        <v>445</v>
      </c>
      <c r="O31" s="323"/>
      <c r="P31" s="323"/>
      <c r="Q31" s="323"/>
      <c r="R31" s="323"/>
      <c r="S31" s="323"/>
    </row>
    <row r="32" spans="1:23" x14ac:dyDescent="0.25">
      <c r="A32" s="318"/>
      <c r="B32" s="318"/>
      <c r="C32" s="318"/>
      <c r="D32" s="318"/>
      <c r="E32" s="318"/>
      <c r="F32" s="318"/>
      <c r="G32" s="318"/>
      <c r="H32" s="318"/>
      <c r="I32" s="318"/>
      <c r="J32" s="318"/>
      <c r="K32" s="320"/>
      <c r="L32" s="324"/>
      <c r="M32" s="322"/>
      <c r="N32" s="326"/>
      <c r="O32" s="323"/>
      <c r="P32" s="323"/>
      <c r="Q32" s="323"/>
      <c r="R32" s="323"/>
      <c r="S32" s="323"/>
    </row>
    <row r="33" spans="1:19" x14ac:dyDescent="0.25">
      <c r="A33" s="318"/>
      <c r="B33" s="318"/>
      <c r="C33" s="318"/>
      <c r="D33" s="319"/>
      <c r="E33" s="319"/>
      <c r="F33" s="318"/>
      <c r="G33" s="318"/>
      <c r="H33" s="318"/>
      <c r="I33" s="318"/>
      <c r="J33" s="318"/>
      <c r="K33" s="320"/>
      <c r="L33" s="324"/>
      <c r="M33" s="322"/>
      <c r="N33" s="326" t="s">
        <v>446</v>
      </c>
      <c r="O33" s="323"/>
      <c r="P33" s="323"/>
      <c r="Q33" s="323"/>
      <c r="R33" s="323"/>
      <c r="S33" s="323"/>
    </row>
    <row r="34" spans="1:19" x14ac:dyDescent="0.25">
      <c r="A34" s="318"/>
      <c r="B34" s="318"/>
      <c r="C34" s="318"/>
      <c r="D34" s="319"/>
      <c r="E34" s="319"/>
      <c r="F34" s="318"/>
      <c r="G34" s="318"/>
      <c r="H34" s="318"/>
      <c r="I34" s="318"/>
      <c r="J34" s="318"/>
      <c r="K34" s="320"/>
      <c r="L34" s="324"/>
      <c r="M34" s="322"/>
      <c r="N34" s="322"/>
      <c r="O34" s="323"/>
      <c r="P34" s="323"/>
      <c r="Q34" s="323"/>
      <c r="R34" s="323"/>
      <c r="S34" s="323"/>
    </row>
    <row r="35" spans="1:19" x14ac:dyDescent="0.25">
      <c r="D35" s="177"/>
      <c r="E35" s="177"/>
    </row>
    <row r="36" spans="1:19" x14ac:dyDescent="0.25">
      <c r="D36" s="177"/>
      <c r="E36" s="177"/>
    </row>
    <row r="37" spans="1:19" x14ac:dyDescent="0.25">
      <c r="D37" s="177"/>
      <c r="E37" s="177"/>
    </row>
    <row r="38" spans="1:19" x14ac:dyDescent="0.25">
      <c r="D38" s="177"/>
      <c r="E38" s="177"/>
    </row>
    <row r="39" spans="1:19" x14ac:dyDescent="0.25">
      <c r="D39" s="177"/>
      <c r="E39" s="177"/>
    </row>
    <row r="40" spans="1:19" x14ac:dyDescent="0.25">
      <c r="D40" s="177"/>
      <c r="E40" s="177"/>
    </row>
    <row r="47" spans="1:19" x14ac:dyDescent="0.25">
      <c r="D47" s="177"/>
      <c r="E47" s="177"/>
    </row>
    <row r="48" spans="1:19" x14ac:dyDescent="0.25">
      <c r="D48" s="177"/>
      <c r="E48" s="177"/>
    </row>
    <row r="49" spans="4:5" x14ac:dyDescent="0.25">
      <c r="D49" s="177"/>
      <c r="E49" s="177"/>
    </row>
    <row r="50" spans="4:5" x14ac:dyDescent="0.25">
      <c r="D50" s="177"/>
      <c r="E50" s="177"/>
    </row>
    <row r="51" spans="4:5" x14ac:dyDescent="0.25">
      <c r="D51" s="177"/>
      <c r="E51" s="177"/>
    </row>
    <row r="52" spans="4:5" x14ac:dyDescent="0.25">
      <c r="D52" s="177"/>
      <c r="E52" s="177"/>
    </row>
    <row r="53" spans="4:5" x14ac:dyDescent="0.25">
      <c r="D53" s="177"/>
      <c r="E53" s="177"/>
    </row>
    <row r="54" spans="4:5" x14ac:dyDescent="0.25">
      <c r="D54" s="177"/>
      <c r="E54" s="177"/>
    </row>
    <row r="57" spans="4:5" ht="13.5" customHeight="1" x14ac:dyDescent="0.25"/>
    <row r="58" spans="4:5" ht="2.25" hidden="1" customHeight="1" x14ac:dyDescent="0.25">
      <c r="D58" s="177"/>
      <c r="E58" s="177"/>
    </row>
    <row r="59" spans="4:5" x14ac:dyDescent="0.25">
      <c r="D59" s="177"/>
      <c r="E59" s="177"/>
    </row>
    <row r="60" spans="4:5" x14ac:dyDescent="0.25">
      <c r="D60" s="177"/>
      <c r="E60" s="177"/>
    </row>
    <row r="61" spans="4:5" x14ac:dyDescent="0.25">
      <c r="D61" s="177"/>
      <c r="E61" s="177"/>
    </row>
    <row r="62" spans="4:5" x14ac:dyDescent="0.25">
      <c r="D62" s="177"/>
      <c r="E62" s="177"/>
    </row>
    <row r="63" spans="4:5" x14ac:dyDescent="0.25">
      <c r="D63" s="177"/>
      <c r="E63" s="177"/>
    </row>
    <row r="64" spans="4:5" x14ac:dyDescent="0.25">
      <c r="D64" s="177"/>
      <c r="E64" s="177"/>
    </row>
    <row r="65" spans="4:5" x14ac:dyDescent="0.25">
      <c r="D65" s="177"/>
      <c r="E65" s="177"/>
    </row>
    <row r="66" spans="4:5" x14ac:dyDescent="0.25">
      <c r="D66" s="177"/>
      <c r="E66" s="177"/>
    </row>
    <row r="67" spans="4:5" x14ac:dyDescent="0.25">
      <c r="D67" s="177"/>
      <c r="E67" s="177"/>
    </row>
    <row r="71" spans="4:5" x14ac:dyDescent="0.25">
      <c r="D71" s="177"/>
      <c r="E71" s="177"/>
    </row>
    <row r="72" spans="4:5" x14ac:dyDescent="0.25">
      <c r="D72" s="177"/>
      <c r="E72" s="177"/>
    </row>
    <row r="73" spans="4:5" x14ac:dyDescent="0.25">
      <c r="D73" s="177"/>
      <c r="E73" s="177"/>
    </row>
    <row r="74" spans="4:5" x14ac:dyDescent="0.25">
      <c r="D74" s="177"/>
      <c r="E74" s="177"/>
    </row>
    <row r="78" spans="4:5" x14ac:dyDescent="0.25">
      <c r="D78" s="177"/>
      <c r="E78" s="177"/>
    </row>
    <row r="79" spans="4:5" x14ac:dyDescent="0.25">
      <c r="D79" s="177"/>
      <c r="E79" s="177"/>
    </row>
    <row r="80" spans="4:5" x14ac:dyDescent="0.25">
      <c r="D80" s="177"/>
      <c r="E80" s="177"/>
    </row>
    <row r="81" spans="4:5" x14ac:dyDescent="0.25">
      <c r="D81" s="177"/>
      <c r="E81" s="177"/>
    </row>
    <row r="82" spans="4:5" x14ac:dyDescent="0.25">
      <c r="D82" s="177"/>
      <c r="E82" s="177"/>
    </row>
    <row r="83" spans="4:5" x14ac:dyDescent="0.25">
      <c r="D83" s="177"/>
      <c r="E83" s="177"/>
    </row>
    <row r="84" spans="4:5" x14ac:dyDescent="0.25">
      <c r="D84" s="177"/>
      <c r="E84" s="177"/>
    </row>
    <row r="85" spans="4:5" x14ac:dyDescent="0.25">
      <c r="D85" s="177"/>
      <c r="E85" s="177"/>
    </row>
    <row r="86" spans="4:5" x14ac:dyDescent="0.25">
      <c r="D86" s="177"/>
      <c r="E86" s="177"/>
    </row>
    <row r="87" spans="4:5" x14ac:dyDescent="0.25">
      <c r="D87" s="177"/>
      <c r="E87" s="177"/>
    </row>
    <row r="93" spans="4:5" x14ac:dyDescent="0.25">
      <c r="D93" s="177"/>
      <c r="E93" s="177"/>
    </row>
    <row r="94" spans="4:5" x14ac:dyDescent="0.25">
      <c r="D94" s="177"/>
      <c r="E94" s="177"/>
    </row>
    <row r="98" spans="4:16" x14ac:dyDescent="0.25">
      <c r="D98" s="177"/>
      <c r="E98" s="177"/>
      <c r="P98" t="str">
        <f>IFERROR(VLOOKUP(B98,[1]Datos!$A:$E,5,FALSE)/1000000000,"-")</f>
        <v>-</v>
      </c>
    </row>
    <row r="99" spans="4:16" x14ac:dyDescent="0.25">
      <c r="D99" s="177"/>
      <c r="E99" s="177"/>
    </row>
    <row r="100" spans="4:16" x14ac:dyDescent="0.25">
      <c r="D100" s="177"/>
      <c r="E100" s="177"/>
    </row>
    <row r="101" spans="4:16" x14ac:dyDescent="0.25">
      <c r="D101" s="177"/>
      <c r="E101" s="177"/>
    </row>
    <row r="102" spans="4:16" x14ac:dyDescent="0.25">
      <c r="D102" s="177"/>
      <c r="E102" s="177"/>
    </row>
    <row r="103" spans="4:16" x14ac:dyDescent="0.25">
      <c r="D103" s="177"/>
      <c r="E103" s="177"/>
    </row>
    <row r="104" spans="4:16" x14ac:dyDescent="0.25">
      <c r="D104" s="177"/>
      <c r="E104" s="177"/>
    </row>
    <row r="105" spans="4:16" x14ac:dyDescent="0.25">
      <c r="D105" s="177"/>
      <c r="E105" s="177"/>
    </row>
    <row r="106" spans="4:16" x14ac:dyDescent="0.25">
      <c r="D106" s="177"/>
      <c r="E106" s="177"/>
    </row>
    <row r="107" spans="4:16" x14ac:dyDescent="0.25">
      <c r="D107" s="177"/>
      <c r="E107" s="177"/>
    </row>
    <row r="111" spans="4:16" x14ac:dyDescent="0.25">
      <c r="D111" s="177"/>
      <c r="E111" s="177"/>
    </row>
    <row r="115" spans="4:5" x14ac:dyDescent="0.25">
      <c r="D115" s="177"/>
      <c r="E115" s="177"/>
    </row>
    <row r="116" spans="4:5" x14ac:dyDescent="0.25">
      <c r="D116" s="177"/>
      <c r="E116" s="177"/>
    </row>
    <row r="117" spans="4:5" x14ac:dyDescent="0.25">
      <c r="D117" s="177"/>
      <c r="E117" s="177"/>
    </row>
    <row r="118" spans="4:5" x14ac:dyDescent="0.25">
      <c r="D118" s="177"/>
      <c r="E118" s="177"/>
    </row>
    <row r="421" ht="18.75" customHeight="1" x14ac:dyDescent="0.25"/>
    <row r="436" spans="2:2" x14ac:dyDescent="0.25">
      <c r="B436" t="s">
        <v>447</v>
      </c>
    </row>
    <row r="437" spans="2:2" x14ac:dyDescent="0.25">
      <c r="B437" t="s">
        <v>448</v>
      </c>
    </row>
    <row r="438" spans="2:2" x14ac:dyDescent="0.25">
      <c r="B438" t="s">
        <v>449</v>
      </c>
    </row>
    <row r="439" spans="2:2" x14ac:dyDescent="0.25">
      <c r="B439" t="s">
        <v>450</v>
      </c>
    </row>
  </sheetData>
  <mergeCells count="1">
    <mergeCell ref="A15:J34"/>
  </mergeCells>
  <printOptions horizontalCentered="1"/>
  <pageMargins left="0.78500000000000003" right="0.25" top="0.75" bottom="0" header="0.3" footer="0"/>
  <pageSetup paperSize="9" scale="96" orientation="landscape" r:id="rId1"/>
  <headerFooter>
    <oddFooter>&amp;Cwww.invertironline.com&amp;R&amp;P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Mariano Gasparoli</cp:lastModifiedBy>
  <dcterms:created xsi:type="dcterms:W3CDTF">2019-04-26T15:35:37Z</dcterms:created>
  <dcterms:modified xsi:type="dcterms:W3CDTF">2019-04-26T15:40:18Z</dcterms:modified>
</cp:coreProperties>
</file>