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workbookPr/>
  <bookViews>
    <workbookView xWindow="0" yWindow="0" windowWidth="19200" windowHeight="12180"/>
  </bookViews>
  <sheets>
    <sheet name="Template" sheetId="1" r:id="rId1"/>
    <sheet name="Glosario" sheetId="2" r:id="rId2"/>
    <sheet name="Disclaimer" sheetId="3" r:id="rId3"/>
  </sheets>
  <externalReferences>
    <externalReference r:id="rId4"/>
  </externalReferences>
  <definedNames>
    <definedName name="_xlnm._FilterDatabase" localSheetId="0" hidden="1">Template!#REF!</definedName>
    <definedName name="_xlnm.Print_Area" localSheetId="2">Disclaimer!$A$1:$AR$54</definedName>
    <definedName name="_xlnm.Print_Area" localSheetId="1">Glosario!$A$1:$BC$104</definedName>
    <definedName name="_xlnm.Print_Area" localSheetId="0">Template!$A$1:$BW$113</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H19" i="3"/>
  <c r="BD13" i="2"/>
  <c r="BM13" i="2"/>
  <c r="BP13" i="2"/>
  <c r="BE19" i="3"/>
  <c r="BS13" i="2"/>
  <c r="BJ13" i="2"/>
</calcChain>
</file>

<file path=xl/comments1.xml><?xml version="1.0" encoding="utf-8"?>
<comments xmlns="http://schemas.openxmlformats.org/spreadsheetml/2006/main">
  <authors>
    <author>Flavia Matsuda</author>
  </authors>
  <commentList>
    <comment ref="AH55"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<sst xmlns="http://schemas.openxmlformats.org/spreadsheetml/2006/main" count="755" uniqueCount="278">
  <si>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</si>
  <si>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</si>
  <si>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</si>
  <si>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ordenaron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</si>
  <si>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</si>
  <si>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</si>
  <si>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</si>
  <si>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</si>
  <si>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</si>
  <si>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</si>
  <si>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</si>
  <si>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</si>
  <si>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</si>
  <si>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</si>
  <si>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</si>
  <si>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</si>
  <si>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</si>
  <si>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</si>
  <si>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</si>
  <si>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</si>
  <si>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</si>
  <si>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</si>
  <si>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</si>
  <si>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</si>
  <si>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</si>
  <si>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</si>
  <si>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</si>
  <si>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</si>
  <si>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</si>
  <si>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</si>
  <si>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</si>
  <si>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</si>
  <si>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</si>
  <si>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</si>
  <si>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</si>
  <si>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</si>
  <si>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</si>
  <si>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</si>
  <si>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</si>
  <si>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</si>
  <si>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</si>
  <si>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</si>
  <si>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</si>
  <si>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</si>
  <si>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</si>
  <si>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PATY</t>
  </si>
  <si>
    <t>-</t>
  </si>
  <si>
    <t>MOLA</t>
  </si>
  <si>
    <t>PATA</t>
  </si>
  <si>
    <t>LEDE</t>
  </si>
  <si>
    <t>MOLI</t>
  </si>
  <si>
    <t>INTR</t>
  </si>
  <si>
    <t>SEMI</t>
  </si>
  <si>
    <t>MORI</t>
  </si>
  <si>
    <t>SAMI</t>
  </si>
  <si>
    <t>ESME</t>
  </si>
  <si>
    <t>INVJ</t>
  </si>
  <si>
    <t>Prom.</t>
  </si>
  <si>
    <t>CONSUMO DISCRECIONAL</t>
  </si>
  <si>
    <t>GCLA</t>
  </si>
  <si>
    <t>MIRG</t>
  </si>
  <si>
    <t>GRIM</t>
  </si>
  <si>
    <t>LONG</t>
  </si>
  <si>
    <t>DOM</t>
  </si>
  <si>
    <t>HAVA</t>
  </si>
  <si>
    <t>SALUD</t>
  </si>
  <si>
    <t>ROSE</t>
  </si>
  <si>
    <t>RICH</t>
  </si>
  <si>
    <t>ENERGÍA</t>
  </si>
  <si>
    <t>PETR</t>
  </si>
  <si>
    <t>YPFD</t>
  </si>
  <si>
    <t>APBR</t>
  </si>
  <si>
    <t>CEPU</t>
  </si>
  <si>
    <t>REP</t>
  </si>
  <si>
    <t>COME</t>
  </si>
  <si>
    <t>TGSU2</t>
  </si>
  <si>
    <t>TS</t>
  </si>
  <si>
    <t>TGNO4</t>
  </si>
  <si>
    <t>CARC</t>
  </si>
  <si>
    <t>PESA</t>
  </si>
  <si>
    <t>PGR</t>
  </si>
  <si>
    <t>FINANCIERO</t>
  </si>
  <si>
    <t>STD</t>
  </si>
  <si>
    <t>SUPV</t>
  </si>
  <si>
    <t>BMA</t>
  </si>
  <si>
    <t>BPAT</t>
  </si>
  <si>
    <t>BHIP</t>
  </si>
  <si>
    <t>VALO</t>
  </si>
  <si>
    <t>FRAN</t>
  </si>
  <si>
    <t>BRIO</t>
  </si>
  <si>
    <t>GGAL</t>
  </si>
  <si>
    <t>BYMA</t>
  </si>
  <si>
    <t>INDUSTRIAL</t>
  </si>
  <si>
    <t>CADO</t>
  </si>
  <si>
    <t>OEST</t>
  </si>
  <si>
    <t>CAPU</t>
  </si>
  <si>
    <t>DYCA</t>
  </si>
  <si>
    <t>AUSO</t>
  </si>
  <si>
    <t>AGRO</t>
  </si>
  <si>
    <t>INAG</t>
  </si>
  <si>
    <t>GARO</t>
  </si>
  <si>
    <t>FERR</t>
  </si>
  <si>
    <t>POLL</t>
  </si>
  <si>
    <t>MATERIALES BÁSICOS</t>
  </si>
  <si>
    <t>CELU</t>
  </si>
  <si>
    <t>COLO</t>
  </si>
  <si>
    <t>FIPL</t>
  </si>
  <si>
    <t>LOMA</t>
  </si>
  <si>
    <t>ALUA</t>
  </si>
  <si>
    <t>RIGO</t>
  </si>
  <si>
    <t>HARG</t>
  </si>
  <si>
    <t>INDU</t>
  </si>
  <si>
    <t>TXAR</t>
  </si>
  <si>
    <t>SERVICIOS PÚBLICOS</t>
  </si>
  <si>
    <t>METR</t>
  </si>
  <si>
    <t>PAMP</t>
  </si>
  <si>
    <t>EDN</t>
  </si>
  <si>
    <t>GBAN</t>
  </si>
  <si>
    <t>CGPA2</t>
  </si>
  <si>
    <t>CAPX</t>
  </si>
  <si>
    <t>DGCU2</t>
  </si>
  <si>
    <t>TRAN</t>
  </si>
  <si>
    <t>CECO2</t>
  </si>
  <si>
    <t>TELECOMUNICACIONES</t>
  </si>
  <si>
    <t>TECO2</t>
  </si>
  <si>
    <t>TEF</t>
  </si>
  <si>
    <t>INMOBILIARIO</t>
  </si>
  <si>
    <t>CRES</t>
  </si>
  <si>
    <t>IRSA</t>
  </si>
  <si>
    <t>TGLT</t>
  </si>
  <si>
    <t>CTIO</t>
  </si>
  <si>
    <t>IRCP</t>
  </si>
  <si>
    <t>INFORMACIÓN TECNOLÓGICA</t>
  </si>
  <si>
    <t>BOLT</t>
  </si>
  <si>
    <t>Fuente: Thomson Reuters</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</si>
  <si>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</si>
  <si>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</si>
  <si>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</si>
  <si>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</si>
  <si>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</si>
  <si>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</si>
  <si>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</si>
  <si>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</si>
  <si>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</si>
  <si>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</si>
  <si>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</si>
  <si>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</si>
  <si>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</si>
  <si>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</si>
  <si>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</si>
  <si>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</si>
  <si>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</si>
  <si>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</si>
  <si>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</si>
  <si>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</si>
  <si>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</si>
  <si>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</si>
  <si>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</si>
  <si>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</si>
  <si>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</si>
  <si>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</si>
  <si>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</si>
  <si>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</si>
  <si>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</si>
  <si>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</si>
  <si>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</si>
  <si>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</si>
  <si>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</si>
  <si>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</si>
  <si>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</si>
  <si>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</si>
  <si>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</si>
  <si>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</si>
  <si>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</si>
  <si>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</si>
  <si>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</si>
  <si>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</si>
  <si>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</si>
  <si>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</si>
  <si>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</si>
  <si>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</si>
  <si>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</si>
  <si>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</si>
  <si>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</si>
  <si>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</si>
  <si>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</si>
  <si>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</si>
  <si>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</si>
  <si>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</si>
  <si>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</si>
  <si>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</si>
  <si>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</si>
  <si>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</si>
  <si>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</si>
  <si>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</si>
  <si>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</si>
  <si>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</si>
  <si>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</si>
  <si>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</si>
  <si>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</si>
  <si>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</si>
  <si>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</si>
  <si>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</si>
  <si>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</si>
  <si>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</si>
  <si>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</si>
  <si>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</si>
  <si>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</si>
  <si>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</si>
  <si>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</si>
  <si>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</si>
  <si>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</si>
  <si>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</si>
  <si>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</si>
  <si>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</si>
  <si>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</si>
  <si>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</si>
  <si>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</si>
  <si>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</si>
  <si>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</si>
  <si>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</si>
  <si>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</si>
  <si>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</si>
  <si>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</si>
  <si>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</si>
  <si>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</si>
  <si>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</si>
  <si>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</si>
  <si>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</si>
  <si>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</si>
  <si>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</si>
  <si>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</si>
  <si>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</si>
  <si>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</si>
  <si>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</si>
  <si>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</si>
  <si>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</si>
  <si>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</si>
  <si>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</si>
  <si>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</si>
  <si>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</si>
  <si>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</si>
  <si>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</si>
  <si>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</si>
  <si>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</si>
  <si>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</si>
  <si>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</si>
  <si>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</si>
  <si>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</si>
  <si>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</si>
  <si>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</si>
  <si>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</si>
  <si>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</si>
  <si>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</si>
  <si>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</si>
  <si>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</si>
  <si>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</si>
  <si>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</si>
  <si>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</si>
  <si>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</si>
  <si>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Mariano Gasparoli</t>
  </si>
  <si>
    <t>Gerente de Inversiones</t>
  </si>
  <si>
    <t>Analista Cuantitativo</t>
  </si>
  <si>
    <t>Analista Research</t>
  </si>
  <si>
    <t>@aleebianchi</t>
  </si>
  <si>
    <t xml:space="preserve"> @FlaviMatsuda</t>
  </si>
  <si>
    <t>4000-1400</t>
  </si>
  <si>
    <t>fb.com/alejandro.emilio.bianchi</t>
  </si>
  <si>
    <t>fmatsuda@invertironline.com</t>
  </si>
  <si>
    <t>mgasparoli@invertironline.com</t>
  </si>
  <si>
    <t>www.invertironline.com</t>
  </si>
  <si>
    <t xml:space="preserve"> @InvertirOnline</t>
  </si>
  <si>
    <t>InvertirOnline</t>
  </si>
  <si>
    <t>Semana 24: Junio 14 a Junio 20, 2018.</t>
  </si>
  <si>
    <t>*The record could not be found</t>
  </si>
  <si>
    <t>Unable to collect data for the field 'TR.CurrentRatio' and some specific identifier(s).</t>
  </si>
  <si>
    <t>Unable to collect data for the field 'TR.QuickRatio' and some specific identifier(s).</t>
  </si>
  <si>
    <t>Unable to collect data for the field 'TR.PricetoFreeCashFlowLTM' and some specific identifier(s).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</si>
</sst>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s>
  <fonts count="56"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vertAlign val="superscript"/>
      <sz val="10"/>
      <color theme="0"/>
      <name val="Calibri"/>
      <family val="2"/>
      <scheme val="minor"/>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sz val="7"/>
      <name val="Calibri"/>
      <family val="2"/>
      <scheme val="minor"/>
    </font>
    <font>
      <b/>
      <sz val="7"/>
      <color theme="1"/>
      <name val="Calibri"/>
      <family val="2"/>
      <scheme val="minor"/>
    </font>
    <font>
      <sz val="12"/>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s>
  <fills count="8">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1" fillId="0" borderId="0" applyNumberFormat="0" applyFill="0" applyBorder="0" applyAlignment="0" applyProtection="0"/>
  </cellStyleXfs>
  <cellXfs count="522">
    <xf numFmtId="0" fontId="0" fillId="0" borderId="0" xfId="0"/>
    <xf numFmtId="14" fontId="4" fillId="0" borderId="0" xfId="4" applyNumberFormat="1" applyFont="1" applyBorder="1" applyAlignment="1">
      <alignment vertical="top"/>
    </xf>
    <xf numFmtId="0" fontId="5" fillId="0" borderId="0" xfId="4" applyFont="1" applyBorder="1" applyAlignment="1">
      <alignment wrapText="1"/>
    </xf>
    <xf numFmtId="0" fontId="5" fillId="0" borderId="0" xfId="4" applyFont="1" applyBorder="1" applyAlignment="1">
      <alignment horizontal="center" wrapText="1"/>
    </xf>
    <xf numFmtId="0" fontId="3" fillId="0" borderId="0" xfId="4" applyBorder="1"/>
    <xf numFmtId="14" fontId="3" fillId="0" borderId="0" xfId="4" applyNumberFormat="1" applyBorder="1"/>
    <xf numFmtId="0" fontId="8" fillId="0" borderId="1" xfId="0" applyFont="1" applyBorder="1" applyAlignment="1">
      <alignment horizontal="left"/>
    </xf>
    <xf numFmtId="0" fontId="9" fillId="0" borderId="1" xfId="4" applyFont="1" applyFill="1" applyBorder="1" applyAlignment="1">
      <alignment vertical="center" wrapText="1"/>
    </xf>
    <xf numFmtId="2" fontId="0" fillId="0" borderId="1" xfId="0" applyNumberFormat="1" applyFill="1" applyBorder="1"/>
    <xf numFmtId="0" fontId="10" fillId="0" borderId="1" xfId="4" applyFont="1" applyFill="1" applyBorder="1" applyAlignment="1">
      <alignment vertical="center" wrapText="1"/>
    </xf>
    <xf numFmtId="0" fontId="10" fillId="0" borderId="1" xfId="4" applyNumberFormat="1" applyFont="1" applyFill="1" applyBorder="1" applyAlignment="1">
      <alignment vertical="center" wrapText="1"/>
    </xf>
    <xf numFmtId="0" fontId="5" fillId="0" borderId="1" xfId="4" applyFont="1" applyBorder="1" applyAlignment="1">
      <alignment wrapText="1"/>
    </xf>
    <xf numFmtId="0" fontId="5" fillId="0" borderId="1" xfId="4" applyFont="1" applyBorder="1" applyAlignment="1">
      <alignment horizontal="center" wrapText="1"/>
    </xf>
    <xf numFmtId="0" fontId="7" fillId="0" borderId="0" xfId="4" applyFont="1" applyFill="1" applyBorder="1" applyAlignment="1">
      <alignment horizontal="left"/>
    </xf>
    <xf numFmtId="0" fontId="11" fillId="0" borderId="0" xfId="4" applyFont="1" applyFill="1" applyBorder="1" applyAlignment="1">
      <alignment vertical="center" wrapText="1"/>
    </xf>
    <xf numFmtId="0" fontId="9" fillId="0" borderId="0" xfId="4" applyFont="1" applyFill="1" applyBorder="1" applyAlignment="1">
      <alignment vertical="center" wrapText="1"/>
    </xf>
    <xf numFmtId="0" fontId="9" fillId="0" borderId="0" xfId="4" applyNumberFormat="1" applyFont="1" applyFill="1" applyBorder="1" applyAlignment="1">
      <alignment vertical="center" wrapText="1"/>
    </xf>
    <xf numFmtId="0" fontId="10" fillId="0" borderId="0" xfId="4" applyFont="1" applyFill="1" applyBorder="1" applyAlignment="1">
      <alignment vertical="center" wrapText="1"/>
    </xf>
    <xf numFmtId="0" fontId="10" fillId="0" borderId="0" xfId="4" applyNumberFormat="1" applyFont="1" applyFill="1" applyBorder="1" applyAlignment="1">
      <alignment vertical="center" wrapText="1"/>
    </xf>
    <xf numFmtId="0" fontId="12" fillId="0" borderId="0" xfId="4" applyFont="1" applyFill="1" applyBorder="1" applyAlignment="1">
      <alignment horizontal="left" vertical="top" wrapText="1"/>
    </xf>
    <xf numFmtId="0" fontId="13" fillId="0" borderId="0" xfId="4" applyFont="1" applyFill="1" applyBorder="1" applyAlignment="1">
      <alignment horizontal="left" vertical="top" wrapText="1"/>
    </xf>
    <xf numFmtId="0" fontId="13" fillId="0" borderId="0" xfId="4" applyNumberFormat="1" applyFont="1" applyFill="1" applyBorder="1" applyAlignment="1">
      <alignment horizontal="left" vertical="top" wrapText="1"/>
    </xf>
    <xf numFmtId="0" fontId="14" fillId="0" borderId="0" xfId="4" applyFont="1" applyFill="1" applyBorder="1" applyAlignment="1">
      <alignment horizontal="left" vertical="center"/>
    </xf>
    <xf numFmtId="0" fontId="16" fillId="0" borderId="0" xfId="4" applyFont="1" applyFill="1" applyBorder="1" applyAlignment="1">
      <alignment horizontal="left" vertical="top" wrapText="1"/>
    </xf>
    <xf numFmtId="0" fontId="16" fillId="0" borderId="0" xfId="4" applyNumberFormat="1" applyFont="1" applyFill="1" applyBorder="1" applyAlignment="1">
      <alignment horizontal="left" vertical="top" wrapText="1"/>
    </xf>
    <xf numFmtId="0" fontId="18" fillId="2" borderId="9" xfId="4" applyFont="1" applyFill="1" applyBorder="1" applyAlignment="1">
      <alignment horizontal="center" vertical="center" wrapText="1"/>
    </xf>
    <xf numFmtId="0" fontId="18" fillId="2" borderId="9" xfId="4" applyNumberFormat="1" applyFont="1" applyFill="1" applyBorder="1" applyAlignment="1">
      <alignment horizontal="center" vertical="center" wrapText="1"/>
    </xf>
    <xf numFmtId="0" fontId="18" fillId="2" borderId="9" xfId="4" applyFont="1" applyFill="1" applyBorder="1" applyAlignment="1">
      <alignment horizontal="center" vertical="center"/>
    </xf>
    <xf numFmtId="2" fontId="20" fillId="5" borderId="0" xfId="0" applyNumberFormat="1" applyFont="1" applyFill="1" applyBorder="1" applyAlignment="1">
      <alignment horizontal="left" vertical="center"/>
    </xf>
    <xf numFmtId="0" fontId="3" fillId="4" borderId="0" xfId="4" applyFill="1" applyBorder="1"/>
    <xf numFmtId="14" fontId="3" fillId="4" borderId="0" xfId="4" applyNumberFormat="1" applyFill="1" applyBorder="1"/>
    <xf numFmtId="164" fontId="10" fillId="0" borderId="6" xfId="1" applyNumberFormat="1" applyFont="1" applyFill="1" applyBorder="1" applyAlignment="1">
      <alignment horizontal="center" vertical="center" wrapText="1"/>
    </xf>
    <xf numFmtId="166" fontId="10" fillId="0" borderId="9" xfId="3" applyNumberFormat="1" applyFont="1" applyFill="1" applyBorder="1" applyAlignment="1">
      <alignment horizontal="center" wrapText="1"/>
    </xf>
    <xf numFmtId="2" fontId="10" fillId="0" borderId="9" xfId="3" applyNumberFormat="1" applyFont="1" applyFill="1" applyBorder="1" applyAlignment="1">
      <alignment horizontal="center" wrapText="1"/>
    </xf>
    <xf numFmtId="167" fontId="10" fillId="0" borderId="9" xfId="3" applyNumberFormat="1" applyFont="1" applyFill="1" applyBorder="1" applyAlignment="1">
      <alignment horizontal="center" wrapText="1"/>
    </xf>
    <xf numFmtId="2" fontId="10" fillId="0" borderId="9" xfId="4" applyNumberFormat="1" applyFont="1" applyFill="1" applyBorder="1" applyAlignment="1">
      <alignment horizontal="center" wrapText="1"/>
    </xf>
    <xf numFmtId="166" fontId="10" fillId="0" borderId="5" xfId="3" applyNumberFormat="1" applyFont="1" applyFill="1" applyBorder="1" applyAlignment="1">
      <alignment horizontal="center" wrapText="1"/>
    </xf>
    <xf numFmtId="168" fontId="10" fillId="6" borderId="9" xfId="3" applyNumberFormat="1" applyFont="1" applyFill="1" applyBorder="1" applyAlignment="1">
      <alignment horizontal="center" wrapText="1"/>
    </xf>
    <xf numFmtId="168" fontId="23" fillId="6" borderId="0" xfId="3" applyNumberFormat="1" applyFont="1" applyFill="1" applyBorder="1" applyAlignment="1">
      <alignment horizontal="center" wrapText="1"/>
    </xf>
    <xf numFmtId="2" fontId="24" fillId="0" borderId="0" xfId="4" applyNumberFormat="1" applyFont="1" applyBorder="1" applyAlignment="1">
      <alignment horizontal="right" vertical="center" wrapText="1"/>
    </xf>
    <xf numFmtId="0" fontId="24" fillId="0" borderId="0" xfId="4" applyFont="1" applyBorder="1" applyAlignment="1">
      <alignment vertical="center" wrapText="1"/>
    </xf>
    <xf numFmtId="14" fontId="24" fillId="0" borderId="0" xfId="4" applyNumberFormat="1" applyFont="1" applyBorder="1" applyAlignment="1">
      <alignment vertical="center" wrapText="1"/>
    </xf>
    <xf numFmtId="164" fontId="10" fillId="4" borderId="6" xfId="1" applyNumberFormat="1" applyFont="1" applyFill="1" applyBorder="1" applyAlignment="1">
      <alignment horizontal="center" vertical="center" wrapText="1"/>
    </xf>
    <xf numFmtId="166" fontId="10" fillId="4" borderId="9" xfId="3" applyNumberFormat="1" applyFont="1" applyFill="1" applyBorder="1" applyAlignment="1">
      <alignment horizontal="center" wrapText="1"/>
    </xf>
    <xf numFmtId="2" fontId="10" fillId="4" borderId="9" xfId="3" applyNumberFormat="1" applyFont="1" applyFill="1" applyBorder="1" applyAlignment="1">
      <alignment horizontal="center" wrapText="1"/>
    </xf>
    <xf numFmtId="167" fontId="10" fillId="4" borderId="5" xfId="3" applyNumberFormat="1" applyFont="1" applyFill="1" applyBorder="1" applyAlignment="1">
      <alignment horizontal="center" wrapText="1"/>
    </xf>
    <xf numFmtId="166" fontId="10" fillId="4" borderId="5" xfId="3" applyNumberFormat="1" applyFont="1" applyFill="1" applyBorder="1" applyAlignment="1">
      <alignment horizontal="center" wrapText="1"/>
    </xf>
    <xf numFmtId="2" fontId="10" fillId="4" borderId="9" xfId="4" applyNumberFormat="1" applyFont="1" applyFill="1" applyBorder="1" applyAlignment="1">
      <alignment horizontal="center" wrapText="1"/>
    </xf>
    <xf numFmtId="168" fontId="10" fillId="4" borderId="9" xfId="3" applyNumberFormat="1" applyFont="1" applyFill="1" applyBorder="1" applyAlignment="1">
      <alignment horizontal="center" wrapText="1"/>
    </xf>
    <xf numFmtId="168" fontId="23" fillId="4" borderId="0" xfId="3" applyNumberFormat="1" applyFont="1" applyFill="1" applyBorder="1" applyAlignment="1">
      <alignment horizontal="center" wrapText="1"/>
    </xf>
    <xf numFmtId="0" fontId="24" fillId="0" borderId="0" xfId="4" applyFont="1" applyFill="1" applyBorder="1" applyAlignment="1">
      <alignment vertical="center" wrapText="1"/>
    </xf>
    <xf numFmtId="14" fontId="24" fillId="0" borderId="0" xfId="4" applyNumberFormat="1" applyFont="1" applyFill="1" applyBorder="1" applyAlignment="1">
      <alignment vertical="center" wrapText="1"/>
    </xf>
    <xf numFmtId="164" fontId="10" fillId="6" borderId="6" xfId="1" applyNumberFormat="1" applyFont="1" applyFill="1" applyBorder="1" applyAlignment="1">
      <alignment horizontal="center" vertical="center" wrapText="1"/>
    </xf>
    <xf numFmtId="166" fontId="10" fillId="6" borderId="9" xfId="3" applyNumberFormat="1" applyFont="1" applyFill="1" applyBorder="1" applyAlignment="1">
      <alignment horizontal="center" wrapText="1"/>
    </xf>
    <xf numFmtId="2" fontId="10" fillId="6" borderId="9" xfId="4" applyNumberFormat="1" applyFont="1" applyFill="1" applyBorder="1" applyAlignment="1">
      <alignment horizontal="center" wrapText="1"/>
    </xf>
    <xf numFmtId="166" fontId="10" fillId="6" borderId="5" xfId="3" applyNumberFormat="1" applyFont="1" applyFill="1" applyBorder="1" applyAlignment="1">
      <alignment horizontal="center" wrapText="1"/>
    </xf>
    <xf numFmtId="0" fontId="24" fillId="0" borderId="0" xfId="4" applyFont="1" applyFill="1" applyBorder="1"/>
    <xf numFmtId="14" fontId="24" fillId="0" borderId="0" xfId="4" applyNumberFormat="1" applyFont="1" applyFill="1" applyBorder="1"/>
    <xf numFmtId="169" fontId="10" fillId="4" borderId="5" xfId="1" applyNumberFormat="1" applyFont="1" applyFill="1" applyBorder="1" applyAlignment="1">
      <alignment horizontal="center" vertical="center" wrapText="1"/>
    </xf>
    <xf numFmtId="43" fontId="10" fillId="0" borderId="5" xfId="1" applyNumberFormat="1" applyFont="1" applyFill="1" applyBorder="1" applyAlignment="1">
      <alignment horizontal="center" vertical="center" wrapText="1"/>
    </xf>
    <xf numFmtId="164" fontId="10" fillId="4" borderId="5" xfId="1" applyNumberFormat="1" applyFont="1" applyFill="1" applyBorder="1" applyAlignment="1">
      <alignment horizontal="center" vertical="center" wrapText="1"/>
    </xf>
    <xf numFmtId="43" fontId="10" fillId="0" borderId="13" xfId="1" applyNumberFormat="1" applyFont="1" applyFill="1" applyBorder="1" applyAlignment="1">
      <alignment horizontal="center" vertical="center" wrapText="1"/>
    </xf>
    <xf numFmtId="166" fontId="10" fillId="0" borderId="13" xfId="3" applyNumberFormat="1" applyFont="1" applyFill="1" applyBorder="1" applyAlignment="1">
      <alignment horizontal="center" wrapText="1"/>
    </xf>
    <xf numFmtId="2" fontId="10" fillId="0" borderId="13" xfId="3" applyNumberFormat="1" applyFont="1" applyFill="1" applyBorder="1" applyAlignment="1">
      <alignment horizontal="center" wrapText="1"/>
    </xf>
    <xf numFmtId="167" fontId="10" fillId="0" borderId="13" xfId="3" applyNumberFormat="1" applyFont="1" applyFill="1" applyBorder="1" applyAlignment="1">
      <alignment horizontal="center" wrapText="1"/>
    </xf>
    <xf numFmtId="2" fontId="10" fillId="0" borderId="13" xfId="4" applyNumberFormat="1" applyFont="1" applyFill="1" applyBorder="1" applyAlignment="1">
      <alignment horizontal="center" wrapText="1"/>
    </xf>
    <xf numFmtId="14" fontId="10" fillId="0" borderId="16" xfId="3" applyNumberFormat="1" applyFont="1" applyFill="1" applyBorder="1" applyAlignment="1">
      <alignment horizontal="center" wrapText="1"/>
    </xf>
    <xf numFmtId="2" fontId="20" fillId="5" borderId="6" xfId="0" applyNumberFormat="1" applyFont="1" applyFill="1" applyBorder="1" applyAlignment="1">
      <alignment vertical="center"/>
    </xf>
    <xf numFmtId="165" fontId="20" fillId="5" borderId="6" xfId="0" applyNumberFormat="1" applyFont="1" applyFill="1" applyBorder="1" applyAlignment="1">
      <alignment horizontal="center" vertical="center"/>
    </xf>
    <xf numFmtId="166" fontId="20" fillId="5" borderId="6" xfId="0" applyNumberFormat="1" applyFont="1" applyFill="1" applyBorder="1" applyAlignment="1">
      <alignment horizontal="center" vertical="center"/>
    </xf>
    <xf numFmtId="2" fontId="20" fillId="5" borderId="7" xfId="0" applyNumberFormat="1" applyFont="1" applyFill="1" applyBorder="1" applyAlignment="1">
      <alignment vertical="center"/>
    </xf>
    <xf numFmtId="2" fontId="20" fillId="5" borderId="0" xfId="0" applyNumberFormat="1" applyFont="1" applyFill="1" applyBorder="1" applyAlignment="1">
      <alignment vertical="center"/>
    </xf>
    <xf numFmtId="0" fontId="24" fillId="5" borderId="0" xfId="4" applyFont="1" applyFill="1" applyBorder="1" applyAlignment="1">
      <alignment vertical="center" wrapText="1"/>
    </xf>
    <xf numFmtId="14" fontId="24" fillId="5" borderId="0" xfId="4" applyNumberFormat="1" applyFont="1" applyFill="1" applyBorder="1" applyAlignment="1">
      <alignment vertical="center" wrapText="1"/>
    </xf>
    <xf numFmtId="169" fontId="10" fillId="4" borderId="6" xfId="1" applyNumberFormat="1" applyFont="1" applyFill="1" applyBorder="1" applyAlignment="1">
      <alignment horizontal="center" vertical="center" wrapText="1"/>
    </xf>
    <xf numFmtId="169" fontId="10" fillId="4" borderId="20" xfId="1" applyNumberFormat="1" applyFont="1" applyFill="1" applyBorder="1" applyAlignment="1">
      <alignment horizontal="center" vertical="center" wrapText="1"/>
    </xf>
    <xf numFmtId="166" fontId="10" fillId="4" borderId="17" xfId="3" applyNumberFormat="1" applyFont="1" applyFill="1" applyBorder="1" applyAlignment="1">
      <alignment horizontal="center" wrapText="1"/>
    </xf>
    <xf numFmtId="2" fontId="10" fillId="4" borderId="17" xfId="3" applyNumberFormat="1" applyFont="1" applyFill="1" applyBorder="1" applyAlignment="1">
      <alignment horizontal="center" wrapText="1"/>
    </xf>
    <xf numFmtId="167" fontId="10" fillId="4" borderId="18" xfId="3" applyNumberFormat="1" applyFont="1" applyFill="1" applyBorder="1" applyAlignment="1">
      <alignment horizontal="center" wrapText="1"/>
    </xf>
    <xf numFmtId="166" fontId="10" fillId="4" borderId="18" xfId="3" applyNumberFormat="1" applyFont="1" applyFill="1" applyBorder="1" applyAlignment="1">
      <alignment horizontal="center" wrapText="1"/>
    </xf>
    <xf numFmtId="2" fontId="10" fillId="4" borderId="17" xfId="4" applyNumberFormat="1" applyFont="1" applyFill="1" applyBorder="1" applyAlignment="1">
      <alignment horizontal="center" wrapText="1"/>
    </xf>
    <xf numFmtId="168" fontId="10" fillId="4" borderId="17" xfId="3" applyNumberFormat="1" applyFont="1" applyFill="1" applyBorder="1" applyAlignment="1">
      <alignment horizontal="center" wrapText="1"/>
    </xf>
    <xf numFmtId="168" fontId="23" fillId="4" borderId="1" xfId="3" applyNumberFormat="1" applyFont="1" applyFill="1" applyBorder="1" applyAlignment="1">
      <alignment horizontal="center" wrapText="1"/>
    </xf>
    <xf numFmtId="164" fontId="10" fillId="0" borderId="21" xfId="1" applyNumberFormat="1" applyFont="1" applyFill="1" applyBorder="1" applyAlignment="1">
      <alignment horizontal="center" vertical="center" wrapText="1"/>
    </xf>
    <xf numFmtId="166" fontId="10" fillId="0" borderId="12" xfId="3" applyNumberFormat="1" applyFont="1" applyFill="1" applyBorder="1" applyAlignment="1">
      <alignment horizontal="center" wrapText="1"/>
    </xf>
    <xf numFmtId="2" fontId="10" fillId="0" borderId="12" xfId="3" applyNumberFormat="1" applyFont="1" applyFill="1" applyBorder="1" applyAlignment="1">
      <alignment horizontal="center" wrapText="1"/>
    </xf>
    <xf numFmtId="167" fontId="10" fillId="0" borderId="12" xfId="3" applyNumberFormat="1" applyFont="1" applyFill="1" applyBorder="1" applyAlignment="1">
      <alignment horizontal="center" wrapText="1"/>
    </xf>
    <xf numFmtId="2" fontId="10" fillId="0" borderId="12" xfId="4" applyNumberFormat="1" applyFont="1" applyFill="1" applyBorder="1" applyAlignment="1">
      <alignment horizontal="center" wrapText="1"/>
    </xf>
    <xf numFmtId="166" fontId="10" fillId="6" borderId="12" xfId="3" applyNumberFormat="1" applyFont="1" applyFill="1" applyBorder="1" applyAlignment="1">
      <alignment horizontal="center" wrapText="1"/>
    </xf>
    <xf numFmtId="166" fontId="10" fillId="6" borderId="10" xfId="3" applyNumberFormat="1" applyFont="1" applyFill="1" applyBorder="1" applyAlignment="1">
      <alignment horizontal="center" wrapText="1"/>
    </xf>
    <xf numFmtId="168" fontId="10" fillId="6" borderId="12" xfId="3" applyNumberFormat="1" applyFont="1" applyFill="1" applyBorder="1" applyAlignment="1">
      <alignment horizontal="center" wrapText="1"/>
    </xf>
    <xf numFmtId="0" fontId="22" fillId="0" borderId="12" xfId="4" applyFont="1" applyFill="1" applyBorder="1" applyAlignment="1">
      <alignment horizontal="center" vertical="center" wrapText="1"/>
    </xf>
    <xf numFmtId="0" fontId="24" fillId="5" borderId="0" xfId="4" applyFont="1" applyFill="1" applyBorder="1"/>
    <xf numFmtId="14" fontId="24" fillId="5" borderId="0" xfId="4" applyNumberFormat="1" applyFont="1" applyFill="1" applyBorder="1"/>
    <xf numFmtId="0" fontId="24" fillId="0" borderId="0" xfId="4" applyFont="1" applyBorder="1"/>
    <xf numFmtId="14" fontId="24" fillId="0" borderId="0" xfId="4" applyNumberFormat="1" applyFont="1" applyBorder="1"/>
    <xf numFmtId="164" fontId="10" fillId="0" borderId="20" xfId="1" applyNumberFormat="1" applyFont="1" applyFill="1" applyBorder="1" applyAlignment="1">
      <alignment horizontal="center" vertical="center" wrapText="1"/>
    </xf>
    <xf numFmtId="166" fontId="10" fillId="0" borderId="17" xfId="3" applyNumberFormat="1" applyFont="1" applyFill="1" applyBorder="1" applyAlignment="1">
      <alignment horizontal="center" wrapText="1"/>
    </xf>
    <xf numFmtId="2" fontId="10" fillId="0" borderId="17" xfId="3" applyNumberFormat="1" applyFont="1" applyFill="1" applyBorder="1" applyAlignment="1">
      <alignment horizontal="center" wrapText="1"/>
    </xf>
    <xf numFmtId="167" fontId="10" fillId="0" borderId="17" xfId="3" applyNumberFormat="1" applyFont="1" applyFill="1" applyBorder="1" applyAlignment="1">
      <alignment horizontal="center" wrapText="1"/>
    </xf>
    <xf numFmtId="2" fontId="10" fillId="0" borderId="17" xfId="4" applyNumberFormat="1" applyFont="1" applyFill="1" applyBorder="1" applyAlignment="1">
      <alignment horizontal="center" wrapText="1"/>
    </xf>
    <xf numFmtId="166" fontId="10" fillId="6" borderId="17" xfId="3" applyNumberFormat="1" applyFont="1" applyFill="1" applyBorder="1" applyAlignment="1">
      <alignment horizontal="center" wrapText="1"/>
    </xf>
    <xf numFmtId="166" fontId="10" fillId="6" borderId="18" xfId="3" applyNumberFormat="1" applyFont="1" applyFill="1" applyBorder="1" applyAlignment="1">
      <alignment horizontal="center" wrapText="1"/>
    </xf>
    <xf numFmtId="168" fontId="10" fillId="6" borderId="17" xfId="3" applyNumberFormat="1" applyFont="1" applyFill="1" applyBorder="1" applyAlignment="1">
      <alignment horizontal="center" wrapText="1"/>
    </xf>
    <xf numFmtId="168" fontId="23" fillId="6" borderId="1" xfId="3" applyNumberFormat="1" applyFont="1" applyFill="1" applyBorder="1" applyAlignment="1">
      <alignment horizontal="center" wrapText="1"/>
    </xf>
    <xf numFmtId="169" fontId="10" fillId="4" borderId="21" xfId="1" applyNumberFormat="1" applyFont="1" applyFill="1" applyBorder="1" applyAlignment="1">
      <alignment horizontal="center" vertical="center" wrapText="1"/>
    </xf>
    <xf numFmtId="166" fontId="10" fillId="4" borderId="12" xfId="3" applyNumberFormat="1" applyFont="1" applyFill="1" applyBorder="1" applyAlignment="1">
      <alignment horizontal="center" wrapText="1"/>
    </xf>
    <xf numFmtId="2" fontId="10" fillId="4" borderId="12" xfId="3" applyNumberFormat="1" applyFont="1" applyFill="1" applyBorder="1" applyAlignment="1">
      <alignment horizontal="center" wrapText="1"/>
    </xf>
    <xf numFmtId="167" fontId="10" fillId="4" borderId="10" xfId="3" applyNumberFormat="1" applyFont="1" applyFill="1" applyBorder="1" applyAlignment="1">
      <alignment horizontal="center" wrapText="1"/>
    </xf>
    <xf numFmtId="166" fontId="10" fillId="4" borderId="10" xfId="3" applyNumberFormat="1" applyFont="1" applyFill="1" applyBorder="1" applyAlignment="1">
      <alignment horizontal="center" wrapText="1"/>
    </xf>
    <xf numFmtId="2" fontId="10" fillId="4" borderId="12" xfId="4" applyNumberFormat="1" applyFont="1" applyFill="1" applyBorder="1" applyAlignment="1">
      <alignment horizontal="center" wrapText="1"/>
    </xf>
    <xf numFmtId="168" fontId="10" fillId="4" borderId="12" xfId="3" applyNumberFormat="1" applyFont="1" applyFill="1" applyBorder="1" applyAlignment="1">
      <alignment horizontal="center" wrapText="1"/>
    </xf>
    <xf numFmtId="0" fontId="25" fillId="5" borderId="0" xfId="4" applyFont="1" applyFill="1" applyBorder="1" applyAlignment="1"/>
    <xf numFmtId="0" fontId="25" fillId="5" borderId="0" xfId="4" applyFont="1" applyFill="1" applyBorder="1" applyAlignment="1">
      <alignment horizontal="center" vertical="center" wrapText="1"/>
    </xf>
    <xf numFmtId="2" fontId="26" fillId="5" borderId="0" xfId="0" applyNumberFormat="1" applyFont="1" applyFill="1" applyBorder="1" applyAlignment="1">
      <alignment horizontal="left" vertical="center"/>
    </xf>
    <xf numFmtId="0" fontId="25" fillId="5" borderId="22" xfId="4" applyFont="1" applyFill="1" applyBorder="1" applyAlignment="1">
      <alignment horizontal="center" vertical="center" wrapText="1"/>
    </xf>
    <xf numFmtId="164" fontId="10" fillId="0" borderId="5" xfId="1" applyNumberFormat="1" applyFont="1" applyFill="1" applyBorder="1" applyAlignment="1">
      <alignment horizontal="center" vertical="center" wrapText="1"/>
    </xf>
    <xf numFmtId="164" fontId="10" fillId="0" borderId="9" xfId="1" applyNumberFormat="1" applyFont="1" applyFill="1" applyBorder="1" applyAlignment="1">
      <alignment horizontal="center" vertical="center" wrapText="1"/>
    </xf>
    <xf numFmtId="164" fontId="10" fillId="4" borderId="9" xfId="1" applyNumberFormat="1" applyFont="1" applyFill="1" applyBorder="1" applyAlignment="1">
      <alignment horizontal="center" vertical="center" wrapText="1"/>
    </xf>
    <xf numFmtId="164" fontId="10" fillId="4" borderId="17" xfId="1" applyNumberFormat="1" applyFont="1" applyFill="1" applyBorder="1" applyAlignment="1">
      <alignment horizontal="center" vertical="center" wrapText="1"/>
    </xf>
    <xf numFmtId="164" fontId="10" fillId="0" borderId="12" xfId="1" applyNumberFormat="1" applyFont="1" applyFill="1" applyBorder="1" applyAlignment="1">
      <alignment horizontal="center" vertical="center" wrapText="1"/>
    </xf>
    <xf numFmtId="166" fontId="10" fillId="0" borderId="10" xfId="3" applyNumberFormat="1" applyFont="1" applyFill="1" applyBorder="1" applyAlignment="1">
      <alignment horizontal="center" wrapText="1"/>
    </xf>
    <xf numFmtId="169" fontId="10" fillId="0" borderId="5" xfId="1" applyNumberFormat="1" applyFont="1" applyFill="1" applyBorder="1" applyAlignment="1">
      <alignment horizontal="center" vertical="center" wrapText="1"/>
    </xf>
    <xf numFmtId="164" fontId="10" fillId="4" borderId="2" xfId="1" applyNumberFormat="1" applyFont="1" applyFill="1" applyBorder="1" applyAlignment="1">
      <alignment horizontal="center" vertical="center" wrapText="1"/>
    </xf>
    <xf numFmtId="166" fontId="10" fillId="4" borderId="4" xfId="3" applyNumberFormat="1" applyFont="1" applyFill="1" applyBorder="1" applyAlignment="1">
      <alignment horizontal="center" wrapText="1"/>
    </xf>
    <xf numFmtId="2" fontId="10" fillId="4" borderId="4" xfId="3" applyNumberFormat="1" applyFont="1" applyFill="1" applyBorder="1" applyAlignment="1">
      <alignment horizontal="center" wrapText="1"/>
    </xf>
    <xf numFmtId="167" fontId="10" fillId="4" borderId="2" xfId="3" applyNumberFormat="1" applyFont="1" applyFill="1" applyBorder="1" applyAlignment="1">
      <alignment horizontal="center" wrapText="1"/>
    </xf>
    <xf numFmtId="166" fontId="10" fillId="4" borderId="2" xfId="3" applyNumberFormat="1" applyFont="1" applyFill="1" applyBorder="1" applyAlignment="1">
      <alignment horizontal="center" wrapText="1"/>
    </xf>
    <xf numFmtId="2" fontId="10" fillId="4" borderId="4" xfId="4" applyNumberFormat="1" applyFont="1" applyFill="1" applyBorder="1" applyAlignment="1">
      <alignment horizontal="center" wrapText="1"/>
    </xf>
    <xf numFmtId="168" fontId="10" fillId="4" borderId="4" xfId="3" applyNumberFormat="1" applyFont="1" applyFill="1" applyBorder="1" applyAlignment="1">
      <alignment horizontal="center" wrapText="1"/>
    </xf>
    <xf numFmtId="164" fontId="10" fillId="4" borderId="18" xfId="1" applyNumberFormat="1" applyFont="1" applyFill="1" applyBorder="1" applyAlignment="1">
      <alignment horizontal="center" vertical="center" wrapText="1"/>
    </xf>
    <xf numFmtId="164" fontId="10" fillId="0" borderId="10" xfId="1" applyNumberFormat="1" applyFont="1" applyFill="1" applyBorder="1" applyAlignment="1">
      <alignment horizontal="center" vertical="center" wrapText="1"/>
    </xf>
    <xf numFmtId="0" fontId="10" fillId="5" borderId="0" xfId="4" applyFont="1" applyFill="1" applyBorder="1"/>
    <xf numFmtId="14" fontId="10" fillId="5" borderId="0" xfId="4" applyNumberFormat="1" applyFont="1" applyFill="1" applyBorder="1"/>
    <xf numFmtId="0" fontId="10" fillId="0" borderId="0" xfId="4" applyFont="1" applyBorder="1"/>
    <xf numFmtId="14" fontId="10" fillId="0" borderId="0" xfId="4" applyNumberFormat="1" applyFont="1" applyBorder="1"/>
    <xf numFmtId="0" fontId="3" fillId="5" borderId="0" xfId="4" applyFill="1" applyBorder="1"/>
    <xf numFmtId="167" fontId="10" fillId="4" borderId="9" xfId="3" applyNumberFormat="1" applyFont="1" applyFill="1" applyBorder="1" applyAlignment="1">
      <alignment horizontal="center" wrapText="1"/>
    </xf>
    <xf numFmtId="164" fontId="10" fillId="6" borderId="4" xfId="1" applyNumberFormat="1" applyFont="1" applyFill="1" applyBorder="1" applyAlignment="1">
      <alignment horizontal="center" vertical="center" wrapText="1"/>
    </xf>
    <xf numFmtId="166" fontId="10" fillId="6" borderId="4" xfId="3" applyNumberFormat="1" applyFont="1" applyFill="1" applyBorder="1" applyAlignment="1">
      <alignment horizontal="center" wrapText="1"/>
    </xf>
    <xf numFmtId="2" fontId="10" fillId="6" borderId="4" xfId="3" applyNumberFormat="1" applyFont="1" applyFill="1" applyBorder="1" applyAlignment="1">
      <alignment horizontal="center" wrapText="1"/>
    </xf>
    <xf numFmtId="167" fontId="10" fillId="6" borderId="2" xfId="3" applyNumberFormat="1" applyFont="1" applyFill="1" applyBorder="1" applyAlignment="1">
      <alignment horizontal="center" wrapText="1"/>
    </xf>
    <xf numFmtId="166" fontId="10" fillId="6" borderId="2" xfId="3" applyNumberFormat="1" applyFont="1" applyFill="1" applyBorder="1" applyAlignment="1">
      <alignment horizontal="center" wrapText="1"/>
    </xf>
    <xf numFmtId="2" fontId="10" fillId="6" borderId="4" xfId="4" applyNumberFormat="1" applyFont="1" applyFill="1" applyBorder="1" applyAlignment="1">
      <alignment horizontal="center" wrapText="1"/>
    </xf>
    <xf numFmtId="168" fontId="10" fillId="6" borderId="4" xfId="3" applyNumberFormat="1" applyFont="1" applyFill="1" applyBorder="1" applyAlignment="1">
      <alignment horizontal="center" wrapText="1"/>
    </xf>
    <xf numFmtId="165" fontId="10" fillId="0" borderId="9" xfId="3" applyNumberFormat="1" applyFont="1" applyFill="1" applyBorder="1" applyAlignment="1">
      <alignment horizontal="center" wrapText="1"/>
    </xf>
    <xf numFmtId="0" fontId="25" fillId="6" borderId="0" xfId="4" applyFont="1" applyFill="1" applyBorder="1"/>
    <xf numFmtId="2" fontId="25" fillId="6" borderId="0" xfId="4" applyNumberFormat="1" applyFont="1" applyFill="1" applyBorder="1" applyAlignment="1">
      <alignment wrapText="1"/>
    </xf>
    <xf numFmtId="2" fontId="25" fillId="6" borderId="0" xfId="4" applyNumberFormat="1" applyFont="1" applyFill="1" applyBorder="1" applyAlignment="1">
      <alignment horizontal="center" wrapText="1"/>
    </xf>
    <xf numFmtId="0" fontId="25" fillId="6" borderId="0" xfId="4" applyNumberFormat="1" applyFont="1" applyFill="1" applyBorder="1" applyAlignment="1">
      <alignment horizontal="center" wrapText="1"/>
    </xf>
    <xf numFmtId="0" fontId="27" fillId="6" borderId="0" xfId="4" applyFont="1" applyFill="1" applyBorder="1" applyAlignment="1">
      <alignment horizontal="left"/>
    </xf>
    <xf numFmtId="0" fontId="25" fillId="6" borderId="0" xfId="4" applyFont="1" applyFill="1" applyBorder="1" applyAlignment="1">
      <alignment horizontal="left"/>
    </xf>
    <xf numFmtId="2" fontId="25" fillId="6" borderId="0" xfId="4" applyNumberFormat="1" applyFont="1" applyFill="1" applyBorder="1" applyAlignment="1">
      <alignment horizontal="left" wrapText="1"/>
    </xf>
    <xf numFmtId="0" fontId="3" fillId="6" borderId="0" xfId="4" applyFill="1" applyBorder="1"/>
    <xf numFmtId="0" fontId="25" fillId="0" borderId="0" xfId="4" applyFont="1" applyBorder="1"/>
    <xf numFmtId="2" fontId="25" fillId="0" borderId="0" xfId="4" applyNumberFormat="1" applyFont="1" applyFill="1" applyBorder="1" applyAlignment="1">
      <alignment horizontal="center" wrapText="1"/>
    </xf>
    <xf numFmtId="0" fontId="25" fillId="0" borderId="0" xfId="4" applyNumberFormat="1" applyFont="1" applyFill="1" applyBorder="1" applyAlignment="1">
      <alignment horizontal="center" wrapText="1"/>
    </xf>
    <xf numFmtId="0" fontId="25" fillId="0" borderId="0" xfId="4" applyNumberFormat="1" applyFont="1" applyBorder="1"/>
    <xf numFmtId="0" fontId="4" fillId="0" borderId="0" xfId="4" applyFont="1" applyBorder="1" applyAlignment="1">
      <alignment vertical="center"/>
    </xf>
    <xf numFmtId="0" fontId="28" fillId="0" borderId="0" xfId="4" applyFont="1" applyBorder="1" applyAlignment="1"/>
    <xf numFmtId="0" fontId="3" fillId="0" borderId="0" xfId="4" applyFont="1"/>
    <xf numFmtId="14" fontId="3" fillId="0" borderId="0" xfId="4" applyNumberFormat="1" applyFont="1"/>
    <xf numFmtId="0" fontId="5" fillId="0" borderId="0" xfId="4" applyFont="1" applyAlignment="1">
      <alignment wrapText="1"/>
    </xf>
    <xf numFmtId="0" fontId="4" fillId="0" borderId="1" xfId="4" applyFont="1" applyBorder="1" applyAlignment="1">
      <alignment vertical="center"/>
    </xf>
    <xf numFmtId="0" fontId="29" fillId="0" borderId="23" xfId="4" applyFont="1" applyFill="1" applyBorder="1" applyAlignment="1">
      <alignment vertical="center"/>
    </xf>
    <xf numFmtId="0" fontId="29" fillId="0" borderId="0" xfId="4" applyFont="1"/>
    <xf numFmtId="0" fontId="29" fillId="0" borderId="0" xfId="4" applyFont="1" applyFill="1" applyBorder="1" applyAlignment="1">
      <alignment vertical="center"/>
    </xf>
    <xf numFmtId="0" fontId="31" fillId="0" borderId="0" xfId="0" applyFont="1"/>
    <xf numFmtId="49" fontId="32" fillId="0" borderId="0" xfId="4" applyNumberFormat="1" applyFont="1" applyFill="1" applyBorder="1" applyAlignment="1">
      <alignment vertical="top" wrapText="1"/>
    </xf>
    <xf numFmtId="0" fontId="31" fillId="0" borderId="0" xfId="0" applyFont="1" applyAlignment="1"/>
    <xf numFmtId="0" fontId="32" fillId="0" borderId="0" xfId="0" applyFont="1" applyAlignment="1">
      <alignment horizontal="left"/>
    </xf>
    <xf numFmtId="0" fontId="31" fillId="0" borderId="0" xfId="0" applyFont="1" applyAlignment="1">
      <alignment horizontal="left"/>
    </xf>
    <xf numFmtId="0" fontId="24" fillId="0" borderId="0" xfId="4" applyFont="1"/>
    <xf numFmtId="14" fontId="24" fillId="0" borderId="0" xfId="4" applyNumberFormat="1" applyFont="1"/>
    <xf numFmtId="0" fontId="24" fillId="0" borderId="0" xfId="4" applyFont="1" applyFill="1"/>
    <xf numFmtId="14" fontId="24" fillId="0" borderId="0" xfId="4" applyNumberFormat="1" applyFont="1" applyFill="1"/>
    <xf numFmtId="0" fontId="3" fillId="0" borderId="0" xfId="4" applyFont="1" applyFill="1"/>
    <xf numFmtId="166" fontId="3" fillId="0" borderId="0" xfId="4" applyNumberFormat="1" applyFont="1"/>
    <xf numFmtId="0" fontId="24" fillId="0" borderId="0" xfId="4" applyFont="1" applyAlignment="1">
      <alignment vertical="center" wrapText="1"/>
    </xf>
    <xf numFmtId="14" fontId="24" fillId="0" borderId="0" xfId="4" applyNumberFormat="1" applyFont="1" applyAlignment="1">
      <alignment vertical="center" wrapText="1"/>
    </xf>
    <xf numFmtId="0" fontId="3" fillId="0" borderId="0" xfId="4" applyFont="1" applyAlignment="1">
      <alignment vertical="center" wrapText="1"/>
    </xf>
    <xf numFmtId="49" fontId="32" fillId="0" borderId="0" xfId="4" applyNumberFormat="1" applyFont="1" applyFill="1" applyBorder="1" applyAlignment="1">
      <alignment wrapText="1"/>
    </xf>
    <xf numFmtId="0" fontId="29" fillId="0" borderId="0" xfId="4" applyFont="1" applyFill="1" applyBorder="1" applyAlignment="1"/>
    <xf numFmtId="0" fontId="10" fillId="0" borderId="0" xfId="4" applyFont="1" applyFill="1" applyBorder="1" applyAlignment="1">
      <alignment vertical="center"/>
    </xf>
    <xf numFmtId="49" fontId="21" fillId="0" borderId="0" xfId="4" applyNumberFormat="1" applyFont="1" applyFill="1" applyBorder="1" applyAlignment="1">
      <alignment vertical="top" wrapText="1"/>
    </xf>
    <xf numFmtId="0" fontId="33" fillId="0" borderId="0" xfId="4" applyFont="1"/>
    <xf numFmtId="0" fontId="34" fillId="0" borderId="0" xfId="4" applyFont="1" applyFill="1" applyBorder="1" applyAlignment="1">
      <alignment horizontal="justify" vertical="center"/>
    </xf>
    <xf numFmtId="0" fontId="35" fillId="0" borderId="0" xfId="4" applyFont="1"/>
    <xf numFmtId="0" fontId="36" fillId="0" borderId="23" xfId="0" applyFont="1" applyFill="1" applyBorder="1" applyAlignment="1"/>
    <xf numFmtId="0" fontId="36" fillId="0" borderId="26" xfId="0" applyFont="1" applyFill="1" applyBorder="1" applyAlignment="1"/>
    <xf numFmtId="0" fontId="36" fillId="0" borderId="0" xfId="0" applyFont="1" applyFill="1"/>
    <xf numFmtId="0" fontId="27" fillId="0" borderId="0" xfId="4" applyFont="1" applyFill="1" applyBorder="1" applyAlignment="1">
      <alignment vertical="center"/>
    </xf>
    <xf numFmtId="49" fontId="36" fillId="0" borderId="0" xfId="4" applyNumberFormat="1" applyFont="1" applyFill="1" applyBorder="1" applyAlignment="1">
      <alignment vertical="top" wrapText="1"/>
    </xf>
    <xf numFmtId="0" fontId="36" fillId="0" borderId="0" xfId="0" applyFont="1" applyFill="1" applyBorder="1" applyAlignment="1"/>
    <xf numFmtId="0" fontId="36" fillId="0" borderId="27" xfId="0" applyFont="1" applyFill="1" applyBorder="1" applyAlignment="1"/>
    <xf numFmtId="0" fontId="36" fillId="0" borderId="0" xfId="0" applyFont="1"/>
    <xf numFmtId="0" fontId="36" fillId="0" borderId="0" xfId="0" applyFont="1" applyFill="1" applyBorder="1"/>
    <xf numFmtId="0" fontId="37" fillId="0" borderId="0" xfId="0" applyFont="1" applyFill="1"/>
    <xf numFmtId="0" fontId="38" fillId="0" borderId="0" xfId="4" applyFont="1" applyFill="1" applyBorder="1" applyAlignment="1">
      <alignment vertical="center"/>
    </xf>
    <xf numFmtId="49" fontId="21" fillId="0" borderId="0" xfId="4" applyNumberFormat="1" applyFont="1" applyFill="1" applyBorder="1" applyAlignment="1">
      <alignment horizontal="left" vertical="top" wrapText="1"/>
    </xf>
    <xf numFmtId="0" fontId="21" fillId="0" borderId="0" xfId="0" applyFont="1"/>
    <xf numFmtId="170" fontId="21" fillId="0" borderId="0" xfId="0" applyNumberFormat="1" applyFont="1" applyFill="1" applyBorder="1" applyAlignment="1">
      <alignment horizontal="right"/>
    </xf>
    <xf numFmtId="164" fontId="21" fillId="0" borderId="0" xfId="0" applyNumberFormat="1" applyFont="1" applyFill="1" applyBorder="1" applyAlignment="1">
      <alignment horizontal="right"/>
    </xf>
    <xf numFmtId="0" fontId="21" fillId="0" borderId="0" xfId="0" applyFont="1" applyFill="1" applyBorder="1" applyAlignment="1">
      <alignment horizontal="center"/>
    </xf>
    <xf numFmtId="0" fontId="21" fillId="0" borderId="0" xfId="0" applyFont="1" applyFill="1" applyBorder="1"/>
    <xf numFmtId="44" fontId="21" fillId="0" borderId="0" xfId="2" applyFont="1" applyFill="1" applyBorder="1" applyAlignment="1">
      <alignment horizontal="right"/>
    </xf>
    <xf numFmtId="0" fontId="10" fillId="0" borderId="0" xfId="4" applyFont="1"/>
    <xf numFmtId="14" fontId="10" fillId="0" borderId="0" xfId="4" applyNumberFormat="1" applyFont="1"/>
    <xf numFmtId="0" fontId="10" fillId="0" borderId="0" xfId="4" applyFont="1" applyFill="1" applyBorder="1"/>
    <xf numFmtId="0" fontId="10" fillId="0" borderId="0" xfId="4" applyFont="1" applyFill="1" applyBorder="1" applyAlignment="1">
      <alignment horizontal="center"/>
    </xf>
    <xf numFmtId="169" fontId="10" fillId="0" borderId="0" xfId="4" applyNumberFormat="1" applyFont="1" applyFill="1" applyBorder="1"/>
    <xf numFmtId="0" fontId="10" fillId="0" borderId="0" xfId="4" applyFont="1" applyAlignment="1">
      <alignment horizontal="center"/>
    </xf>
    <xf numFmtId="0" fontId="24" fillId="0" borderId="0" xfId="4" applyFont="1" applyAlignment="1">
      <alignment horizontal="center"/>
    </xf>
    <xf numFmtId="164" fontId="24" fillId="0" borderId="0" xfId="4" applyNumberFormat="1" applyFont="1"/>
    <xf numFmtId="169" fontId="24" fillId="0" borderId="0" xfId="4" applyNumberFormat="1" applyFont="1"/>
    <xf numFmtId="43" fontId="24" fillId="0" borderId="0" xfId="4" applyNumberFormat="1" applyFont="1"/>
    <xf numFmtId="0" fontId="3" fillId="0" borderId="0" xfId="4" applyFont="1" applyAlignment="1">
      <alignment horizontal="center"/>
    </xf>
    <xf numFmtId="0" fontId="3" fillId="0" borderId="0" xfId="4"/>
    <xf numFmtId="0" fontId="16" fillId="0" borderId="0" xfId="4" applyFont="1" applyAlignment="1">
      <alignment horizontal="right"/>
    </xf>
    <xf numFmtId="0" fontId="41" fillId="0" borderId="1" xfId="4" applyFont="1" applyFill="1" applyBorder="1" applyAlignment="1">
      <alignment vertical="center" wrapText="1"/>
    </xf>
    <xf numFmtId="0" fontId="8" fillId="0" borderId="23" xfId="0" applyFont="1" applyBorder="1" applyAlignment="1">
      <alignment horizontal="left"/>
    </xf>
    <xf numFmtId="0" fontId="9" fillId="0" borderId="0" xfId="4" applyFont="1" applyFill="1" applyBorder="1" applyAlignment="1">
      <alignment horizontal="center" vertical="center" wrapText="1"/>
    </xf>
    <xf numFmtId="2" fontId="0" fillId="0" borderId="0" xfId="0" applyNumberFormat="1" applyFill="1" applyBorder="1"/>
    <xf numFmtId="0" fontId="41" fillId="0" borderId="0" xfId="4" applyFont="1" applyFill="1" applyBorder="1" applyAlignment="1">
      <alignment vertical="center" wrapText="1"/>
    </xf>
    <xf numFmtId="14" fontId="3" fillId="0" borderId="0" xfId="4" applyNumberFormat="1"/>
    <xf numFmtId="0" fontId="3" fillId="0" borderId="0" xfId="4" applyAlignment="1"/>
    <xf numFmtId="0" fontId="32" fillId="0" borderId="0" xfId="0" applyFont="1" applyAlignment="1">
      <alignment wrapText="1"/>
    </xf>
    <xf numFmtId="0" fontId="32" fillId="0" borderId="0" xfId="0" applyFont="1" applyAlignment="1"/>
    <xf numFmtId="0" fontId="24" fillId="0" borderId="0" xfId="4" applyFont="1" applyAlignment="1"/>
    <xf numFmtId="0" fontId="3" fillId="0" borderId="0" xfId="4" applyFill="1"/>
    <xf numFmtId="0" fontId="3" fillId="0" borderId="0" xfId="4" applyAlignment="1">
      <alignment vertical="center" wrapText="1"/>
    </xf>
    <xf numFmtId="0" fontId="29" fillId="0" borderId="0" xfId="4" applyFont="1" applyBorder="1" applyAlignment="1">
      <alignment vertical="top" wrapText="1"/>
    </xf>
    <xf numFmtId="169" fontId="29" fillId="0" borderId="0" xfId="4" applyNumberFormat="1" applyFont="1" applyBorder="1" applyAlignment="1">
      <alignment vertical="top" wrapText="1"/>
    </xf>
    <xf numFmtId="0" fontId="29" fillId="0" borderId="0" xfId="4" applyFont="1" applyFill="1" applyBorder="1" applyAlignment="1">
      <alignment vertical="top" wrapText="1"/>
    </xf>
    <xf numFmtId="10" fontId="41" fillId="0" borderId="0" xfId="4" applyNumberFormat="1" applyFont="1" applyFill="1" applyBorder="1" applyAlignment="1">
      <alignment vertical="center" wrapText="1"/>
    </xf>
    <xf numFmtId="0" fontId="43" fillId="0" borderId="0" xfId="0" applyFont="1" applyAlignment="1">
      <alignment horizontal="left" vertical="center"/>
    </xf>
    <xf numFmtId="10" fontId="41" fillId="0" borderId="0" xfId="4" applyNumberFormat="1" applyFont="1" applyFill="1" applyBorder="1" applyAlignment="1">
      <alignment vertical="center"/>
    </xf>
    <xf numFmtId="164" fontId="29" fillId="0" borderId="0" xfId="4" applyNumberFormat="1" applyFont="1" applyBorder="1" applyAlignment="1">
      <alignment vertical="top" wrapText="1"/>
    </xf>
    <xf numFmtId="10" fontId="44" fillId="0" borderId="0" xfId="4" applyNumberFormat="1" applyFont="1" applyBorder="1" applyAlignment="1">
      <alignment vertical="center" wrapText="1"/>
    </xf>
    <xf numFmtId="0" fontId="38" fillId="0" borderId="0" xfId="4" applyFont="1" applyFill="1" applyBorder="1" applyAlignment="1">
      <alignment vertical="top" wrapText="1"/>
    </xf>
    <xf numFmtId="0" fontId="29" fillId="0" borderId="0" xfId="4" applyFont="1" applyAlignment="1">
      <alignment horizontal="center"/>
    </xf>
    <xf numFmtId="164" fontId="3" fillId="0" borderId="0" xfId="4" applyNumberFormat="1"/>
    <xf numFmtId="0" fontId="18" fillId="0" borderId="0" xfId="4" applyFont="1" applyFill="1" applyBorder="1" applyAlignment="1">
      <alignment vertical="top" wrapText="1"/>
    </xf>
    <xf numFmtId="166" fontId="24" fillId="0" borderId="0" xfId="4" applyNumberFormat="1" applyFont="1"/>
    <xf numFmtId="0" fontId="2" fillId="0" borderId="0" xfId="4" applyFont="1" applyFill="1" applyBorder="1" applyAlignment="1">
      <alignment vertical="top" wrapText="1"/>
    </xf>
    <xf numFmtId="0" fontId="45" fillId="0" borderId="0" xfId="4" applyFont="1"/>
    <xf numFmtId="0" fontId="46" fillId="0" borderId="0" xfId="0" applyFont="1" applyFill="1" applyAlignment="1">
      <alignment horizontal="center" vertical="center"/>
    </xf>
    <xf numFmtId="0" fontId="29" fillId="0" borderId="0" xfId="4" applyFont="1" applyFill="1" applyBorder="1" applyAlignment="1">
      <alignment horizontal="center" vertical="top" wrapText="1"/>
    </xf>
    <xf numFmtId="0" fontId="47" fillId="0" borderId="0" xfId="0" applyFont="1" applyFill="1" applyAlignment="1">
      <alignment horizontal="center" vertical="center"/>
    </xf>
    <xf numFmtId="0" fontId="38" fillId="0" borderId="0" xfId="4" applyFont="1" applyFill="1" applyBorder="1" applyAlignment="1">
      <alignment horizontal="center" vertical="top" wrapText="1"/>
    </xf>
    <xf numFmtId="0" fontId="30" fillId="0" borderId="0" xfId="4" applyFont="1" applyFill="1" applyBorder="1" applyAlignment="1">
      <alignment vertical="center" wrapText="1"/>
    </xf>
    <xf numFmtId="0" fontId="3" fillId="0" borderId="0" xfId="4" applyAlignment="1">
      <alignment horizontal="center"/>
    </xf>
    <xf numFmtId="20" fontId="32" fillId="0" borderId="0" xfId="0" applyNumberFormat="1" applyFont="1" applyFill="1" applyBorder="1" applyAlignment="1">
      <alignment horizontal="center"/>
    </xf>
    <xf numFmtId="170" fontId="32" fillId="0" borderId="0" xfId="0" applyNumberFormat="1" applyFont="1" applyFill="1" applyBorder="1" applyAlignment="1">
      <alignment horizontal="center"/>
    </xf>
    <xf numFmtId="0" fontId="48" fillId="0" borderId="0" xfId="0" applyFont="1" applyFill="1" applyAlignment="1">
      <alignment horizontal="center" vertical="center"/>
    </xf>
    <xf numFmtId="0" fontId="17" fillId="0" borderId="0" xfId="0" applyFont="1" applyFill="1" applyBorder="1" applyAlignment="1">
      <alignment horizontal="center"/>
    </xf>
    <xf numFmtId="0" fontId="49" fillId="0" borderId="0" xfId="0" applyFont="1" applyFill="1" applyBorder="1" applyAlignment="1">
      <alignment horizontal="center"/>
    </xf>
    <xf numFmtId="0" fontId="50" fillId="0" borderId="0" xfId="0" applyFont="1" applyFill="1" applyAlignment="1">
      <alignment horizontal="center" vertical="center"/>
    </xf>
    <xf numFmtId="0" fontId="32" fillId="0" borderId="0" xfId="0" applyFont="1" applyFill="1" applyBorder="1" applyAlignment="1">
      <alignment horizontal="center"/>
    </xf>
    <xf numFmtId="0" fontId="41" fillId="0" borderId="0" xfId="0" applyFont="1" applyFill="1" applyAlignment="1">
      <alignment horizontal="center"/>
    </xf>
    <xf numFmtId="10" fontId="21" fillId="0" borderId="0" xfId="0" applyNumberFormat="1" applyFont="1" applyFill="1" applyBorder="1" applyAlignment="1">
      <alignment horizontal="center"/>
    </xf>
    <xf numFmtId="14" fontId="24" fillId="0" borderId="0" xfId="4" applyNumberFormat="1" applyFont="1" applyAlignment="1"/>
    <xf numFmtId="0" fontId="32" fillId="0" borderId="0" xfId="0" applyFont="1" applyBorder="1" applyAlignment="1">
      <alignment horizontal="center"/>
    </xf>
    <xf numFmtId="10" fontId="21" fillId="0" borderId="0" xfId="0" applyNumberFormat="1" applyFont="1" applyBorder="1" applyAlignment="1">
      <alignment horizontal="center"/>
    </xf>
    <xf numFmtId="164" fontId="29" fillId="0" borderId="0" xfId="4" applyNumberFormat="1" applyFont="1"/>
    <xf numFmtId="0" fontId="30" fillId="0" borderId="0" xfId="0" applyFont="1" applyFill="1" applyBorder="1" applyAlignment="1">
      <alignment horizontal="center"/>
    </xf>
    <xf numFmtId="10" fontId="32" fillId="0" borderId="0" xfId="0" applyNumberFormat="1" applyFont="1" applyBorder="1" applyAlignment="1">
      <alignment horizontal="center"/>
    </xf>
    <xf numFmtId="10" fontId="52" fillId="0" borderId="0" xfId="6" applyNumberFormat="1" applyFont="1" applyBorder="1" applyAlignment="1">
      <alignment horizontal="center"/>
    </xf>
    <xf numFmtId="0" fontId="52" fillId="0" borderId="0" xfId="4" applyFont="1" applyAlignment="1">
      <alignment horizontal="center"/>
    </xf>
    <xf numFmtId="0" fontId="52" fillId="0" borderId="0" xfId="4" applyFont="1"/>
    <xf numFmtId="10" fontId="53" fillId="0" borderId="0" xfId="6" applyNumberFormat="1" applyFont="1" applyBorder="1" applyAlignment="1">
      <alignment horizontal="center"/>
    </xf>
    <xf numFmtId="0" fontId="21" fillId="0" borderId="0" xfId="0" applyFont="1" applyBorder="1" applyAlignment="1">
      <alignment horizontal="center"/>
    </xf>
    <xf numFmtId="0" fontId="53" fillId="0" borderId="0" xfId="4" applyFont="1" applyAlignment="1">
      <alignment horizontal="center"/>
    </xf>
    <xf numFmtId="0" fontId="53" fillId="0" borderId="0" xfId="4" applyFont="1"/>
    <xf numFmtId="169" fontId="21" fillId="0" borderId="0" xfId="0" applyNumberFormat="1" applyFont="1" applyBorder="1" applyAlignment="1">
      <alignment horizontal="center"/>
    </xf>
    <xf numFmtId="0" fontId="10" fillId="0" borderId="0" xfId="4" applyFont="1" applyFill="1" applyBorder="1" applyAlignment="1">
      <alignment vertical="top" wrapText="1"/>
    </xf>
    <xf numFmtId="164" fontId="10" fillId="0" borderId="0" xfId="4" applyNumberFormat="1" applyFont="1" applyFill="1" applyBorder="1"/>
    <xf numFmtId="4" fontId="54" fillId="7" borderId="0" xfId="0" applyNumberFormat="1" applyFont="1" applyFill="1" applyAlignment="1">
      <alignment horizontal="right" wrapText="1"/>
    </xf>
    <xf numFmtId="4" fontId="55" fillId="7" borderId="0" xfId="0" applyNumberFormat="1" applyFont="1" applyFill="1" applyAlignment="1">
      <alignment horizontal="right" wrapText="1"/>
    </xf>
    <xf numFmtId="2" fontId="3" fillId="0" borderId="0" xfId="4" applyNumberFormat="1"/>
    <xf numFmtId="0" fontId="55" fillId="7" borderId="0" xfId="0" applyFont="1" applyFill="1" applyAlignment="1">
      <alignment horizontal="right" wrapText="1"/>
    </xf>
    <xf numFmtId="2" fontId="25" fillId="0" borderId="0" xfId="4" applyNumberFormat="1" applyFont="1" applyFill="1" applyBorder="1" applyAlignment="1">
      <alignment horizontal="center" wrapText="1"/>
    </xf>
    <xf numFmtId="2" fontId="25" fillId="6" borderId="0" xfId="4" applyNumberFormat="1" applyFont="1" applyFill="1" applyBorder="1" applyAlignment="1">
      <alignment horizontal="center" wrapText="1"/>
    </xf>
    <xf numFmtId="2" fontId="10" fillId="0" borderId="9" xfId="4" applyNumberFormat="1" applyFont="1" applyFill="1" applyBorder="1" applyAlignment="1">
      <alignment horizontal="center" wrapText="1"/>
    </xf>
    <xf numFmtId="2" fontId="10" fillId="0" borderId="5" xfId="4" applyNumberFormat="1" applyFont="1" applyFill="1" applyBorder="1" applyAlignment="1">
      <alignment horizontal="center" wrapText="1"/>
    </xf>
    <xf numFmtId="166" fontId="10" fillId="0" borderId="9" xfId="3" applyNumberFormat="1" applyFont="1" applyFill="1" applyBorder="1" applyAlignment="1">
      <alignment horizontal="center" wrapText="1"/>
    </xf>
    <xf numFmtId="165" fontId="10" fillId="0" borderId="9" xfId="4" applyNumberFormat="1" applyFont="1" applyFill="1" applyBorder="1" applyAlignment="1">
      <alignment horizontal="center" wrapText="1"/>
    </xf>
    <xf numFmtId="2" fontId="10" fillId="0" borderId="13" xfId="4" applyNumberFormat="1" applyFont="1" applyFill="1" applyBorder="1" applyAlignment="1">
      <alignment horizontal="center" wrapText="1"/>
    </xf>
    <xf numFmtId="2" fontId="10" fillId="0" borderId="15" xfId="4" applyNumberFormat="1" applyFont="1" applyFill="1" applyBorder="1" applyAlignment="1">
      <alignment horizontal="center" wrapText="1"/>
    </xf>
    <xf numFmtId="2" fontId="10" fillId="0" borderId="14" xfId="4" applyNumberFormat="1" applyFont="1" applyFill="1" applyBorder="1" applyAlignment="1">
      <alignment horizontal="center" wrapText="1"/>
    </xf>
    <xf numFmtId="0" fontId="22" fillId="0" borderId="9" xfId="4" applyFont="1" applyFill="1" applyBorder="1" applyAlignment="1">
      <alignment horizontal="center" vertical="center" wrapText="1"/>
    </xf>
    <xf numFmtId="43" fontId="10" fillId="0" borderId="9" xfId="1" applyNumberFormat="1" applyFont="1" applyFill="1" applyBorder="1" applyAlignment="1">
      <alignment horizontal="center" vertical="center" wrapText="1"/>
    </xf>
    <xf numFmtId="2" fontId="10" fillId="0" borderId="5" xfId="3" applyNumberFormat="1" applyFont="1" applyFill="1" applyBorder="1" applyAlignment="1">
      <alignment horizontal="center" wrapText="1"/>
    </xf>
    <xf numFmtId="2" fontId="10" fillId="0" borderId="6" xfId="3" applyNumberFormat="1" applyFont="1" applyFill="1" applyBorder="1" applyAlignment="1">
      <alignment horizontal="center" wrapText="1"/>
    </xf>
    <xf numFmtId="2" fontId="10" fillId="0" borderId="7" xfId="3" applyNumberFormat="1" applyFont="1" applyFill="1" applyBorder="1" applyAlignment="1">
      <alignment horizontal="center" wrapText="1"/>
    </xf>
    <xf numFmtId="2" fontId="10" fillId="0" borderId="6" xfId="4" applyNumberFormat="1" applyFont="1" applyFill="1" applyBorder="1" applyAlignment="1">
      <alignment horizontal="center" wrapText="1"/>
    </xf>
    <xf numFmtId="2" fontId="10" fillId="0" borderId="7" xfId="4" applyNumberFormat="1" applyFont="1" applyFill="1" applyBorder="1" applyAlignment="1">
      <alignment horizontal="center" wrapText="1"/>
    </xf>
    <xf numFmtId="10" fontId="10" fillId="0" borderId="5" xfId="3" applyNumberFormat="1" applyFont="1" applyFill="1" applyBorder="1" applyAlignment="1">
      <alignment horizontal="center" wrapText="1"/>
    </xf>
    <xf numFmtId="10" fontId="10" fillId="0" borderId="6" xfId="3" applyNumberFormat="1" applyFont="1" applyFill="1" applyBorder="1" applyAlignment="1">
      <alignment horizontal="center" wrapText="1"/>
    </xf>
    <xf numFmtId="10" fontId="10" fillId="0" borderId="7" xfId="3" applyNumberFormat="1" applyFont="1" applyFill="1" applyBorder="1" applyAlignment="1">
      <alignment horizontal="center" wrapText="1"/>
    </xf>
    <xf numFmtId="166" fontId="10" fillId="0" borderId="13" xfId="3" applyNumberFormat="1" applyFont="1" applyFill="1" applyBorder="1" applyAlignment="1">
      <alignment horizontal="center" wrapText="1"/>
    </xf>
    <xf numFmtId="166" fontId="10" fillId="0" borderId="15" xfId="3" applyNumberFormat="1" applyFont="1" applyFill="1" applyBorder="1" applyAlignment="1">
      <alignment horizontal="center" wrapText="1"/>
    </xf>
    <xf numFmtId="166" fontId="10" fillId="0" borderId="14" xfId="3" applyNumberFormat="1" applyFont="1" applyFill="1" applyBorder="1" applyAlignment="1">
      <alignment horizontal="center" wrapText="1"/>
    </xf>
    <xf numFmtId="2" fontId="10" fillId="0" borderId="13" xfId="3" applyNumberFormat="1" applyFont="1" applyFill="1" applyBorder="1" applyAlignment="1">
      <alignment horizontal="center" wrapText="1"/>
    </xf>
    <xf numFmtId="2" fontId="10" fillId="0" borderId="15" xfId="3" applyNumberFormat="1" applyFont="1" applyFill="1" applyBorder="1" applyAlignment="1">
      <alignment horizontal="center" wrapText="1"/>
    </xf>
    <xf numFmtId="2" fontId="10" fillId="0" borderId="14" xfId="3" applyNumberFormat="1" applyFont="1" applyFill="1" applyBorder="1" applyAlignment="1">
      <alignment horizontal="center" wrapText="1"/>
    </xf>
    <xf numFmtId="2" fontId="10" fillId="6" borderId="4" xfId="4" applyNumberFormat="1" applyFont="1" applyFill="1" applyBorder="1" applyAlignment="1">
      <alignment horizontal="center" wrapText="1"/>
    </xf>
    <xf numFmtId="2" fontId="10" fillId="6" borderId="2" xfId="4" applyNumberFormat="1" applyFont="1" applyFill="1" applyBorder="1" applyAlignment="1">
      <alignment horizontal="center" wrapText="1"/>
    </xf>
    <xf numFmtId="0" fontId="22" fillId="0" borderId="13" xfId="4" applyFont="1" applyFill="1" applyBorder="1" applyAlignment="1">
      <alignment horizontal="center" vertical="center" wrapText="1"/>
    </xf>
    <xf numFmtId="0" fontId="22" fillId="0" borderId="14" xfId="4" applyFont="1" applyFill="1" applyBorder="1" applyAlignment="1">
      <alignment horizontal="center" vertical="center" wrapText="1"/>
    </xf>
    <xf numFmtId="43" fontId="10" fillId="0" borderId="13" xfId="1" applyNumberFormat="1" applyFont="1" applyFill="1" applyBorder="1" applyAlignment="1">
      <alignment horizontal="center" vertical="center" wrapText="1"/>
    </xf>
    <xf numFmtId="43" fontId="10" fillId="0" borderId="14" xfId="1" applyNumberFormat="1" applyFont="1" applyFill="1" applyBorder="1" applyAlignment="1">
      <alignment horizontal="center" vertical="center" wrapText="1"/>
    </xf>
    <xf numFmtId="10" fontId="10" fillId="0" borderId="13" xfId="3" applyNumberFormat="1" applyFont="1" applyFill="1" applyBorder="1" applyAlignment="1">
      <alignment horizontal="center" wrapText="1"/>
    </xf>
    <xf numFmtId="10" fontId="10" fillId="0" borderId="15" xfId="3" applyNumberFormat="1" applyFont="1" applyFill="1" applyBorder="1" applyAlignment="1">
      <alignment horizontal="center" wrapText="1"/>
    </xf>
    <xf numFmtId="10" fontId="10" fillId="0" borderId="14" xfId="3" applyNumberFormat="1" applyFont="1" applyFill="1" applyBorder="1" applyAlignment="1">
      <alignment horizontal="center" wrapText="1"/>
    </xf>
    <xf numFmtId="166" fontId="10" fillId="6" borderId="4" xfId="3" applyNumberFormat="1" applyFont="1" applyFill="1" applyBorder="1" applyAlignment="1">
      <alignment horizontal="center" wrapText="1"/>
    </xf>
    <xf numFmtId="165" fontId="10" fillId="6" borderId="4" xfId="4" applyNumberFormat="1" applyFont="1" applyFill="1" applyBorder="1" applyAlignment="1">
      <alignment horizontal="center" wrapText="1"/>
    </xf>
    <xf numFmtId="9" fontId="10" fillId="6" borderId="4" xfId="3" applyNumberFormat="1" applyFont="1" applyFill="1" applyBorder="1" applyAlignment="1">
      <alignment horizontal="center" wrapText="1"/>
    </xf>
    <xf numFmtId="2" fontId="10" fillId="4" borderId="9" xfId="4" applyNumberFormat="1" applyFont="1" applyFill="1" applyBorder="1" applyAlignment="1">
      <alignment horizontal="center" wrapText="1"/>
    </xf>
    <xf numFmtId="2" fontId="10" fillId="4" borderId="5" xfId="4" applyNumberFormat="1" applyFont="1" applyFill="1" applyBorder="1" applyAlignment="1">
      <alignment horizontal="center" wrapText="1"/>
    </xf>
    <xf numFmtId="0" fontId="22" fillId="6" borderId="4" xfId="4" applyFont="1" applyFill="1" applyBorder="1" applyAlignment="1">
      <alignment horizontal="center" vertical="center" wrapText="1"/>
    </xf>
    <xf numFmtId="43" fontId="10" fillId="6" borderId="4" xfId="1" applyNumberFormat="1" applyFont="1" applyFill="1" applyBorder="1" applyAlignment="1">
      <alignment horizontal="center" vertical="center" wrapText="1"/>
    </xf>
    <xf numFmtId="2" fontId="10" fillId="6" borderId="4" xfId="3" applyNumberFormat="1" applyFont="1" applyFill="1" applyBorder="1" applyAlignment="1">
      <alignment horizontal="center" wrapText="1"/>
    </xf>
    <xf numFmtId="2" fontId="10" fillId="6" borderId="8" xfId="4" applyNumberFormat="1" applyFont="1" applyFill="1" applyBorder="1" applyAlignment="1">
      <alignment horizontal="center" wrapText="1"/>
    </xf>
    <xf numFmtId="2" fontId="10" fillId="6" borderId="3" xfId="4" applyNumberFormat="1" applyFont="1" applyFill="1" applyBorder="1" applyAlignment="1">
      <alignment horizontal="center" wrapText="1"/>
    </xf>
    <xf numFmtId="10" fontId="10" fillId="6" borderId="2" xfId="3" applyNumberFormat="1" applyFont="1" applyFill="1" applyBorder="1" applyAlignment="1">
      <alignment horizontal="center" wrapText="1"/>
    </xf>
    <xf numFmtId="10" fontId="10" fillId="6" borderId="8" xfId="3" applyNumberFormat="1" applyFont="1" applyFill="1" applyBorder="1" applyAlignment="1">
      <alignment horizontal="center" wrapText="1"/>
    </xf>
    <xf numFmtId="10" fontId="10" fillId="6" borderId="3" xfId="3" applyNumberFormat="1" applyFont="1" applyFill="1" applyBorder="1" applyAlignment="1">
      <alignment horizontal="center" wrapText="1"/>
    </xf>
    <xf numFmtId="166" fontId="10" fillId="4" borderId="9" xfId="3" applyNumberFormat="1" applyFont="1" applyFill="1" applyBorder="1" applyAlignment="1">
      <alignment horizontal="center" wrapText="1"/>
    </xf>
    <xf numFmtId="165" fontId="10" fillId="4" borderId="9" xfId="4" applyNumberFormat="1" applyFont="1" applyFill="1" applyBorder="1" applyAlignment="1">
      <alignment horizontal="center" wrapText="1"/>
    </xf>
    <xf numFmtId="0" fontId="22" fillId="4" borderId="9" xfId="4" applyFont="1" applyFill="1" applyBorder="1" applyAlignment="1">
      <alignment horizontal="center" vertical="center" wrapText="1"/>
    </xf>
    <xf numFmtId="43" fontId="10" fillId="4" borderId="9" xfId="1" applyNumberFormat="1" applyFont="1" applyFill="1" applyBorder="1" applyAlignment="1">
      <alignment horizontal="center" vertical="center" wrapText="1"/>
    </xf>
    <xf numFmtId="2" fontId="10" fillId="4" borderId="9" xfId="3" applyNumberFormat="1" applyFont="1" applyFill="1" applyBorder="1" applyAlignment="1">
      <alignment horizontal="center" wrapText="1"/>
    </xf>
    <xf numFmtId="2" fontId="10" fillId="4" borderId="6" xfId="4" applyNumberFormat="1" applyFont="1" applyFill="1" applyBorder="1" applyAlignment="1">
      <alignment horizontal="center" wrapText="1"/>
    </xf>
    <xf numFmtId="2" fontId="10" fillId="4" borderId="7" xfId="4" applyNumberFormat="1" applyFont="1" applyFill="1" applyBorder="1" applyAlignment="1">
      <alignment horizontal="center" wrapText="1"/>
    </xf>
    <xf numFmtId="10" fontId="10" fillId="4" borderId="5" xfId="3" applyNumberFormat="1" applyFont="1" applyFill="1" applyBorder="1" applyAlignment="1">
      <alignment horizontal="center" wrapText="1"/>
    </xf>
    <xf numFmtId="10" fontId="10" fillId="4" borderId="6" xfId="3" applyNumberFormat="1" applyFont="1" applyFill="1" applyBorder="1" applyAlignment="1">
      <alignment horizontal="center" wrapText="1"/>
    </xf>
    <xf numFmtId="10" fontId="10" fillId="4" borderId="7" xfId="3" applyNumberFormat="1" applyFont="1" applyFill="1" applyBorder="1" applyAlignment="1">
      <alignment horizontal="center" wrapText="1"/>
    </xf>
    <xf numFmtId="2" fontId="10" fillId="0" borderId="9" xfId="3" applyNumberFormat="1" applyFont="1" applyFill="1" applyBorder="1" applyAlignment="1">
      <alignment horizontal="center" wrapText="1"/>
    </xf>
    <xf numFmtId="9" fontId="10" fillId="4" borderId="9" xfId="3" applyNumberFormat="1" applyFont="1" applyFill="1" applyBorder="1" applyAlignment="1">
      <alignment horizontal="center" wrapText="1"/>
    </xf>
    <xf numFmtId="2" fontId="10" fillId="4" borderId="4" xfId="4" applyNumberFormat="1" applyFont="1" applyFill="1" applyBorder="1" applyAlignment="1">
      <alignment horizontal="center" wrapText="1"/>
    </xf>
    <xf numFmtId="2" fontId="10" fillId="4" borderId="2" xfId="4" applyNumberFormat="1" applyFont="1" applyFill="1" applyBorder="1" applyAlignment="1">
      <alignment horizontal="center" wrapText="1"/>
    </xf>
    <xf numFmtId="166" fontId="10" fillId="4" borderId="4" xfId="3" applyNumberFormat="1" applyFont="1" applyFill="1" applyBorder="1" applyAlignment="1">
      <alignment horizontal="center" wrapText="1"/>
    </xf>
    <xf numFmtId="165" fontId="10" fillId="4" borderId="4" xfId="4" applyNumberFormat="1" applyFont="1" applyFill="1" applyBorder="1" applyAlignment="1">
      <alignment horizontal="center" wrapText="1"/>
    </xf>
    <xf numFmtId="9" fontId="10" fillId="4" borderId="4" xfId="3" applyNumberFormat="1" applyFont="1" applyFill="1" applyBorder="1" applyAlignment="1">
      <alignment horizontal="center" wrapText="1"/>
    </xf>
    <xf numFmtId="0" fontId="22" fillId="4" borderId="4" xfId="4" applyFont="1" applyFill="1" applyBorder="1" applyAlignment="1">
      <alignment horizontal="center" vertical="center" wrapText="1"/>
    </xf>
    <xf numFmtId="43" fontId="10" fillId="4" borderId="4" xfId="1" applyNumberFormat="1" applyFont="1" applyFill="1" applyBorder="1" applyAlignment="1">
      <alignment horizontal="center" vertical="center" wrapText="1"/>
    </xf>
    <xf numFmtId="2" fontId="10" fillId="4" borderId="2" xfId="3" applyNumberFormat="1" applyFont="1" applyFill="1" applyBorder="1" applyAlignment="1">
      <alignment horizontal="center" wrapText="1"/>
    </xf>
    <xf numFmtId="2" fontId="10" fillId="4" borderId="8" xfId="3" applyNumberFormat="1" applyFont="1" applyFill="1" applyBorder="1" applyAlignment="1">
      <alignment horizontal="center" wrapText="1"/>
    </xf>
    <xf numFmtId="2" fontId="10" fillId="4" borderId="3" xfId="3" applyNumberFormat="1" applyFont="1" applyFill="1" applyBorder="1" applyAlignment="1">
      <alignment horizontal="center" wrapText="1"/>
    </xf>
    <xf numFmtId="2" fontId="10" fillId="4" borderId="8" xfId="4" applyNumberFormat="1" applyFont="1" applyFill="1" applyBorder="1" applyAlignment="1">
      <alignment horizontal="center" wrapText="1"/>
    </xf>
    <xf numFmtId="2" fontId="10" fillId="4" borderId="3" xfId="4" applyNumberFormat="1" applyFont="1" applyFill="1" applyBorder="1" applyAlignment="1">
      <alignment horizontal="center" wrapText="1"/>
    </xf>
    <xf numFmtId="10" fontId="10" fillId="4" borderId="2" xfId="3" applyNumberFormat="1" applyFont="1" applyFill="1" applyBorder="1" applyAlignment="1">
      <alignment horizontal="center" wrapText="1"/>
    </xf>
    <xf numFmtId="10" fontId="10" fillId="4" borderId="8" xfId="3" applyNumberFormat="1" applyFont="1" applyFill="1" applyBorder="1" applyAlignment="1">
      <alignment horizontal="center" wrapText="1"/>
    </xf>
    <xf numFmtId="10" fontId="10" fillId="4" borderId="3" xfId="3" applyNumberFormat="1" applyFont="1" applyFill="1" applyBorder="1" applyAlignment="1">
      <alignment horizontal="center" wrapText="1"/>
    </xf>
    <xf numFmtId="2" fontId="10" fillId="0" borderId="12" xfId="4" applyNumberFormat="1" applyFont="1" applyFill="1" applyBorder="1" applyAlignment="1">
      <alignment horizontal="center" wrapText="1"/>
    </xf>
    <xf numFmtId="2" fontId="10" fillId="0" borderId="10" xfId="4" applyNumberFormat="1" applyFont="1" applyFill="1" applyBorder="1" applyAlignment="1">
      <alignment horizontal="center" wrapText="1"/>
    </xf>
    <xf numFmtId="166" fontId="10" fillId="0" borderId="12" xfId="3" applyNumberFormat="1" applyFont="1" applyFill="1" applyBorder="1" applyAlignment="1">
      <alignment horizontal="center" wrapText="1"/>
    </xf>
    <xf numFmtId="165" fontId="10" fillId="0" borderId="12" xfId="4" applyNumberFormat="1" applyFont="1" applyFill="1" applyBorder="1" applyAlignment="1">
      <alignment horizontal="center" wrapText="1"/>
    </xf>
    <xf numFmtId="2" fontId="10" fillId="4" borderId="17" xfId="4" applyNumberFormat="1" applyFont="1" applyFill="1" applyBorder="1" applyAlignment="1">
      <alignment horizontal="center" wrapText="1"/>
    </xf>
    <xf numFmtId="2" fontId="10" fillId="4" borderId="18" xfId="4" applyNumberFormat="1" applyFont="1" applyFill="1" applyBorder="1" applyAlignment="1">
      <alignment horizontal="center" wrapText="1"/>
    </xf>
    <xf numFmtId="0" fontId="22" fillId="0" borderId="12" xfId="4" applyFont="1" applyFill="1" applyBorder="1" applyAlignment="1">
      <alignment horizontal="center" vertical="center" wrapText="1"/>
    </xf>
    <xf numFmtId="43" fontId="10" fillId="0" borderId="12" xfId="1" applyNumberFormat="1" applyFont="1" applyFill="1" applyBorder="1" applyAlignment="1">
      <alignment horizontal="center" vertical="center" wrapText="1"/>
    </xf>
    <xf numFmtId="2" fontId="10" fillId="0" borderId="10" xfId="3" applyNumberFormat="1" applyFont="1" applyFill="1" applyBorder="1" applyAlignment="1">
      <alignment horizontal="center" wrapText="1"/>
    </xf>
    <xf numFmtId="2" fontId="10" fillId="0" borderId="21" xfId="3" applyNumberFormat="1" applyFont="1" applyFill="1" applyBorder="1" applyAlignment="1">
      <alignment horizontal="center" wrapText="1"/>
    </xf>
    <xf numFmtId="2" fontId="10" fillId="0" borderId="11" xfId="3" applyNumberFormat="1" applyFont="1" applyFill="1" applyBorder="1" applyAlignment="1">
      <alignment horizontal="center" wrapText="1"/>
    </xf>
    <xf numFmtId="2" fontId="10" fillId="0" borderId="21" xfId="4" applyNumberFormat="1" applyFont="1" applyFill="1" applyBorder="1" applyAlignment="1">
      <alignment horizontal="center" wrapText="1"/>
    </xf>
    <xf numFmtId="2" fontId="10" fillId="0" borderId="11" xfId="4" applyNumberFormat="1" applyFont="1" applyFill="1" applyBorder="1" applyAlignment="1">
      <alignment horizontal="center" wrapText="1"/>
    </xf>
    <xf numFmtId="10" fontId="10" fillId="0" borderId="10" xfId="3" applyNumberFormat="1" applyFont="1" applyFill="1" applyBorder="1" applyAlignment="1">
      <alignment horizontal="center" wrapText="1"/>
    </xf>
    <xf numFmtId="10" fontId="10" fillId="0" borderId="21" xfId="3" applyNumberFormat="1" applyFont="1" applyFill="1" applyBorder="1" applyAlignment="1">
      <alignment horizontal="center" wrapText="1"/>
    </xf>
    <xf numFmtId="10" fontId="10" fillId="0" borderId="11" xfId="3" applyNumberFormat="1" applyFont="1" applyFill="1" applyBorder="1" applyAlignment="1">
      <alignment horizontal="center" wrapText="1"/>
    </xf>
    <xf numFmtId="166" fontId="10" fillId="4" borderId="17" xfId="3" applyNumberFormat="1" applyFont="1" applyFill="1" applyBorder="1" applyAlignment="1">
      <alignment horizontal="center" wrapText="1"/>
    </xf>
    <xf numFmtId="165" fontId="10" fillId="4" borderId="17" xfId="4" applyNumberFormat="1" applyFont="1" applyFill="1" applyBorder="1" applyAlignment="1">
      <alignment horizontal="center" wrapText="1"/>
    </xf>
    <xf numFmtId="9" fontId="10" fillId="4" borderId="17" xfId="3" applyNumberFormat="1" applyFont="1" applyFill="1" applyBorder="1" applyAlignment="1">
      <alignment horizontal="center" wrapText="1"/>
    </xf>
    <xf numFmtId="0" fontId="22" fillId="4" borderId="17" xfId="4" applyFont="1" applyFill="1" applyBorder="1" applyAlignment="1">
      <alignment horizontal="center" vertical="center" wrapText="1"/>
    </xf>
    <xf numFmtId="43" fontId="10" fillId="4" borderId="17" xfId="1" applyNumberFormat="1" applyFont="1" applyFill="1" applyBorder="1" applyAlignment="1">
      <alignment horizontal="center" vertical="center" wrapText="1"/>
    </xf>
    <xf numFmtId="2" fontId="10" fillId="4" borderId="18" xfId="3" applyNumberFormat="1" applyFont="1" applyFill="1" applyBorder="1" applyAlignment="1">
      <alignment horizontal="center" wrapText="1"/>
    </xf>
    <xf numFmtId="2" fontId="10" fillId="4" borderId="20" xfId="3" applyNumberFormat="1" applyFont="1" applyFill="1" applyBorder="1" applyAlignment="1">
      <alignment horizontal="center" wrapText="1"/>
    </xf>
    <xf numFmtId="2" fontId="10" fillId="4" borderId="19" xfId="3" applyNumberFormat="1" applyFont="1" applyFill="1" applyBorder="1" applyAlignment="1">
      <alignment horizontal="center" wrapText="1"/>
    </xf>
    <xf numFmtId="2" fontId="10" fillId="4" borderId="20" xfId="4" applyNumberFormat="1" applyFont="1" applyFill="1" applyBorder="1" applyAlignment="1">
      <alignment horizontal="center" wrapText="1"/>
    </xf>
    <xf numFmtId="2" fontId="10" fillId="4" borderId="19" xfId="4" applyNumberFormat="1" applyFont="1" applyFill="1" applyBorder="1" applyAlignment="1">
      <alignment horizontal="center" wrapText="1"/>
    </xf>
    <xf numFmtId="10" fontId="10" fillId="4" borderId="18" xfId="3" applyNumberFormat="1" applyFont="1" applyFill="1" applyBorder="1" applyAlignment="1">
      <alignment horizontal="center" wrapText="1"/>
    </xf>
    <xf numFmtId="10" fontId="10" fillId="4" borderId="20" xfId="3" applyNumberFormat="1" applyFont="1" applyFill="1" applyBorder="1" applyAlignment="1">
      <alignment horizontal="center" wrapText="1"/>
    </xf>
    <xf numFmtId="10" fontId="10" fillId="4" borderId="19" xfId="3" applyNumberFormat="1" applyFont="1" applyFill="1" applyBorder="1" applyAlignment="1">
      <alignment horizontal="center" wrapText="1"/>
    </xf>
    <xf numFmtId="2" fontId="10" fillId="4" borderId="5" xfId="3" applyNumberFormat="1" applyFont="1" applyFill="1" applyBorder="1" applyAlignment="1">
      <alignment horizontal="center" wrapText="1"/>
    </xf>
    <xf numFmtId="2" fontId="10" fillId="4" borderId="6" xfId="3" applyNumberFormat="1" applyFont="1" applyFill="1" applyBorder="1" applyAlignment="1">
      <alignment horizontal="center" wrapText="1"/>
    </xf>
    <xf numFmtId="2" fontId="10" fillId="4" borderId="7" xfId="3" applyNumberFormat="1" applyFont="1" applyFill="1" applyBorder="1" applyAlignment="1">
      <alignment horizontal="center" wrapText="1"/>
    </xf>
    <xf numFmtId="166" fontId="10" fillId="4" borderId="2" xfId="3" applyNumberFormat="1" applyFont="1" applyFill="1" applyBorder="1" applyAlignment="1">
      <alignment horizontal="center" wrapText="1"/>
    </xf>
    <xf numFmtId="166" fontId="10" fillId="4" borderId="8" xfId="3" applyNumberFormat="1" applyFont="1" applyFill="1" applyBorder="1" applyAlignment="1">
      <alignment horizontal="center" wrapText="1"/>
    </xf>
    <xf numFmtId="166" fontId="10" fillId="4" borderId="3" xfId="3" applyNumberFormat="1" applyFont="1" applyFill="1" applyBorder="1" applyAlignment="1">
      <alignment horizontal="center" wrapText="1"/>
    </xf>
    <xf numFmtId="9" fontId="10" fillId="4" borderId="2" xfId="3" applyNumberFormat="1" applyFont="1" applyFill="1" applyBorder="1" applyAlignment="1">
      <alignment horizontal="center" wrapText="1"/>
    </xf>
    <xf numFmtId="9" fontId="10" fillId="4" borderId="8" xfId="3" applyNumberFormat="1" applyFont="1" applyFill="1" applyBorder="1" applyAlignment="1">
      <alignment horizontal="center" wrapText="1"/>
    </xf>
    <xf numFmtId="9" fontId="10" fillId="4" borderId="3" xfId="3" applyNumberFormat="1" applyFont="1" applyFill="1" applyBorder="1" applyAlignment="1">
      <alignment horizontal="center" wrapText="1"/>
    </xf>
    <xf numFmtId="166" fontId="10" fillId="0" borderId="5" xfId="3" applyNumberFormat="1" applyFont="1" applyFill="1" applyBorder="1" applyAlignment="1">
      <alignment horizontal="center" wrapText="1"/>
    </xf>
    <xf numFmtId="166" fontId="10" fillId="0" borderId="6" xfId="3" applyNumberFormat="1" applyFont="1" applyFill="1" applyBorder="1" applyAlignment="1">
      <alignment horizontal="center" wrapText="1"/>
    </xf>
    <xf numFmtId="166" fontId="10" fillId="0" borderId="7" xfId="3" applyNumberFormat="1" applyFont="1" applyFill="1" applyBorder="1" applyAlignment="1">
      <alignment horizontal="center" wrapText="1"/>
    </xf>
    <xf numFmtId="166" fontId="10" fillId="4" borderId="5" xfId="3" applyNumberFormat="1" applyFont="1" applyFill="1" applyBorder="1" applyAlignment="1">
      <alignment horizontal="center" wrapText="1"/>
    </xf>
    <xf numFmtId="166" fontId="10" fillId="4" borderId="6" xfId="3" applyNumberFormat="1" applyFont="1" applyFill="1" applyBorder="1" applyAlignment="1">
      <alignment horizontal="center" wrapText="1"/>
    </xf>
    <xf numFmtId="166" fontId="10" fillId="4" borderId="7" xfId="3" applyNumberFormat="1" applyFont="1" applyFill="1" applyBorder="1" applyAlignment="1">
      <alignment horizontal="center" wrapText="1"/>
    </xf>
    <xf numFmtId="9" fontId="10" fillId="4" borderId="5" xfId="3" applyNumberFormat="1" applyFont="1" applyFill="1" applyBorder="1" applyAlignment="1">
      <alignment horizontal="center" wrapText="1"/>
    </xf>
    <xf numFmtId="9" fontId="10" fillId="4" borderId="6" xfId="3" applyNumberFormat="1" applyFont="1" applyFill="1" applyBorder="1" applyAlignment="1">
      <alignment horizontal="center" wrapText="1"/>
    </xf>
    <xf numFmtId="9" fontId="10" fillId="4" borderId="7" xfId="3" applyNumberFormat="1" applyFont="1" applyFill="1" applyBorder="1" applyAlignment="1">
      <alignment horizontal="center" wrapText="1"/>
    </xf>
    <xf numFmtId="166" fontId="10" fillId="0" borderId="10" xfId="3" applyNumberFormat="1" applyFont="1" applyFill="1" applyBorder="1" applyAlignment="1">
      <alignment horizontal="center" wrapText="1"/>
    </xf>
    <xf numFmtId="166" fontId="10" fillId="0" borderId="21" xfId="3" applyNumberFormat="1" applyFont="1" applyFill="1" applyBorder="1" applyAlignment="1">
      <alignment horizontal="center" wrapText="1"/>
    </xf>
    <xf numFmtId="166" fontId="10" fillId="0" borderId="11" xfId="3" applyNumberFormat="1" applyFont="1" applyFill="1" applyBorder="1" applyAlignment="1">
      <alignment horizontal="center" wrapText="1"/>
    </xf>
    <xf numFmtId="2" fontId="10" fillId="0" borderId="12" xfId="3" applyNumberFormat="1" applyFont="1" applyFill="1" applyBorder="1" applyAlignment="1">
      <alignment horizontal="center" wrapText="1"/>
    </xf>
    <xf numFmtId="166" fontId="10" fillId="4" borderId="18" xfId="3" applyNumberFormat="1" applyFont="1" applyFill="1" applyBorder="1" applyAlignment="1">
      <alignment horizontal="center" wrapText="1"/>
    </xf>
    <xf numFmtId="166" fontId="10" fillId="4" borderId="20" xfId="3" applyNumberFormat="1" applyFont="1" applyFill="1" applyBorder="1" applyAlignment="1">
      <alignment horizontal="center" wrapText="1"/>
    </xf>
    <xf numFmtId="166" fontId="10" fillId="4" borderId="19" xfId="3" applyNumberFormat="1" applyFont="1" applyFill="1" applyBorder="1" applyAlignment="1">
      <alignment horizontal="center" wrapText="1"/>
    </xf>
    <xf numFmtId="2" fontId="10" fillId="4" borderId="17" xfId="3" applyNumberFormat="1" applyFont="1" applyFill="1" applyBorder="1" applyAlignment="1">
      <alignment horizontal="center" wrapText="1"/>
    </xf>
    <xf numFmtId="165" fontId="10" fillId="4" borderId="5" xfId="4" applyNumberFormat="1" applyFont="1" applyFill="1" applyBorder="1" applyAlignment="1">
      <alignment horizontal="center" wrapText="1"/>
    </xf>
    <xf numFmtId="165" fontId="10" fillId="4" borderId="6" xfId="4" applyNumberFormat="1" applyFont="1" applyFill="1" applyBorder="1" applyAlignment="1">
      <alignment horizontal="center" wrapText="1"/>
    </xf>
    <xf numFmtId="165" fontId="10" fillId="4" borderId="7" xfId="4" applyNumberFormat="1" applyFont="1" applyFill="1" applyBorder="1" applyAlignment="1">
      <alignment horizontal="center" wrapText="1"/>
    </xf>
    <xf numFmtId="0" fontId="22" fillId="4" borderId="5" xfId="4" applyFont="1" applyFill="1" applyBorder="1" applyAlignment="1">
      <alignment horizontal="center" vertical="center" wrapText="1"/>
    </xf>
    <xf numFmtId="0" fontId="22" fillId="4" borderId="7" xfId="4" applyFont="1" applyFill="1" applyBorder="1" applyAlignment="1">
      <alignment horizontal="center" vertical="center" wrapText="1"/>
    </xf>
    <xf numFmtId="43" fontId="10" fillId="4" borderId="5" xfId="1" applyNumberFormat="1" applyFont="1" applyFill="1" applyBorder="1" applyAlignment="1">
      <alignment horizontal="center" vertical="center" wrapText="1"/>
    </xf>
    <xf numFmtId="43" fontId="10" fillId="4" borderId="7" xfId="1" applyNumberFormat="1" applyFont="1" applyFill="1" applyBorder="1" applyAlignment="1">
      <alignment horizontal="center" vertical="center" wrapText="1"/>
    </xf>
    <xf numFmtId="2" fontId="22" fillId="0" borderId="9" xfId="4" applyNumberFormat="1" applyFont="1" applyFill="1" applyBorder="1" applyAlignment="1">
      <alignment horizontal="center" vertical="center" wrapText="1"/>
    </xf>
    <xf numFmtId="2" fontId="10" fillId="4" borderId="12" xfId="4" applyNumberFormat="1" applyFont="1" applyFill="1" applyBorder="1" applyAlignment="1">
      <alignment horizontal="center" wrapText="1"/>
    </xf>
    <xf numFmtId="2" fontId="10" fillId="4" borderId="10" xfId="4" applyNumberFormat="1" applyFont="1" applyFill="1" applyBorder="1" applyAlignment="1">
      <alignment horizontal="center" wrapText="1"/>
    </xf>
    <xf numFmtId="166" fontId="10" fillId="4" borderId="12" xfId="3" applyNumberFormat="1" applyFont="1" applyFill="1" applyBorder="1" applyAlignment="1">
      <alignment horizontal="center" wrapText="1"/>
    </xf>
    <xf numFmtId="2" fontId="10" fillId="4" borderId="21" xfId="4" applyNumberFormat="1" applyFont="1" applyFill="1" applyBorder="1" applyAlignment="1">
      <alignment horizontal="center" wrapText="1"/>
    </xf>
    <xf numFmtId="2" fontId="10" fillId="4" borderId="11" xfId="4" applyNumberFormat="1" applyFont="1" applyFill="1" applyBorder="1" applyAlignment="1">
      <alignment horizontal="center" wrapText="1"/>
    </xf>
    <xf numFmtId="165" fontId="10" fillId="4" borderId="12" xfId="4" applyNumberFormat="1" applyFont="1" applyFill="1" applyBorder="1" applyAlignment="1">
      <alignment horizontal="center" wrapText="1"/>
    </xf>
    <xf numFmtId="2" fontId="10" fillId="0" borderId="17" xfId="4" applyNumberFormat="1" applyFont="1" applyFill="1" applyBorder="1" applyAlignment="1">
      <alignment horizontal="center" wrapText="1"/>
    </xf>
    <xf numFmtId="2" fontId="10" fillId="0" borderId="18" xfId="4" applyNumberFormat="1" applyFont="1" applyFill="1" applyBorder="1" applyAlignment="1">
      <alignment horizontal="center" wrapText="1"/>
    </xf>
    <xf numFmtId="0" fontId="22" fillId="4" borderId="12" xfId="4" applyFont="1" applyFill="1" applyBorder="1" applyAlignment="1">
      <alignment horizontal="center" vertical="center" wrapText="1"/>
    </xf>
    <xf numFmtId="43" fontId="10" fillId="4" borderId="10" xfId="1" applyNumberFormat="1" applyFont="1" applyFill="1" applyBorder="1" applyAlignment="1">
      <alignment horizontal="center" vertical="center" wrapText="1"/>
    </xf>
    <xf numFmtId="43" fontId="10" fillId="4" borderId="11" xfId="1" applyNumberFormat="1" applyFont="1" applyFill="1" applyBorder="1" applyAlignment="1">
      <alignment horizontal="center" vertical="center" wrapText="1"/>
    </xf>
    <xf numFmtId="2" fontId="10" fillId="4" borderId="10" xfId="3" applyNumberFormat="1" applyFont="1" applyFill="1" applyBorder="1" applyAlignment="1">
      <alignment horizontal="center" wrapText="1"/>
    </xf>
    <xf numFmtId="2" fontId="10" fillId="4" borderId="21" xfId="3" applyNumberFormat="1" applyFont="1" applyFill="1" applyBorder="1" applyAlignment="1">
      <alignment horizontal="center" wrapText="1"/>
    </xf>
    <xf numFmtId="2" fontId="10" fillId="4" borderId="11" xfId="3" applyNumberFormat="1" applyFont="1" applyFill="1" applyBorder="1" applyAlignment="1">
      <alignment horizontal="center" wrapText="1"/>
    </xf>
    <xf numFmtId="10" fontId="10" fillId="4" borderId="10" xfId="3" applyNumberFormat="1" applyFont="1" applyFill="1" applyBorder="1" applyAlignment="1">
      <alignment horizontal="center" wrapText="1"/>
    </xf>
    <xf numFmtId="10" fontId="10" fillId="4" borderId="21" xfId="3" applyNumberFormat="1" applyFont="1" applyFill="1" applyBorder="1" applyAlignment="1">
      <alignment horizontal="center" wrapText="1"/>
    </xf>
    <xf numFmtId="10" fontId="10" fillId="4" borderId="11" xfId="3" applyNumberFormat="1" applyFont="1" applyFill="1" applyBorder="1" applyAlignment="1">
      <alignment horizontal="center" wrapText="1"/>
    </xf>
    <xf numFmtId="166" fontId="10" fillId="0" borderId="17" xfId="3" applyNumberFormat="1" applyFont="1" applyFill="1" applyBorder="1" applyAlignment="1">
      <alignment horizontal="center" wrapText="1"/>
    </xf>
    <xf numFmtId="2" fontId="10" fillId="0" borderId="20" xfId="4" applyNumberFormat="1" applyFont="1" applyFill="1" applyBorder="1" applyAlignment="1">
      <alignment horizontal="center" wrapText="1"/>
    </xf>
    <xf numFmtId="2" fontId="10" fillId="0" borderId="19" xfId="4" applyNumberFormat="1" applyFont="1" applyFill="1" applyBorder="1" applyAlignment="1">
      <alignment horizontal="center" wrapText="1"/>
    </xf>
    <xf numFmtId="165" fontId="10" fillId="0" borderId="17" xfId="4" applyNumberFormat="1" applyFont="1" applyFill="1" applyBorder="1" applyAlignment="1">
      <alignment horizontal="center" wrapText="1"/>
    </xf>
    <xf numFmtId="0" fontId="22" fillId="0" borderId="17" xfId="4" applyFont="1" applyFill="1" applyBorder="1" applyAlignment="1">
      <alignment horizontal="center" vertical="center" wrapText="1"/>
    </xf>
    <xf numFmtId="43" fontId="10" fillId="0" borderId="18" xfId="1" applyNumberFormat="1" applyFont="1" applyFill="1" applyBorder="1" applyAlignment="1">
      <alignment horizontal="center" vertical="center" wrapText="1"/>
    </xf>
    <xf numFmtId="43" fontId="10" fillId="0" borderId="19" xfId="1" applyNumberFormat="1" applyFont="1" applyFill="1" applyBorder="1" applyAlignment="1">
      <alignment horizontal="center" vertical="center" wrapText="1"/>
    </xf>
    <xf numFmtId="2" fontId="10" fillId="0" borderId="18" xfId="3" applyNumberFormat="1" applyFont="1" applyFill="1" applyBorder="1" applyAlignment="1">
      <alignment horizontal="center" wrapText="1"/>
    </xf>
    <xf numFmtId="2" fontId="10" fillId="0" borderId="20" xfId="3" applyNumberFormat="1" applyFont="1" applyFill="1" applyBorder="1" applyAlignment="1">
      <alignment horizontal="center" wrapText="1"/>
    </xf>
    <xf numFmtId="2" fontId="10" fillId="0" borderId="19" xfId="3" applyNumberFormat="1" applyFont="1" applyFill="1" applyBorder="1" applyAlignment="1">
      <alignment horizontal="center" wrapText="1"/>
    </xf>
    <xf numFmtId="10" fontId="10" fillId="0" borderId="18" xfId="3" applyNumberFormat="1" applyFont="1" applyFill="1" applyBorder="1" applyAlignment="1">
      <alignment horizontal="center" wrapText="1"/>
    </xf>
    <xf numFmtId="10" fontId="10" fillId="0" borderId="20" xfId="3" applyNumberFormat="1" applyFont="1" applyFill="1" applyBorder="1" applyAlignment="1">
      <alignment horizontal="center" wrapText="1"/>
    </xf>
    <xf numFmtId="10" fontId="10" fillId="0" borderId="19" xfId="3" applyNumberFormat="1" applyFont="1" applyFill="1" applyBorder="1" applyAlignment="1">
      <alignment horizontal="center" wrapText="1"/>
    </xf>
    <xf numFmtId="43" fontId="10" fillId="0" borderId="10" xfId="1" applyNumberFormat="1" applyFont="1" applyFill="1" applyBorder="1" applyAlignment="1">
      <alignment horizontal="center" vertical="center" wrapText="1"/>
    </xf>
    <xf numFmtId="43" fontId="10" fillId="0" borderId="11" xfId="1" applyNumberFormat="1" applyFont="1" applyFill="1" applyBorder="1" applyAlignment="1">
      <alignment horizontal="center" vertical="center" wrapText="1"/>
    </xf>
    <xf numFmtId="43" fontId="10" fillId="4" borderId="18" xfId="1" applyNumberFormat="1" applyFont="1" applyFill="1" applyBorder="1" applyAlignment="1">
      <alignment horizontal="center" vertical="center" wrapText="1"/>
    </xf>
    <xf numFmtId="43" fontId="10" fillId="4" borderId="19" xfId="1" applyNumberFormat="1" applyFont="1" applyFill="1" applyBorder="1" applyAlignment="1">
      <alignment horizontal="center" vertical="center" wrapText="1"/>
    </xf>
    <xf numFmtId="43" fontId="10" fillId="0" borderId="5" xfId="1" applyNumberFormat="1" applyFont="1" applyFill="1" applyBorder="1" applyAlignment="1">
      <alignment horizontal="center" vertical="center" wrapText="1"/>
    </xf>
    <xf numFmtId="43" fontId="10" fillId="0" borderId="7" xfId="1" applyNumberFormat="1" applyFont="1" applyFill="1" applyBorder="1" applyAlignment="1">
      <alignment horizontal="center" vertical="center" wrapText="1"/>
    </xf>
    <xf numFmtId="0" fontId="22" fillId="0" borderId="5" xfId="4" applyFont="1" applyFill="1" applyBorder="1" applyAlignment="1">
      <alignment horizontal="center" vertical="center" wrapText="1"/>
    </xf>
    <xf numFmtId="0" fontId="22" fillId="0" borderId="7" xfId="4" applyFont="1" applyFill="1" applyBorder="1" applyAlignment="1">
      <alignment horizontal="center" vertical="center" wrapText="1"/>
    </xf>
    <xf numFmtId="165" fontId="10" fillId="0" borderId="5" xfId="4" applyNumberFormat="1" applyFont="1" applyFill="1" applyBorder="1" applyAlignment="1">
      <alignment horizontal="center" wrapText="1"/>
    </xf>
    <xf numFmtId="165" fontId="10" fillId="0" borderId="6" xfId="4" applyNumberFormat="1" applyFont="1" applyFill="1" applyBorder="1" applyAlignment="1">
      <alignment horizontal="center" wrapText="1"/>
    </xf>
    <xf numFmtId="165" fontId="10" fillId="0" borderId="7" xfId="4" applyNumberFormat="1" applyFont="1" applyFill="1" applyBorder="1" applyAlignment="1">
      <alignment horizontal="center" wrapText="1"/>
    </xf>
    <xf numFmtId="2" fontId="10" fillId="6" borderId="5" xfId="4" applyNumberFormat="1" applyFont="1" applyFill="1" applyBorder="1" applyAlignment="1">
      <alignment horizontal="center" wrapText="1"/>
    </xf>
    <xf numFmtId="2" fontId="10" fillId="6" borderId="6" xfId="4" applyNumberFormat="1" applyFont="1" applyFill="1" applyBorder="1" applyAlignment="1">
      <alignment horizontal="center" wrapText="1"/>
    </xf>
    <xf numFmtId="2" fontId="10" fillId="6" borderId="7" xfId="4" applyNumberFormat="1" applyFont="1" applyFill="1" applyBorder="1" applyAlignment="1">
      <alignment horizontal="center" wrapText="1"/>
    </xf>
    <xf numFmtId="166" fontId="10" fillId="6" borderId="5" xfId="3" applyNumberFormat="1" applyFont="1" applyFill="1" applyBorder="1" applyAlignment="1">
      <alignment horizontal="center" wrapText="1"/>
    </xf>
    <xf numFmtId="166" fontId="10" fillId="6" borderId="6" xfId="3" applyNumberFormat="1" applyFont="1" applyFill="1" applyBorder="1" applyAlignment="1">
      <alignment horizontal="center" wrapText="1"/>
    </xf>
    <xf numFmtId="166" fontId="10" fillId="6" borderId="7" xfId="3" applyNumberFormat="1" applyFont="1" applyFill="1" applyBorder="1" applyAlignment="1">
      <alignment horizontal="center" wrapText="1"/>
    </xf>
    <xf numFmtId="165" fontId="10" fillId="6" borderId="5" xfId="4" applyNumberFormat="1" applyFont="1" applyFill="1" applyBorder="1" applyAlignment="1">
      <alignment horizontal="center" wrapText="1"/>
    </xf>
    <xf numFmtId="165" fontId="10" fillId="6" borderId="6" xfId="4" applyNumberFormat="1" applyFont="1" applyFill="1" applyBorder="1" applyAlignment="1">
      <alignment horizontal="center" wrapText="1"/>
    </xf>
    <xf numFmtId="165" fontId="10" fillId="6" borderId="7" xfId="4" applyNumberFormat="1" applyFont="1" applyFill="1" applyBorder="1" applyAlignment="1">
      <alignment horizontal="center" wrapText="1"/>
    </xf>
    <xf numFmtId="0" fontId="22" fillId="6" borderId="5" xfId="4" applyFont="1" applyFill="1" applyBorder="1" applyAlignment="1">
      <alignment horizontal="center" vertical="center" wrapText="1"/>
    </xf>
    <xf numFmtId="0" fontId="22" fillId="6" borderId="7" xfId="4" applyFont="1" applyFill="1" applyBorder="1" applyAlignment="1">
      <alignment horizontal="center" vertical="center" wrapText="1"/>
    </xf>
    <xf numFmtId="43" fontId="10" fillId="6" borderId="5" xfId="1" applyNumberFormat="1" applyFont="1" applyFill="1" applyBorder="1" applyAlignment="1">
      <alignment horizontal="center" vertical="center" wrapText="1"/>
    </xf>
    <xf numFmtId="43" fontId="10" fillId="6" borderId="7" xfId="1" applyNumberFormat="1" applyFont="1" applyFill="1" applyBorder="1" applyAlignment="1">
      <alignment horizontal="center" vertical="center" wrapText="1"/>
    </xf>
    <xf numFmtId="2" fontId="10" fillId="6" borderId="5" xfId="3" applyNumberFormat="1" applyFont="1" applyFill="1" applyBorder="1" applyAlignment="1">
      <alignment horizontal="center" wrapText="1"/>
    </xf>
    <xf numFmtId="2" fontId="10" fillId="6" borderId="6" xfId="3" applyNumberFormat="1" applyFont="1" applyFill="1" applyBorder="1" applyAlignment="1">
      <alignment horizontal="center" wrapText="1"/>
    </xf>
    <xf numFmtId="2" fontId="10" fillId="6" borderId="7" xfId="3" applyNumberFormat="1" applyFont="1" applyFill="1" applyBorder="1" applyAlignment="1">
      <alignment horizontal="center" wrapText="1"/>
    </xf>
    <xf numFmtId="10" fontId="10" fillId="6" borderId="5" xfId="3" applyNumberFormat="1" applyFont="1" applyFill="1" applyBorder="1" applyAlignment="1">
      <alignment horizontal="center" wrapText="1"/>
    </xf>
    <xf numFmtId="10" fontId="10" fillId="6" borderId="6" xfId="3" applyNumberFormat="1" applyFont="1" applyFill="1" applyBorder="1" applyAlignment="1">
      <alignment horizontal="center" wrapText="1"/>
    </xf>
    <xf numFmtId="10" fontId="10" fillId="6" borderId="7" xfId="3" applyNumberFormat="1" applyFont="1" applyFill="1" applyBorder="1" applyAlignment="1">
      <alignment horizontal="center" wrapText="1"/>
    </xf>
    <xf numFmtId="0" fontId="18" fillId="2" borderId="5" xfId="4" applyFont="1" applyFill="1" applyBorder="1" applyAlignment="1">
      <alignment horizontal="center" vertical="center" wrapText="1"/>
    </xf>
    <xf numFmtId="0" fontId="18" fillId="2" borderId="6" xfId="4" applyFont="1" applyFill="1" applyBorder="1" applyAlignment="1">
      <alignment horizontal="center" vertical="center" wrapText="1"/>
    </xf>
    <xf numFmtId="0" fontId="18" fillId="2" borderId="7" xfId="4" applyFont="1" applyFill="1" applyBorder="1" applyAlignment="1">
      <alignment horizontal="center" vertical="center" wrapText="1"/>
    </xf>
    <xf numFmtId="2" fontId="20" fillId="5" borderId="6" xfId="0" applyNumberFormat="1" applyFont="1" applyFill="1" applyBorder="1" applyAlignment="1">
      <alignment horizontal="left" vertical="center"/>
    </xf>
    <xf numFmtId="2" fontId="20" fillId="5" borderId="7" xfId="0" applyNumberFormat="1" applyFont="1" applyFill="1" applyBorder="1" applyAlignment="1">
      <alignment horizontal="left" vertical="center"/>
    </xf>
    <xf numFmtId="2" fontId="22" fillId="0" borderId="5" xfId="4" applyNumberFormat="1" applyFont="1" applyFill="1" applyBorder="1" applyAlignment="1">
      <alignment horizontal="center" vertical="center" wrapText="1"/>
    </xf>
    <xf numFmtId="0" fontId="17" fillId="2" borderId="2" xfId="4" applyFont="1" applyFill="1" applyBorder="1" applyAlignment="1">
      <alignment horizontal="center" vertical="center"/>
    </xf>
    <xf numFmtId="0" fontId="17" fillId="2" borderId="10" xfId="4" applyFont="1" applyFill="1" applyBorder="1" applyAlignment="1">
      <alignment horizontal="center" vertical="center"/>
    </xf>
    <xf numFmtId="0" fontId="18" fillId="3" borderId="5" xfId="4" applyFont="1" applyFill="1" applyBorder="1" applyAlignment="1">
      <alignment horizontal="center" vertical="center" wrapText="1"/>
    </xf>
    <xf numFmtId="0" fontId="18" fillId="3" borderId="6" xfId="4" applyFont="1" applyFill="1" applyBorder="1" applyAlignment="1">
      <alignment horizontal="center" vertical="center" wrapText="1"/>
    </xf>
    <xf numFmtId="0" fontId="18" fillId="3" borderId="7" xfId="4" applyFont="1" applyFill="1" applyBorder="1" applyAlignment="1">
      <alignment horizontal="center" vertical="center" wrapText="1"/>
    </xf>
    <xf numFmtId="0" fontId="17" fillId="2" borderId="8" xfId="4" applyFont="1" applyFill="1" applyBorder="1" applyAlignment="1">
      <alignment horizontal="center" vertical="center"/>
    </xf>
    <xf numFmtId="0" fontId="17" fillId="2" borderId="3" xfId="4" applyFont="1" applyFill="1" applyBorder="1" applyAlignment="1">
      <alignment horizontal="center" vertical="center"/>
    </xf>
    <xf numFmtId="0" fontId="17" fillId="2" borderId="6" xfId="4" applyFont="1" applyFill="1" applyBorder="1" applyAlignment="1">
      <alignment horizontal="center" vertical="center"/>
    </xf>
    <xf numFmtId="0" fontId="17" fillId="2" borderId="7" xfId="4" applyFont="1" applyFill="1" applyBorder="1" applyAlignment="1">
      <alignment horizontal="center" vertical="center"/>
    </xf>
    <xf numFmtId="0" fontId="17" fillId="2" borderId="5" xfId="4" applyFont="1" applyFill="1" applyBorder="1" applyAlignment="1">
      <alignment horizontal="center" vertical="center"/>
    </xf>
    <xf numFmtId="0" fontId="18" fillId="2" borderId="4" xfId="4" applyFont="1" applyFill="1" applyBorder="1" applyAlignment="1">
      <alignment horizontal="center" vertical="center" wrapText="1"/>
    </xf>
    <xf numFmtId="0" fontId="18" fillId="2" borderId="12" xfId="4" applyFont="1" applyFill="1" applyBorder="1" applyAlignment="1">
      <alignment horizontal="center" vertical="center" wrapText="1"/>
    </xf>
    <xf numFmtId="0" fontId="18" fillId="2" borderId="9" xfId="4" applyFont="1" applyFill="1" applyBorder="1" applyAlignment="1">
      <alignment horizontal="center" vertical="center" wrapText="1"/>
    </xf>
    <xf numFmtId="14" fontId="4" fillId="0" borderId="0" xfId="4" applyNumberFormat="1" applyFont="1" applyBorder="1" applyAlignment="1">
      <alignment horizontal="left" vertical="top" wrapText="1"/>
    </xf>
    <xf numFmtId="0" fontId="5" fillId="0" borderId="0" xfId="4" applyFont="1" applyBorder="1" applyAlignment="1">
      <alignment horizontal="center" wrapText="1"/>
    </xf>
    <xf numFmtId="0" fontId="5" fillId="0" borderId="1" xfId="4" applyFont="1" applyBorder="1" applyAlignment="1">
      <alignment horizontal="center" wrapText="1"/>
    </xf>
    <xf numFmtId="0" fontId="12" fillId="0" borderId="0" xfId="4" applyFont="1" applyFill="1" applyBorder="1" applyAlignment="1">
      <alignment horizontal="left" vertical="top" wrapText="1"/>
    </xf>
    <xf numFmtId="0" fontId="17" fillId="2" borderId="11" xfId="4" applyFont="1" applyFill="1" applyBorder="1" applyAlignment="1">
      <alignment horizontal="center" vertical="center"/>
    </xf>
    <xf numFmtId="0" fontId="17" fillId="2" borderId="4" xfId="4" applyFont="1" applyFill="1" applyBorder="1" applyAlignment="1">
      <alignment horizontal="center" vertical="center"/>
    </xf>
    <xf numFmtId="0" fontId="17" fillId="2" borderId="12" xfId="4" applyFont="1" applyFill="1" applyBorder="1" applyAlignment="1">
      <alignment horizontal="center" vertical="center"/>
    </xf>
    <xf numFmtId="0" fontId="36" fillId="0" borderId="0" xfId="0" applyFont="1" applyFill="1" applyAlignment="1">
      <alignment horizontal="center"/>
    </xf>
    <xf numFmtId="0" fontId="36" fillId="0" borderId="0" xfId="0" applyFont="1" applyFill="1" applyBorder="1" applyAlignment="1">
      <alignment horizontal="justify"/>
    </xf>
    <xf numFmtId="0" fontId="36" fillId="0" borderId="27" xfId="0" applyFont="1" applyFill="1" applyBorder="1" applyAlignment="1">
      <alignment horizontal="justify"/>
    </xf>
    <xf numFmtId="0" fontId="32" fillId="0" borderId="0" xfId="0" applyFont="1" applyAlignment="1">
      <alignment horizontal="left"/>
    </xf>
    <xf numFmtId="0" fontId="30" fillId="0" borderId="0" xfId="4" applyFont="1" applyFill="1" applyBorder="1" applyAlignment="1">
      <alignment horizontal="left" vertical="center" wrapText="1"/>
    </xf>
    <xf numFmtId="0" fontId="34" fillId="0" borderId="1" xfId="4" applyFont="1" applyFill="1" applyBorder="1" applyAlignment="1">
      <alignment horizontal="center" vertical="center"/>
    </xf>
    <xf numFmtId="0" fontId="34" fillId="0" borderId="24" xfId="4" applyFont="1" applyFill="1" applyBorder="1" applyAlignment="1">
      <alignment horizontal="center" vertical="center"/>
    </xf>
    <xf numFmtId="0" fontId="34" fillId="0" borderId="25" xfId="4" applyFont="1" applyFill="1" applyBorder="1" applyAlignment="1">
      <alignment horizontal="center" vertical="center"/>
    </xf>
    <xf numFmtId="0" fontId="31" fillId="0" borderId="0" xfId="0" applyFont="1" applyAlignment="1">
      <alignment horizontal="left"/>
    </xf>
    <xf numFmtId="0" fontId="32" fillId="0" borderId="0" xfId="0" applyFont="1" applyAlignment="1">
      <alignment horizontal="left" wrapText="1"/>
    </xf>
    <xf numFmtId="164" fontId="32" fillId="0" borderId="0" xfId="0" applyNumberFormat="1" applyFont="1" applyAlignment="1">
      <alignment horizontal="left" wrapText="1"/>
    </xf>
    <xf numFmtId="164" fontId="32" fillId="0" borderId="0" xfId="0" applyNumberFormat="1" applyFont="1" applyAlignment="1">
      <alignment horizontal="left"/>
    </xf>
    <xf numFmtId="169" fontId="31" fillId="0" borderId="0" xfId="0" applyNumberFormat="1" applyFont="1" applyAlignment="1">
      <alignment horizontal="left"/>
    </xf>
    <xf numFmtId="0" fontId="4" fillId="0" borderId="0" xfId="4" applyFont="1" applyBorder="1" applyAlignment="1">
      <alignment horizontal="left" vertical="center"/>
    </xf>
    <xf numFmtId="0" fontId="4" fillId="0" borderId="1" xfId="4" applyFont="1" applyBorder="1" applyAlignment="1">
      <alignment horizontal="left" vertical="center"/>
    </xf>
    <xf numFmtId="169" fontId="32" fillId="0" borderId="0" xfId="0" applyNumberFormat="1" applyFont="1" applyAlignment="1">
      <alignment horizontal="left" wrapText="1"/>
    </xf>
    <xf numFmtId="0" fontId="42" fillId="0" borderId="0" xfId="4" applyFont="1" applyBorder="1" applyAlignment="1">
      <alignment horizontal="justify" vertical="top" wrapText="1"/>
    </xf>
    <xf numFmtId="0" fontId="18" fillId="0" borderId="0" xfId="4" applyFont="1" applyFill="1" applyBorder="1" applyAlignment="1">
      <alignment horizontal="center" vertical="top" wrapText="1"/>
    </xf>
  </cellXfs>
  <cellStyles count="7">
    <cellStyle name="Hipervínculo" xfId="6" builtinId="8"/>
    <cellStyle name="Millares" xfId="1" builtinId="3"/>
    <cellStyle name="Moneda" xfId="2" builtinId="4"/>
    <cellStyle name="Normal" xfId="0" builtinId="0"/>
    <cellStyle name="Normal 2" xfId="4"/>
    <cellStyle name="Normal 3" xfId="5"/>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3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xdr:twoCellAnchor editAs="oneCell">
    <xdr:from>
      <xdr:col>64</xdr:col>
      <xdr:colOff>19052</xdr:colOff>
      <xdr:row>2</xdr:row>
      <xdr:rowOff>38101</xdr:rowOff>
    </xdr:from>
    <xdr:to>
      <xdr:col>65</xdr:col>
      <xdr:colOff>55437</xdr:colOff>
      <xdr:row>3</xdr:row>
      <xdr:rowOff>31624</xdr:rowOff>
    </xdr:to>
    <xdr:pic>
      <xdr:nvPicPr>
        <xdr:cNvPr id="4" name="5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123825</xdr:colOff>
      <xdr:row>38</xdr:row>
      <xdr:rowOff>28575</xdr:rowOff>
    </xdr:from>
    <xdr:to>
      <xdr:col>6</xdr:col>
      <xdr:colOff>33825</xdr:colOff>
      <xdr:row>38</xdr:row>
      <xdr:rowOff>150506</xdr:rowOff>
    </xdr:to>
    <xdr:pic>
      <xdr:nvPicPr>
        <xdr:cNvPr id="2" name="12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295400" y="6362700"/>
          <a:ext cx="129075" cy="121931"/>
        </a:xfrm>
        <a:prstGeom prst="rect">
          <a:avLst/>
        </a:prstGeom>
      </xdr:spPr>
    </xdr:pic>
    <xdr:clientData/>
  </xdr:twoCellAnchor>
  <xdr:twoCellAnchor editAs="oneCell">
    <xdr:from>
      <xdr:col>17</xdr:col>
      <xdr:colOff>138109</xdr:colOff>
      <xdr:row>38</xdr:row>
      <xdr:rowOff>19050</xdr:rowOff>
    </xdr:from>
    <xdr:to>
      <xdr:col>18</xdr:col>
      <xdr:colOff>40964</xdr:colOff>
      <xdr:row>38</xdr:row>
      <xdr:rowOff>140981</xdr:rowOff>
    </xdr:to>
    <xdr:pic>
      <xdr:nvPicPr>
        <xdr:cNvPr id="3" name="1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3910009"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14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15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16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17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18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 val="Reporte de Ratios Argentina Reu"/>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14:56:14</v>
          </cell>
        </row>
        <row r="2">
          <cell r="E2" t="str">
            <v>Updated at 14:56:14</v>
          </cell>
          <cell r="G2" t="str">
            <v>Updated at 14:56:14</v>
          </cell>
          <cell r="I2" t="str">
            <v>Updated at 14:56:14</v>
          </cell>
          <cell r="K2" t="str">
            <v>Updated at 15:07:11</v>
          </cell>
          <cell r="L2" t="str">
            <v>Updated at 14:56:14</v>
          </cell>
          <cell r="M2" t="str">
            <v>Updated at 14:56:14</v>
          </cell>
          <cell r="N2" t="str">
            <v>Updated at 14:56:14</v>
          </cell>
          <cell r="O2" t="str">
            <v>Updated at 14:56:14</v>
          </cell>
          <cell r="Q2" t="str">
            <v>Dividend Yield</v>
          </cell>
          <cell r="S2" t="str">
            <v>Updated at 14:56:14</v>
          </cell>
          <cell r="T2" t="str">
            <v>Updated at 14:56:14</v>
          </cell>
          <cell r="U2" t="str">
            <v>Updated at 14:56:14</v>
          </cell>
          <cell r="W2" t="str">
            <v>Updated at 14:56:14</v>
          </cell>
          <cell r="X2" t="str">
            <v>Updated at 14:56:14</v>
          </cell>
          <cell r="Y2" t="str">
            <v>Updated at 14:56:14</v>
          </cell>
          <cell r="Z2" t="str">
            <v>Updated at 14:56:14</v>
          </cell>
          <cell r="AC2" t="str">
            <v>Updated at 14:56:14</v>
          </cell>
          <cell r="AD2" t="str">
            <v>Updated at 14:56:14</v>
          </cell>
          <cell r="AE2" t="str">
            <v>Updated at 14:56:14</v>
          </cell>
          <cell r="AF2" t="str">
            <v>Updated at 14:56:14</v>
          </cell>
          <cell r="AH2" t="str">
            <v>Updated at 14:56:14</v>
          </cell>
          <cell r="AI2" t="str">
            <v>Updated at 14:56:14</v>
          </cell>
          <cell r="AJ2" t="str">
            <v>Updated at 14:56:14</v>
          </cell>
          <cell r="AK2" t="str">
            <v>Updated at 14:56:14</v>
          </cell>
          <cell r="AL2" t="str">
            <v>Updated at 14:56:14</v>
          </cell>
          <cell r="AM2" t="str">
            <v>Updated at 14:56:14</v>
          </cell>
          <cell r="AN2" t="str">
            <v>Updated at 14:56:14</v>
          </cell>
          <cell r="AO2" t="str">
            <v>Updated at 14:56:14</v>
          </cell>
          <cell r="AQ2" t="str">
            <v>Updated at 14:56:14</v>
          </cell>
          <cell r="AR2" t="str">
            <v>Updated at 14:56:14</v>
          </cell>
          <cell r="AS2" t="str">
            <v>Updated at 14:56:14</v>
          </cell>
          <cell r="AT2" t="str">
            <v>Updated at 14:56:14</v>
          </cell>
          <cell r="AV2" t="str">
            <v>Updated at 14:56:14</v>
          </cell>
          <cell r="AW2" t="str">
            <v>Updated at 14:56:14</v>
          </cell>
          <cell r="AX2" t="str">
            <v>Updated at 14:56:14</v>
          </cell>
          <cell r="AY2" t="str">
            <v>Updated at 14:56:14</v>
          </cell>
          <cell r="BC2" t="str">
            <v>Updated at 14:56:14</v>
          </cell>
          <cell r="BF2" t="str">
            <v>Updated at 14:56:14</v>
          </cell>
          <cell r="BG2" t="str">
            <v>Updated at 14:56:14</v>
          </cell>
          <cell r="BH2" t="str">
            <v>Updated at 14:56:14</v>
          </cell>
          <cell r="BI2" t="str">
            <v>Updated at 14:56:14</v>
          </cell>
          <cell r="BK2" t="str">
            <v>Updated at 14:56:14</v>
          </cell>
          <cell r="BL2" t="str">
            <v>Updated at 14:56:14</v>
          </cell>
          <cell r="BM2" t="str">
            <v>Updated at 14:56:14</v>
          </cell>
          <cell r="BN2" t="str">
            <v>Updated at 14:56:14</v>
          </cell>
          <cell r="BO2" t="str">
            <v>Updated at 14:56:14</v>
          </cell>
          <cell r="BQ2" t="str">
            <v>Updated at 14:56:14</v>
          </cell>
          <cell r="BR2" t="str">
            <v>Updated at 14:56:14</v>
          </cell>
          <cell r="BS2" t="str">
            <v>Updated at 14:56:14</v>
          </cell>
          <cell r="BT2" t="str">
            <v>Updated at 14:56:14</v>
          </cell>
          <cell r="BU2" t="str">
            <v>Updated at 14:56:14</v>
          </cell>
          <cell r="BY2" t="str">
            <v>Updated at 14:56:14</v>
          </cell>
          <cell r="BZ2" t="str">
            <v>Updated at 14:56:14</v>
          </cell>
          <cell r="CA2" t="str">
            <v>Updated at 14:56:14</v>
          </cell>
          <cell r="CB2" t="str">
            <v>Updated at 14:56:14</v>
          </cell>
          <cell r="CC2" t="str">
            <v>Updated at 14:56:14</v>
          </cell>
          <cell r="CD2" t="str">
            <v>Updated at 14:56:14</v>
          </cell>
          <cell r="CE2" t="str">
            <v>Updated at 14:56:14</v>
          </cell>
          <cell r="CF2" t="str">
            <v>Updated at 14:56:14</v>
          </cell>
          <cell r="CG2" t="str">
            <v>Updated at 14:56:14</v>
          </cell>
          <cell r="CH2" t="str">
            <v>Updated at 14:56:14</v>
          </cell>
          <cell r="CI2" t="str">
            <v>Updated at 14:56:14</v>
          </cell>
          <cell r="CJ2" t="str">
            <v>Updated at 14:56:14</v>
          </cell>
          <cell r="CP2" t="str">
            <v>Updated at 14:56:14</v>
          </cell>
          <cell r="CQ2" t="str">
            <v>Updated at 14:56:14</v>
          </cell>
          <cell r="CR2" t="str">
            <v>Updated at 14:56:14</v>
          </cell>
          <cell r="CS2" t="str">
            <v>Updated at 14:56:14</v>
          </cell>
          <cell r="CT2" t="str">
            <v>Updated at 14:56:14</v>
          </cell>
          <cell r="CU2" t="str">
            <v>Updated at 14:56:14</v>
          </cell>
          <cell r="CV2" t="str">
            <v>Updated at 14:56:14</v>
          </cell>
          <cell r="CW2" t="str">
            <v>Updated at 14:56:14</v>
          </cell>
          <cell r="DG2" t="str">
            <v>Updated at 14:56:14</v>
          </cell>
          <cell r="DH2" t="str">
            <v>Updated at 14:56:14</v>
          </cell>
          <cell r="DI2" t="str">
            <v>Updated at 14:56:08</v>
          </cell>
          <cell r="DK2" t="str">
            <v>Updated at 14:56:14</v>
          </cell>
          <cell r="DM2" t="str">
            <v>Updated at 14:56:14</v>
          </cell>
          <cell r="DN2" t="str">
            <v>Updated at 14:56:14</v>
          </cell>
          <cell r="DO2" t="str">
            <v>Updated at 14:56:14</v>
          </cell>
          <cell r="DP2" t="str">
            <v>Updated at 14:56:14</v>
          </cell>
          <cell r="DQ2" t="str">
            <v>Updated at 14:56:14</v>
          </cell>
          <cell r="DT2" t="str">
            <v>Updated at 14:56:14</v>
          </cell>
          <cell r="DU2" t="str">
            <v>Updated at 14:56:14</v>
          </cell>
          <cell r="DV2" t="str">
            <v>Updated at 14:56:14</v>
          </cell>
          <cell r="DW2" t="str">
            <v>Updated at 14:56:14</v>
          </cell>
          <cell r="ED2" t="str">
            <v>Updated at 14:56:14</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7.2</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5.9323399999999999</v>
          </cell>
          <cell r="BD5">
            <v>-193.92238</v>
          </cell>
          <cell r="BE5">
            <v>-190.47737000000001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-5022146430</v>
          </cell>
          <cell r="CS5">
            <v>72595466</v>
          </cell>
          <cell r="CT5">
            <v>-196962013.40000001</v>
          </cell>
          <cell r="CU5">
            <v>-93250443.799999997</v>
          </cell>
          <cell r="CV5">
            <v>-2789276</v>
          </cell>
          <cell r="CW5">
            <v>-25804978.75</v>
          </cell>
          <cell r="CX5" t="str">
            <v>-</v>
          </cell>
          <cell r="CY5">
            <v>-20.292672490260671</v>
          </cell>
          <cell r="CZ5">
            <v>-70.179891069230138</v>
          </cell>
          <cell r="DA5">
            <v>1.3685759743558754</v>
          </cell>
          <cell r="DB5">
            <v>-1.1121831207842465</v>
          </cell>
          <cell r="DC5">
            <v>-32.431773621541936</v>
          </cell>
          <cell r="DD5">
            <v>0.89190938589709168</v>
          </cell>
          <cell r="DE5">
            <v>31.312855668987751</v>
          </cell>
          <cell r="DG5">
            <v>4.8560138333385003</v>
          </cell>
          <cell r="DH5">
            <v>2746709408</v>
          </cell>
          <cell r="DI5">
            <v>7.1400000000000006</v>
          </cell>
          <cell r="DJ5">
            <v>4323536836.0799999</v>
          </cell>
          <cell r="DK5">
            <v>23967749780.987499</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v>66.617376610624504</v>
          </cell>
          <cell r="ED5">
            <v>1.11991234121866</v>
          </cell>
          <cell r="EE5">
            <v>1.0219212599859999</v>
          </cell>
          <cell r="EG5" t="str">
            <v>-</v>
          </cell>
          <cell r="EH5" t="str">
            <v>-</v>
          </cell>
          <cell r="EK5">
            <v>0</v>
          </cell>
        </row>
        <row r="6">
          <cell r="A6" t="str">
            <v>AGRO</v>
          </cell>
          <cell r="B6" t="str">
            <v>AGR.BA</v>
          </cell>
          <cell r="C6" t="str">
            <v>AGROMETAL SAI</v>
          </cell>
          <cell r="D6">
            <v>43190</v>
          </cell>
          <cell r="E6">
            <v>601355210</v>
          </cell>
          <cell r="F6">
            <v>459457360</v>
          </cell>
          <cell r="G6">
            <v>1.30884</v>
          </cell>
          <cell r="H6">
            <v>0.82201999999999997</v>
          </cell>
          <cell r="I6">
            <v>1.52013</v>
          </cell>
          <cell r="J6">
            <v>1.08145</v>
          </cell>
          <cell r="K6">
            <v>17.55</v>
          </cell>
          <cell r="L6">
            <v>0</v>
          </cell>
          <cell r="M6" t="str">
            <v>NULL</v>
          </cell>
          <cell r="N6">
            <v>0</v>
          </cell>
          <cell r="O6">
            <v>0</v>
          </cell>
          <cell r="P6">
            <v>0</v>
          </cell>
          <cell r="Q6">
            <v>0</v>
          </cell>
          <cell r="S6">
            <v>147.63116806580001</v>
          </cell>
          <cell r="T6">
            <v>103.883361256</v>
          </cell>
          <cell r="U6">
            <v>43190</v>
          </cell>
          <cell r="V6">
            <v>671086260</v>
          </cell>
          <cell r="W6">
            <v>590255900</v>
          </cell>
          <cell r="X6">
            <v>682762350</v>
          </cell>
          <cell r="Y6">
            <v>646312300</v>
          </cell>
          <cell r="Z6">
            <v>187337900</v>
          </cell>
          <cell r="AA6">
            <v>3.5822236717717022</v>
          </cell>
          <cell r="AC6">
            <v>52184840</v>
          </cell>
          <cell r="AD6">
            <v>230202130</v>
          </cell>
          <cell r="AE6">
            <v>319932890</v>
          </cell>
          <cell r="AF6">
            <v>204852420</v>
          </cell>
          <cell r="AG6">
            <v>1.5579709395242545</v>
          </cell>
          <cell r="AH6">
            <v>135047550</v>
          </cell>
          <cell r="AI6">
            <v>68709820</v>
          </cell>
          <cell r="AJ6">
            <v>166842730</v>
          </cell>
          <cell r="AK6">
            <v>155226340</v>
          </cell>
          <cell r="AL6">
            <v>55320110</v>
          </cell>
          <cell r="AM6">
            <v>174397120</v>
          </cell>
          <cell r="AN6">
            <v>223723050</v>
          </cell>
          <cell r="AO6">
            <v>141795020</v>
          </cell>
          <cell r="AP6">
            <v>80.60957179454914</v>
          </cell>
          <cell r="AQ6">
            <v>102602360</v>
          </cell>
          <cell r="AR6">
            <v>120438680</v>
          </cell>
          <cell r="AS6">
            <v>149454850</v>
          </cell>
          <cell r="AT6">
            <v>121397780</v>
          </cell>
          <cell r="AU6">
            <v>55.834173824081276</v>
          </cell>
          <cell r="AV6">
            <v>223672150</v>
          </cell>
          <cell r="AW6">
            <v>153310810</v>
          </cell>
          <cell r="AX6">
            <v>208282320</v>
          </cell>
          <cell r="AY6">
            <v>189104210</v>
          </cell>
          <cell r="AZ6">
            <v>118.71140028573573</v>
          </cell>
          <cell r="BA6">
            <v>93.936002315267871</v>
          </cell>
          <cell r="BC6">
            <v>27.405809999999999</v>
          </cell>
          <cell r="BD6">
            <v>15.059229999999999</v>
          </cell>
          <cell r="BE6">
            <v>8.0840200000000006</v>
          </cell>
          <cell r="BF6">
            <v>-27051110</v>
          </cell>
          <cell r="BG6">
            <v>5147760</v>
          </cell>
          <cell r="BH6">
            <v>44199190</v>
          </cell>
          <cell r="BI6">
            <v>24601260</v>
          </cell>
          <cell r="BJ6">
            <v>5.810048382731875E-2</v>
          </cell>
          <cell r="BK6">
            <v>-1308090</v>
          </cell>
          <cell r="BL6">
            <v>-7490110</v>
          </cell>
          <cell r="BM6">
            <v>-6196690</v>
          </cell>
          <cell r="BN6">
            <v>-1207490</v>
          </cell>
          <cell r="BO6">
            <v>-646690</v>
          </cell>
          <cell r="BP6">
            <v>-6858090</v>
          </cell>
          <cell r="BQ6">
            <v>-80527180</v>
          </cell>
          <cell r="BR6">
            <v>-110396470</v>
          </cell>
          <cell r="BS6">
            <v>-52015610</v>
          </cell>
          <cell r="BT6">
            <v>-26575440</v>
          </cell>
          <cell r="BU6">
            <v>-30115390</v>
          </cell>
          <cell r="BV6">
            <v>-102427400</v>
          </cell>
          <cell r="BW6">
            <v>-0.13539301671757112</v>
          </cell>
          <cell r="BX6">
            <v>7.2416299676498777E-2</v>
          </cell>
          <cell r="BY6">
            <v>187337900</v>
          </cell>
          <cell r="BZ6">
            <v>215073990</v>
          </cell>
          <cell r="CA6">
            <v>209940950</v>
          </cell>
          <cell r="CB6">
            <v>165756490</v>
          </cell>
          <cell r="CC6" t="str">
            <v>NULL</v>
          </cell>
          <cell r="CD6" t="str">
            <v>NULL</v>
          </cell>
          <cell r="CE6" t="str">
            <v>NULL</v>
          </cell>
          <cell r="CF6" t="str">
            <v>NULL</v>
          </cell>
          <cell r="CG6" t="str">
            <v>NULL</v>
          </cell>
          <cell r="CH6" t="str">
            <v>NULL</v>
          </cell>
          <cell r="CI6" t="str">
            <v>NULL</v>
          </cell>
          <cell r="CJ6" t="str">
            <v>NULL</v>
          </cell>
          <cell r="CK6">
            <v>187337900</v>
          </cell>
          <cell r="CL6">
            <v>215073990</v>
          </cell>
          <cell r="CM6">
            <v>209940950</v>
          </cell>
          <cell r="CN6">
            <v>165756490</v>
          </cell>
          <cell r="CO6">
            <v>0.24108231679987696</v>
          </cell>
          <cell r="CP6">
            <v>-27051110</v>
          </cell>
          <cell r="CQ6">
            <v>-8782060</v>
          </cell>
          <cell r="CR6">
            <v>65745530</v>
          </cell>
          <cell r="CS6">
            <v>50611130</v>
          </cell>
          <cell r="CT6">
            <v>-18284880</v>
          </cell>
          <cell r="CU6">
            <v>3797350</v>
          </cell>
          <cell r="CV6">
            <v>29828280</v>
          </cell>
          <cell r="CW6">
            <v>-3648610</v>
          </cell>
          <cell r="CX6">
            <v>-2.0802693217764396</v>
          </cell>
          <cell r="CY6">
            <v>1.3108677764900258</v>
          </cell>
          <cell r="CZ6">
            <v>0.29903303878020515</v>
          </cell>
          <cell r="DA6">
            <v>3.7679224583371616</v>
          </cell>
          <cell r="DB6">
            <v>-5.8151684727507345</v>
          </cell>
          <cell r="DC6">
            <v>-0.87269296117644057</v>
          </cell>
          <cell r="DD6">
            <v>9.1752448192599374</v>
          </cell>
          <cell r="DE6">
            <v>5.5780301997533481</v>
          </cell>
          <cell r="DG6">
            <v>14.106288729104699</v>
          </cell>
          <cell r="DH6">
            <v>75000000</v>
          </cell>
          <cell r="DI6">
            <v>17.650000000000002</v>
          </cell>
          <cell r="DJ6">
            <v>1323750000</v>
          </cell>
          <cell r="DK6">
            <v>1572994090</v>
          </cell>
          <cell r="DM6">
            <v>187337900</v>
          </cell>
          <cell r="DN6" t="str">
            <v>NULL</v>
          </cell>
          <cell r="DO6" t="str">
            <v>NULL</v>
          </cell>
          <cell r="DP6">
            <v>2338630</v>
          </cell>
          <cell r="DQ6" t="str">
            <v>NULL</v>
          </cell>
          <cell r="DR6">
            <v>184999270</v>
          </cell>
          <cell r="DS6">
            <v>7.15543364035977</v>
          </cell>
          <cell r="DT6">
            <v>-0.36068</v>
          </cell>
          <cell r="DU6">
            <v>6.8640000000000007E-2</v>
          </cell>
          <cell r="DV6">
            <v>0.58594000000000002</v>
          </cell>
          <cell r="DW6">
            <v>0.32612999999999998</v>
          </cell>
          <cell r="DX6">
            <v>0.62003000000000008</v>
          </cell>
          <cell r="DY6">
            <v>28.3050820121607</v>
          </cell>
          <cell r="DZ6">
            <v>1.6399844652742535</v>
          </cell>
          <cell r="EA6">
            <v>-109285490</v>
          </cell>
          <cell r="EB6">
            <v>-12.112769956926579</v>
          </cell>
          <cell r="EC6">
            <v>28.4663645307485</v>
          </cell>
          <cell r="ED6">
            <v>1.2491346674694299</v>
          </cell>
          <cell r="EE6">
            <v>1.22839764313591</v>
          </cell>
          <cell r="EG6">
            <v>0.49279943323213993</v>
          </cell>
          <cell r="EH6">
            <v>7.3906962044565372E-2</v>
          </cell>
          <cell r="EK6">
            <v>0</v>
          </cell>
        </row>
        <row r="7">
          <cell r="A7" t="str">
            <v>ALUA</v>
          </cell>
          <cell r="B7" t="str">
            <v>ALU.BA</v>
          </cell>
          <cell r="C7" t="str">
            <v>ALUAR ALUMINIO ARGENTINO SAIC</v>
          </cell>
          <cell r="D7">
            <v>43190</v>
          </cell>
          <cell r="E7">
            <v>12005320960</v>
          </cell>
          <cell r="F7">
            <v>7423805050</v>
          </cell>
          <cell r="G7">
            <v>1.61714</v>
          </cell>
          <cell r="H7">
            <v>0.54391</v>
          </cell>
          <cell r="I7">
            <v>1.9808699999999999</v>
          </cell>
          <cell r="J7">
            <v>0.58665</v>
          </cell>
          <cell r="K7">
            <v>19.100000000000001</v>
          </cell>
          <cell r="L7">
            <v>0</v>
          </cell>
          <cell r="M7">
            <v>0.3715</v>
          </cell>
          <cell r="N7">
            <v>0</v>
          </cell>
          <cell r="O7" t="str">
            <v>NULL</v>
          </cell>
          <cell r="P7">
            <v>0.3715</v>
          </cell>
          <cell r="Q7">
            <v>1.945026178010471E-2</v>
          </cell>
          <cell r="S7">
            <v>26.4884324123</v>
          </cell>
          <cell r="T7">
            <v>9.9707617259999992</v>
          </cell>
          <cell r="U7">
            <v>43190</v>
          </cell>
          <cell r="V7">
            <v>17337954620</v>
          </cell>
          <cell r="W7">
            <v>15178004320</v>
          </cell>
          <cell r="X7">
            <v>14939945120</v>
          </cell>
          <cell r="Y7">
            <v>14280970440</v>
          </cell>
          <cell r="Z7">
            <v>8985023700</v>
          </cell>
          <cell r="AA7">
            <v>1.9296504048175187</v>
          </cell>
          <cell r="AC7">
            <v>6110551070</v>
          </cell>
          <cell r="AD7">
            <v>5607912770</v>
          </cell>
          <cell r="AE7">
            <v>4965427220</v>
          </cell>
          <cell r="AF7">
            <v>4148106110</v>
          </cell>
          <cell r="AG7">
            <v>1.6871588305237271</v>
          </cell>
          <cell r="AH7">
            <v>1439478320</v>
          </cell>
          <cell r="AI7">
            <v>1445194190</v>
          </cell>
          <cell r="AJ7">
            <v>1352420990</v>
          </cell>
          <cell r="AK7">
            <v>841700270</v>
          </cell>
          <cell r="AL7">
            <v>4059416740</v>
          </cell>
          <cell r="AM7">
            <v>3831754830</v>
          </cell>
          <cell r="AN7">
            <v>3361283510</v>
          </cell>
          <cell r="AO7">
            <v>3080015840</v>
          </cell>
          <cell r="AP7">
            <v>32.334964019763035</v>
          </cell>
          <cell r="AQ7">
            <v>1395440410</v>
          </cell>
          <cell r="AR7">
            <v>1066870220</v>
          </cell>
          <cell r="AS7">
            <v>1205090420</v>
          </cell>
          <cell r="AT7">
            <v>676153580</v>
          </cell>
          <cell r="AU7">
            <v>19.025989527220158</v>
          </cell>
          <cell r="AV7">
            <v>7967456040</v>
          </cell>
          <cell r="AW7">
            <v>6934509490</v>
          </cell>
          <cell r="AX7">
            <v>6956319730</v>
          </cell>
          <cell r="AY7">
            <v>6787749720</v>
          </cell>
          <cell r="AZ7">
            <v>182.37962641022403</v>
          </cell>
          <cell r="BA7">
            <v>169.07065191768118</v>
          </cell>
          <cell r="BC7">
            <v>28.514520000000001</v>
          </cell>
          <cell r="BD7">
            <v>21.319900000000001</v>
          </cell>
          <cell r="BE7">
            <v>13.34807</v>
          </cell>
          <cell r="BF7">
            <v>1114400660</v>
          </cell>
          <cell r="BG7">
            <v>910777770</v>
          </cell>
          <cell r="BH7">
            <v>787631560</v>
          </cell>
          <cell r="BI7">
            <v>573658550</v>
          </cell>
          <cell r="BJ7">
            <v>0.16256091590089247</v>
          </cell>
          <cell r="BK7">
            <v>-1451346170</v>
          </cell>
          <cell r="BL7">
            <v>-1207985070</v>
          </cell>
          <cell r="BM7">
            <v>-257624840</v>
          </cell>
          <cell r="BN7">
            <v>-507219210</v>
          </cell>
          <cell r="BO7">
            <v>-323547020</v>
          </cell>
          <cell r="BP7">
            <v>-1385423990</v>
          </cell>
          <cell r="BQ7">
            <v>3135979940</v>
          </cell>
          <cell r="BR7">
            <v>2867529500</v>
          </cell>
          <cell r="BS7">
            <v>1526822900</v>
          </cell>
          <cell r="BT7">
            <v>2948845750</v>
          </cell>
          <cell r="BU7">
            <v>1793065790</v>
          </cell>
          <cell r="BV7">
            <v>2869737050</v>
          </cell>
          <cell r="BW7">
            <v>7.1251596661003197E-2</v>
          </cell>
          <cell r="BX7">
            <v>0.21941302130544363</v>
          </cell>
          <cell r="BY7">
            <v>8985023700</v>
          </cell>
          <cell r="BZ7">
            <v>9014068380</v>
          </cell>
          <cell r="CA7">
            <v>9145245690</v>
          </cell>
          <cell r="CB7">
            <v>9385463140</v>
          </cell>
          <cell r="CC7" t="str">
            <v>NULL</v>
          </cell>
          <cell r="CD7" t="str">
            <v>NULL</v>
          </cell>
          <cell r="CE7" t="str">
            <v>NULL</v>
          </cell>
          <cell r="CF7" t="str">
            <v>NULL</v>
          </cell>
          <cell r="CG7" t="str">
            <v>NULL</v>
          </cell>
          <cell r="CH7" t="str">
            <v>NULL</v>
          </cell>
          <cell r="CI7" t="str">
            <v>NULL</v>
          </cell>
          <cell r="CJ7" t="str">
            <v>NULL</v>
          </cell>
          <cell r="CK7">
            <v>8985023700</v>
          </cell>
          <cell r="CL7">
            <v>9014068380</v>
          </cell>
          <cell r="CM7">
            <v>9145245690</v>
          </cell>
          <cell r="CN7">
            <v>9385463140</v>
          </cell>
          <cell r="CO7">
            <v>0.37081708146654119</v>
          </cell>
          <cell r="CP7">
            <v>1114400660</v>
          </cell>
          <cell r="CQ7">
            <v>535103900</v>
          </cell>
          <cell r="CR7">
            <v>1949439740</v>
          </cell>
          <cell r="CS7">
            <v>1193479770</v>
          </cell>
          <cell r="CT7">
            <v>1276918120</v>
          </cell>
          <cell r="CU7">
            <v>698215620</v>
          </cell>
          <cell r="CV7">
            <v>223698240</v>
          </cell>
          <cell r="CW7">
            <v>320235230</v>
          </cell>
          <cell r="CX7">
            <v>1.0825874376920073</v>
          </cell>
          <cell r="CY7">
            <v>0.6433355320352423</v>
          </cell>
          <cell r="CZ7">
            <v>0.63340828139885441</v>
          </cell>
          <cell r="DA7">
            <v>-6.5343539803476181E-2</v>
          </cell>
          <cell r="DB7">
            <v>0.82883064117070315</v>
          </cell>
          <cell r="DC7">
            <v>2.121238772374785</v>
          </cell>
          <cell r="DD7">
            <v>-0.30145649496465454</v>
          </cell>
          <cell r="DE7">
            <v>0.95046869685030333</v>
          </cell>
          <cell r="DG7">
            <v>8.9425414720014</v>
          </cell>
          <cell r="DH7">
            <v>2800000000</v>
          </cell>
          <cell r="DI7">
            <v>18.350000000000001</v>
          </cell>
          <cell r="DJ7">
            <v>51380000000</v>
          </cell>
          <cell r="DK7">
            <v>52988594080</v>
          </cell>
          <cell r="DM7">
            <v>8985023700</v>
          </cell>
          <cell r="DN7" t="str">
            <v>NULL</v>
          </cell>
          <cell r="DO7" t="str">
            <v>NULL</v>
          </cell>
          <cell r="DP7">
            <v>45619710</v>
          </cell>
          <cell r="DQ7" t="str">
            <v>NULL</v>
          </cell>
          <cell r="DR7">
            <v>8939403990</v>
          </cell>
          <cell r="DS7">
            <v>5.7475867582979658</v>
          </cell>
          <cell r="DT7">
            <v>0.39800000000000002</v>
          </cell>
          <cell r="DU7">
            <v>0.32528000000000001</v>
          </cell>
          <cell r="DV7">
            <v>0.28129999999999999</v>
          </cell>
          <cell r="DW7">
            <v>0.20488000000000001</v>
          </cell>
          <cell r="DX7">
            <v>1.20946</v>
          </cell>
          <cell r="DY7">
            <v>15.792171712995884</v>
          </cell>
          <cell r="DZ7">
            <v>2.4663981845193388</v>
          </cell>
          <cell r="EA7">
            <v>1484313060</v>
          </cell>
          <cell r="EB7">
            <v>34.615339165714815</v>
          </cell>
          <cell r="EC7">
            <v>15.172060258297099</v>
          </cell>
          <cell r="ED7">
            <v>0.90261512352294204</v>
          </cell>
          <cell r="EE7">
            <v>0.95979263539870496</v>
          </cell>
          <cell r="EG7">
            <v>0.3985886146195538</v>
          </cell>
          <cell r="EH7">
            <v>-3.1596332818317752E-2</v>
          </cell>
          <cell r="EK7">
            <v>1.1780199820163499</v>
          </cell>
        </row>
        <row r="8">
          <cell r="A8" t="str">
            <v>APBR</v>
          </cell>
          <cell r="B8" t="str">
            <v>APBR.BA</v>
          </cell>
          <cell r="C8" t="str">
            <v>PETROLEO BRASILEIRO PETROBRAS SA</v>
          </cell>
          <cell r="D8">
            <v>43190</v>
          </cell>
          <cell r="E8">
            <v>884898420383.70703</v>
          </cell>
          <cell r="F8">
            <v>475371530593.71802</v>
          </cell>
          <cell r="G8">
            <v>1.8614900000000001</v>
          </cell>
          <cell r="H8">
            <v>1.4856199999999999</v>
          </cell>
          <cell r="I8">
            <v>1.889</v>
          </cell>
          <cell r="J8">
            <v>1.54877</v>
          </cell>
          <cell r="K8">
            <v>131.5</v>
          </cell>
          <cell r="L8">
            <v>0</v>
          </cell>
          <cell r="M8" t="str">
            <v>NULL</v>
          </cell>
          <cell r="N8">
            <v>0</v>
          </cell>
          <cell r="O8">
            <v>0</v>
          </cell>
          <cell r="P8">
            <v>0</v>
          </cell>
          <cell r="Q8">
            <v>0</v>
          </cell>
          <cell r="S8">
            <v>125.37698142799999</v>
          </cell>
          <cell r="T8">
            <v>136.93315908100001</v>
          </cell>
          <cell r="U8">
            <v>43190</v>
          </cell>
          <cell r="V8">
            <v>5015347343097.5</v>
          </cell>
          <cell r="W8">
            <v>4668092723649.6504</v>
          </cell>
          <cell r="X8">
            <v>4396187900929.9702</v>
          </cell>
          <cell r="Y8">
            <v>4058477671112.7202</v>
          </cell>
          <cell r="Z8">
            <v>1655019043151.97</v>
          </cell>
          <cell r="AA8">
            <v>3.0303864863970462</v>
          </cell>
          <cell r="AC8">
            <v>453129186588.39203</v>
          </cell>
          <cell r="AD8">
            <v>429535378762.71899</v>
          </cell>
          <cell r="AE8">
            <v>392778692351.48999</v>
          </cell>
          <cell r="AF8">
            <v>336489603484.25702</v>
          </cell>
          <cell r="AG8">
            <v>0.44434983714652992</v>
          </cell>
          <cell r="AH8">
            <v>109702526780.851</v>
          </cell>
          <cell r="AI8">
            <v>107097532683.192</v>
          </cell>
          <cell r="AJ8">
            <v>103627905674.701</v>
          </cell>
          <cell r="AK8">
            <v>85388079121.676804</v>
          </cell>
          <cell r="AL8">
            <v>290203256067.29999</v>
          </cell>
          <cell r="AM8">
            <v>288046721415.41602</v>
          </cell>
          <cell r="AN8">
            <v>276638218827.10199</v>
          </cell>
          <cell r="AO8">
            <v>229163101351.96399</v>
          </cell>
          <cell r="AP8">
            <v>34.159558794529275</v>
          </cell>
          <cell r="AQ8">
            <v>95121772680.505997</v>
          </cell>
          <cell r="AR8">
            <v>92327201473.385498</v>
          </cell>
          <cell r="AS8">
            <v>90371583791.990906</v>
          </cell>
          <cell r="AT8">
            <v>72711206484.589996</v>
          </cell>
          <cell r="AU8">
            <v>19.84327280277012</v>
          </cell>
          <cell r="AV8">
            <v>178675092295.58801</v>
          </cell>
          <cell r="AW8">
            <v>157645636907.09799</v>
          </cell>
          <cell r="AX8">
            <v>141373422850.63599</v>
          </cell>
          <cell r="AY8">
            <v>133704844085.534</v>
          </cell>
          <cell r="AZ8">
            <v>51.464500358982846</v>
          </cell>
          <cell r="BA8">
            <v>37.148214367223687</v>
          </cell>
          <cell r="BC8">
            <v>32.286430000000003</v>
          </cell>
          <cell r="BD8">
            <v>13.31465</v>
          </cell>
          <cell r="BE8">
            <v>-0.15720999999999999</v>
          </cell>
          <cell r="BF8">
            <v>42360863644.6166</v>
          </cell>
          <cell r="BG8">
            <v>-30747664019.806198</v>
          </cell>
          <cell r="BH8">
            <v>1454695388.11919</v>
          </cell>
          <cell r="BI8">
            <v>1587120346.00611</v>
          </cell>
          <cell r="BJ8">
            <v>9.0915792535833581E-3</v>
          </cell>
          <cell r="BK8">
            <v>-60361644374.508301</v>
          </cell>
          <cell r="BL8">
            <v>-244847292050.36099</v>
          </cell>
          <cell r="BM8">
            <v>-164681361738.47</v>
          </cell>
          <cell r="BN8">
            <v>-103870999606.811</v>
          </cell>
          <cell r="BO8">
            <v>-49323985910.983002</v>
          </cell>
          <cell r="BP8">
            <v>-175719020201.9953</v>
          </cell>
          <cell r="BQ8">
            <v>135206675543.18201</v>
          </cell>
          <cell r="BR8">
            <v>485422359832.13098</v>
          </cell>
          <cell r="BS8">
            <v>365861358891.63</v>
          </cell>
          <cell r="BT8">
            <v>215356158848.259</v>
          </cell>
          <cell r="BU8">
            <v>114280683637.528</v>
          </cell>
          <cell r="BV8">
            <v>386787350797.284</v>
          </cell>
          <cell r="BW8">
            <v>0.1309411425733204</v>
          </cell>
          <cell r="BX8">
            <v>3.2318734162832836E-3</v>
          </cell>
          <cell r="BY8">
            <v>1655019043151.97</v>
          </cell>
          <cell r="BZ8">
            <v>1482001476404.7</v>
          </cell>
          <cell r="CA8">
            <v>1431529637502.3701</v>
          </cell>
          <cell r="CB8">
            <v>1299002755345.8601</v>
          </cell>
          <cell r="CC8" t="str">
            <v>NULL</v>
          </cell>
          <cell r="CD8" t="str">
            <v>NULL</v>
          </cell>
          <cell r="CE8" t="str">
            <v>NULL</v>
          </cell>
          <cell r="CF8" t="str">
            <v>NULL</v>
          </cell>
          <cell r="CG8" t="str">
            <v>NULL</v>
          </cell>
          <cell r="CH8" t="str">
            <v>NULL</v>
          </cell>
          <cell r="CI8" t="str">
            <v>NULL</v>
          </cell>
          <cell r="CJ8" t="str">
            <v>NULL</v>
          </cell>
          <cell r="CK8">
            <v>1655019043151.97</v>
          </cell>
          <cell r="CL8">
            <v>1482001476404.7</v>
          </cell>
          <cell r="CM8">
            <v>1431529637502.3701</v>
          </cell>
          <cell r="CN8">
            <v>1299002755345.8601</v>
          </cell>
          <cell r="CO8">
            <v>9.9905467084601945E-3</v>
          </cell>
          <cell r="CP8">
            <v>42360863644.6166</v>
          </cell>
          <cell r="CQ8">
            <v>21891701248.799198</v>
          </cell>
          <cell r="CR8">
            <v>-2503826575.2845602</v>
          </cell>
          <cell r="CS8">
            <v>-72242621418.910599</v>
          </cell>
          <cell r="CT8">
            <v>-113816839441.315</v>
          </cell>
          <cell r="CU8">
            <v>-69385508995.1073</v>
          </cell>
          <cell r="CV8">
            <v>65037551867.219902</v>
          </cell>
          <cell r="CW8">
            <v>50847145299.145302</v>
          </cell>
          <cell r="CX8">
            <v>0.93501926429496551</v>
          </cell>
          <cell r="CY8">
            <v>-0.21950270120323673</v>
          </cell>
          <cell r="CZ8">
            <v>0.9653414213644641</v>
          </cell>
          <cell r="DA8">
            <v>0.36527299674175584</v>
          </cell>
          <cell r="DB8">
            <v>-0.64035460847222092</v>
          </cell>
          <cell r="DC8">
            <v>-2.066853025722188</v>
          </cell>
          <cell r="DD8">
            <v>0.27907971007200527</v>
          </cell>
          <cell r="DE8">
            <v>1.1815479446340222</v>
          </cell>
          <cell r="DG8">
            <v>6.1444114399114396</v>
          </cell>
          <cell r="DH8">
            <v>13044496930</v>
          </cell>
          <cell r="DI8">
            <v>126.9</v>
          </cell>
          <cell r="DJ8">
            <v>1493447623843.8</v>
          </cell>
          <cell r="DK8">
            <v>3462761988660.3101</v>
          </cell>
          <cell r="DM8">
            <v>1655019043151.97</v>
          </cell>
          <cell r="DN8" t="str">
            <v>NULL</v>
          </cell>
          <cell r="DO8" t="str">
            <v>NULL</v>
          </cell>
          <cell r="DP8">
            <v>42598196453.428596</v>
          </cell>
          <cell r="DQ8">
            <v>4904878048.7804899</v>
          </cell>
          <cell r="DR8">
            <v>1607515968649.761</v>
          </cell>
          <cell r="DS8">
            <v>0.92904061481779676</v>
          </cell>
          <cell r="DT8">
            <v>3.2473822247775801</v>
          </cell>
          <cell r="DU8">
            <v>-2.3571337761540998</v>
          </cell>
          <cell r="DV8">
            <v>0.111508417156956</v>
          </cell>
          <cell r="DW8">
            <v>0.121645742975532</v>
          </cell>
          <cell r="DX8">
            <v>1.1234026087559683</v>
          </cell>
          <cell r="DY8">
            <v>112.96039283772566</v>
          </cell>
          <cell r="DZ8">
            <v>0.92649493028151431</v>
          </cell>
          <cell r="EA8">
            <v>211068330595.2887</v>
          </cell>
          <cell r="EB8">
            <v>7.0756594304400853</v>
          </cell>
          <cell r="EC8">
            <v>95.788343751973201</v>
          </cell>
          <cell r="ED8">
            <v>0.96836221283510404</v>
          </cell>
          <cell r="EE8">
            <v>0.93133180801963</v>
          </cell>
          <cell r="EG8">
            <v>0.54587557215520854</v>
          </cell>
          <cell r="EH8">
            <v>-0.14760394673461208</v>
          </cell>
          <cell r="EK8">
            <v>0.26224152953047902</v>
          </cell>
        </row>
        <row r="9">
          <cell r="A9" t="str">
            <v>AUSO</v>
          </cell>
          <cell r="B9" t="str">
            <v>AUS.BA</v>
          </cell>
          <cell r="C9" t="str">
            <v>AUTOPISTAS DEL SOL SA</v>
          </cell>
          <cell r="D9">
            <v>43190</v>
          </cell>
          <cell r="E9">
            <v>898062170</v>
          </cell>
          <cell r="F9">
            <v>542865550</v>
          </cell>
          <cell r="G9">
            <v>1.6543000000000001</v>
          </cell>
          <cell r="H9">
            <v>1.6543000000000001</v>
          </cell>
          <cell r="I9">
            <v>1.3138300000000001</v>
          </cell>
          <cell r="J9">
            <v>1.3138300000000001</v>
          </cell>
          <cell r="K9">
            <v>99.95</v>
          </cell>
          <cell r="L9">
            <v>0</v>
          </cell>
          <cell r="M9">
            <v>2.7493599999999998</v>
          </cell>
          <cell r="N9">
            <v>0</v>
          </cell>
          <cell r="O9">
            <v>4.0774800000000004</v>
          </cell>
          <cell r="P9">
            <v>6.8268400000000007</v>
          </cell>
          <cell r="Q9">
            <v>6.8302551275637821E-2</v>
          </cell>
          <cell r="S9">
            <v>0</v>
          </cell>
          <cell r="T9">
            <v>0</v>
          </cell>
          <cell r="U9">
            <v>43190</v>
          </cell>
          <cell r="V9">
            <v>1319616350</v>
          </cell>
          <cell r="W9">
            <v>1219707260</v>
          </cell>
          <cell r="X9">
            <v>1171957680</v>
          </cell>
          <cell r="Y9">
            <v>1069567310</v>
          </cell>
          <cell r="Z9">
            <v>465502520</v>
          </cell>
          <cell r="AA9">
            <v>2.8348210660599644</v>
          </cell>
          <cell r="AC9">
            <v>691391520</v>
          </cell>
          <cell r="AD9">
            <v>763341210</v>
          </cell>
          <cell r="AE9">
            <v>618856910</v>
          </cell>
          <cell r="AF9">
            <v>559032400</v>
          </cell>
          <cell r="AG9">
            <v>2.7532750746487822</v>
          </cell>
          <cell r="AH9">
            <v>113182260</v>
          </cell>
          <cell r="AI9">
            <v>155932740</v>
          </cell>
          <cell r="AJ9">
            <v>111088940</v>
          </cell>
          <cell r="AK9">
            <v>118732190</v>
          </cell>
          <cell r="AL9">
            <v>449415660</v>
          </cell>
          <cell r="AM9">
            <v>446267880</v>
          </cell>
          <cell r="AN9">
            <v>407023800</v>
          </cell>
          <cell r="AO9">
            <v>384862920</v>
          </cell>
          <cell r="AP9">
            <v>26.978385991763094</v>
          </cell>
          <cell r="AQ9">
            <v>239752220</v>
          </cell>
          <cell r="AR9">
            <v>210496890</v>
          </cell>
          <cell r="AS9">
            <v>193506270</v>
          </cell>
          <cell r="AT9">
            <v>195610560</v>
          </cell>
          <cell r="AU9">
            <v>29.093482034739782</v>
          </cell>
          <cell r="AV9" t="str">
            <v>NULL</v>
          </cell>
          <cell r="AW9" t="str">
            <v>NULL</v>
          </cell>
          <cell r="AX9" t="str">
            <v>NULL</v>
          </cell>
          <cell r="AY9" t="str">
            <v>NULL</v>
          </cell>
          <cell r="AZ9" t="e">
            <v>#DIV/0!</v>
          </cell>
          <cell r="BA9" t="e">
            <v>#DIV/0!</v>
          </cell>
          <cell r="BC9">
            <v>34.793080000000003</v>
          </cell>
          <cell r="BD9">
            <v>23.664380000000001</v>
          </cell>
          <cell r="BE9">
            <v>19.13702</v>
          </cell>
          <cell r="BF9">
            <v>134801410</v>
          </cell>
          <cell r="BG9">
            <v>217650650</v>
          </cell>
          <cell r="BH9">
            <v>100933750</v>
          </cell>
          <cell r="BI9">
            <v>74424320</v>
          </cell>
          <cell r="BJ9">
            <v>0.20048838077797146</v>
          </cell>
          <cell r="BK9">
            <v>-3013420</v>
          </cell>
          <cell r="BL9">
            <v>-55641190</v>
          </cell>
          <cell r="BM9">
            <v>-51250510</v>
          </cell>
          <cell r="BN9">
            <v>-26066460</v>
          </cell>
          <cell r="BO9">
            <v>-12907110</v>
          </cell>
          <cell r="BP9">
            <v>-41356820</v>
          </cell>
          <cell r="BQ9">
            <v>95399880</v>
          </cell>
          <cell r="BR9">
            <v>473414580</v>
          </cell>
          <cell r="BS9">
            <v>249819030</v>
          </cell>
          <cell r="BT9">
            <v>125590360</v>
          </cell>
          <cell r="BU9">
            <v>122755630</v>
          </cell>
          <cell r="BV9">
            <v>222463280</v>
          </cell>
          <cell r="BW9">
            <v>6.8793186886789107E-2</v>
          </cell>
          <cell r="BX9">
            <v>0.4416037186368964</v>
          </cell>
          <cell r="BY9">
            <v>465502520</v>
          </cell>
          <cell r="BZ9">
            <v>330701110</v>
          </cell>
          <cell r="CA9">
            <v>356050460</v>
          </cell>
          <cell r="CB9">
            <v>255116710</v>
          </cell>
          <cell r="CC9" t="str">
            <v>NULL</v>
          </cell>
          <cell r="CD9" t="str">
            <v>NULL</v>
          </cell>
          <cell r="CE9" t="str">
            <v>NULL</v>
          </cell>
          <cell r="CF9" t="str">
            <v>NULL</v>
          </cell>
          <cell r="CG9" t="str">
            <v>NULL</v>
          </cell>
          <cell r="CH9" t="str">
            <v>NULL</v>
          </cell>
          <cell r="CI9" t="str">
            <v>NULL</v>
          </cell>
          <cell r="CJ9" t="str">
            <v>NULL</v>
          </cell>
          <cell r="CK9">
            <v>465502520</v>
          </cell>
          <cell r="CL9">
            <v>330701110</v>
          </cell>
          <cell r="CM9">
            <v>356050460</v>
          </cell>
          <cell r="CN9">
            <v>255116710</v>
          </cell>
          <cell r="CO9">
            <v>1.5001309676170629</v>
          </cell>
          <cell r="CP9">
            <v>134801410</v>
          </cell>
          <cell r="CQ9">
            <v>74631480</v>
          </cell>
          <cell r="CR9">
            <v>467640200</v>
          </cell>
          <cell r="CS9">
            <v>291302030</v>
          </cell>
          <cell r="CT9">
            <v>75226720</v>
          </cell>
          <cell r="CU9">
            <v>18121770</v>
          </cell>
          <cell r="CV9">
            <v>-17533300</v>
          </cell>
          <cell r="CW9">
            <v>4140670</v>
          </cell>
          <cell r="CX9">
            <v>0.80622721135906716</v>
          </cell>
          <cell r="CY9">
            <v>0.685599449190474</v>
          </cell>
          <cell r="CZ9">
            <v>0.60534480312409777</v>
          </cell>
          <cell r="DA9">
            <v>2.8723212975389596</v>
          </cell>
          <cell r="DB9">
            <v>3.1511794929523989</v>
          </cell>
          <cell r="DC9">
            <v>2.0335629915646227</v>
          </cell>
          <cell r="DD9">
            <v>-5.2344113392277096</v>
          </cell>
          <cell r="DE9">
            <v>3.4543744603406297</v>
          </cell>
          <cell r="DG9">
            <v>3.2484368209316998</v>
          </cell>
          <cell r="DH9">
            <v>30469035</v>
          </cell>
          <cell r="DI9">
            <v>102</v>
          </cell>
          <cell r="DJ9">
            <v>9414483720</v>
          </cell>
          <cell r="DK9">
            <v>2631540250</v>
          </cell>
          <cell r="DM9">
            <v>465502520</v>
          </cell>
          <cell r="DN9" t="str">
            <v>NULL</v>
          </cell>
          <cell r="DO9" t="str">
            <v>NULL</v>
          </cell>
          <cell r="DP9">
            <v>360329400</v>
          </cell>
          <cell r="DQ9" t="str">
            <v>NULL</v>
          </cell>
          <cell r="DR9">
            <v>105173120</v>
          </cell>
          <cell r="DS9">
            <v>89.514162173756944</v>
          </cell>
          <cell r="DT9">
            <v>1.52518</v>
          </cell>
          <cell r="DU9">
            <v>2.4625499999999998</v>
          </cell>
          <cell r="DV9">
            <v>1.1419900000000001</v>
          </cell>
          <cell r="DW9">
            <v>0.84206000000000003</v>
          </cell>
          <cell r="DX9">
            <v>5.9717799999999999</v>
          </cell>
          <cell r="DY9">
            <v>16.737053273898237</v>
          </cell>
          <cell r="DZ9">
            <v>3.5760863416611066</v>
          </cell>
          <cell r="EA9">
            <v>181106460</v>
          </cell>
          <cell r="EB9">
            <v>51.983146929159787</v>
          </cell>
          <cell r="EC9">
            <v>17.080334506629502</v>
          </cell>
          <cell r="ED9">
            <v>0.684084776089804</v>
          </cell>
          <cell r="EE9">
            <v>0.71058758813425604</v>
          </cell>
          <cell r="EG9">
            <v>0.63974954376843063</v>
          </cell>
          <cell r="EH9">
            <v>0.25653513006749162</v>
          </cell>
          <cell r="EK9">
            <v>5.5203817014705896</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15.450000000000001</v>
          </cell>
          <cell r="L10">
            <v>0</v>
          </cell>
          <cell r="M10">
            <v>0.13333</v>
          </cell>
          <cell r="N10">
            <v>0</v>
          </cell>
          <cell r="O10">
            <v>0</v>
          </cell>
          <cell r="P10">
            <v>0.13333</v>
          </cell>
          <cell r="Q10">
            <v>8.6297734627831715E-3</v>
          </cell>
          <cell r="S10">
            <v>8.5195824515999998</v>
          </cell>
          <cell r="T10">
            <v>19.680100273499999</v>
          </cell>
          <cell r="U10">
            <v>43190</v>
          </cell>
          <cell r="V10">
            <v>73506527000</v>
          </cell>
          <cell r="W10">
            <v>67460522000</v>
          </cell>
          <cell r="X10">
            <v>55449522000</v>
          </cell>
          <cell r="Y10">
            <v>55261858000</v>
          </cell>
          <cell r="Z10">
            <v>8433418000</v>
          </cell>
          <cell r="AA10">
            <v>8.7161014668074088</v>
          </cell>
          <cell r="AC10" t="str">
            <v>NULL</v>
          </cell>
          <cell r="AD10" t="str">
            <v>NULL</v>
          </cell>
          <cell r="AE10" t="str">
            <v>NULL</v>
          </cell>
          <cell r="AF10" t="str">
            <v>NULL</v>
          </cell>
          <cell r="AG10">
            <v>0</v>
          </cell>
          <cell r="AH10" t="str">
            <v>NULL</v>
          </cell>
          <cell r="AI10" t="str">
            <v>NULL</v>
          </cell>
          <cell r="AJ10">
            <v>3406591000</v>
          </cell>
          <cell r="AK10">
            <v>3405343000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531379000</v>
          </cell>
          <cell r="BG10">
            <v>482241000</v>
          </cell>
          <cell r="BH10">
            <v>486225000</v>
          </cell>
          <cell r="BI10">
            <v>372277000</v>
          </cell>
          <cell r="BJ10" t="e">
            <v>#DIV/0!</v>
          </cell>
          <cell r="BK10">
            <v>-1494152000</v>
          </cell>
          <cell r="BL10">
            <v>-1168079000</v>
          </cell>
          <cell r="BM10">
            <v>-1084775000</v>
          </cell>
          <cell r="BN10">
            <v>-1018386000</v>
          </cell>
          <cell r="BO10">
            <v>-59982000</v>
          </cell>
          <cell r="BP10">
            <v>-2518945000</v>
          </cell>
          <cell r="BQ10">
            <v>2832659000</v>
          </cell>
          <cell r="BR10">
            <v>-16296063000</v>
          </cell>
          <cell r="BS10">
            <v>-9004617000</v>
          </cell>
          <cell r="BT10">
            <v>-7274004000</v>
          </cell>
          <cell r="BU10">
            <v>-5080555000</v>
          </cell>
          <cell r="BV10">
            <v>-1091403000</v>
          </cell>
          <cell r="BW10" t="e">
            <v>#DIV/0!</v>
          </cell>
          <cell r="BX10">
            <v>2.9754190813071232E-2</v>
          </cell>
          <cell r="BY10">
            <v>8433418000</v>
          </cell>
          <cell r="BZ10">
            <v>7914355000</v>
          </cell>
          <cell r="CA10">
            <v>7167430000</v>
          </cell>
          <cell r="CB10">
            <v>6681205000</v>
          </cell>
          <cell r="CC10" t="str">
            <v>NULL</v>
          </cell>
          <cell r="CD10" t="str">
            <v>NULL</v>
          </cell>
          <cell r="CE10" t="str">
            <v>NULL</v>
          </cell>
          <cell r="CF10" t="str">
            <v>NULL</v>
          </cell>
          <cell r="CG10" t="str">
            <v>NULL</v>
          </cell>
          <cell r="CH10" t="str">
            <v>NULL</v>
          </cell>
          <cell r="CI10" t="str">
            <v>NULL</v>
          </cell>
          <cell r="CJ10" t="str">
            <v>NULL</v>
          </cell>
          <cell r="CK10">
            <v>8433418000</v>
          </cell>
          <cell r="CL10">
            <v>7914355000</v>
          </cell>
          <cell r="CM10">
            <v>7167430000</v>
          </cell>
          <cell r="CN10">
            <v>6681205000</v>
          </cell>
          <cell r="CO10">
            <v>0.24799267515527013</v>
          </cell>
          <cell r="CP10">
            <v>531379000</v>
          </cell>
          <cell r="CQ10">
            <v>221626000</v>
          </cell>
          <cell r="CR10">
            <v>1593439000</v>
          </cell>
          <cell r="CS10">
            <v>615328000</v>
          </cell>
          <cell r="CT10">
            <v>1085814000</v>
          </cell>
          <cell r="CU10">
            <v>549972000</v>
          </cell>
          <cell r="CV10">
            <v>420950000</v>
          </cell>
          <cell r="CW10">
            <v>343607000</v>
          </cell>
          <cell r="CX10">
            <v>1.3976383637298873</v>
          </cell>
          <cell r="CY10">
            <v>0.532435048414029</v>
          </cell>
          <cell r="CZ10">
            <v>1.5895766160486766</v>
          </cell>
          <cell r="DA10">
            <v>-0.43330257300053232</v>
          </cell>
          <cell r="DB10">
            <v>0.97430778294167708</v>
          </cell>
          <cell r="DC10">
            <v>0.30650195985271411</v>
          </cell>
          <cell r="DD10">
            <v>0.22509145622760895</v>
          </cell>
          <cell r="DE10">
            <v>0.77313562929157897</v>
          </cell>
          <cell r="DG10">
            <v>1.8082902833052901</v>
          </cell>
          <cell r="DH10">
            <v>1500033565</v>
          </cell>
          <cell r="DI10">
            <v>16.100000000000001</v>
          </cell>
          <cell r="DJ10">
            <v>24150000000</v>
          </cell>
          <cell r="DK10">
            <v>6767334706.5000095</v>
          </cell>
          <cell r="DM10">
            <v>8433418000</v>
          </cell>
          <cell r="DN10" t="str">
            <v>NULL</v>
          </cell>
          <cell r="DO10" t="str">
            <v>NULL</v>
          </cell>
          <cell r="DP10">
            <v>133951000</v>
          </cell>
          <cell r="DQ10" t="str">
            <v>NULL</v>
          </cell>
          <cell r="DR10">
            <v>8299467000</v>
          </cell>
          <cell r="DS10">
            <v>2.9098254140898447</v>
          </cell>
          <cell r="DT10">
            <v>0.36309000000000002</v>
          </cell>
          <cell r="DU10">
            <v>0.32954</v>
          </cell>
          <cell r="DV10">
            <v>0.33227000000000001</v>
          </cell>
          <cell r="DW10">
            <v>0.25440000000000002</v>
          </cell>
          <cell r="DX10">
            <v>1.2793000000000001</v>
          </cell>
          <cell r="DY10">
            <v>12.076917064019385</v>
          </cell>
          <cell r="DZ10" t="e">
            <v>#DIV/0!</v>
          </cell>
          <cell r="EA10">
            <v>-3610348000</v>
          </cell>
          <cell r="EB10">
            <v>-6.6891058701266468</v>
          </cell>
          <cell r="EC10">
            <v>12.5850074259361</v>
          </cell>
          <cell r="ED10">
            <v>1.13057350436141</v>
          </cell>
          <cell r="EE10">
            <v>1.19061000415874</v>
          </cell>
          <cell r="EG10">
            <v>0.5395205459956367</v>
          </cell>
          <cell r="EH10">
            <v>8.3308926586410204E-2</v>
          </cell>
          <cell r="EK10">
            <v>0.82815734968944099</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191.4</v>
          </cell>
          <cell r="L11">
            <v>0</v>
          </cell>
          <cell r="M11">
            <v>0</v>
          </cell>
          <cell r="N11">
            <v>0</v>
          </cell>
          <cell r="O11">
            <v>1.2</v>
          </cell>
          <cell r="P11">
            <v>1.2</v>
          </cell>
          <cell r="Q11">
            <v>6.269592476489028E-3</v>
          </cell>
          <cell r="S11">
            <v>27.287297930899999</v>
          </cell>
          <cell r="T11">
            <v>33.658877547000003</v>
          </cell>
          <cell r="U11">
            <v>43190</v>
          </cell>
          <cell r="V11">
            <v>231666213000</v>
          </cell>
          <cell r="W11">
            <v>224242704000</v>
          </cell>
          <cell r="X11">
            <v>206345112000</v>
          </cell>
          <cell r="Y11">
            <v>187767925000</v>
          </cell>
          <cell r="Z11">
            <v>50085714000</v>
          </cell>
          <cell r="AA11">
            <v>4.6253950377946094</v>
          </cell>
          <cell r="AC11" t="str">
            <v>NULL</v>
          </cell>
          <cell r="AD11" t="str">
            <v>NULL</v>
          </cell>
          <cell r="AE11" t="str">
            <v>NULL</v>
          </cell>
          <cell r="AF11" t="str">
            <v>NULL</v>
          </cell>
          <cell r="AG11">
            <v>0</v>
          </cell>
          <cell r="AH11">
            <v>9093898000</v>
          </cell>
          <cell r="AI11">
            <v>15539374000</v>
          </cell>
          <cell r="AJ11">
            <v>9550521000</v>
          </cell>
          <cell r="AK11">
            <v>9586978000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3550975000</v>
          </cell>
          <cell r="BG11">
            <v>3011650000</v>
          </cell>
          <cell r="BH11">
            <v>2597810000</v>
          </cell>
          <cell r="BI11">
            <v>2015267000</v>
          </cell>
          <cell r="BJ11" t="e">
            <v>#DIV/0!</v>
          </cell>
          <cell r="BK11">
            <v>-200713000</v>
          </cell>
          <cell r="BL11">
            <v>-343757000</v>
          </cell>
          <cell r="BM11">
            <v>-215628000</v>
          </cell>
          <cell r="BN11">
            <v>-129108000</v>
          </cell>
          <cell r="BO11">
            <v>-308640000</v>
          </cell>
          <cell r="BP11">
            <v>-107701000</v>
          </cell>
          <cell r="BQ11">
            <v>1856231000</v>
          </cell>
          <cell r="BR11">
            <v>-12124990000</v>
          </cell>
          <cell r="BS11">
            <v>-12344283000</v>
          </cell>
          <cell r="BT11">
            <v>4847884000</v>
          </cell>
          <cell r="BU11">
            <v>-19868648000</v>
          </cell>
          <cell r="BV11">
            <v>9380596000</v>
          </cell>
          <cell r="BW11" t="e">
            <v>#DIV/0!</v>
          </cell>
          <cell r="BX11">
            <v>5.2590180511972985E-2</v>
          </cell>
          <cell r="BY11">
            <v>50085714000</v>
          </cell>
          <cell r="BZ11">
            <v>43130547000</v>
          </cell>
          <cell r="CA11">
            <v>40118897000</v>
          </cell>
          <cell r="CB11">
            <v>35827540000</v>
          </cell>
          <cell r="CC11" t="str">
            <v>NULL</v>
          </cell>
          <cell r="CD11" t="str">
            <v>NULL</v>
          </cell>
          <cell r="CE11" t="str">
            <v>NULL</v>
          </cell>
          <cell r="CF11" t="str">
            <v>NULL</v>
          </cell>
          <cell r="CG11" t="str">
            <v>NULL</v>
          </cell>
          <cell r="CH11" t="str">
            <v>NULL</v>
          </cell>
          <cell r="CI11" t="str">
            <v>NULL</v>
          </cell>
          <cell r="CJ11" t="str">
            <v>NULL</v>
          </cell>
          <cell r="CK11">
            <v>50085714000</v>
          </cell>
          <cell r="CL11">
            <v>43130547000</v>
          </cell>
          <cell r="CM11">
            <v>40118897000</v>
          </cell>
          <cell r="CN11">
            <v>35827540000</v>
          </cell>
          <cell r="CO11">
            <v>0.26425925176483056</v>
          </cell>
          <cell r="CP11">
            <v>3550975000</v>
          </cell>
          <cell r="CQ11">
            <v>2013138000</v>
          </cell>
          <cell r="CR11">
            <v>9388772000</v>
          </cell>
          <cell r="CS11">
            <v>6540832000</v>
          </cell>
          <cell r="CT11">
            <v>5009889000</v>
          </cell>
          <cell r="CU11">
            <v>3479531000</v>
          </cell>
          <cell r="CV11">
            <v>2443564000</v>
          </cell>
          <cell r="CW11">
            <v>1493618000</v>
          </cell>
          <cell r="CX11">
            <v>0.7639004380226293</v>
          </cell>
          <cell r="CY11">
            <v>0.44815433500241814</v>
          </cell>
          <cell r="CZ11">
            <v>0.43540944026692618</v>
          </cell>
          <cell r="DA11">
            <v>0.30558421553850801</v>
          </cell>
          <cell r="DB11">
            <v>0.43981732020780973</v>
          </cell>
          <cell r="DC11">
            <v>0.42395738355942392</v>
          </cell>
          <cell r="DD11">
            <v>0.6360033154394229</v>
          </cell>
          <cell r="DE11">
            <v>0.11877595403933269</v>
          </cell>
          <cell r="DG11">
            <v>5.7226713717400397</v>
          </cell>
          <cell r="DH11">
            <v>669663021</v>
          </cell>
          <cell r="DI11">
            <v>201.4</v>
          </cell>
          <cell r="DJ11">
            <v>134870132429.39999</v>
          </cell>
          <cell r="DK11">
            <v>121267738429.39999</v>
          </cell>
          <cell r="DM11">
            <v>50085714000</v>
          </cell>
          <cell r="DN11" t="str">
            <v>NULL</v>
          </cell>
          <cell r="DO11" t="str">
            <v>NULL</v>
          </cell>
          <cell r="DP11">
            <v>947279000</v>
          </cell>
          <cell r="DQ11" t="str">
            <v>NULL</v>
          </cell>
          <cell r="DR11">
            <v>49138435000</v>
          </cell>
          <cell r="DS11">
            <v>2.7446973520707365</v>
          </cell>
          <cell r="DT11">
            <v>5.3026299999999997</v>
          </cell>
          <cell r="DU11">
            <v>4.4972599999999998</v>
          </cell>
          <cell r="DV11">
            <v>3.7547999999999999</v>
          </cell>
          <cell r="DW11">
            <v>2.7509800000000002</v>
          </cell>
          <cell r="DX11">
            <v>16.305669999999999</v>
          </cell>
          <cell r="DY11">
            <v>11.738248106333565</v>
          </cell>
          <cell r="DZ11" t="e">
            <v>#DIV/0!</v>
          </cell>
          <cell r="EA11">
            <v>9272895000</v>
          </cell>
          <cell r="EB11">
            <v>14.544555117835367</v>
          </cell>
          <cell r="EC11">
            <v>12.3515317064555</v>
          </cell>
          <cell r="ED11">
            <v>1.03332334995645</v>
          </cell>
          <cell r="EE11">
            <v>1.0509965702417099</v>
          </cell>
          <cell r="EG11">
            <v>0.47457275552732103</v>
          </cell>
          <cell r="EH11">
            <v>0.16351309135796543</v>
          </cell>
          <cell r="EK11">
            <v>2.5422045680238301</v>
          </cell>
        </row>
        <row r="12">
          <cell r="A12" t="str">
            <v>BOLT</v>
          </cell>
          <cell r="B12" t="str">
            <v>BOL.BA</v>
          </cell>
          <cell r="C12" t="str">
            <v>BOLDT SA</v>
          </cell>
          <cell r="D12">
            <v>43220</v>
          </cell>
          <cell r="E12">
            <v>1320713430</v>
          </cell>
          <cell r="F12">
            <v>347209190</v>
          </cell>
          <cell r="G12">
            <v>3.8037999999999998</v>
          </cell>
          <cell r="H12">
            <v>3.72194</v>
          </cell>
          <cell r="I12">
            <v>3.7784499999999999</v>
          </cell>
          <cell r="J12">
            <v>3.6538599999999999</v>
          </cell>
          <cell r="K12">
            <v>5.3</v>
          </cell>
          <cell r="L12">
            <v>4.0320000000000002E-2</v>
          </cell>
          <cell r="M12">
            <v>0</v>
          </cell>
          <cell r="N12">
            <v>0</v>
          </cell>
          <cell r="O12">
            <v>0</v>
          </cell>
          <cell r="P12">
            <v>4.0320000000000002E-2</v>
          </cell>
          <cell r="Q12">
            <v>7.6075471698113213E-3</v>
          </cell>
          <cell r="S12">
            <v>1.0629219400000001</v>
          </cell>
          <cell r="T12">
            <v>1.2396180859999999</v>
          </cell>
          <cell r="U12">
            <v>43220</v>
          </cell>
          <cell r="V12">
            <v>2544216730</v>
          </cell>
          <cell r="W12">
            <v>2511676990</v>
          </cell>
          <cell r="X12">
            <v>2252426940</v>
          </cell>
          <cell r="Y12">
            <v>2142125210</v>
          </cell>
          <cell r="Z12">
            <v>2089054630</v>
          </cell>
          <cell r="AA12">
            <v>1.2178794625394742</v>
          </cell>
          <cell r="AC12">
            <v>514420270</v>
          </cell>
          <cell r="AD12">
            <v>532189760</v>
          </cell>
          <cell r="AE12">
            <v>450041290</v>
          </cell>
          <cell r="AF12">
            <v>447642440</v>
          </cell>
          <cell r="AG12">
            <v>1.0286736175682945</v>
          </cell>
          <cell r="AH12">
            <v>105283210</v>
          </cell>
          <cell r="AI12">
            <v>104974810</v>
          </cell>
          <cell r="AJ12">
            <v>121882770</v>
          </cell>
          <cell r="AK12">
            <v>115121550</v>
          </cell>
          <cell r="AL12">
            <v>241089300</v>
          </cell>
          <cell r="AM12">
            <v>275638100</v>
          </cell>
          <cell r="AN12">
            <v>225827540</v>
          </cell>
          <cell r="AO12">
            <v>234746440</v>
          </cell>
          <cell r="AP12">
            <v>41.760596434438682</v>
          </cell>
          <cell r="AQ12">
            <v>623437910</v>
          </cell>
          <cell r="AR12">
            <v>475059050</v>
          </cell>
          <cell r="AS12">
            <v>413856940</v>
          </cell>
          <cell r="AT12">
            <v>436617100</v>
          </cell>
          <cell r="AU12">
            <v>91.469513202572841</v>
          </cell>
          <cell r="AV12">
            <v>28421080</v>
          </cell>
          <cell r="AW12">
            <v>43072110</v>
          </cell>
          <cell r="AX12">
            <v>78853210</v>
          </cell>
          <cell r="AY12">
            <v>96208510</v>
          </cell>
          <cell r="AZ12">
            <v>23.020673047141305</v>
          </cell>
          <cell r="BA12">
            <v>72.72958981527546</v>
          </cell>
          <cell r="BC12">
            <v>49.990870000000001</v>
          </cell>
          <cell r="BD12">
            <v>29.526309999999999</v>
          </cell>
          <cell r="BE12">
            <v>29.563960000000002</v>
          </cell>
          <cell r="BF12">
            <v>144364270</v>
          </cell>
          <cell r="BG12">
            <v>204081960</v>
          </cell>
          <cell r="BH12">
            <v>66530970</v>
          </cell>
          <cell r="BI12">
            <v>99971300</v>
          </cell>
          <cell r="BJ12">
            <v>0.26485118174735078</v>
          </cell>
          <cell r="BK12">
            <v>-32579080</v>
          </cell>
          <cell r="BL12">
            <v>-14400270</v>
          </cell>
          <cell r="BM12">
            <v>-62901550</v>
          </cell>
          <cell r="BN12">
            <v>-58696760</v>
          </cell>
          <cell r="BO12">
            <v>-43418040</v>
          </cell>
          <cell r="BP12">
            <v>-52062590</v>
          </cell>
          <cell r="BQ12">
            <v>123178220</v>
          </cell>
          <cell r="BR12">
            <v>180566330</v>
          </cell>
          <cell r="BS12">
            <v>422623620</v>
          </cell>
          <cell r="BT12">
            <v>245861520</v>
          </cell>
          <cell r="BU12">
            <v>183980270</v>
          </cell>
          <cell r="BV12">
            <v>361821570</v>
          </cell>
          <cell r="BW12">
            <v>0.15931696453112107</v>
          </cell>
          <cell r="BX12">
            <v>0.2179573353823146</v>
          </cell>
          <cell r="BY12">
            <v>2089054630</v>
          </cell>
          <cell r="BZ12">
            <v>1983858600</v>
          </cell>
          <cell r="CA12">
            <v>1689660780</v>
          </cell>
          <cell r="CB12">
            <v>1621345050</v>
          </cell>
          <cell r="CC12" t="str">
            <v>NULL</v>
          </cell>
          <cell r="CD12" t="str">
            <v>NULL</v>
          </cell>
          <cell r="CE12" t="str">
            <v>NULL</v>
          </cell>
          <cell r="CF12" t="str">
            <v>NULL</v>
          </cell>
          <cell r="CG12" t="str">
            <v>NULL</v>
          </cell>
          <cell r="CH12" t="str">
            <v>NULL</v>
          </cell>
          <cell r="CI12" t="str">
            <v>NULL</v>
          </cell>
          <cell r="CJ12" t="str">
            <v>NULL</v>
          </cell>
          <cell r="CK12">
            <v>2089054630</v>
          </cell>
          <cell r="CL12">
            <v>1983858600</v>
          </cell>
          <cell r="CM12">
            <v>1689660780</v>
          </cell>
          <cell r="CN12">
            <v>1621345050</v>
          </cell>
          <cell r="CO12">
            <v>0.27895674143535371</v>
          </cell>
          <cell r="CP12">
            <v>144364270</v>
          </cell>
          <cell r="CQ12">
            <v>81080590</v>
          </cell>
          <cell r="CR12">
            <v>486386500</v>
          </cell>
          <cell r="CS12">
            <v>186127590</v>
          </cell>
          <cell r="CT12">
            <v>256336470</v>
          </cell>
          <cell r="CU12">
            <v>99671010</v>
          </cell>
          <cell r="CV12">
            <v>87608830</v>
          </cell>
          <cell r="CW12">
            <v>115303920</v>
          </cell>
          <cell r="CX12">
            <v>0.78050344724921228</v>
          </cell>
          <cell r="CY12">
            <v>0.56172221322744265</v>
          </cell>
          <cell r="CZ12">
            <v>1.6131886196989926</v>
          </cell>
          <cell r="DA12">
            <v>-0.27389344949628125</v>
          </cell>
          <cell r="DB12">
            <v>1.57182574953339</v>
          </cell>
          <cell r="DC12">
            <v>0.13768224047735833</v>
          </cell>
          <cell r="DD12">
            <v>-0.24019209407624653</v>
          </cell>
          <cell r="DE12">
            <v>0.95485872626968105</v>
          </cell>
          <cell r="DG12">
            <v>8.8027815159640195</v>
          </cell>
          <cell r="DH12">
            <v>1250000000</v>
          </cell>
          <cell r="DI12">
            <v>5.54</v>
          </cell>
          <cell r="DJ12">
            <v>6925000000</v>
          </cell>
          <cell r="DK12">
            <v>6475512350.0000095</v>
          </cell>
          <cell r="DM12">
            <v>2089054630</v>
          </cell>
          <cell r="DN12" t="str">
            <v>NULL</v>
          </cell>
          <cell r="DO12" t="str">
            <v>NULL</v>
          </cell>
          <cell r="DP12">
            <v>5669610</v>
          </cell>
          <cell r="DQ12" t="str">
            <v>NULL</v>
          </cell>
          <cell r="DR12">
            <v>2083385020</v>
          </cell>
          <cell r="DS12">
            <v>3.3239175349355254</v>
          </cell>
          <cell r="DT12">
            <v>0.11549</v>
          </cell>
          <cell r="DU12">
            <v>0.16327</v>
          </cell>
          <cell r="DV12">
            <v>5.3220000000000003E-2</v>
          </cell>
          <cell r="DW12">
            <v>7.9979999999999996E-2</v>
          </cell>
          <cell r="DX12">
            <v>0.41195999999999999</v>
          </cell>
          <cell r="DY12">
            <v>12.865326730750558</v>
          </cell>
          <cell r="DZ12">
            <v>3.5617045852165878</v>
          </cell>
          <cell r="EA12">
            <v>309758980</v>
          </cell>
          <cell r="EB12">
            <v>22.356091177727922</v>
          </cell>
          <cell r="EC12">
            <v>13.447907563841101</v>
          </cell>
          <cell r="ED12">
            <v>0.95538294236327204</v>
          </cell>
          <cell r="EE12">
            <v>1.0240007552464701</v>
          </cell>
          <cell r="EG12">
            <v>0.44871486236172081</v>
          </cell>
          <cell r="EH12">
            <v>0.13597456750256587</v>
          </cell>
          <cell r="EK12">
            <v>0.72779783393501796</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49</v>
          </cell>
          <cell r="L13">
            <v>0</v>
          </cell>
          <cell r="M13">
            <v>0</v>
          </cell>
          <cell r="N13">
            <v>2.2728299999999999</v>
          </cell>
          <cell r="O13">
            <v>0</v>
          </cell>
          <cell r="P13">
            <v>2.2728299999999999</v>
          </cell>
          <cell r="Q13">
            <v>4.6384285714285711E-2</v>
          </cell>
          <cell r="S13">
            <v>53.839289414500001</v>
          </cell>
          <cell r="T13">
            <v>50.918341777599998</v>
          </cell>
          <cell r="U13">
            <v>43190</v>
          </cell>
          <cell r="V13">
            <v>93841132000</v>
          </cell>
          <cell r="W13">
            <v>96828429000</v>
          </cell>
          <cell r="X13">
            <v>84469477000</v>
          </cell>
          <cell r="Y13">
            <v>92659536000</v>
          </cell>
          <cell r="Z13">
            <v>13174938000</v>
          </cell>
          <cell r="AA13">
            <v>7.1227000840535268</v>
          </cell>
          <cell r="AC13" t="str">
            <v>NULL</v>
          </cell>
          <cell r="AD13" t="str">
            <v>NULL</v>
          </cell>
          <cell r="AE13" t="str">
            <v>NULL</v>
          </cell>
          <cell r="AF13" t="str">
            <v>NULL</v>
          </cell>
          <cell r="AG13">
            <v>0</v>
          </cell>
          <cell r="AH13">
            <v>555602000</v>
          </cell>
          <cell r="AI13">
            <v>478954000</v>
          </cell>
          <cell r="AJ13">
            <v>3415270000</v>
          </cell>
          <cell r="AK13">
            <v>14203995000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822155000</v>
          </cell>
          <cell r="BG13">
            <v>1031679000</v>
          </cell>
          <cell r="BH13">
            <v>940799000</v>
          </cell>
          <cell r="BI13">
            <v>823444000</v>
          </cell>
          <cell r="BJ13" t="e">
            <v>#DIV/0!</v>
          </cell>
          <cell r="BK13">
            <v>-225851000</v>
          </cell>
          <cell r="BL13">
            <v>-10717000</v>
          </cell>
          <cell r="BM13">
            <v>-41862000</v>
          </cell>
          <cell r="BN13">
            <v>-31404000</v>
          </cell>
          <cell r="BO13">
            <v>-29026000</v>
          </cell>
          <cell r="BP13">
            <v>-238687000</v>
          </cell>
          <cell r="BQ13">
            <v>-2069471000</v>
          </cell>
          <cell r="BR13">
            <v>6704016000</v>
          </cell>
          <cell r="BS13">
            <v>2332222000</v>
          </cell>
          <cell r="BT13">
            <v>-42425000</v>
          </cell>
          <cell r="BU13">
            <v>994158000</v>
          </cell>
          <cell r="BV13">
            <v>-731407000</v>
          </cell>
          <cell r="BW13" t="e">
            <v>#DIV/0!</v>
          </cell>
          <cell r="BX13">
            <v>3.9348461421712853E-2</v>
          </cell>
          <cell r="BY13">
            <v>13174938000</v>
          </cell>
          <cell r="BZ13">
            <v>12778358000</v>
          </cell>
          <cell r="CA13">
            <v>10124287000</v>
          </cell>
          <cell r="CB13">
            <v>9183488000</v>
          </cell>
          <cell r="CC13" t="str">
            <v>NULL</v>
          </cell>
          <cell r="CD13" t="str">
            <v>NULL</v>
          </cell>
          <cell r="CE13" t="str">
            <v>NULL</v>
          </cell>
          <cell r="CF13" t="str">
            <v>NULL</v>
          </cell>
          <cell r="CG13" t="str">
            <v>NULL</v>
          </cell>
          <cell r="CH13" t="str">
            <v>NULL</v>
          </cell>
          <cell r="CI13" t="str">
            <v>NULL</v>
          </cell>
          <cell r="CJ13" t="str">
            <v>NULL</v>
          </cell>
          <cell r="CK13">
            <v>13174938000</v>
          </cell>
          <cell r="CL13">
            <v>12778358000</v>
          </cell>
          <cell r="CM13">
            <v>10124287000</v>
          </cell>
          <cell r="CN13">
            <v>9183488000</v>
          </cell>
          <cell r="CO13">
            <v>0.31975177962536505</v>
          </cell>
          <cell r="CP13">
            <v>822155000</v>
          </cell>
          <cell r="CQ13">
            <v>752249000</v>
          </cell>
          <cell r="CR13">
            <v>3555211000</v>
          </cell>
          <cell r="CS13">
            <v>3268992000</v>
          </cell>
          <cell r="CT13">
            <v>2405533000</v>
          </cell>
          <cell r="CU13">
            <v>2175977000</v>
          </cell>
          <cell r="CV13">
            <v>1229685000</v>
          </cell>
          <cell r="CW13">
            <v>884644000</v>
          </cell>
          <cell r="CX13">
            <v>9.292933589808694E-2</v>
          </cell>
          <cell r="CY13">
            <v>0.34231445897457558</v>
          </cell>
          <cell r="CZ13">
            <v>8.7555735835389115E-2</v>
          </cell>
          <cell r="DA13">
            <v>0.35894706079692118</v>
          </cell>
          <cell r="DB13">
            <v>0.10549560036709948</v>
          </cell>
          <cell r="DC13">
            <v>0.76954016679068227</v>
          </cell>
          <cell r="DD13">
            <v>0.39003373108278594</v>
          </cell>
          <cell r="DE13">
            <v>0.27661379060006563</v>
          </cell>
          <cell r="DG13">
            <v>3.95966954067414</v>
          </cell>
          <cell r="DH13">
            <v>719145237</v>
          </cell>
          <cell r="DI13">
            <v>51</v>
          </cell>
          <cell r="DJ13">
            <v>36676407087</v>
          </cell>
          <cell r="DK13">
            <v>30018001369</v>
          </cell>
          <cell r="DM13">
            <v>13174938000</v>
          </cell>
          <cell r="DN13" t="str">
            <v>NULL</v>
          </cell>
          <cell r="DO13" t="str">
            <v>NULL</v>
          </cell>
          <cell r="DP13">
            <v>43662000</v>
          </cell>
          <cell r="DQ13" t="str">
            <v>NULL</v>
          </cell>
          <cell r="DR13">
            <v>13131276000</v>
          </cell>
          <cell r="DS13">
            <v>2.7930573606860447</v>
          </cell>
          <cell r="DT13">
            <v>1.14324</v>
          </cell>
          <cell r="DU13">
            <v>1.43459</v>
          </cell>
          <cell r="DV13">
            <v>1.3082199999999999</v>
          </cell>
          <cell r="DW13">
            <v>1.14503</v>
          </cell>
          <cell r="DX13">
            <v>5.0310800000000002</v>
          </cell>
          <cell r="DY13">
            <v>9.7394595196260045</v>
          </cell>
          <cell r="DZ13" t="e">
            <v>#DIV/0!</v>
          </cell>
          <cell r="EA13">
            <v>-970094000</v>
          </cell>
          <cell r="EB13">
            <v>-37.807065178219844</v>
          </cell>
          <cell r="EC13">
            <v>10.1369884796107</v>
          </cell>
          <cell r="ED13">
            <v>0.93488903070607499</v>
          </cell>
          <cell r="EE13">
            <v>0.88241195809808703</v>
          </cell>
          <cell r="EG13">
            <v>0.44588919957244738</v>
          </cell>
          <cell r="EH13">
            <v>0.1759946839310409</v>
          </cell>
          <cell r="EK13">
            <v>4.84672790588235</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46</v>
          </cell>
          <cell r="L14">
            <v>0.78786</v>
          </cell>
          <cell r="M14">
            <v>0</v>
          </cell>
          <cell r="N14">
            <v>0</v>
          </cell>
          <cell r="O14">
            <v>0</v>
          </cell>
          <cell r="P14">
            <v>0.78786</v>
          </cell>
          <cell r="Q14">
            <v>1.7127391304347827E-2</v>
          </cell>
          <cell r="S14">
            <v>10.555993513600001</v>
          </cell>
          <cell r="T14">
            <v>10.6354825806</v>
          </cell>
          <cell r="U14">
            <v>43190</v>
          </cell>
          <cell r="V14">
            <v>328779446000</v>
          </cell>
          <cell r="W14">
            <v>300605026000</v>
          </cell>
          <cell r="X14">
            <v>289077543000</v>
          </cell>
          <cell r="Y14">
            <v>275841116000</v>
          </cell>
          <cell r="Z14">
            <v>30407531000</v>
          </cell>
          <cell r="AA14">
            <v>10.812434787947762</v>
          </cell>
          <cell r="AC14" t="str">
            <v>NULL</v>
          </cell>
          <cell r="AD14" t="str">
            <v>NULL</v>
          </cell>
          <cell r="AE14" t="str">
            <v>NULL</v>
          </cell>
          <cell r="AF14" t="str">
            <v>NULL</v>
          </cell>
          <cell r="AG14">
            <v>0</v>
          </cell>
          <cell r="AH14" t="str">
            <v>NULL</v>
          </cell>
          <cell r="AI14" t="str">
            <v>NULL</v>
          </cell>
          <cell r="AJ14">
            <v>4672768000</v>
          </cell>
          <cell r="AK14">
            <v>4203084000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1571850000</v>
          </cell>
          <cell r="BG14">
            <v>1579468000</v>
          </cell>
          <cell r="BH14">
            <v>1245926000</v>
          </cell>
          <cell r="BI14">
            <v>1248885000</v>
          </cell>
          <cell r="BJ14" t="e">
            <v>#DIV/0!</v>
          </cell>
          <cell r="BK14">
            <v>-1035616000</v>
          </cell>
          <cell r="BL14">
            <v>-2831236000</v>
          </cell>
          <cell r="BM14">
            <v>-1541767000</v>
          </cell>
          <cell r="BN14">
            <v>-1189328000</v>
          </cell>
          <cell r="BO14" t="str">
            <v>NULL</v>
          </cell>
          <cell r="BP14" t="e">
            <v>#VALUE!</v>
          </cell>
          <cell r="BQ14">
            <v>11555546000</v>
          </cell>
          <cell r="BR14">
            <v>14787292000</v>
          </cell>
          <cell r="BS14">
            <v>-7248009000</v>
          </cell>
          <cell r="BT14">
            <v>-10354189000</v>
          </cell>
          <cell r="BU14">
            <v>1565855000</v>
          </cell>
          <cell r="BV14">
            <v>2741682000</v>
          </cell>
          <cell r="BW14" t="e">
            <v>#VALUE!</v>
          </cell>
          <cell r="BX14">
            <v>1.8910204129741998E-2</v>
          </cell>
          <cell r="BY14">
            <v>30407531000</v>
          </cell>
          <cell r="BZ14">
            <v>28688308000</v>
          </cell>
          <cell r="CA14">
            <v>23813266000</v>
          </cell>
          <cell r="CB14">
            <v>24127393000</v>
          </cell>
          <cell r="CC14" t="str">
            <v>NULL</v>
          </cell>
          <cell r="CD14" t="str">
            <v>NULL</v>
          </cell>
          <cell r="CE14" t="str">
            <v>NULL</v>
          </cell>
          <cell r="CF14" t="str">
            <v>NULL</v>
          </cell>
          <cell r="CG14" t="str">
            <v>NULL</v>
          </cell>
          <cell r="CH14" t="str">
            <v>NULL</v>
          </cell>
          <cell r="CI14" t="str">
            <v>NULL</v>
          </cell>
          <cell r="CJ14" t="str">
            <v>NULL</v>
          </cell>
          <cell r="CK14">
            <v>30407531000</v>
          </cell>
          <cell r="CL14">
            <v>28688308000</v>
          </cell>
          <cell r="CM14">
            <v>23813266000</v>
          </cell>
          <cell r="CN14">
            <v>24127393000</v>
          </cell>
          <cell r="CO14">
            <v>0.21099827088887008</v>
          </cell>
          <cell r="CP14">
            <v>1571850000</v>
          </cell>
          <cell r="CQ14">
            <v>1530663000</v>
          </cell>
          <cell r="CR14">
            <v>5601408000</v>
          </cell>
          <cell r="CS14">
            <v>5186580000</v>
          </cell>
          <cell r="CT14">
            <v>4208538000</v>
          </cell>
          <cell r="CU14">
            <v>3233041000</v>
          </cell>
          <cell r="CV14">
            <v>2289753000</v>
          </cell>
          <cell r="CW14">
            <v>1954377000</v>
          </cell>
          <cell r="CX14">
            <v>2.6907947732453197E-2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0.25361843691757702</v>
          </cell>
          <cell r="DH14">
            <v>2157806584</v>
          </cell>
          <cell r="DI14">
            <v>46</v>
          </cell>
          <cell r="DJ14">
            <v>98627779329</v>
          </cell>
          <cell r="DK14">
            <v>3078586961.0001702</v>
          </cell>
          <cell r="DM14">
            <v>30407531000</v>
          </cell>
          <cell r="DN14" t="str">
            <v>NULL</v>
          </cell>
          <cell r="DO14" t="str">
            <v>NULL</v>
          </cell>
          <cell r="DP14">
            <v>3165887000</v>
          </cell>
          <cell r="DQ14" t="str">
            <v>NULL</v>
          </cell>
          <cell r="DR14">
            <v>27241644000</v>
          </cell>
          <cell r="DS14">
            <v>3.6204782401899092</v>
          </cell>
          <cell r="DT14">
            <v>0.72846999999999995</v>
          </cell>
          <cell r="DU14">
            <v>0.73199999999999998</v>
          </cell>
          <cell r="DV14">
            <v>0.57742000000000004</v>
          </cell>
          <cell r="DW14">
            <v>0.57879000000000003</v>
          </cell>
          <cell r="DX14">
            <v>2.6166800000000001</v>
          </cell>
          <cell r="DY14">
            <v>17.579528257180854</v>
          </cell>
          <cell r="DZ14" t="e">
            <v>#DIV/0!</v>
          </cell>
          <cell r="EA14" t="e">
            <v>#VALUE!</v>
          </cell>
          <cell r="EB14" t="e">
            <v>#VALUE!</v>
          </cell>
          <cell r="EC14">
            <v>17.5795282571809</v>
          </cell>
          <cell r="ED14">
            <v>0.64212993203357804</v>
          </cell>
          <cell r="EE14">
            <v>0.67671792095790895</v>
          </cell>
          <cell r="EG14">
            <v>0.4448107979407479</v>
          </cell>
          <cell r="EH14">
            <v>0.13770406900123011</v>
          </cell>
          <cell r="EK14">
            <v>1.5717391304347801</v>
          </cell>
        </row>
        <row r="15">
          <cell r="A15" t="str">
            <v>BYMA</v>
          </cell>
          <cell r="B15" t="str">
            <v>BYMA.BA</v>
          </cell>
          <cell r="C15" t="str">
            <v>BOLSAS Y MERCADOS ARGENTINOS SA</v>
          </cell>
          <cell r="D15">
            <v>43190</v>
          </cell>
          <cell r="E15">
            <v>16467718260</v>
          </cell>
          <cell r="F15">
            <v>13221361580</v>
          </cell>
          <cell r="G15">
            <v>1.2455400000000001</v>
          </cell>
          <cell r="H15">
            <v>1.2455400000000001</v>
          </cell>
          <cell r="I15">
            <v>1.24342</v>
          </cell>
          <cell r="J15">
            <v>1.24342</v>
          </cell>
          <cell r="K15">
            <v>358</v>
          </cell>
          <cell r="L15">
            <v>0</v>
          </cell>
          <cell r="M15">
            <v>1.63</v>
          </cell>
          <cell r="N15">
            <v>0</v>
          </cell>
          <cell r="O15">
            <v>0</v>
          </cell>
          <cell r="Q15">
            <v>0</v>
          </cell>
          <cell r="S15">
            <v>94.890164593999998</v>
          </cell>
          <cell r="T15">
            <v>84.236785538000007</v>
          </cell>
          <cell r="U15">
            <v>43190</v>
          </cell>
          <cell r="V15">
            <v>18446520390</v>
          </cell>
          <cell r="W15">
            <v>16699563210</v>
          </cell>
          <cell r="X15">
            <v>17698861280</v>
          </cell>
          <cell r="Y15">
            <v>18353478240</v>
          </cell>
          <cell r="Z15">
            <v>5159803380</v>
          </cell>
          <cell r="AA15">
            <v>3.5750432781025854</v>
          </cell>
          <cell r="AC15">
            <v>288073480</v>
          </cell>
          <cell r="AD15">
            <v>283326750</v>
          </cell>
          <cell r="AE15">
            <v>231145200</v>
          </cell>
          <cell r="AF15">
            <v>221156540</v>
          </cell>
          <cell r="AG15">
            <v>7.1890731855288464E-2</v>
          </cell>
          <cell r="AH15">
            <v>6869650</v>
          </cell>
          <cell r="AI15">
            <v>10232630</v>
          </cell>
          <cell r="AJ15">
            <v>7230700</v>
          </cell>
          <cell r="AK15">
            <v>5288970</v>
          </cell>
          <cell r="AL15">
            <v>3137280</v>
          </cell>
          <cell r="AM15">
            <v>2321330</v>
          </cell>
          <cell r="AN15">
            <v>5085810</v>
          </cell>
          <cell r="AO15" t="str">
            <v>NULL</v>
          </cell>
          <cell r="AQ15">
            <v>142773770</v>
          </cell>
          <cell r="AR15">
            <v>126928190</v>
          </cell>
          <cell r="AS15">
            <v>114893570</v>
          </cell>
          <cell r="AT15">
            <v>109974050</v>
          </cell>
          <cell r="AU15">
            <v>44.084582717956479</v>
          </cell>
          <cell r="AV15" t="str">
            <v>NULL</v>
          </cell>
          <cell r="AW15" t="str">
            <v>NULL</v>
          </cell>
          <cell r="AX15" t="str">
            <v>NULL</v>
          </cell>
          <cell r="AY15" t="str">
            <v>NULL</v>
          </cell>
          <cell r="AZ15" t="e">
            <v>#DIV/0!</v>
          </cell>
          <cell r="BA15" t="e">
            <v>#DIV/0!</v>
          </cell>
          <cell r="BC15">
            <v>99.055809999999994</v>
          </cell>
          <cell r="BD15">
            <v>158.72769</v>
          </cell>
          <cell r="BE15">
            <v>119.09437</v>
          </cell>
          <cell r="BF15">
            <v>475568310</v>
          </cell>
          <cell r="BG15">
            <v>416357630</v>
          </cell>
          <cell r="BH15">
            <v>302296170</v>
          </cell>
          <cell r="BI15">
            <v>262258700</v>
          </cell>
          <cell r="BJ15">
            <v>1.4227586276892679</v>
          </cell>
          <cell r="BK15">
            <v>-33539990</v>
          </cell>
          <cell r="BL15">
            <v>-1338637110</v>
          </cell>
          <cell r="BM15">
            <v>-72764580</v>
          </cell>
          <cell r="BN15">
            <v>-276441410</v>
          </cell>
          <cell r="BO15">
            <v>-1293552170</v>
          </cell>
          <cell r="BP15">
            <v>1187247600</v>
          </cell>
          <cell r="BQ15">
            <v>183528920</v>
          </cell>
          <cell r="BR15">
            <v>2509177960</v>
          </cell>
          <cell r="BS15">
            <v>2272878700</v>
          </cell>
          <cell r="BT15">
            <v>6714096490</v>
          </cell>
          <cell r="BU15">
            <v>4921004710</v>
          </cell>
          <cell r="BV15">
            <v>-2464597090</v>
          </cell>
          <cell r="BW15">
            <v>-1.2477747698385302</v>
          </cell>
          <cell r="BX15">
            <v>8.1826576835568543E-2</v>
          </cell>
          <cell r="BY15">
            <v>5159803380</v>
          </cell>
          <cell r="BZ15">
            <v>4684235070</v>
          </cell>
          <cell r="CA15">
            <v>4267877450</v>
          </cell>
          <cell r="CB15">
            <v>3965856000</v>
          </cell>
          <cell r="CC15" t="str">
            <v>NULL</v>
          </cell>
          <cell r="CD15" t="str">
            <v>NULL</v>
          </cell>
          <cell r="CE15" t="str">
            <v>NULL</v>
          </cell>
          <cell r="CF15" t="str">
            <v>NULL</v>
          </cell>
          <cell r="CG15" t="str">
            <v>NULL</v>
          </cell>
          <cell r="CH15" t="str">
            <v>NULL</v>
          </cell>
          <cell r="CI15" t="str">
            <v>NULL</v>
          </cell>
          <cell r="CJ15" t="str">
            <v>NULL</v>
          </cell>
          <cell r="CK15">
            <v>5159803380</v>
          </cell>
          <cell r="CL15">
            <v>4684235070</v>
          </cell>
          <cell r="CM15">
            <v>4267877450</v>
          </cell>
          <cell r="CN15">
            <v>3965856000</v>
          </cell>
          <cell r="CO15">
            <v>0.32226998284008662</v>
          </cell>
          <cell r="CP15">
            <v>475568310</v>
          </cell>
          <cell r="CQ15">
            <v>135989090</v>
          </cell>
          <cell r="CR15">
            <v>1116901580</v>
          </cell>
          <cell r="CS15" t="str">
            <v>NULL</v>
          </cell>
          <cell r="CT15" t="str">
            <v>NULL</v>
          </cell>
          <cell r="CU15" t="str">
            <v>NULL</v>
          </cell>
          <cell r="CV15" t="str">
            <v>NULL</v>
          </cell>
          <cell r="CW15" t="str">
            <v>NULL</v>
          </cell>
          <cell r="CX15">
            <v>2.4971063487519478</v>
          </cell>
          <cell r="CY15" t="str">
            <v>-</v>
          </cell>
          <cell r="CZ15" t="e">
            <v>#VALUE!</v>
          </cell>
          <cell r="DA15" t="e">
            <v>#VALUE!</v>
          </cell>
          <cell r="DB15" t="e">
            <v>#VALUE!</v>
          </cell>
          <cell r="DC15" t="e">
            <v>#VALUE!</v>
          </cell>
          <cell r="DD15" t="e">
            <v>#VALUE!</v>
          </cell>
          <cell r="DE15" t="str">
            <v>-</v>
          </cell>
          <cell r="DG15">
            <v>38.7790663580912</v>
          </cell>
          <cell r="DH15">
            <v>76250000</v>
          </cell>
          <cell r="DI15">
            <v>368</v>
          </cell>
          <cell r="DJ15">
            <v>28060000000</v>
          </cell>
          <cell r="DK15">
            <v>21583444510.000099</v>
          </cell>
          <cell r="DM15">
            <v>5159803380</v>
          </cell>
          <cell r="DN15" t="str">
            <v>NULL</v>
          </cell>
          <cell r="DO15" t="str">
            <v>NULL</v>
          </cell>
          <cell r="DP15">
            <v>800351320</v>
          </cell>
          <cell r="DQ15">
            <v>411903070</v>
          </cell>
          <cell r="DR15">
            <v>3947548990</v>
          </cell>
          <cell r="DS15">
            <v>7.1082081745108372</v>
          </cell>
          <cell r="DT15">
            <v>6.2369599999999998</v>
          </cell>
          <cell r="DU15">
            <v>4.4175899999999997</v>
          </cell>
          <cell r="DV15">
            <v>4.3031499999999996</v>
          </cell>
          <cell r="DW15">
            <v>3.43946</v>
          </cell>
          <cell r="DX15">
            <v>18.39716</v>
          </cell>
          <cell r="DY15">
            <v>19.459525274553247</v>
          </cell>
          <cell r="DZ15">
            <v>27.410321384846021</v>
          </cell>
          <cell r="EA15">
            <v>-1277349490</v>
          </cell>
          <cell r="EB15">
            <v>-21.967363058954209</v>
          </cell>
          <cell r="EC15">
            <v>20.003087433060301</v>
          </cell>
          <cell r="ED15">
            <v>1.01029297906625</v>
          </cell>
          <cell r="EE15">
            <v>0.94413392608997904</v>
          </cell>
          <cell r="EG15" t="str">
            <v>-</v>
          </cell>
          <cell r="EH15" t="str">
            <v>-</v>
          </cell>
          <cell r="EK15">
            <v>0.44293478260869601</v>
          </cell>
        </row>
        <row r="16">
          <cell r="A16" t="str">
            <v>CADO</v>
          </cell>
          <cell r="B16" t="str">
            <v>CAO.BA</v>
          </cell>
          <cell r="C16" t="str">
            <v>CARLOS CASADO SA</v>
          </cell>
          <cell r="D16">
            <v>43190</v>
          </cell>
          <cell r="E16">
            <v>173105030</v>
          </cell>
          <cell r="F16">
            <v>110905390</v>
          </cell>
          <cell r="G16">
            <v>1.56084</v>
          </cell>
          <cell r="H16">
            <v>0.83933000000000002</v>
          </cell>
          <cell r="I16">
            <v>3.6991100000000001</v>
          </cell>
          <cell r="J16">
            <v>3.3339599999999998</v>
          </cell>
          <cell r="K16">
            <v>9.0500000000000007</v>
          </cell>
          <cell r="L16">
            <v>0</v>
          </cell>
          <cell r="M16">
            <v>0.15098</v>
          </cell>
          <cell r="N16">
            <v>0</v>
          </cell>
          <cell r="O16">
            <v>0</v>
          </cell>
          <cell r="P16">
            <v>0.15098</v>
          </cell>
          <cell r="Q16">
            <v>1.6682872928176794E-2</v>
          </cell>
          <cell r="S16">
            <v>1.5852123900000001E-2</v>
          </cell>
          <cell r="T16">
            <v>1.0103233E-2</v>
          </cell>
          <cell r="U16">
            <v>43190</v>
          </cell>
          <cell r="V16">
            <v>932462660</v>
          </cell>
          <cell r="W16">
            <v>854143550</v>
          </cell>
          <cell r="X16">
            <v>753313990</v>
          </cell>
          <cell r="Y16">
            <v>730318880</v>
          </cell>
          <cell r="Z16">
            <v>774848850</v>
          </cell>
          <cell r="AA16">
            <v>1.2034123300305601</v>
          </cell>
          <cell r="AC16">
            <v>102130</v>
          </cell>
          <cell r="AD16">
            <v>8487110</v>
          </cell>
          <cell r="AE16">
            <v>39023790</v>
          </cell>
          <cell r="AF16">
            <v>48797140</v>
          </cell>
          <cell r="AG16">
            <v>0.14740343805245901</v>
          </cell>
          <cell r="AH16">
            <v>56991450</v>
          </cell>
          <cell r="AI16">
            <v>38393440</v>
          </cell>
          <cell r="AJ16">
            <v>26254440</v>
          </cell>
          <cell r="AK16">
            <v>27357170</v>
          </cell>
          <cell r="AL16">
            <v>102130</v>
          </cell>
          <cell r="AM16">
            <v>12400470</v>
          </cell>
          <cell r="AN16">
            <v>33422660</v>
          </cell>
          <cell r="AO16">
            <v>50484910</v>
          </cell>
          <cell r="AP16">
            <v>141.02174723890644</v>
          </cell>
          <cell r="AQ16">
            <v>16064460</v>
          </cell>
          <cell r="AR16">
            <v>19400</v>
          </cell>
          <cell r="AS16">
            <v>4807090</v>
          </cell>
          <cell r="AT16">
            <v>11270740</v>
          </cell>
          <cell r="AU16">
            <v>30.440297040239635</v>
          </cell>
          <cell r="AV16">
            <v>80019080</v>
          </cell>
          <cell r="AW16">
            <v>31570740</v>
          </cell>
          <cell r="AX16">
            <v>25982900</v>
          </cell>
          <cell r="AY16">
            <v>42615810</v>
          </cell>
          <cell r="AZ16">
            <v>170.54428347652535</v>
          </cell>
          <cell r="BA16">
            <v>59.96283327785855</v>
          </cell>
          <cell r="BC16">
            <v>0</v>
          </cell>
          <cell r="BD16">
            <v>11.53238</v>
          </cell>
          <cell r="BE16">
            <v>46.035829999999997</v>
          </cell>
          <cell r="BF16">
            <v>305737620</v>
          </cell>
          <cell r="BG16">
            <v>30652060</v>
          </cell>
          <cell r="BH16">
            <v>767430</v>
          </cell>
          <cell r="BI16">
            <v>14430580</v>
          </cell>
          <cell r="BJ16">
            <v>3.6467904786393386</v>
          </cell>
          <cell r="BK16">
            <v>-547709580</v>
          </cell>
          <cell r="BL16">
            <v>-64802050</v>
          </cell>
          <cell r="BM16">
            <v>-8213280</v>
          </cell>
          <cell r="BN16">
            <v>-4573780</v>
          </cell>
          <cell r="BO16" t="str">
            <v>NULL</v>
          </cell>
          <cell r="BP16" t="e">
            <v>#VALUE!</v>
          </cell>
          <cell r="BQ16">
            <v>360211150</v>
          </cell>
          <cell r="BR16">
            <v>-10807090</v>
          </cell>
          <cell r="BS16">
            <v>1581150</v>
          </cell>
          <cell r="BT16">
            <v>-7967920</v>
          </cell>
          <cell r="BU16">
            <v>-4698820</v>
          </cell>
          <cell r="BV16">
            <v>366491120</v>
          </cell>
          <cell r="BW16" t="e">
            <v>#VALUE!</v>
          </cell>
          <cell r="BX16">
            <v>0.43004524305299413</v>
          </cell>
          <cell r="BY16">
            <v>774848850</v>
          </cell>
          <cell r="BZ16">
            <v>720759380</v>
          </cell>
          <cell r="CA16">
            <v>653522850</v>
          </cell>
          <cell r="CB16">
            <v>628520710</v>
          </cell>
          <cell r="CC16" t="str">
            <v>NULL</v>
          </cell>
          <cell r="CD16" t="str">
            <v>NULL</v>
          </cell>
          <cell r="CE16" t="str">
            <v>NULL</v>
          </cell>
          <cell r="CF16" t="str">
            <v>NULL</v>
          </cell>
          <cell r="CG16" t="str">
            <v>NULL</v>
          </cell>
          <cell r="CH16" t="str">
            <v>NULL</v>
          </cell>
          <cell r="CI16" t="str">
            <v>NULL</v>
          </cell>
          <cell r="CJ16" t="str">
            <v>NULL</v>
          </cell>
          <cell r="CK16">
            <v>774848850</v>
          </cell>
          <cell r="CL16">
            <v>720759380</v>
          </cell>
          <cell r="CM16">
            <v>653522850</v>
          </cell>
          <cell r="CN16">
            <v>628520710</v>
          </cell>
          <cell r="CO16">
            <v>0.50630923755925505</v>
          </cell>
          <cell r="CP16">
            <v>305737620</v>
          </cell>
          <cell r="CQ16">
            <v>-719980</v>
          </cell>
          <cell r="CR16">
            <v>45130100</v>
          </cell>
          <cell r="CS16">
            <v>62241880</v>
          </cell>
          <cell r="CT16">
            <v>63969700</v>
          </cell>
          <cell r="CU16">
            <v>74752290</v>
          </cell>
          <cell r="CV16">
            <v>55495480</v>
          </cell>
          <cell r="CW16">
            <v>108238660</v>
          </cell>
          <cell r="CX16">
            <v>425.64737909386372</v>
          </cell>
          <cell r="CY16">
            <v>-0.1172932603730715</v>
          </cell>
          <cell r="CZ16">
            <v>-0.27492389368701586</v>
          </cell>
          <cell r="DA16">
            <v>-2.7009975035055644E-2</v>
          </cell>
          <cell r="DB16">
            <v>-0.14424427666363127</v>
          </cell>
          <cell r="DC16">
            <v>0.34699780955133641</v>
          </cell>
          <cell r="DD16">
            <v>-0.48728596603099117</v>
          </cell>
          <cell r="DE16">
            <v>0.31071918403161647</v>
          </cell>
          <cell r="DG16">
            <v>84.744979937226105</v>
          </cell>
          <cell r="DH16">
            <v>123200000</v>
          </cell>
          <cell r="DI16">
            <v>8.8000000000000007</v>
          </cell>
          <cell r="DJ16">
            <v>1084160000</v>
          </cell>
          <cell r="DK16">
            <v>1066768960</v>
          </cell>
          <cell r="DM16">
            <v>774848850</v>
          </cell>
          <cell r="DN16" t="str">
            <v>NULL</v>
          </cell>
          <cell r="DO16" t="str">
            <v>NULL</v>
          </cell>
          <cell r="DP16" t="str">
            <v>NULL</v>
          </cell>
          <cell r="DQ16" t="str">
            <v>NULL</v>
          </cell>
          <cell r="DR16">
            <v>774848850</v>
          </cell>
          <cell r="DS16">
            <v>1.3991890160255125</v>
          </cell>
          <cell r="DT16">
            <v>2.4816400000000001</v>
          </cell>
          <cell r="DU16">
            <v>0.24879999999999999</v>
          </cell>
          <cell r="DV16">
            <v>8.2000000000000007E-3</v>
          </cell>
          <cell r="DW16">
            <v>9.4460000000000002E-2</v>
          </cell>
          <cell r="DX16">
            <v>2.8331000000000004</v>
          </cell>
          <cell r="DY16">
            <v>3.1943807137058342</v>
          </cell>
          <cell r="DZ16">
            <v>11.24528667463194</v>
          </cell>
          <cell r="EA16" t="e">
            <v>#VALUE!</v>
          </cell>
          <cell r="EB16" t="e">
            <v>#VALUE!</v>
          </cell>
          <cell r="EC16">
            <v>3.1061381525537399</v>
          </cell>
          <cell r="ED16">
            <v>0.47961343875698398</v>
          </cell>
          <cell r="EE16">
            <v>0.51919304723276005</v>
          </cell>
          <cell r="EG16">
            <v>0.33763903672395412</v>
          </cell>
          <cell r="EH16">
            <v>-4.6261288644840803E-2</v>
          </cell>
          <cell r="EK16">
            <v>1.8180833923636399</v>
          </cell>
        </row>
        <row r="17">
          <cell r="A17" t="str">
            <v>CAPU</v>
          </cell>
          <cell r="B17" t="str">
            <v>CAU.BA</v>
          </cell>
          <cell r="C17" t="str">
            <v>CAPUTO SAIC Y F</v>
          </cell>
          <cell r="D17">
            <v>43190</v>
          </cell>
          <cell r="E17">
            <v>1059826000</v>
          </cell>
          <cell r="F17">
            <v>729460000</v>
          </cell>
          <cell r="G17">
            <v>1.45289</v>
          </cell>
          <cell r="H17">
            <v>1.4470799999999999</v>
          </cell>
          <cell r="I17">
            <v>1.4314499999999999</v>
          </cell>
          <cell r="J17">
            <v>1.42726</v>
          </cell>
          <cell r="K17">
            <v>18.600000000000001</v>
          </cell>
          <cell r="L17">
            <v>0</v>
          </cell>
          <cell r="M17">
            <v>0</v>
          </cell>
          <cell r="N17">
            <v>0</v>
          </cell>
          <cell r="O17">
            <v>0.17862</v>
          </cell>
          <cell r="P17">
            <v>0.17862</v>
          </cell>
          <cell r="Q17">
            <v>9.603225806451612E-3</v>
          </cell>
          <cell r="S17">
            <v>9.2893893871</v>
          </cell>
          <cell r="T17">
            <v>10.283975121999999</v>
          </cell>
          <cell r="U17">
            <v>43190</v>
          </cell>
          <cell r="V17">
            <v>1420121000</v>
          </cell>
          <cell r="W17">
            <v>1313453000</v>
          </cell>
          <cell r="X17">
            <v>1323880000</v>
          </cell>
          <cell r="Y17">
            <v>1286063000</v>
          </cell>
          <cell r="Z17">
            <v>654015000</v>
          </cell>
          <cell r="AA17">
            <v>2.171389035419677</v>
          </cell>
          <cell r="AC17">
            <v>595374000</v>
          </cell>
          <cell r="AD17">
            <v>592793000</v>
          </cell>
          <cell r="AE17">
            <v>494840000</v>
          </cell>
          <cell r="AF17">
            <v>558076000</v>
          </cell>
          <cell r="AG17">
            <v>2.0969942513176782</v>
          </cell>
          <cell r="AH17">
            <v>246161000</v>
          </cell>
          <cell r="AI17">
            <v>194240000</v>
          </cell>
          <cell r="AJ17">
            <v>167645000</v>
          </cell>
          <cell r="AK17">
            <v>185368000</v>
          </cell>
          <cell r="AL17">
            <v>483999000</v>
          </cell>
          <cell r="AM17">
            <v>498726000</v>
          </cell>
          <cell r="AN17">
            <v>413100000</v>
          </cell>
          <cell r="AO17">
            <v>497578000</v>
          </cell>
          <cell r="AP17">
            <v>38.237515996330416</v>
          </cell>
          <cell r="AQ17">
            <v>705000000</v>
          </cell>
          <cell r="AR17">
            <v>689606000</v>
          </cell>
          <cell r="AS17">
            <v>578030000</v>
          </cell>
          <cell r="AT17">
            <v>573791000</v>
          </cell>
          <cell r="AU17">
            <v>103.68266759865655</v>
          </cell>
          <cell r="AV17">
            <v>4236000</v>
          </cell>
          <cell r="AW17">
            <v>2961000</v>
          </cell>
          <cell r="AX17">
            <v>147000</v>
          </cell>
          <cell r="AY17">
            <v>7946000</v>
          </cell>
          <cell r="AZ17">
            <v>0.73688089645997179</v>
          </cell>
          <cell r="BA17">
            <v>66.1820324987861</v>
          </cell>
          <cell r="BC17">
            <v>14.262169999999999</v>
          </cell>
          <cell r="BD17">
            <v>13.28111</v>
          </cell>
          <cell r="BE17">
            <v>11.21529</v>
          </cell>
          <cell r="BF17">
            <v>87240000</v>
          </cell>
          <cell r="BG17">
            <v>68187000</v>
          </cell>
          <cell r="BH17">
            <v>42147000</v>
          </cell>
          <cell r="BI17">
            <v>102443000</v>
          </cell>
          <cell r="BJ17">
            <v>0.13387143626541276</v>
          </cell>
          <cell r="BK17">
            <v>-9704000</v>
          </cell>
          <cell r="BL17">
            <v>-2691000</v>
          </cell>
          <cell r="BM17">
            <v>-2399000</v>
          </cell>
          <cell r="BN17">
            <v>-2249000</v>
          </cell>
          <cell r="BO17">
            <v>-1359000</v>
          </cell>
          <cell r="BP17">
            <v>-10744000</v>
          </cell>
          <cell r="BQ17">
            <v>-14028000</v>
          </cell>
          <cell r="BR17">
            <v>-19016000</v>
          </cell>
          <cell r="BS17">
            <v>40309000</v>
          </cell>
          <cell r="BT17">
            <v>84607000</v>
          </cell>
          <cell r="BU17">
            <v>-61226000</v>
          </cell>
          <cell r="BV17">
            <v>87507000</v>
          </cell>
          <cell r="BW17">
            <v>3.4252635890772452E-2</v>
          </cell>
          <cell r="BX17">
            <v>0.22458392103927058</v>
          </cell>
          <cell r="BY17">
            <v>654015000</v>
          </cell>
          <cell r="BZ17">
            <v>566775000</v>
          </cell>
          <cell r="CA17">
            <v>498632000</v>
          </cell>
          <cell r="CB17">
            <v>456485000</v>
          </cell>
          <cell r="CC17" t="str">
            <v>NULL</v>
          </cell>
          <cell r="CD17" t="str">
            <v>NULL</v>
          </cell>
          <cell r="CE17" t="str">
            <v>NULL</v>
          </cell>
          <cell r="CF17" t="str">
            <v>NULL</v>
          </cell>
          <cell r="CG17" t="str">
            <v>NULL</v>
          </cell>
          <cell r="CH17" t="str">
            <v>NULL</v>
          </cell>
          <cell r="CI17" t="str">
            <v>NULL</v>
          </cell>
          <cell r="CJ17" t="str">
            <v>NULL</v>
          </cell>
          <cell r="CK17">
            <v>654015000</v>
          </cell>
          <cell r="CL17">
            <v>566775000</v>
          </cell>
          <cell r="CM17">
            <v>498632000</v>
          </cell>
          <cell r="CN17">
            <v>456485000</v>
          </cell>
          <cell r="CO17">
            <v>0.55152540986356491</v>
          </cell>
          <cell r="CP17">
            <v>87240000</v>
          </cell>
          <cell r="CQ17">
            <v>35865000</v>
          </cell>
          <cell r="CR17">
            <v>248642000</v>
          </cell>
          <cell r="CS17">
            <v>143739000</v>
          </cell>
          <cell r="CT17">
            <v>100111750</v>
          </cell>
          <cell r="CU17">
            <v>65788930</v>
          </cell>
          <cell r="CV17">
            <v>24408970</v>
          </cell>
          <cell r="CW17">
            <v>25867460</v>
          </cell>
          <cell r="CX17">
            <v>1.4324550397323295</v>
          </cell>
          <cell r="CY17">
            <v>0.66524122316770185</v>
          </cell>
          <cell r="CZ17">
            <v>0.72981584677784039</v>
          </cell>
          <cell r="DA17">
            <v>0.43578550969291818</v>
          </cell>
          <cell r="DB17">
            <v>0.52171117542115364</v>
          </cell>
          <cell r="DC17">
            <v>1.695276777348655</v>
          </cell>
          <cell r="DD17">
            <v>-5.6383193402057996E-2</v>
          </cell>
          <cell r="DE17">
            <v>0.64403721214950937</v>
          </cell>
          <cell r="DG17">
            <v>18.453390645358301</v>
          </cell>
          <cell r="DH17">
            <v>167959080</v>
          </cell>
          <cell r="DI17">
            <v>17.900000000000002</v>
          </cell>
          <cell r="DJ17">
            <v>3006467532</v>
          </cell>
          <cell r="DK17">
            <v>2931745532</v>
          </cell>
          <cell r="DM17">
            <v>654015000</v>
          </cell>
          <cell r="DN17" t="str">
            <v>NULL</v>
          </cell>
          <cell r="DO17" t="str">
            <v>NULL</v>
          </cell>
          <cell r="DP17">
            <v>1077000</v>
          </cell>
          <cell r="DQ17" t="str">
            <v>NULL</v>
          </cell>
          <cell r="DR17">
            <v>652938000</v>
          </cell>
          <cell r="DS17">
            <v>4.6045222241621717</v>
          </cell>
          <cell r="DT17">
            <v>0.51941000000000004</v>
          </cell>
          <cell r="DU17">
            <v>0.40597</v>
          </cell>
          <cell r="DV17">
            <v>0.25094</v>
          </cell>
          <cell r="DW17">
            <v>0.60992999999999997</v>
          </cell>
          <cell r="DX17">
            <v>1.7862499999999999</v>
          </cell>
          <cell r="DY17">
            <v>10.412876137158854</v>
          </cell>
          <cell r="DZ17">
            <v>1.3415244022644408</v>
          </cell>
          <cell r="EA17">
            <v>76763000</v>
          </cell>
          <cell r="EB17">
            <v>39.165581491082946</v>
          </cell>
          <cell r="EC17">
            <v>10.020993701889401</v>
          </cell>
          <cell r="ED17">
            <v>0.24213023722068999</v>
          </cell>
          <cell r="EE17">
            <v>0.50535663676063602</v>
          </cell>
          <cell r="EG17">
            <v>0.5457824840507054</v>
          </cell>
          <cell r="EH17">
            <v>0.20677668527649806</v>
          </cell>
          <cell r="EK17">
            <v>0.99784879888268196</v>
          </cell>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69.100000000000009</v>
          </cell>
          <cell r="L18">
            <v>0</v>
          </cell>
          <cell r="M18">
            <v>0</v>
          </cell>
          <cell r="N18">
            <v>0</v>
          </cell>
          <cell r="O18" t="str">
            <v>NULL</v>
          </cell>
          <cell r="P18">
            <v>0</v>
          </cell>
          <cell r="Q18">
            <v>0</v>
          </cell>
          <cell r="S18">
            <v>121.926374306</v>
          </cell>
          <cell r="T18">
            <v>138.681796564</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6.3706754925432598</v>
          </cell>
          <cell r="DH18">
            <v>179802282</v>
          </cell>
          <cell r="DI18">
            <v>69.100000000000009</v>
          </cell>
          <cell r="DJ18">
            <v>12424337686.200001</v>
          </cell>
          <cell r="DK18">
            <v>14730618616.200001</v>
          </cell>
          <cell r="DM18">
            <v>5233815240</v>
          </cell>
          <cell r="DN18" t="str">
            <v>NULL</v>
          </cell>
          <cell r="DO18" t="str">
            <v>NULL</v>
          </cell>
          <cell r="DP18" t="str">
            <v>NULL</v>
          </cell>
          <cell r="DQ18" t="str">
            <v>NULL</v>
          </cell>
          <cell r="DR18">
            <v>5233815240</v>
          </cell>
          <cell r="DS18">
            <v>2.373858670295744</v>
          </cell>
          <cell r="DT18">
            <v>0.96599000000000002</v>
          </cell>
          <cell r="DU18">
            <v>1.50491</v>
          </cell>
          <cell r="DV18">
            <v>-0.10376000000000001</v>
          </cell>
          <cell r="DW18">
            <v>1.26569</v>
          </cell>
          <cell r="DX18">
            <v>3.6328300000000002</v>
          </cell>
          <cell r="DY18">
            <v>19.020983640853</v>
          </cell>
          <cell r="DZ18">
            <v>3.3282968457813369</v>
          </cell>
          <cell r="EA18">
            <v>298249170</v>
          </cell>
          <cell r="EB18">
            <v>41.657576737598298</v>
          </cell>
          <cell r="EC18">
            <v>19.020983640853</v>
          </cell>
          <cell r="ED18">
            <v>1.0830974198782699</v>
          </cell>
          <cell r="EE18">
            <v>1.0490538711277799</v>
          </cell>
          <cell r="EG18">
            <v>0.51382347218844049</v>
          </cell>
          <cell r="EH18">
            <v>6.7855856422525118E-3</v>
          </cell>
          <cell r="EK18" t="str">
            <v>NULL</v>
          </cell>
        </row>
        <row r="19">
          <cell r="A19" t="str">
            <v>CARC</v>
          </cell>
          <cell r="B19" t="str">
            <v>CARC.BA</v>
          </cell>
          <cell r="C19" t="str">
            <v>CARBOCLOR SA</v>
          </cell>
          <cell r="D19">
            <v>43190</v>
          </cell>
          <cell r="E19">
            <v>88363130</v>
          </cell>
          <cell r="F19">
            <v>566745880</v>
          </cell>
          <cell r="G19">
            <v>0.15590999999999999</v>
          </cell>
          <cell r="H19">
            <v>0.11867999999999999</v>
          </cell>
          <cell r="I19">
            <v>0.10389</v>
          </cell>
          <cell r="J19">
            <v>6.4089999999999994E-2</v>
          </cell>
          <cell r="K19">
            <v>1.18</v>
          </cell>
          <cell r="L19">
            <v>0</v>
          </cell>
          <cell r="M19" t="str">
            <v>NULL</v>
          </cell>
          <cell r="N19">
            <v>0</v>
          </cell>
          <cell r="O19">
            <v>0</v>
          </cell>
          <cell r="P19">
            <v>0</v>
          </cell>
          <cell r="Q19">
            <v>0</v>
          </cell>
          <cell r="S19" t="str">
            <v>NULL</v>
          </cell>
          <cell r="T19" t="str">
            <v>NULL</v>
          </cell>
          <cell r="U19">
            <v>43190</v>
          </cell>
          <cell r="V19">
            <v>227398760</v>
          </cell>
          <cell r="W19">
            <v>198015430</v>
          </cell>
          <cell r="X19">
            <v>216656120</v>
          </cell>
          <cell r="Y19">
            <v>242354300</v>
          </cell>
          <cell r="Z19">
            <v>-341809000</v>
          </cell>
          <cell r="AA19">
            <v>-0.66528020034580715</v>
          </cell>
          <cell r="AC19">
            <v>35656840</v>
          </cell>
          <cell r="AD19">
            <v>24064210</v>
          </cell>
          <cell r="AE19">
            <v>14486760</v>
          </cell>
          <cell r="AF19">
            <v>20243600</v>
          </cell>
          <cell r="AG19">
            <v>0.53394487622952469</v>
          </cell>
          <cell r="AH19">
            <v>15223460</v>
          </cell>
          <cell r="AI19">
            <v>18716800</v>
          </cell>
          <cell r="AJ19">
            <v>18701780</v>
          </cell>
          <cell r="AK19">
            <v>11417380</v>
          </cell>
          <cell r="AL19">
            <v>26007670</v>
          </cell>
          <cell r="AM19">
            <v>16847290</v>
          </cell>
          <cell r="AN19">
            <v>25020950</v>
          </cell>
          <cell r="AO19">
            <v>10984420</v>
          </cell>
          <cell r="AP19">
            <v>74.123733377732506</v>
          </cell>
          <cell r="AQ19">
            <v>15491620</v>
          </cell>
          <cell r="AR19">
            <v>9270330</v>
          </cell>
          <cell r="AS19">
            <v>11353720</v>
          </cell>
          <cell r="AT19">
            <v>13866560</v>
          </cell>
          <cell r="AU19">
            <v>48.288093184633247</v>
          </cell>
          <cell r="AV19">
            <v>21101610</v>
          </cell>
          <cell r="AW19">
            <v>22456520</v>
          </cell>
          <cell r="AX19">
            <v>30207530</v>
          </cell>
          <cell r="AY19">
            <v>29314940</v>
          </cell>
          <cell r="AZ19">
            <v>119.27549314084787</v>
          </cell>
          <cell r="BA19">
            <v>93.439852947748605</v>
          </cell>
          <cell r="BC19">
            <v>28.22475</v>
          </cell>
          <cell r="BD19">
            <v>-60.002209999999998</v>
          </cell>
          <cell r="BE19">
            <v>-50.064590000000003</v>
          </cell>
          <cell r="BF19">
            <v>-10484900</v>
          </cell>
          <cell r="BG19">
            <v>-13444120</v>
          </cell>
          <cell r="BH19">
            <v>-32569020</v>
          </cell>
          <cell r="BI19">
            <v>4806810</v>
          </cell>
          <cell r="BJ19">
            <v>-0.54727854248020225</v>
          </cell>
          <cell r="BK19">
            <v>-2537660</v>
          </cell>
          <cell r="BL19">
            <v>-3313190</v>
          </cell>
          <cell r="BM19">
            <v>-1724580</v>
          </cell>
          <cell r="BN19">
            <v>-1019250</v>
          </cell>
          <cell r="BO19">
            <v>-785220</v>
          </cell>
          <cell r="BP19">
            <v>-3477020</v>
          </cell>
          <cell r="BQ19">
            <v>-9546030</v>
          </cell>
          <cell r="BR19">
            <v>-249960680</v>
          </cell>
          <cell r="BS19">
            <v>-263848640</v>
          </cell>
          <cell r="BT19">
            <v>-10946900</v>
          </cell>
          <cell r="BU19">
            <v>3844760</v>
          </cell>
          <cell r="BV19">
            <v>-277239430</v>
          </cell>
          <cell r="BW19">
            <v>-2.97207262443197</v>
          </cell>
          <cell r="BX19">
            <v>-0.23378467498773015</v>
          </cell>
          <cell r="BY19">
            <v>-341809000</v>
          </cell>
          <cell r="BZ19">
            <v>-368479120</v>
          </cell>
          <cell r="CA19">
            <v>-331088390</v>
          </cell>
          <cell r="CB19">
            <v>-513608420</v>
          </cell>
          <cell r="CC19" t="str">
            <v>NULL</v>
          </cell>
          <cell r="CD19" t="str">
            <v>NULL</v>
          </cell>
          <cell r="CE19" t="str">
            <v>NULL</v>
          </cell>
          <cell r="CF19" t="str">
            <v>NULL</v>
          </cell>
          <cell r="CG19" t="str">
            <v>NULL</v>
          </cell>
          <cell r="CH19" t="str">
            <v>NULL</v>
          </cell>
          <cell r="CI19" t="str">
            <v>NULL</v>
          </cell>
          <cell r="CJ19" t="str">
            <v>NULL</v>
          </cell>
          <cell r="CK19">
            <v>-341809000</v>
          </cell>
          <cell r="CL19">
            <v>-368479120</v>
          </cell>
          <cell r="CM19">
            <v>-331088390</v>
          </cell>
          <cell r="CN19">
            <v>-513608420</v>
          </cell>
          <cell r="CO19" t="str">
            <v>-</v>
          </cell>
          <cell r="CP19">
            <v>-10484900</v>
          </cell>
          <cell r="CQ19">
            <v>757590</v>
          </cell>
          <cell r="CR19">
            <v>-40448730</v>
          </cell>
          <cell r="CS19">
            <v>-41730650</v>
          </cell>
          <cell r="CT19">
            <v>-68673860</v>
          </cell>
          <cell r="CU19">
            <v>-46316220</v>
          </cell>
          <cell r="CV19">
            <v>-28331250</v>
          </cell>
          <cell r="CW19">
            <v>13512840</v>
          </cell>
          <cell r="CX19" t="str">
            <v>-</v>
          </cell>
          <cell r="CY19">
            <v>-0.75821799053027006</v>
          </cell>
          <cell r="CZ19">
            <v>3.071890804480637E-2</v>
          </cell>
          <cell r="DA19">
            <v>0.39233574463413012</v>
          </cell>
          <cell r="DB19">
            <v>-0.48271728565068561</v>
          </cell>
          <cell r="DC19">
            <v>-0.63481032428855055</v>
          </cell>
          <cell r="DD19">
            <v>-3.0966169953910505</v>
          </cell>
          <cell r="DE19">
            <v>1.3698024788125729</v>
          </cell>
          <cell r="DG19" t="str">
            <v>NULL</v>
          </cell>
          <cell r="DH19">
            <v>458152457</v>
          </cell>
          <cell r="DI19">
            <v>1.19</v>
          </cell>
          <cell r="DJ19">
            <v>545201423.83000004</v>
          </cell>
          <cell r="DK19">
            <v>511438563.830001</v>
          </cell>
          <cell r="DM19">
            <v>-341809000</v>
          </cell>
          <cell r="DN19" t="str">
            <v>NULL</v>
          </cell>
          <cell r="DO19" t="str">
            <v>NULL</v>
          </cell>
          <cell r="DP19">
            <v>147900</v>
          </cell>
          <cell r="DQ19" t="str">
            <v>NULL</v>
          </cell>
          <cell r="DR19">
            <v>-341956900</v>
          </cell>
          <cell r="DS19">
            <v>-1.5943571363233204</v>
          </cell>
          <cell r="DT19">
            <v>-1.8540000000000001E-2</v>
          </cell>
          <cell r="DU19">
            <v>-2.6249999999999999E-2</v>
          </cell>
          <cell r="DV19">
            <v>-6.9430000000000006E-2</v>
          </cell>
          <cell r="DW19">
            <v>1.3299999999999999E-2</v>
          </cell>
          <cell r="DX19">
            <v>-0.10092000000000001</v>
          </cell>
          <cell r="DY19">
            <v>-11.692429647245341</v>
          </cell>
          <cell r="DZ19">
            <v>5.7722952344491212</v>
          </cell>
          <cell r="EA19">
            <v>-280716450</v>
          </cell>
          <cell r="EB19">
            <v>-1.9421783932861791</v>
          </cell>
          <cell r="EC19" t="str">
            <v>NULL</v>
          </cell>
          <cell r="ED19">
            <v>0.78768252967909902</v>
          </cell>
          <cell r="EE19">
            <v>0.75189998497426702</v>
          </cell>
          <cell r="EG19">
            <v>0.5294609054485705</v>
          </cell>
          <cell r="EH19">
            <v>-0.15934738417259076</v>
          </cell>
          <cell r="EK19">
            <v>0</v>
          </cell>
        </row>
        <row r="20">
          <cell r="A20" t="str">
            <v>CECO2</v>
          </cell>
          <cell r="B20" t="str">
            <v>CEC.BA</v>
          </cell>
          <cell r="C20" t="str">
            <v>ENDESA COSTANERA SA</v>
          </cell>
          <cell r="D20">
            <v>43190</v>
          </cell>
          <cell r="E20">
            <v>2256842580</v>
          </cell>
          <cell r="F20">
            <v>2630765540</v>
          </cell>
          <cell r="G20">
            <v>0.85787000000000002</v>
          </cell>
          <cell r="H20">
            <v>0.83243999999999996</v>
          </cell>
          <cell r="I20">
            <v>0.81759999999999999</v>
          </cell>
          <cell r="J20">
            <v>0.79544000000000004</v>
          </cell>
          <cell r="K20">
            <v>12.9</v>
          </cell>
          <cell r="L20">
            <v>0</v>
          </cell>
          <cell r="M20" t="str">
            <v>NULL</v>
          </cell>
          <cell r="N20">
            <v>0</v>
          </cell>
          <cell r="O20">
            <v>0</v>
          </cell>
          <cell r="P20">
            <v>0</v>
          </cell>
          <cell r="Q20">
            <v>0</v>
          </cell>
          <cell r="S20">
            <v>100.46626197800001</v>
          </cell>
          <cell r="T20">
            <v>98.674174859000004</v>
          </cell>
          <cell r="U20">
            <v>43190</v>
          </cell>
          <cell r="V20">
            <v>6440098030</v>
          </cell>
          <cell r="W20">
            <v>6437546500</v>
          </cell>
          <cell r="X20">
            <v>4877351820</v>
          </cell>
          <cell r="Y20">
            <v>4648798180</v>
          </cell>
          <cell r="Z20">
            <v>1077364280</v>
          </cell>
          <cell r="AA20">
            <v>5.977642056222618</v>
          </cell>
          <cell r="AC20">
            <v>667874690</v>
          </cell>
          <cell r="AD20">
            <v>675417490</v>
          </cell>
          <cell r="AE20">
            <v>688070780</v>
          </cell>
          <cell r="AF20">
            <v>668704280</v>
          </cell>
          <cell r="AG20">
            <v>0.60259034049100402</v>
          </cell>
          <cell r="AH20">
            <v>1401993320</v>
          </cell>
          <cell r="AI20">
            <v>1680984430</v>
          </cell>
          <cell r="AJ20">
            <v>950004850</v>
          </cell>
          <cell r="AK20">
            <v>970333080</v>
          </cell>
          <cell r="AL20">
            <v>410222490</v>
          </cell>
          <cell r="AM20">
            <v>397652150</v>
          </cell>
          <cell r="AN20">
            <v>441888420</v>
          </cell>
          <cell r="AO20">
            <v>441515990</v>
          </cell>
          <cell r="AP20">
            <v>269.94513755728246</v>
          </cell>
          <cell r="AQ20">
            <v>956579200</v>
          </cell>
          <cell r="AR20">
            <v>1006204590</v>
          </cell>
          <cell r="AS20">
            <v>576843160</v>
          </cell>
          <cell r="AT20">
            <v>690006360</v>
          </cell>
          <cell r="AU20">
            <v>109.14692611044012</v>
          </cell>
          <cell r="AV20">
            <v>66898420</v>
          </cell>
          <cell r="AW20">
            <v>61637470</v>
          </cell>
          <cell r="AX20">
            <v>61289410</v>
          </cell>
          <cell r="AY20">
            <v>55027240</v>
          </cell>
          <cell r="AZ20">
            <v>13.21059010043316</v>
          </cell>
          <cell r="BA20">
            <v>-147.58762134640918</v>
          </cell>
          <cell r="BC20">
            <v>31.578810000000001</v>
          </cell>
          <cell r="BD20">
            <v>33.229900000000001</v>
          </cell>
          <cell r="BE20">
            <v>15.25052</v>
          </cell>
          <cell r="BF20">
            <v>72636010</v>
          </cell>
          <cell r="BG20">
            <v>394440930</v>
          </cell>
          <cell r="BH20">
            <v>38436940</v>
          </cell>
          <cell r="BI20">
            <v>37549850</v>
          </cell>
          <cell r="BJ20">
            <v>0.20112970594021207</v>
          </cell>
          <cell r="BK20">
            <v>-141903260</v>
          </cell>
          <cell r="BL20">
            <v>-935013930</v>
          </cell>
          <cell r="BM20">
            <v>-208089430</v>
          </cell>
          <cell r="BN20">
            <v>-145734030</v>
          </cell>
          <cell r="BO20">
            <v>-35504440</v>
          </cell>
          <cell r="BP20">
            <v>-314488250</v>
          </cell>
          <cell r="BQ20">
            <v>264523440</v>
          </cell>
          <cell r="BR20">
            <v>1626216780</v>
          </cell>
          <cell r="BS20">
            <v>619553020</v>
          </cell>
          <cell r="BT20">
            <v>91136780</v>
          </cell>
          <cell r="BU20">
            <v>-182572820</v>
          </cell>
          <cell r="BV20">
            <v>1066649280</v>
          </cell>
          <cell r="BW20">
            <v>0.27857122180409105</v>
          </cell>
          <cell r="BX20">
            <v>9.6959241305807492E-2</v>
          </cell>
          <cell r="BY20">
            <v>1077364280</v>
          </cell>
          <cell r="BZ20">
            <v>1004728270</v>
          </cell>
          <cell r="CA20">
            <v>609015070</v>
          </cell>
          <cell r="CB20">
            <v>570578130</v>
          </cell>
          <cell r="CC20" t="str">
            <v>NULL</v>
          </cell>
          <cell r="CD20" t="str">
            <v>NULL</v>
          </cell>
          <cell r="CE20" t="str">
            <v>NULL</v>
          </cell>
          <cell r="CF20" t="str">
            <v>NULL</v>
          </cell>
          <cell r="CG20" t="str">
            <v>NULL</v>
          </cell>
          <cell r="CH20" t="str">
            <v>NULL</v>
          </cell>
          <cell r="CI20" t="str">
            <v>NULL</v>
          </cell>
          <cell r="CJ20" t="str">
            <v>NULL</v>
          </cell>
          <cell r="CK20">
            <v>1077364280</v>
          </cell>
          <cell r="CL20">
            <v>1004728270</v>
          </cell>
          <cell r="CM20">
            <v>609015070</v>
          </cell>
          <cell r="CN20">
            <v>570578130</v>
          </cell>
          <cell r="CO20">
            <v>0.66599148001918951</v>
          </cell>
          <cell r="CP20">
            <v>72636010</v>
          </cell>
          <cell r="CQ20">
            <v>-100646740</v>
          </cell>
          <cell r="CR20">
            <v>369780980</v>
          </cell>
          <cell r="CS20">
            <v>116459890</v>
          </cell>
          <cell r="CT20">
            <v>-90756580</v>
          </cell>
          <cell r="CU20">
            <v>601539250</v>
          </cell>
          <cell r="CV20">
            <v>-199443740</v>
          </cell>
          <cell r="CW20">
            <v>-451450580</v>
          </cell>
          <cell r="CX20">
            <v>1.7216926251163227</v>
          </cell>
          <cell r="CY20">
            <v>1.5763634289289297</v>
          </cell>
          <cell r="CZ20">
            <v>2.1751788534232688</v>
          </cell>
          <cell r="DA20">
            <v>2.2832115313291883</v>
          </cell>
          <cell r="DB20">
            <v>-1.1508739122176981</v>
          </cell>
          <cell r="DC20">
            <v>4.0160848868959231</v>
          </cell>
          <cell r="DD20">
            <v>0.55821578521396509</v>
          </cell>
          <cell r="DE20">
            <v>1.9547955829376784</v>
          </cell>
          <cell r="DG20">
            <v>6.65339229714517</v>
          </cell>
          <cell r="DH20">
            <v>701988378</v>
          </cell>
          <cell r="DI20">
            <v>13.3</v>
          </cell>
          <cell r="DJ20" t="e">
            <v>#N/A</v>
          </cell>
          <cell r="DK20">
            <v>9262489547.4000092</v>
          </cell>
          <cell r="DM20">
            <v>1077364280</v>
          </cell>
          <cell r="DN20" t="str">
            <v>NULL</v>
          </cell>
          <cell r="DO20" t="str">
            <v>NULL</v>
          </cell>
          <cell r="DP20" t="str">
            <v>NULL</v>
          </cell>
          <cell r="DQ20" t="str">
            <v>NULL</v>
          </cell>
          <cell r="DR20">
            <v>1077364280</v>
          </cell>
          <cell r="DS20" t="e">
            <v>#N/A</v>
          </cell>
          <cell r="DT20">
            <v>0.10347000000000001</v>
          </cell>
          <cell r="DU20">
            <v>0.56189</v>
          </cell>
          <cell r="DV20">
            <v>5.475E-2</v>
          </cell>
          <cell r="DW20">
            <v>5.3490000000000003E-2</v>
          </cell>
          <cell r="DX20">
            <v>0.77359999999999995</v>
          </cell>
          <cell r="DY20">
            <v>16.675284384694933</v>
          </cell>
          <cell r="DZ20" t="e">
            <v>#N/A</v>
          </cell>
          <cell r="EA20">
            <v>752161030</v>
          </cell>
          <cell r="EB20" t="e">
            <v>#N/A</v>
          </cell>
          <cell r="EC20">
            <v>17.192347466390899</v>
          </cell>
          <cell r="ED20">
            <v>1.42721574272367</v>
          </cell>
          <cell r="EE20">
            <v>1.5209753493004501</v>
          </cell>
          <cell r="EG20">
            <v>0.54849861768161245</v>
          </cell>
          <cell r="EH20">
            <v>-7.5293666669431936E-2</v>
          </cell>
          <cell r="EK20" t="str">
            <v>NULL</v>
          </cell>
        </row>
        <row r="21">
          <cell r="A21" t="str">
            <v>CELU</v>
          </cell>
          <cell r="B21" t="str">
            <v>CEL.BA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10.4</v>
          </cell>
          <cell r="L21">
            <v>0</v>
          </cell>
          <cell r="M21">
            <v>0</v>
          </cell>
          <cell r="N21">
            <v>0</v>
          </cell>
          <cell r="O21" t="str">
            <v>NULL</v>
          </cell>
          <cell r="P21">
            <v>0</v>
          </cell>
          <cell r="Q21">
            <v>0</v>
          </cell>
          <cell r="S21">
            <v>362.96276747299999</v>
          </cell>
          <cell r="T21">
            <v>225.63948478</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10.134101191013899</v>
          </cell>
          <cell r="DH21">
            <v>100974818</v>
          </cell>
          <cell r="DI21">
            <v>10.700000000000001</v>
          </cell>
          <cell r="DJ21">
            <v>1080077485.4100001</v>
          </cell>
          <cell r="DK21">
            <v>4487542153</v>
          </cell>
          <cell r="DM21">
            <v>947290000</v>
          </cell>
          <cell r="DN21" t="str">
            <v>NULL</v>
          </cell>
          <cell r="DO21" t="str">
            <v>NULL</v>
          </cell>
          <cell r="DP21">
            <v>1108000</v>
          </cell>
          <cell r="DQ21">
            <v>5699000</v>
          </cell>
          <cell r="DR21">
            <v>940483000</v>
          </cell>
          <cell r="DS21">
            <v>1.1484285047257634</v>
          </cell>
          <cell r="DT21">
            <v>-5.1380000000000002E-2</v>
          </cell>
          <cell r="DU21">
            <v>-4.8999999999999998E-3</v>
          </cell>
          <cell r="DV21">
            <v>-1.1480000000000001E-2</v>
          </cell>
          <cell r="DW21">
            <v>-8.2669999999999993E-2</v>
          </cell>
          <cell r="DX21">
            <v>-0.15043000000000001</v>
          </cell>
          <cell r="DY21">
            <v>-69.135145915043537</v>
          </cell>
          <cell r="DZ21">
            <v>0.23430278238672764</v>
          </cell>
          <cell r="EA21">
            <v>152119000</v>
          </cell>
          <cell r="EB21">
            <v>7.1002142099934922</v>
          </cell>
          <cell r="EC21" t="str">
            <v>NULL</v>
          </cell>
          <cell r="ED21">
            <v>1.0276146965839199</v>
          </cell>
          <cell r="EE21">
            <v>0.98144980211834898</v>
          </cell>
          <cell r="EG21">
            <v>0.47095047231686937</v>
          </cell>
          <cell r="EH21">
            <v>-0.10891072935788537</v>
          </cell>
          <cell r="EK21" t="str">
            <v>NULL</v>
          </cell>
        </row>
        <row r="22">
          <cell r="A22" t="str">
            <v>CEPU</v>
          </cell>
          <cell r="B22" t="str">
            <v>CEPU.BA</v>
          </cell>
          <cell r="C22" t="str">
            <v>CENTRAL PUERTO SA</v>
          </cell>
          <cell r="D22">
            <v>43190</v>
          </cell>
          <cell r="E22">
            <v>8391369000</v>
          </cell>
          <cell r="F22">
            <v>6467348000</v>
          </cell>
          <cell r="G22">
            <v>1.2975000000000001</v>
          </cell>
          <cell r="H22">
            <v>1.27399</v>
          </cell>
          <cell r="I22">
            <v>0.98243000000000003</v>
          </cell>
          <cell r="J22">
            <v>0.96331</v>
          </cell>
          <cell r="K22">
            <v>38.85</v>
          </cell>
          <cell r="L22">
            <v>0</v>
          </cell>
          <cell r="M22" t="str">
            <v>NULL</v>
          </cell>
          <cell r="N22">
            <v>0</v>
          </cell>
          <cell r="O22">
            <v>0</v>
          </cell>
          <cell r="P22">
            <v>0</v>
          </cell>
          <cell r="Q22">
            <v>0</v>
          </cell>
          <cell r="S22">
            <v>38.860355775599999</v>
          </cell>
          <cell r="T22">
            <v>67.773652725999995</v>
          </cell>
          <cell r="U22">
            <v>43190</v>
          </cell>
          <cell r="V22">
            <v>27960703000</v>
          </cell>
          <cell r="W22">
            <v>17078969000</v>
          </cell>
          <cell r="X22">
            <v>13413613000</v>
          </cell>
          <cell r="Y22">
            <v>13303034000</v>
          </cell>
          <cell r="Z22">
            <v>14579357000</v>
          </cell>
          <cell r="AA22">
            <v>1.9178282691067925</v>
          </cell>
          <cell r="AC22">
            <v>1804152000</v>
          </cell>
          <cell r="AD22">
            <v>238318000</v>
          </cell>
          <cell r="AE22">
            <v>2177055000</v>
          </cell>
          <cell r="AF22">
            <v>1930977000</v>
          </cell>
          <cell r="AG22">
            <v>0.42856840928713752</v>
          </cell>
          <cell r="AH22">
            <v>648313000</v>
          </cell>
          <cell r="AI22">
            <v>1017306000</v>
          </cell>
          <cell r="AJ22">
            <v>823348000</v>
          </cell>
          <cell r="AK22">
            <v>742969000</v>
          </cell>
          <cell r="AL22">
            <v>748058000</v>
          </cell>
          <cell r="AM22">
            <v>-241008000</v>
          </cell>
          <cell r="AN22">
            <v>1030729000</v>
          </cell>
          <cell r="AO22">
            <v>987861000</v>
          </cell>
          <cell r="AP22">
            <v>116.76809046419918</v>
          </cell>
          <cell r="AQ22">
            <v>4055590000</v>
          </cell>
          <cell r="AR22">
            <v>3665526000</v>
          </cell>
          <cell r="AS22">
            <v>367749000</v>
          </cell>
          <cell r="AT22">
            <v>353371000</v>
          </cell>
          <cell r="AU22">
            <v>125.25059499208356</v>
          </cell>
          <cell r="AV22">
            <v>152041000</v>
          </cell>
          <cell r="AW22">
            <v>110290000</v>
          </cell>
          <cell r="AX22">
            <v>168671000</v>
          </cell>
          <cell r="AY22">
            <v>152826000</v>
          </cell>
          <cell r="AZ22">
            <v>21.09338821051298</v>
          </cell>
          <cell r="BA22">
            <v>29.575892738397371</v>
          </cell>
          <cell r="BC22" t="str">
            <v>NULL</v>
          </cell>
          <cell r="BD22">
            <v>52.232250000000001</v>
          </cell>
          <cell r="BE22">
            <v>50.74633</v>
          </cell>
          <cell r="BF22">
            <v>6993362000</v>
          </cell>
          <cell r="BG22">
            <v>937102000</v>
          </cell>
          <cell r="BH22">
            <v>806251000</v>
          </cell>
          <cell r="BI22">
            <v>752771000</v>
          </cell>
          <cell r="BJ22">
            <v>1.5428799145175467</v>
          </cell>
          <cell r="BK22">
            <v>-304708000</v>
          </cell>
          <cell r="BL22">
            <v>-3483521000</v>
          </cell>
          <cell r="BM22">
            <v>-258249000</v>
          </cell>
          <cell r="BN22">
            <v>-458344000</v>
          </cell>
          <cell r="BO22">
            <v>-295557000</v>
          </cell>
          <cell r="BP22">
            <v>-267400000</v>
          </cell>
          <cell r="BQ22">
            <v>1034531000</v>
          </cell>
          <cell r="BR22">
            <v>2388983000</v>
          </cell>
          <cell r="BS22">
            <v>1698823000</v>
          </cell>
          <cell r="BT22">
            <v>751310000</v>
          </cell>
          <cell r="BU22">
            <v>169278000</v>
          </cell>
          <cell r="BV22">
            <v>2564076000</v>
          </cell>
          <cell r="BW22">
            <v>0.37341277183553473</v>
          </cell>
          <cell r="BX22">
            <v>0.52898399094301363</v>
          </cell>
          <cell r="BY22">
            <v>14579357000</v>
          </cell>
          <cell r="BZ22">
            <v>7071965000</v>
          </cell>
          <cell r="CA22">
            <v>5661350000</v>
          </cell>
          <cell r="CB22">
            <v>6149297000</v>
          </cell>
          <cell r="CC22" t="str">
            <v>NULL</v>
          </cell>
          <cell r="CD22" t="str">
            <v>NULL</v>
          </cell>
          <cell r="CE22" t="str">
            <v>NULL</v>
          </cell>
          <cell r="CF22" t="str">
            <v>NULL</v>
          </cell>
          <cell r="CG22" t="str">
            <v>NULL</v>
          </cell>
          <cell r="CH22" t="str">
            <v>NULL</v>
          </cell>
          <cell r="CI22" t="str">
            <v>NULL</v>
          </cell>
          <cell r="CJ22" t="str">
            <v>NULL</v>
          </cell>
          <cell r="CK22">
            <v>14579357000</v>
          </cell>
          <cell r="CL22">
            <v>7071965000</v>
          </cell>
          <cell r="CM22">
            <v>5661350000</v>
          </cell>
          <cell r="CN22">
            <v>6149297000</v>
          </cell>
          <cell r="CO22">
            <v>1.134360742489481</v>
          </cell>
          <cell r="CP22">
            <v>6993362000</v>
          </cell>
          <cell r="CQ22">
            <v>410454000</v>
          </cell>
          <cell r="CR22">
            <v>3022754000</v>
          </cell>
          <cell r="CS22">
            <v>1330869000</v>
          </cell>
          <cell r="CT22">
            <v>1341998000</v>
          </cell>
          <cell r="CU22">
            <v>317731000</v>
          </cell>
          <cell r="CV22">
            <v>90285000</v>
          </cell>
          <cell r="CW22">
            <v>-41695000</v>
          </cell>
          <cell r="CX22">
            <v>16.038113893396094</v>
          </cell>
          <cell r="CY22">
            <v>2.0342461465099708</v>
          </cell>
          <cell r="CZ22">
            <v>1.2712633625097585</v>
          </cell>
          <cell r="DA22">
            <v>-8.2928588567195982E-3</v>
          </cell>
          <cell r="DB22">
            <v>3.2236923687018262</v>
          </cell>
          <cell r="DC22">
            <v>2.5192003101290359</v>
          </cell>
          <cell r="DD22">
            <v>3.1653675500659553</v>
          </cell>
          <cell r="DE22">
            <v>1.3859569620848144</v>
          </cell>
          <cell r="DG22">
            <v>5.0401851161005498</v>
          </cell>
          <cell r="DH22">
            <v>1514022256</v>
          </cell>
          <cell r="DI22">
            <v>38.15</v>
          </cell>
          <cell r="DJ22">
            <v>7620163327.6999998</v>
          </cell>
          <cell r="DK22">
            <v>60141152066.400002</v>
          </cell>
          <cell r="DM22">
            <v>14579357000</v>
          </cell>
          <cell r="DN22" t="str">
            <v>NULL</v>
          </cell>
          <cell r="DO22" t="str">
            <v>NULL</v>
          </cell>
          <cell r="DP22">
            <v>180055000</v>
          </cell>
          <cell r="DQ22" t="str">
            <v>NULL</v>
          </cell>
          <cell r="DR22">
            <v>14399302000</v>
          </cell>
          <cell r="DS22">
            <v>0.52920366054549028</v>
          </cell>
          <cell r="DT22">
            <v>4.6190600000000002</v>
          </cell>
          <cell r="DU22">
            <v>0.61895</v>
          </cell>
          <cell r="DV22">
            <v>0.53251999999999999</v>
          </cell>
          <cell r="DW22">
            <v>0.49719999999999998</v>
          </cell>
          <cell r="DX22">
            <v>6.2677300000000002</v>
          </cell>
          <cell r="DY22">
            <v>6.1984163325478283</v>
          </cell>
          <cell r="DZ22">
            <v>1.2389498170555835</v>
          </cell>
          <cell r="EA22">
            <v>2296676000</v>
          </cell>
          <cell r="EB22">
            <v>3.3179095909479615</v>
          </cell>
          <cell r="EC22">
            <v>6.0867331553847999</v>
          </cell>
          <cell r="ED22">
            <v>1.0780629587403201</v>
          </cell>
          <cell r="EE22">
            <v>1.10742558607439</v>
          </cell>
          <cell r="EG22">
            <v>0.42562333681440057</v>
          </cell>
          <cell r="EH22">
            <v>0.22879357713392912</v>
          </cell>
          <cell r="EK22" t="str">
            <v>NULL</v>
          </cell>
        </row>
        <row r="23">
          <cell r="A23" t="str">
            <v>CGPA2</v>
          </cell>
          <cell r="B23" t="str">
            <v>CAMb.BA</v>
          </cell>
          <cell r="C23" t="str">
            <v>CAMUZZI GAS PAMPEANA SA</v>
          </cell>
          <cell r="D23">
            <v>43190</v>
          </cell>
          <cell r="E23">
            <v>3447573290</v>
          </cell>
          <cell r="F23">
            <v>2872576950</v>
          </cell>
          <cell r="G23">
            <v>1.20017</v>
          </cell>
          <cell r="H23">
            <v>1.1856500000000001</v>
          </cell>
          <cell r="I23">
            <v>1.01061</v>
          </cell>
          <cell r="J23">
            <v>0.99958999999999998</v>
          </cell>
          <cell r="K23">
            <v>55.95</v>
          </cell>
          <cell r="L23">
            <v>0</v>
          </cell>
          <cell r="M23" t="str">
            <v>NULL</v>
          </cell>
          <cell r="N23">
            <v>0</v>
          </cell>
          <cell r="O23">
            <v>0</v>
          </cell>
          <cell r="P23">
            <v>0</v>
          </cell>
          <cell r="Q23">
            <v>0</v>
          </cell>
          <cell r="S23">
            <v>0</v>
          </cell>
          <cell r="T23">
            <v>0</v>
          </cell>
          <cell r="U23">
            <v>43190</v>
          </cell>
          <cell r="V23">
            <v>5141476040</v>
          </cell>
          <cell r="W23">
            <v>5424705320</v>
          </cell>
          <cell r="X23">
            <v>6393695280</v>
          </cell>
          <cell r="Y23">
            <v>5787476410</v>
          </cell>
          <cell r="Z23">
            <v>1114206730</v>
          </cell>
          <cell r="AA23">
            <v>4.6144722532774507</v>
          </cell>
          <cell r="AC23">
            <v>1390004430</v>
          </cell>
          <cell r="AD23">
            <v>922098980</v>
          </cell>
          <cell r="AE23">
            <v>2097013760</v>
          </cell>
          <cell r="AF23">
            <v>2244144210</v>
          </cell>
          <cell r="AG23">
            <v>1.4624226240673248</v>
          </cell>
          <cell r="AH23">
            <v>2187320810</v>
          </cell>
          <cell r="AI23">
            <v>3325467050</v>
          </cell>
          <cell r="AJ23">
            <v>4035407170</v>
          </cell>
          <cell r="AK23">
            <v>3978985120</v>
          </cell>
          <cell r="AL23">
            <v>1253470950</v>
          </cell>
          <cell r="AM23">
            <v>793985250</v>
          </cell>
          <cell r="AN23">
            <v>1300443700</v>
          </cell>
          <cell r="AO23">
            <v>1665863650</v>
          </cell>
          <cell r="AP23">
            <v>246.19333887165462</v>
          </cell>
          <cell r="AQ23">
            <v>1804989800</v>
          </cell>
          <cell r="AR23">
            <v>2066330160</v>
          </cell>
          <cell r="AS23">
            <v>2834902920</v>
          </cell>
          <cell r="AT23">
            <v>2302077110</v>
          </cell>
          <cell r="AU23">
            <v>123.54953866061699</v>
          </cell>
          <cell r="AV23">
            <v>41695730</v>
          </cell>
          <cell r="AW23">
            <v>43732810</v>
          </cell>
          <cell r="AX23">
            <v>29309090</v>
          </cell>
          <cell r="AY23">
            <v>23904990</v>
          </cell>
          <cell r="AZ23">
            <v>2.5232819515391784</v>
          </cell>
          <cell r="BA23">
            <v>-120.12051825949845</v>
          </cell>
          <cell r="BC23">
            <v>26.665669999999999</v>
          </cell>
          <cell r="BD23">
            <v>18.487200000000001</v>
          </cell>
          <cell r="BE23">
            <v>13.72799</v>
          </cell>
          <cell r="BF23">
            <v>-214220220</v>
          </cell>
          <cell r="BG23">
            <v>-77570060</v>
          </cell>
          <cell r="BH23">
            <v>379833770</v>
          </cell>
          <cell r="BI23">
            <v>263866410</v>
          </cell>
          <cell r="BJ23">
            <v>5.2892841555550012E-2</v>
          </cell>
          <cell r="BK23">
            <v>-225878300</v>
          </cell>
          <cell r="BL23">
            <v>-220257120</v>
          </cell>
          <cell r="BM23">
            <v>-104387320</v>
          </cell>
          <cell r="BN23">
            <v>-48245970</v>
          </cell>
          <cell r="BO23">
            <v>-22680970</v>
          </cell>
          <cell r="BP23">
            <v>-307584650</v>
          </cell>
          <cell r="BQ23">
            <v>-62390640</v>
          </cell>
          <cell r="BR23">
            <v>1602772720</v>
          </cell>
          <cell r="BS23">
            <v>1693714090</v>
          </cell>
          <cell r="BT23">
            <v>1694296390</v>
          </cell>
          <cell r="BU23">
            <v>663694030</v>
          </cell>
          <cell r="BV23">
            <v>967629420</v>
          </cell>
          <cell r="BW23">
            <v>9.9206198629761336E-2</v>
          </cell>
          <cell r="BX23">
            <v>6.1881468006669903E-2</v>
          </cell>
          <cell r="BY23">
            <v>1114206730</v>
          </cell>
          <cell r="BZ23">
            <v>1328426940</v>
          </cell>
          <cell r="CA23">
            <v>1405997000</v>
          </cell>
          <cell r="CB23">
            <v>1026163230</v>
          </cell>
          <cell r="CC23" t="str">
            <v>NULL</v>
          </cell>
          <cell r="CD23" t="str">
            <v>NULL</v>
          </cell>
          <cell r="CE23" t="str">
            <v>NULL</v>
          </cell>
          <cell r="CF23" t="str">
            <v>NULL</v>
          </cell>
          <cell r="CG23" t="str">
            <v>NULL</v>
          </cell>
          <cell r="CH23" t="str">
            <v>NULL</v>
          </cell>
          <cell r="CI23" t="str">
            <v>NULL</v>
          </cell>
          <cell r="CJ23" t="str">
            <v>NULL</v>
          </cell>
          <cell r="CK23">
            <v>1114206730</v>
          </cell>
          <cell r="CL23">
            <v>1328426940</v>
          </cell>
          <cell r="CM23">
            <v>1405997000</v>
          </cell>
          <cell r="CN23">
            <v>1026163230</v>
          </cell>
          <cell r="CO23">
            <v>0.28875879244864078</v>
          </cell>
          <cell r="CP23">
            <v>-214220220</v>
          </cell>
          <cell r="CQ23">
            <v>258826170</v>
          </cell>
          <cell r="CR23">
            <v>824956290</v>
          </cell>
          <cell r="CS23">
            <v>-207284310</v>
          </cell>
          <cell r="CT23">
            <v>90806640</v>
          </cell>
          <cell r="CU23">
            <v>-87507750</v>
          </cell>
          <cell r="CV23">
            <v>15348840</v>
          </cell>
          <cell r="CW23">
            <v>-48131120</v>
          </cell>
          <cell r="CX23">
            <v>-1.8276605877991394</v>
          </cell>
          <cell r="CY23">
            <v>-0.32950737307524269</v>
          </cell>
          <cell r="CZ23">
            <v>4.9798298771383127</v>
          </cell>
          <cell r="DA23">
            <v>-3.2826999215035375</v>
          </cell>
          <cell r="DB23">
            <v>2.0376982610111676</v>
          </cell>
          <cell r="DC23">
            <v>-6.7012614634070067</v>
          </cell>
          <cell r="DD23">
            <v>1.3188963813848504</v>
          </cell>
          <cell r="DE23">
            <v>4.6322390888215654</v>
          </cell>
          <cell r="DG23">
            <v>28.572588464932501</v>
          </cell>
          <cell r="DH23">
            <v>333281049</v>
          </cell>
          <cell r="DI23">
            <v>56.300000000000004</v>
          </cell>
          <cell r="DJ23">
            <v>18763723058.700001</v>
          </cell>
          <cell r="DK23">
            <v>17388653028.700001</v>
          </cell>
          <cell r="DM23">
            <v>1114206730</v>
          </cell>
          <cell r="DN23" t="str">
            <v>NULL</v>
          </cell>
          <cell r="DO23" t="str">
            <v>NULL</v>
          </cell>
          <cell r="DP23">
            <v>108705790</v>
          </cell>
          <cell r="DQ23" t="str">
            <v>NULL</v>
          </cell>
          <cell r="DR23">
            <v>1005500940</v>
          </cell>
          <cell r="DS23">
            <v>18.661069634305861</v>
          </cell>
          <cell r="DT23">
            <v>-0.64276</v>
          </cell>
          <cell r="DU23">
            <v>-0.23275000000000001</v>
          </cell>
          <cell r="DV23">
            <v>1.13968</v>
          </cell>
          <cell r="DW23">
            <v>0.79171999999999998</v>
          </cell>
          <cell r="DX23">
            <v>1.05589</v>
          </cell>
          <cell r="DY23">
            <v>52.988474178181441</v>
          </cell>
          <cell r="DZ23">
            <v>2.8202293562529479</v>
          </cell>
          <cell r="EA23">
            <v>660044770</v>
          </cell>
          <cell r="EB23">
            <v>28.427955059321203</v>
          </cell>
          <cell r="EC23">
            <v>53.3199481006544</v>
          </cell>
          <cell r="ED23">
            <v>1.2079148267436699</v>
          </cell>
          <cell r="EE23">
            <v>1.20621321144604</v>
          </cell>
          <cell r="EG23">
            <v>0.48590609009429475</v>
          </cell>
          <cell r="EH23">
            <v>0.18124868545964823</v>
          </cell>
          <cell r="EK23" t="str">
            <v>NULL</v>
          </cell>
        </row>
        <row r="24">
          <cell r="A24" t="str">
            <v>COLO</v>
          </cell>
          <cell r="B24" t="str">
            <v>COL.BA</v>
          </cell>
          <cell r="C24" t="str">
            <v>COLORIN SA</v>
          </cell>
          <cell r="D24">
            <v>43190</v>
          </cell>
          <cell r="E24">
            <v>362047000</v>
          </cell>
          <cell r="F24">
            <v>333935000</v>
          </cell>
          <cell r="G24">
            <v>1.0841799999999999</v>
          </cell>
          <cell r="H24">
            <v>0.78703000000000001</v>
          </cell>
          <cell r="I24">
            <v>0.97157000000000004</v>
          </cell>
          <cell r="J24">
            <v>0.7147</v>
          </cell>
          <cell r="K24">
            <v>12.5</v>
          </cell>
          <cell r="L24">
            <v>0</v>
          </cell>
          <cell r="M24" t="str">
            <v>NULL</v>
          </cell>
          <cell r="N24">
            <v>0</v>
          </cell>
          <cell r="O24">
            <v>0</v>
          </cell>
          <cell r="Q24">
            <v>0</v>
          </cell>
          <cell r="S24">
            <v>39.695435535199998</v>
          </cell>
          <cell r="T24">
            <v>582.55492270100001</v>
          </cell>
          <cell r="U24">
            <v>43190</v>
          </cell>
          <cell r="V24">
            <v>391277000</v>
          </cell>
          <cell r="W24">
            <v>382739000</v>
          </cell>
          <cell r="X24">
            <v>349734000</v>
          </cell>
          <cell r="Y24">
            <v>333912000</v>
          </cell>
          <cell r="Z24">
            <v>49973000</v>
          </cell>
          <cell r="AA24">
            <v>7.8297680747603708</v>
          </cell>
          <cell r="AC24">
            <v>154430000</v>
          </cell>
          <cell r="AD24">
            <v>204898000</v>
          </cell>
          <cell r="AE24">
            <v>148565000</v>
          </cell>
          <cell r="AF24">
            <v>120815000</v>
          </cell>
          <cell r="AG24">
            <v>2.1564991478146553</v>
          </cell>
          <cell r="AH24">
            <v>124592000</v>
          </cell>
          <cell r="AI24">
            <v>174771000</v>
          </cell>
          <cell r="AJ24">
            <v>181385000</v>
          </cell>
          <cell r="AK24">
            <v>127052000</v>
          </cell>
          <cell r="AL24">
            <v>98243000</v>
          </cell>
          <cell r="AM24">
            <v>132259000</v>
          </cell>
          <cell r="AN24">
            <v>105680000</v>
          </cell>
          <cell r="AO24">
            <v>83702000</v>
          </cell>
          <cell r="AQ24">
            <v>249041000</v>
          </cell>
          <cell r="AR24">
            <v>250617000</v>
          </cell>
          <cell r="AS24">
            <v>210398000</v>
          </cell>
          <cell r="AT24">
            <v>199599000</v>
          </cell>
          <cell r="AU24">
            <v>132.02634410568976</v>
          </cell>
          <cell r="AV24">
            <v>99231000</v>
          </cell>
          <cell r="AW24">
            <v>93422000</v>
          </cell>
          <cell r="AX24">
            <v>95546000</v>
          </cell>
          <cell r="AY24">
            <v>81937000</v>
          </cell>
          <cell r="AZ24">
            <v>80.438668775185533</v>
          </cell>
          <cell r="BA24">
            <v>212.46501288087529</v>
          </cell>
          <cell r="BC24">
            <v>32.077019999999997</v>
          </cell>
          <cell r="BD24">
            <v>-9.2256999999999998</v>
          </cell>
          <cell r="BE24">
            <v>-15.29914</v>
          </cell>
          <cell r="BF24">
            <v>-11449000</v>
          </cell>
          <cell r="BG24">
            <v>-2658000</v>
          </cell>
          <cell r="BH24">
            <v>-51651000</v>
          </cell>
          <cell r="BI24">
            <v>-21317000</v>
          </cell>
          <cell r="BJ24">
            <v>-0.13849831718381189</v>
          </cell>
          <cell r="BK24">
            <v>-920000</v>
          </cell>
          <cell r="BL24">
            <v>-7334000</v>
          </cell>
          <cell r="BM24">
            <v>-1373000</v>
          </cell>
          <cell r="BN24">
            <v>-1069000</v>
          </cell>
          <cell r="BO24">
            <v>-989000</v>
          </cell>
          <cell r="BP24">
            <v>-1304000</v>
          </cell>
          <cell r="BQ24">
            <v>-82663000</v>
          </cell>
          <cell r="BR24">
            <v>-63933000</v>
          </cell>
          <cell r="BS24">
            <v>-28074000</v>
          </cell>
          <cell r="BT24">
            <v>-35730000</v>
          </cell>
          <cell r="BU24">
            <v>-18242000</v>
          </cell>
          <cell r="BV24">
            <v>-92495000</v>
          </cell>
          <cell r="BW24">
            <v>-0.14919326619034592</v>
          </cell>
          <cell r="BX24">
            <v>-0.2389442820077631</v>
          </cell>
          <cell r="BY24">
            <v>49973000</v>
          </cell>
          <cell r="BZ24">
            <v>12290000</v>
          </cell>
          <cell r="CA24">
            <v>14948000</v>
          </cell>
          <cell r="CB24">
            <v>66599000</v>
          </cell>
          <cell r="CC24" t="str">
            <v>NULL</v>
          </cell>
          <cell r="CD24" t="str">
            <v>NULL</v>
          </cell>
          <cell r="CE24" t="str">
            <v>NULL</v>
          </cell>
          <cell r="CF24" t="str">
            <v>NULL</v>
          </cell>
          <cell r="CG24" t="str">
            <v>NULL</v>
          </cell>
          <cell r="CH24" t="str">
            <v>NULL</v>
          </cell>
          <cell r="CI24" t="str">
            <v>NULL</v>
          </cell>
          <cell r="CJ24" t="str">
            <v>NULL</v>
          </cell>
          <cell r="CK24">
            <v>49973000</v>
          </cell>
          <cell r="CL24">
            <v>12290000</v>
          </cell>
          <cell r="CM24">
            <v>14948000</v>
          </cell>
          <cell r="CN24">
            <v>66599000</v>
          </cell>
          <cell r="CP24">
            <v>-11449000</v>
          </cell>
          <cell r="CQ24">
            <v>-17530000</v>
          </cell>
          <cell r="CR24">
            <v>-93156000</v>
          </cell>
          <cell r="CS24">
            <v>-41641000</v>
          </cell>
          <cell r="CT24">
            <v>1405000</v>
          </cell>
          <cell r="CU24">
            <v>-940000</v>
          </cell>
          <cell r="CV24">
            <v>-4213000</v>
          </cell>
          <cell r="CW24">
            <v>-4918000</v>
          </cell>
          <cell r="CX24">
            <v>0.34689104392470049</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12.9</v>
          </cell>
          <cell r="DJ24">
            <v>184921835.40000001</v>
          </cell>
          <cell r="DK24">
            <v>201465835.40000001</v>
          </cell>
          <cell r="DM24">
            <v>49973000</v>
          </cell>
          <cell r="DN24" t="str">
            <v>NULL</v>
          </cell>
          <cell r="DO24" t="str">
            <v>NULL</v>
          </cell>
          <cell r="DP24">
            <v>1427000</v>
          </cell>
          <cell r="DQ24" t="str">
            <v>NULL</v>
          </cell>
          <cell r="DR24">
            <v>48546000</v>
          </cell>
          <cell r="DS24">
            <v>3.8092084909158324</v>
          </cell>
          <cell r="DT24">
            <v>-0.79866999999999999</v>
          </cell>
          <cell r="DU24">
            <v>-0.18542</v>
          </cell>
          <cell r="DV24">
            <v>-3.6031300000000002</v>
          </cell>
          <cell r="DW24">
            <v>-1.48706</v>
          </cell>
          <cell r="DX24">
            <v>-6.0742799999999999</v>
          </cell>
          <cell r="DY24">
            <v>-2.0578570628946968</v>
          </cell>
          <cell r="DZ24">
            <v>0.29412992263499116</v>
          </cell>
          <cell r="EA24">
            <v>-93799000</v>
          </cell>
          <cell r="EB24">
            <v>-1.9714691563875948</v>
          </cell>
          <cell r="EC24" t="str">
            <v>NULL</v>
          </cell>
          <cell r="ED24">
            <v>-0.38811545571579498</v>
          </cell>
          <cell r="EE24">
            <v>-1.3485522574872E-2</v>
          </cell>
          <cell r="EG24">
            <v>0.56401218093639338</v>
          </cell>
          <cell r="EH24">
            <v>-0.22801272960708086</v>
          </cell>
          <cell r="EK24" t="str">
            <v>NULL</v>
          </cell>
        </row>
        <row r="25">
          <cell r="A25" t="str">
            <v>COME</v>
          </cell>
          <cell r="B25" t="str">
            <v>COM.BA</v>
          </cell>
          <cell r="C25" t="str">
            <v>SOCIEDAD COMERCIAL DEL PLATA SA</v>
          </cell>
          <cell r="D25">
            <v>43190</v>
          </cell>
          <cell r="E25">
            <v>2272296000</v>
          </cell>
          <cell r="F25">
            <v>2555894000</v>
          </cell>
          <cell r="G25">
            <v>0.88904000000000005</v>
          </cell>
          <cell r="H25">
            <v>0.74836000000000003</v>
          </cell>
          <cell r="I25">
            <v>0.98346999999999996</v>
          </cell>
          <cell r="J25">
            <v>0.81847999999999999</v>
          </cell>
          <cell r="K25">
            <v>3.87</v>
          </cell>
          <cell r="L25">
            <v>0</v>
          </cell>
          <cell r="M25" t="str">
            <v>NULL</v>
          </cell>
          <cell r="N25">
            <v>0</v>
          </cell>
          <cell r="O25">
            <v>0</v>
          </cell>
          <cell r="P25">
            <v>0</v>
          </cell>
          <cell r="Q25">
            <v>0</v>
          </cell>
          <cell r="S25">
            <v>39.500769040999998</v>
          </cell>
          <cell r="T25">
            <v>31.77853073</v>
          </cell>
          <cell r="U25">
            <v>43190</v>
          </cell>
          <cell r="V25">
            <v>4867946000</v>
          </cell>
          <cell r="W25">
            <v>4854775000</v>
          </cell>
          <cell r="X25">
            <v>4149681000</v>
          </cell>
          <cell r="Y25">
            <v>3848178000</v>
          </cell>
          <cell r="Z25">
            <v>1564286000</v>
          </cell>
          <cell r="AA25">
            <v>3.1119283813829441</v>
          </cell>
          <cell r="AC25">
            <v>646271000</v>
          </cell>
          <cell r="AD25" t="str">
            <v>NULL</v>
          </cell>
          <cell r="AE25">
            <v>897640000</v>
          </cell>
          <cell r="AF25">
            <v>692727000</v>
          </cell>
          <cell r="AG25">
            <v>0.63108333607086875</v>
          </cell>
          <cell r="AH25">
            <v>440519000</v>
          </cell>
          <cell r="AI25">
            <v>411854000</v>
          </cell>
          <cell r="AJ25">
            <v>499549000</v>
          </cell>
          <cell r="AK25">
            <v>547946000</v>
          </cell>
          <cell r="AL25">
            <v>540479000</v>
          </cell>
          <cell r="AM25" t="str">
            <v>NULL</v>
          </cell>
          <cell r="AN25">
            <v>653620000</v>
          </cell>
          <cell r="AO25">
            <v>537380000</v>
          </cell>
          <cell r="AP25">
            <v>100.12420306570279</v>
          </cell>
          <cell r="AQ25">
            <v>344966000</v>
          </cell>
          <cell r="AR25">
            <v>351918000</v>
          </cell>
          <cell r="AS25">
            <v>460947000</v>
          </cell>
          <cell r="AT25">
            <v>407413000</v>
          </cell>
          <cell r="AU25">
            <v>63.858574789483143</v>
          </cell>
          <cell r="AV25">
            <v>359561000</v>
          </cell>
          <cell r="AW25">
            <v>419917000</v>
          </cell>
          <cell r="AX25">
            <v>452564000</v>
          </cell>
          <cell r="AY25">
            <v>502218000</v>
          </cell>
          <cell r="AZ25">
            <v>91.396560397209541</v>
          </cell>
          <cell r="BA25">
            <v>55.130932120989897</v>
          </cell>
          <cell r="BC25">
            <v>13.844670000000001</v>
          </cell>
          <cell r="BD25">
            <v>-16.247969999999999</v>
          </cell>
          <cell r="BE25">
            <v>-15.699020000000001</v>
          </cell>
          <cell r="BF25">
            <v>-68809000</v>
          </cell>
          <cell r="BG25" t="str">
            <v>NULL</v>
          </cell>
          <cell r="BH25">
            <v>-41725000</v>
          </cell>
          <cell r="BI25">
            <v>-122409000</v>
          </cell>
          <cell r="BJ25">
            <v>-0.10414872679441196</v>
          </cell>
          <cell r="BK25">
            <v>-162040000</v>
          </cell>
          <cell r="BL25">
            <v>-431917000</v>
          </cell>
          <cell r="BM25">
            <v>-376537000</v>
          </cell>
          <cell r="BN25">
            <v>-196823000</v>
          </cell>
          <cell r="BO25">
            <v>-82528000</v>
          </cell>
          <cell r="BP25">
            <v>-456049000</v>
          </cell>
          <cell r="BQ25">
            <v>109281000</v>
          </cell>
          <cell r="BR25">
            <v>330680000</v>
          </cell>
          <cell r="BS25">
            <v>-39148000</v>
          </cell>
          <cell r="BT25">
            <v>26823000</v>
          </cell>
          <cell r="BU25">
            <v>-6415000</v>
          </cell>
          <cell r="BV25">
            <v>76548000</v>
          </cell>
          <cell r="BW25">
            <v>-0.16967475291039497</v>
          </cell>
          <cell r="BX25">
            <v>-5.2581348917473354E-2</v>
          </cell>
          <cell r="BY25">
            <v>1564286000</v>
          </cell>
          <cell r="BZ25">
            <v>1631504000</v>
          </cell>
          <cell r="CA25">
            <v>1628529000</v>
          </cell>
          <cell r="CB25">
            <v>1667410000</v>
          </cell>
          <cell r="CC25" t="str">
            <v>NULL</v>
          </cell>
          <cell r="CD25" t="str">
            <v>NULL</v>
          </cell>
          <cell r="CE25" t="str">
            <v>NULL</v>
          </cell>
          <cell r="CF25" t="str">
            <v>NULL</v>
          </cell>
          <cell r="CG25" t="str">
            <v>NULL</v>
          </cell>
          <cell r="CH25" t="str">
            <v>NULL</v>
          </cell>
          <cell r="CI25" t="str">
            <v>NULL</v>
          </cell>
          <cell r="CJ25" t="str">
            <v>NULL</v>
          </cell>
          <cell r="CK25">
            <v>1564286000</v>
          </cell>
          <cell r="CL25">
            <v>1631504000</v>
          </cell>
          <cell r="CM25">
            <v>1628529000</v>
          </cell>
          <cell r="CN25">
            <v>1667410000</v>
          </cell>
          <cell r="CO25">
            <v>-0.14353217763711332</v>
          </cell>
          <cell r="CP25">
            <v>-68809000</v>
          </cell>
          <cell r="CQ25">
            <v>-52320000</v>
          </cell>
          <cell r="CR25">
            <v>-367257000</v>
          </cell>
          <cell r="CS25">
            <v>42047000</v>
          </cell>
          <cell r="CT25">
            <v>359842000</v>
          </cell>
          <cell r="CU25">
            <v>259318000</v>
          </cell>
          <cell r="CV25">
            <v>104380000</v>
          </cell>
          <cell r="CW25">
            <v>912186000</v>
          </cell>
          <cell r="CX25">
            <v>-0.31515672782874615</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15831014700</v>
          </cell>
          <cell r="DI25">
            <v>3.9</v>
          </cell>
          <cell r="DJ25">
            <v>6174095733</v>
          </cell>
          <cell r="DK25">
            <v>12199726080.6408</v>
          </cell>
          <cell r="DM25">
            <v>1564286000</v>
          </cell>
          <cell r="DN25" t="str">
            <v>NULL</v>
          </cell>
          <cell r="DO25" t="str">
            <v>NULL</v>
          </cell>
          <cell r="DP25">
            <v>1257000</v>
          </cell>
          <cell r="DQ25" t="str">
            <v>NULL</v>
          </cell>
          <cell r="DR25">
            <v>1563029000</v>
          </cell>
          <cell r="DS25">
            <v>3.9500839287050975</v>
          </cell>
          <cell r="DT25">
            <v>-0.43467</v>
          </cell>
          <cell r="DU25" t="str">
            <v>NULL</v>
          </cell>
          <cell r="DV25">
            <v>-0.27</v>
          </cell>
          <cell r="DW25">
            <v>-0.77325999999999995</v>
          </cell>
          <cell r="DX25">
            <v>-1.47793</v>
          </cell>
          <cell r="DY25">
            <v>-2.6185272644847863</v>
          </cell>
          <cell r="DZ25">
            <v>2.760435856405909</v>
          </cell>
          <cell r="EA25">
            <v>-379501000</v>
          </cell>
          <cell r="EB25">
            <v>-16.268984094903569</v>
          </cell>
          <cell r="EC25" t="str">
            <v>NULL</v>
          </cell>
          <cell r="ED25">
            <v>0.82012739799055401</v>
          </cell>
          <cell r="EE25">
            <v>0.92663706291998504</v>
          </cell>
          <cell r="EG25">
            <v>0.51554701758921895</v>
          </cell>
          <cell r="EH25">
            <v>7.5715890601106839E-3</v>
          </cell>
          <cell r="EK25" t="str">
            <v>NULL</v>
          </cell>
        </row>
        <row r="26">
          <cell r="A26" t="str">
            <v>CRES</v>
          </cell>
          <cell r="B26" t="str">
            <v>CRE.BA</v>
          </cell>
          <cell r="C26" t="str">
            <v>CRESUD SACIF Y A</v>
          </cell>
          <cell r="D26">
            <v>43190</v>
          </cell>
          <cell r="E26">
            <v>89865000000</v>
          </cell>
          <cell r="F26">
            <v>59493000000</v>
          </cell>
          <cell r="G26">
            <v>1.51051</v>
          </cell>
          <cell r="H26">
            <v>1.34666</v>
          </cell>
          <cell r="I26">
            <v>1.5050300000000001</v>
          </cell>
          <cell r="J26">
            <v>1.34633</v>
          </cell>
          <cell r="K26">
            <v>47.5</v>
          </cell>
          <cell r="L26">
            <v>0</v>
          </cell>
          <cell r="M26">
            <v>0</v>
          </cell>
          <cell r="N26">
            <v>0</v>
          </cell>
          <cell r="O26">
            <v>0.78741000000000005</v>
          </cell>
          <cell r="P26">
            <v>0.78741000000000005</v>
          </cell>
          <cell r="Q26">
            <v>1.6577052631578947E-2</v>
          </cell>
          <cell r="S26">
            <v>885.82844688909995</v>
          </cell>
          <cell r="T26">
            <v>794.802784223</v>
          </cell>
          <cell r="U26">
            <v>43190</v>
          </cell>
          <cell r="V26">
            <v>295258000000</v>
          </cell>
          <cell r="W26">
            <v>272904000000</v>
          </cell>
          <cell r="X26">
            <v>250310000000</v>
          </cell>
          <cell r="Y26">
            <v>241446000000</v>
          </cell>
          <cell r="Z26">
            <v>19271000000</v>
          </cell>
          <cell r="AA26">
            <v>15.321363707124695</v>
          </cell>
          <cell r="AC26">
            <v>23704000000</v>
          </cell>
          <cell r="AD26">
            <v>24250000000</v>
          </cell>
          <cell r="AE26">
            <v>21676000000</v>
          </cell>
          <cell r="AF26">
            <v>20195000000</v>
          </cell>
          <cell r="AG26">
            <v>0.42373559246928516</v>
          </cell>
          <cell r="AH26">
            <v>27437000000</v>
          </cell>
          <cell r="AI26">
            <v>25741000000</v>
          </cell>
          <cell r="AJ26">
            <v>18224000000</v>
          </cell>
          <cell r="AK26">
            <v>18877000000</v>
          </cell>
          <cell r="AL26">
            <v>16377000000</v>
          </cell>
          <cell r="AM26">
            <v>16772000000</v>
          </cell>
          <cell r="AN26">
            <v>14860000000</v>
          </cell>
          <cell r="AO26">
            <v>14317000000</v>
          </cell>
          <cell r="AP26">
            <v>132.17531607996662</v>
          </cell>
          <cell r="AQ26">
            <v>19081000000</v>
          </cell>
          <cell r="AR26">
            <v>18714000000</v>
          </cell>
          <cell r="AS26">
            <v>12918000000</v>
          </cell>
          <cell r="AT26">
            <v>13763000000</v>
          </cell>
          <cell r="AU26">
            <v>65.498858892290556</v>
          </cell>
          <cell r="AV26">
            <v>9748000000</v>
          </cell>
          <cell r="AW26">
            <v>8810000000</v>
          </cell>
          <cell r="AX26">
            <v>8245000000</v>
          </cell>
          <cell r="AY26">
            <v>6844000000</v>
          </cell>
          <cell r="AZ26">
            <v>49.261764753072555</v>
          </cell>
          <cell r="BA26">
            <v>-17.414692434603509</v>
          </cell>
          <cell r="BC26">
            <v>26.988630000000001</v>
          </cell>
          <cell r="BD26">
            <v>12.73775</v>
          </cell>
          <cell r="BE26">
            <v>-1.93408</v>
          </cell>
          <cell r="BF26">
            <v>203000000</v>
          </cell>
          <cell r="BG26">
            <v>4198000000</v>
          </cell>
          <cell r="BH26">
            <v>208000000</v>
          </cell>
          <cell r="BI26">
            <v>515000000</v>
          </cell>
          <cell r="BJ26">
            <v>5.70442527136098E-2</v>
          </cell>
          <cell r="BK26">
            <v>-3686000000</v>
          </cell>
          <cell r="BL26">
            <v>-2237000000</v>
          </cell>
          <cell r="BM26">
            <v>-1310000000</v>
          </cell>
          <cell r="BN26">
            <v>-4153000000</v>
          </cell>
          <cell r="BO26">
            <v>-3027000000</v>
          </cell>
          <cell r="BP26">
            <v>-1969000000</v>
          </cell>
          <cell r="BQ26">
            <v>8704000000</v>
          </cell>
          <cell r="BR26">
            <v>5962000000</v>
          </cell>
          <cell r="BS26">
            <v>2454000000</v>
          </cell>
          <cell r="BT26">
            <v>9084000000</v>
          </cell>
          <cell r="BU26">
            <v>5890000000</v>
          </cell>
          <cell r="BV26">
            <v>5268000000</v>
          </cell>
          <cell r="BW26">
            <v>3.6726969106596161E-2</v>
          </cell>
          <cell r="BX26">
            <v>1.9337344964421774E-2</v>
          </cell>
          <cell r="BY26">
            <v>19271000000</v>
          </cell>
          <cell r="BZ26">
            <v>19395000000</v>
          </cell>
          <cell r="CA26">
            <v>16600000000</v>
          </cell>
          <cell r="CB26">
            <v>16405000000</v>
          </cell>
          <cell r="CC26" t="str">
            <v>NULL</v>
          </cell>
          <cell r="CD26" t="str">
            <v>NULL</v>
          </cell>
          <cell r="CE26" t="str">
            <v>NULL</v>
          </cell>
          <cell r="CF26" t="str">
            <v>NULL</v>
          </cell>
          <cell r="CG26" t="str">
            <v>NULL</v>
          </cell>
          <cell r="CH26" t="str">
            <v>NULL</v>
          </cell>
          <cell r="CI26" t="str">
            <v>NULL</v>
          </cell>
          <cell r="CJ26" t="str">
            <v>NULL</v>
          </cell>
          <cell r="CK26">
            <v>19271000000</v>
          </cell>
          <cell r="CL26">
            <v>19395000000</v>
          </cell>
          <cell r="CM26">
            <v>16600000000</v>
          </cell>
          <cell r="CN26">
            <v>16405000000</v>
          </cell>
          <cell r="CO26">
            <v>0.2859734062591564</v>
          </cell>
          <cell r="CP26">
            <v>203000000</v>
          </cell>
          <cell r="CQ26">
            <v>1262000000</v>
          </cell>
          <cell r="CR26">
            <v>-1507000000</v>
          </cell>
          <cell r="CS26">
            <v>4359000000</v>
          </cell>
          <cell r="CT26">
            <v>114009000</v>
          </cell>
          <cell r="CU26">
            <v>-888382000</v>
          </cell>
          <cell r="CV26">
            <v>-26907000</v>
          </cell>
          <cell r="CW26">
            <v>-21329000</v>
          </cell>
          <cell r="CX26">
            <v>-0.83914421553090335</v>
          </cell>
          <cell r="CY26">
            <v>0.9476304295279615</v>
          </cell>
          <cell r="CZ26">
            <v>-1.3457214957559074</v>
          </cell>
          <cell r="DA26">
            <v>37.233823645501673</v>
          </cell>
          <cell r="DB26">
            <v>1.1283333070683557</v>
          </cell>
          <cell r="DC26">
            <v>-32.016761437544133</v>
          </cell>
          <cell r="DD26">
            <v>-0.26152187163017482</v>
          </cell>
          <cell r="DE26">
            <v>24.546349602045801</v>
          </cell>
          <cell r="DG26">
            <v>15.1160962202345</v>
          </cell>
          <cell r="DH26">
            <v>505476156</v>
          </cell>
          <cell r="DI26">
            <v>46.6</v>
          </cell>
          <cell r="DJ26">
            <v>23376554666.400002</v>
          </cell>
          <cell r="DK26">
            <v>180486188869.60001</v>
          </cell>
          <cell r="DM26">
            <v>19271000000</v>
          </cell>
          <cell r="DN26" t="str">
            <v>NULL</v>
          </cell>
          <cell r="DO26" t="str">
            <v>NULL</v>
          </cell>
          <cell r="DP26">
            <v>9706000000</v>
          </cell>
          <cell r="DQ26">
            <v>4171000000</v>
          </cell>
          <cell r="DR26">
            <v>5394000000</v>
          </cell>
          <cell r="DS26">
            <v>4.3338069459399335</v>
          </cell>
          <cell r="DT26">
            <v>0.40921000000000002</v>
          </cell>
          <cell r="DU26">
            <v>8.4623899999999992</v>
          </cell>
          <cell r="DV26">
            <v>0.41929</v>
          </cell>
          <cell r="DW26">
            <v>1.0381400000000001</v>
          </cell>
          <cell r="DX26">
            <v>10.329029999999999</v>
          </cell>
          <cell r="DY26">
            <v>4.5986893251350809</v>
          </cell>
          <cell r="DZ26">
            <v>0.26024552926690792</v>
          </cell>
          <cell r="EA26">
            <v>3299000000</v>
          </cell>
          <cell r="EB26">
            <v>7.08595170245529</v>
          </cell>
          <cell r="EC26">
            <v>4.5115562642377798</v>
          </cell>
          <cell r="ED26">
            <v>0.71155360445018301</v>
          </cell>
          <cell r="EE26">
            <v>0.75963245536742197</v>
          </cell>
          <cell r="EG26">
            <v>0.43971669003095126</v>
          </cell>
          <cell r="EH26">
            <v>4.7984203688151483E-2</v>
          </cell>
          <cell r="EK26">
            <v>1.6897271886266101</v>
          </cell>
        </row>
        <row r="27">
          <cell r="A27" t="str">
            <v>CTIO</v>
          </cell>
          <cell r="B27" t="str">
            <v>CON.BA</v>
          </cell>
          <cell r="C27" t="str">
            <v>CONSULTATIO SA</v>
          </cell>
          <cell r="D27">
            <v>43190</v>
          </cell>
          <cell r="E27">
            <v>7484019000</v>
          </cell>
          <cell r="F27">
            <v>2848428000</v>
          </cell>
          <cell r="G27">
            <v>2.6274199999999999</v>
          </cell>
          <cell r="H27">
            <v>1.3475900000000001</v>
          </cell>
          <cell r="I27">
            <v>3.9684400000000002</v>
          </cell>
          <cell r="J27">
            <v>2.9318399999999998</v>
          </cell>
          <cell r="K27">
            <v>40</v>
          </cell>
          <cell r="L27">
            <v>0</v>
          </cell>
          <cell r="M27">
            <v>0</v>
          </cell>
          <cell r="N27">
            <v>0</v>
          </cell>
          <cell r="O27">
            <v>0.58550000000000002</v>
          </cell>
          <cell r="P27">
            <v>0.58550000000000002</v>
          </cell>
          <cell r="Q27">
            <v>1.4637500000000001E-2</v>
          </cell>
          <cell r="S27">
            <v>0</v>
          </cell>
          <cell r="T27">
            <v>11.9016881546</v>
          </cell>
          <cell r="U27">
            <v>43190</v>
          </cell>
          <cell r="V27">
            <v>18688516000</v>
          </cell>
          <cell r="W27">
            <v>21489215000</v>
          </cell>
          <cell r="X27">
            <v>19203009000</v>
          </cell>
          <cell r="Y27">
            <v>19045670000</v>
          </cell>
          <cell r="Z27">
            <v>10604961000</v>
          </cell>
          <cell r="AA27">
            <v>1.7622427842968966</v>
          </cell>
          <cell r="AC27">
            <v>717644000</v>
          </cell>
          <cell r="AD27">
            <v>526631000</v>
          </cell>
          <cell r="AE27">
            <v>816466000</v>
          </cell>
          <cell r="AF27">
            <v>1313264000</v>
          </cell>
          <cell r="AG27">
            <v>0.21510631061090829</v>
          </cell>
          <cell r="AH27">
            <v>175142000</v>
          </cell>
          <cell r="AI27">
            <v>235230000</v>
          </cell>
          <cell r="AJ27">
            <v>235237000</v>
          </cell>
          <cell r="AK27">
            <v>281939000</v>
          </cell>
          <cell r="AL27">
            <v>332288000</v>
          </cell>
          <cell r="AM27">
            <v>228867000</v>
          </cell>
          <cell r="AN27">
            <v>429174000</v>
          </cell>
          <cell r="AO27">
            <v>545690000</v>
          </cell>
          <cell r="AP27">
            <v>55.102674511187686</v>
          </cell>
          <cell r="AQ27">
            <v>15164000</v>
          </cell>
          <cell r="AR27">
            <v>17276000</v>
          </cell>
          <cell r="AS27">
            <v>23015000</v>
          </cell>
          <cell r="AT27">
            <v>21355000</v>
          </cell>
          <cell r="AU27">
            <v>2.0773272416608748</v>
          </cell>
          <cell r="AV27">
            <v>3645520000</v>
          </cell>
          <cell r="AW27">
            <v>3622750000</v>
          </cell>
          <cell r="AX27">
            <v>3474249000</v>
          </cell>
          <cell r="AY27">
            <v>3656775000</v>
          </cell>
          <cell r="AZ27">
            <v>855.41622694771354</v>
          </cell>
          <cell r="BA27">
            <v>802.39087967818671</v>
          </cell>
          <cell r="BC27">
            <v>56.622399999999999</v>
          </cell>
          <cell r="BD27">
            <v>46.149979999999999</v>
          </cell>
          <cell r="BE27">
            <v>22.514810000000001</v>
          </cell>
          <cell r="BF27">
            <v>319415000</v>
          </cell>
          <cell r="BG27">
            <v>851099000</v>
          </cell>
          <cell r="BH27">
            <v>310119000</v>
          </cell>
          <cell r="BI27">
            <v>267522000</v>
          </cell>
          <cell r="BJ27">
            <v>0.5181246026606362</v>
          </cell>
          <cell r="BK27">
            <v>-158843000</v>
          </cell>
          <cell r="BL27">
            <v>-98351000</v>
          </cell>
          <cell r="BM27">
            <v>-157174000</v>
          </cell>
          <cell r="BN27">
            <v>-78803000</v>
          </cell>
          <cell r="BO27">
            <v>-362000</v>
          </cell>
          <cell r="BP27">
            <v>-315655000</v>
          </cell>
          <cell r="BQ27">
            <v>-1512489000</v>
          </cell>
          <cell r="BR27">
            <v>7133617000</v>
          </cell>
          <cell r="BS27">
            <v>4188554000</v>
          </cell>
          <cell r="BT27">
            <v>3997073000</v>
          </cell>
          <cell r="BU27">
            <v>9204258000</v>
          </cell>
          <cell r="BV27">
            <v>-6528193000</v>
          </cell>
          <cell r="BW27">
            <v>-2.0284048186057815</v>
          </cell>
          <cell r="BX27">
            <v>8.9161546473949277E-2</v>
          </cell>
          <cell r="BY27">
            <v>10604961000</v>
          </cell>
          <cell r="BZ27">
            <v>9871608000</v>
          </cell>
          <cell r="CA27">
            <v>8633942000</v>
          </cell>
          <cell r="CB27">
            <v>8157355000</v>
          </cell>
          <cell r="CC27" t="str">
            <v>NULL</v>
          </cell>
          <cell r="CD27" t="str">
            <v>NULL</v>
          </cell>
          <cell r="CE27" t="str">
            <v>NULL</v>
          </cell>
          <cell r="CF27" t="str">
            <v>NULL</v>
          </cell>
          <cell r="CG27" t="str">
            <v>NULL</v>
          </cell>
          <cell r="CH27" t="str">
            <v>NULL</v>
          </cell>
          <cell r="CI27" t="str">
            <v>NULL</v>
          </cell>
          <cell r="CJ27" t="str">
            <v>NULL</v>
          </cell>
          <cell r="CK27">
            <v>10604961000</v>
          </cell>
          <cell r="CL27">
            <v>9871608000</v>
          </cell>
          <cell r="CM27">
            <v>8633942000</v>
          </cell>
          <cell r="CN27">
            <v>8157355000</v>
          </cell>
          <cell r="CO27">
            <v>0.18763134975316267</v>
          </cell>
          <cell r="CP27">
            <v>319415000</v>
          </cell>
          <cell r="CQ27">
            <v>860486000</v>
          </cell>
          <cell r="CR27">
            <v>2289227000</v>
          </cell>
          <cell r="CS27">
            <v>1537216000</v>
          </cell>
          <cell r="CT27">
            <v>1908698000</v>
          </cell>
          <cell r="CU27">
            <v>956937000</v>
          </cell>
          <cell r="CV27">
            <v>89123000</v>
          </cell>
          <cell r="CW27">
            <v>20389000</v>
          </cell>
          <cell r="CX27">
            <v>-0.62879698217054081</v>
          </cell>
          <cell r="CY27">
            <v>2.8795123795472328</v>
          </cell>
          <cell r="CZ27">
            <v>0.48920320891793989</v>
          </cell>
          <cell r="DA27">
            <v>-0.19462586538048454</v>
          </cell>
          <cell r="DB27">
            <v>0.99459107548354808</v>
          </cell>
          <cell r="DC27">
            <v>9.7372619862437304</v>
          </cell>
          <cell r="DD27">
            <v>3.3711314924714308</v>
          </cell>
          <cell r="DE27">
            <v>4.0616268668777673</v>
          </cell>
          <cell r="DG27">
            <v>16.147373610014299</v>
          </cell>
          <cell r="DH27">
            <v>409906729</v>
          </cell>
          <cell r="DI27">
            <v>41.300000000000004</v>
          </cell>
          <cell r="DJ27">
            <v>16929147907.700001</v>
          </cell>
          <cell r="DK27">
            <v>17401297907.700001</v>
          </cell>
          <cell r="DM27">
            <v>10604961000</v>
          </cell>
          <cell r="DN27" t="str">
            <v>NULL</v>
          </cell>
          <cell r="DO27" t="str">
            <v>NULL</v>
          </cell>
          <cell r="DP27" t="str">
            <v>NULL</v>
          </cell>
          <cell r="DQ27" t="str">
            <v>NULL</v>
          </cell>
          <cell r="DR27">
            <v>10604961000</v>
          </cell>
          <cell r="DS27">
            <v>1.596342306935405</v>
          </cell>
          <cell r="DT27">
            <v>0.77924000000000004</v>
          </cell>
          <cell r="DU27">
            <v>2.0735399999999999</v>
          </cell>
          <cell r="DV27">
            <v>2.1</v>
          </cell>
          <cell r="DW27">
            <v>0.65264</v>
          </cell>
          <cell r="DX27">
            <v>5.6054200000000005</v>
          </cell>
          <cell r="DY27">
            <v>7.1359505621345045</v>
          </cell>
          <cell r="DZ27">
            <v>5.0175230646368343</v>
          </cell>
          <cell r="EA27">
            <v>-6843848000</v>
          </cell>
          <cell r="EB27">
            <v>-2.4736300262220903</v>
          </cell>
          <cell r="EC27">
            <v>7.3678689554038703</v>
          </cell>
          <cell r="ED27">
            <v>0.95835075951061</v>
          </cell>
          <cell r="EE27">
            <v>0.92952527219701797</v>
          </cell>
          <cell r="EG27">
            <v>0.40928438992198507</v>
          </cell>
          <cell r="EH27">
            <v>6.8511191660157733E-2</v>
          </cell>
          <cell r="EK27">
            <v>2.1265098619854701</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53</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4.5779912505638301</v>
          </cell>
          <cell r="DH28">
            <v>78917002</v>
          </cell>
          <cell r="DI28">
            <v>52</v>
          </cell>
          <cell r="DJ28">
            <v>10522266976</v>
          </cell>
          <cell r="DK28">
            <v>2963590104</v>
          </cell>
          <cell r="DM28">
            <v>823899000</v>
          </cell>
          <cell r="DN28" t="str">
            <v>NULL</v>
          </cell>
          <cell r="DO28" t="str">
            <v>NULL</v>
          </cell>
          <cell r="DP28">
            <v>40993000</v>
          </cell>
          <cell r="DQ28" t="str">
            <v>NULL</v>
          </cell>
          <cell r="DR28">
            <v>782906000</v>
          </cell>
          <cell r="DS28">
            <v>13.440013202095782</v>
          </cell>
          <cell r="DT28">
            <v>0.78946000000000005</v>
          </cell>
          <cell r="DU28">
            <v>0.40522000000000002</v>
          </cell>
          <cell r="DV28">
            <v>-0.10983</v>
          </cell>
          <cell r="DW28">
            <v>0.57489000000000001</v>
          </cell>
          <cell r="DX28">
            <v>1.6597399999999998</v>
          </cell>
          <cell r="DY28">
            <v>31.932712352537148</v>
          </cell>
          <cell r="DZ28">
            <v>3.4842578179403931</v>
          </cell>
          <cell r="EA28">
            <v>-463537000</v>
          </cell>
          <cell r="EB28">
            <v>-22.699950545479648</v>
          </cell>
          <cell r="EC28">
            <v>31.330208345885499</v>
          </cell>
          <cell r="ED28">
            <v>1.71420306897869</v>
          </cell>
          <cell r="EE28">
            <v>1.5583861854083101</v>
          </cell>
          <cell r="EG28">
            <v>0.43527875696161022</v>
          </cell>
          <cell r="EH28">
            <v>9.1916974784634453E-2</v>
          </cell>
          <cell r="EK28">
            <v>5.8922663853846204</v>
          </cell>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9.5</v>
          </cell>
          <cell r="L29">
            <v>0</v>
          </cell>
          <cell r="M29">
            <v>0</v>
          </cell>
          <cell r="N29">
            <v>0</v>
          </cell>
          <cell r="O29">
            <v>0</v>
          </cell>
          <cell r="Q29">
            <v>0</v>
          </cell>
          <cell r="S29">
            <v>10.304168155999999</v>
          </cell>
          <cell r="T29">
            <v>5.1946725860000003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5.2251563796157301</v>
          </cell>
          <cell r="DH29">
            <v>19000000</v>
          </cell>
          <cell r="DI29">
            <v>9.5</v>
          </cell>
          <cell r="DJ29">
            <v>180500000</v>
          </cell>
          <cell r="DK29">
            <v>186446120</v>
          </cell>
          <cell r="DM29">
            <v>80875330</v>
          </cell>
          <cell r="DN29" t="str">
            <v>NULL</v>
          </cell>
          <cell r="DO29" t="str">
            <v>NULL</v>
          </cell>
          <cell r="DP29" t="str">
            <v>NULL</v>
          </cell>
          <cell r="DQ29" t="str">
            <v>NULL</v>
          </cell>
          <cell r="DR29">
            <v>80875330</v>
          </cell>
          <cell r="DS29">
            <v>2.2318301514194747</v>
          </cell>
          <cell r="DT29">
            <v>5.0549999999999998E-2</v>
          </cell>
          <cell r="DU29">
            <v>0.33437</v>
          </cell>
          <cell r="DV29">
            <v>0.16045999999999999</v>
          </cell>
          <cell r="DW29">
            <v>0.14710000000000001</v>
          </cell>
          <cell r="DX29">
            <v>0.69247999999999998</v>
          </cell>
          <cell r="DY29">
            <v>13.718807763401109</v>
          </cell>
          <cell r="DZ29">
            <v>0.54844496406439713</v>
          </cell>
          <cell r="EA29" t="e">
            <v>#VALUE!</v>
          </cell>
          <cell r="EB29" t="e">
            <v>#VALUE!</v>
          </cell>
          <cell r="EC29">
            <v>13.718807763401101</v>
          </cell>
          <cell r="ED29" t="str">
            <v>NULL</v>
          </cell>
          <cell r="EE29" t="str">
            <v>NULL</v>
          </cell>
          <cell r="EG29">
            <v>0.40196358706086388</v>
          </cell>
          <cell r="EH29">
            <v>-6.9346430681692994E-2</v>
          </cell>
          <cell r="EK29" t="str">
            <v>NULL</v>
          </cell>
        </row>
        <row r="30">
          <cell r="A30" t="str">
            <v>DYCA</v>
          </cell>
          <cell r="B30" t="str">
            <v>DYC.BA</v>
          </cell>
          <cell r="C30" t="str">
            <v>DYCASA SA</v>
          </cell>
          <cell r="D30">
            <v>43190</v>
          </cell>
          <cell r="E30">
            <v>1451243060</v>
          </cell>
          <cell r="F30">
            <v>1045725190</v>
          </cell>
          <cell r="G30">
            <v>1.3877900000000001</v>
          </cell>
          <cell r="H30">
            <v>1.3409800000000001</v>
          </cell>
          <cell r="I30">
            <v>1.45685</v>
          </cell>
          <cell r="J30">
            <v>1.3978900000000001</v>
          </cell>
          <cell r="K30">
            <v>34.5</v>
          </cell>
          <cell r="L30">
            <v>0</v>
          </cell>
          <cell r="M30" t="str">
            <v>NULL</v>
          </cell>
          <cell r="N30">
            <v>0</v>
          </cell>
          <cell r="O30">
            <v>0</v>
          </cell>
          <cell r="P30">
            <v>0</v>
          </cell>
          <cell r="Q30">
            <v>0</v>
          </cell>
          <cell r="S30">
            <v>40.522728451399999</v>
          </cell>
          <cell r="T30">
            <v>27.656658331599999</v>
          </cell>
          <cell r="U30">
            <v>43190</v>
          </cell>
          <cell r="V30">
            <v>1685876400</v>
          </cell>
          <cell r="W30">
            <v>1548095810</v>
          </cell>
          <cell r="X30">
            <v>1565547030</v>
          </cell>
          <cell r="Y30">
            <v>1421061120</v>
          </cell>
          <cell r="Z30">
            <v>421875640</v>
          </cell>
          <cell r="AA30">
            <v>3.9961454043660827</v>
          </cell>
          <cell r="AC30">
            <v>633558290</v>
          </cell>
          <cell r="AD30">
            <v>694926980</v>
          </cell>
          <cell r="AE30">
            <v>612933330</v>
          </cell>
          <cell r="AF30">
            <v>498047710</v>
          </cell>
          <cell r="AG30">
            <v>1.9607892122004393</v>
          </cell>
          <cell r="AH30">
            <v>699217310</v>
          </cell>
          <cell r="AI30">
            <v>609039570</v>
          </cell>
          <cell r="AJ30">
            <v>771315320</v>
          </cell>
          <cell r="AK30">
            <v>610545460</v>
          </cell>
          <cell r="AL30">
            <v>573247920</v>
          </cell>
          <cell r="AM30">
            <v>536604060</v>
          </cell>
          <cell r="AN30">
            <v>544607030</v>
          </cell>
          <cell r="AO30">
            <v>421063280</v>
          </cell>
          <cell r="AP30">
            <v>118.27058550886484</v>
          </cell>
          <cell r="AQ30">
            <v>875719500</v>
          </cell>
          <cell r="AR30">
            <v>952217610</v>
          </cell>
          <cell r="AS30">
            <v>981598090</v>
          </cell>
          <cell r="AT30">
            <v>936731680</v>
          </cell>
          <cell r="AU30">
            <v>140.13181956999438</v>
          </cell>
          <cell r="AV30">
            <v>48948790</v>
          </cell>
          <cell r="AW30">
            <v>53686130</v>
          </cell>
          <cell r="AX30">
            <v>56732610</v>
          </cell>
          <cell r="AY30">
            <v>61328070</v>
          </cell>
          <cell r="AZ30">
            <v>9.7028461689033456</v>
          </cell>
          <cell r="BA30">
            <v>31.564080230032872</v>
          </cell>
          <cell r="BC30">
            <v>16.300930000000001</v>
          </cell>
          <cell r="BD30">
            <v>6.8524599999999998</v>
          </cell>
          <cell r="BE30">
            <v>3.4889000000000001</v>
          </cell>
          <cell r="BF30">
            <v>18733650</v>
          </cell>
          <cell r="BG30">
            <v>48667020</v>
          </cell>
          <cell r="BH30">
            <v>3667580</v>
          </cell>
          <cell r="BI30">
            <v>16721480</v>
          </cell>
          <cell r="BJ30">
            <v>3.5987268871116321E-2</v>
          </cell>
          <cell r="BK30">
            <v>-13118300</v>
          </cell>
          <cell r="BL30">
            <v>-40999980</v>
          </cell>
          <cell r="BM30">
            <v>-20407500</v>
          </cell>
          <cell r="BN30">
            <v>-8411510</v>
          </cell>
          <cell r="BO30">
            <v>-7774460</v>
          </cell>
          <cell r="BP30">
            <v>-25751340</v>
          </cell>
          <cell r="BQ30">
            <v>49931730</v>
          </cell>
          <cell r="BR30">
            <v>-39758070</v>
          </cell>
          <cell r="BS30">
            <v>-50542270</v>
          </cell>
          <cell r="BT30">
            <v>-136297640</v>
          </cell>
          <cell r="BU30">
            <v>-81445050</v>
          </cell>
          <cell r="BV30">
            <v>80834510</v>
          </cell>
          <cell r="BW30">
            <v>2.2580008493743042E-2</v>
          </cell>
          <cell r="BX30">
            <v>5.6451150805485295E-2</v>
          </cell>
          <cell r="BY30">
            <v>421875640</v>
          </cell>
          <cell r="BZ30">
            <v>403141980</v>
          </cell>
          <cell r="CA30">
            <v>329426700</v>
          </cell>
          <cell r="CB30">
            <v>314296180</v>
          </cell>
          <cell r="CC30" t="str">
            <v>NULL</v>
          </cell>
          <cell r="CD30" t="str">
            <v>NULL</v>
          </cell>
          <cell r="CE30" t="str">
            <v>NULL</v>
          </cell>
          <cell r="CF30" t="str">
            <v>NULL</v>
          </cell>
          <cell r="CG30" t="str">
            <v>NULL</v>
          </cell>
          <cell r="CH30" t="str">
            <v>NULL</v>
          </cell>
          <cell r="CI30" t="str">
            <v>NULL</v>
          </cell>
          <cell r="CJ30" t="str">
            <v>NULL</v>
          </cell>
          <cell r="CK30">
            <v>421875640</v>
          </cell>
          <cell r="CL30">
            <v>403141980</v>
          </cell>
          <cell r="CM30">
            <v>329426700</v>
          </cell>
          <cell r="CN30">
            <v>314296180</v>
          </cell>
          <cell r="CO30">
            <v>0.23908847069989558</v>
          </cell>
          <cell r="CP30">
            <v>18733650</v>
          </cell>
          <cell r="CQ30">
            <v>7435740</v>
          </cell>
          <cell r="CR30">
            <v>76491830</v>
          </cell>
          <cell r="CS30">
            <v>36550730</v>
          </cell>
          <cell r="CT30">
            <v>5578920</v>
          </cell>
          <cell r="CU30">
            <v>1942180</v>
          </cell>
          <cell r="CV30">
            <v>11950030</v>
          </cell>
          <cell r="CW30">
            <v>-9409140</v>
          </cell>
          <cell r="CX30">
            <v>1.5194062729466067</v>
          </cell>
          <cell r="CY30">
            <v>1.9898820182631709</v>
          </cell>
          <cell r="CZ30">
            <v>1.0927579285010176</v>
          </cell>
          <cell r="DA30">
            <v>5.5515780832132382</v>
          </cell>
          <cell r="DB30">
            <v>1.8725040933384136</v>
          </cell>
          <cell r="DC30">
            <v>-0.83747488500028866</v>
          </cell>
          <cell r="DD30">
            <v>2.2700448712634733</v>
          </cell>
          <cell r="DE30">
            <v>2.3225377473468987</v>
          </cell>
          <cell r="DG30">
            <v>5.70691187012961</v>
          </cell>
          <cell r="DH30">
            <v>30000000</v>
          </cell>
          <cell r="DI30">
            <v>33.700000000000003</v>
          </cell>
          <cell r="DJ30">
            <v>1011000000</v>
          </cell>
          <cell r="DK30">
            <v>784929800.00000095</v>
          </cell>
          <cell r="DM30">
            <v>421875640</v>
          </cell>
          <cell r="DN30" t="str">
            <v>NULL</v>
          </cell>
          <cell r="DO30" t="str">
            <v>NULL</v>
          </cell>
          <cell r="DP30" t="str">
            <v>NULL</v>
          </cell>
          <cell r="DQ30" t="str">
            <v>NULL</v>
          </cell>
          <cell r="DR30">
            <v>421875640</v>
          </cell>
          <cell r="DS30">
            <v>2.39644080895498</v>
          </cell>
          <cell r="DT30">
            <v>0.62446000000000002</v>
          </cell>
          <cell r="DU30">
            <v>1.6222300000000001</v>
          </cell>
          <cell r="DV30">
            <v>0.12225</v>
          </cell>
          <cell r="DW30">
            <v>0.55737999999999999</v>
          </cell>
          <cell r="DX30">
            <v>2.9263200000000005</v>
          </cell>
          <cell r="DY30">
            <v>11.789551381940456</v>
          </cell>
          <cell r="DZ30">
            <v>0.41443490974056535</v>
          </cell>
          <cell r="EA30">
            <v>55083170</v>
          </cell>
          <cell r="EB30">
            <v>18.354063500702665</v>
          </cell>
          <cell r="EC30">
            <v>11.516170480330199</v>
          </cell>
          <cell r="ED30">
            <v>0.533330356236561</v>
          </cell>
          <cell r="EE30">
            <v>0.67356853080191104</v>
          </cell>
          <cell r="EG30">
            <v>0.43477069143461544</v>
          </cell>
          <cell r="EH30">
            <v>1.7224928332371992E-2</v>
          </cell>
          <cell r="EK30" t="str">
            <v>NULL</v>
          </cell>
        </row>
        <row r="31">
          <cell r="A31" t="str">
            <v>EDN</v>
          </cell>
          <cell r="B31" t="str">
            <v>EDN.BA</v>
          </cell>
          <cell r="C31" t="str">
            <v>EMPRESA DISTRIBUIDORA Y COMERCIALIZADORA NORTE SA</v>
          </cell>
          <cell r="D31">
            <v>43190</v>
          </cell>
          <cell r="E31">
            <v>13646212000</v>
          </cell>
          <cell r="F31">
            <v>14832423000</v>
          </cell>
          <cell r="G31">
            <v>0.92003000000000001</v>
          </cell>
          <cell r="H31">
            <v>0.88729000000000002</v>
          </cell>
          <cell r="I31">
            <v>0.73860000000000003</v>
          </cell>
          <cell r="J31">
            <v>0.70735000000000003</v>
          </cell>
          <cell r="K31">
            <v>61.300000000000004</v>
          </cell>
          <cell r="L31">
            <v>0</v>
          </cell>
          <cell r="M31" t="str">
            <v>NULL</v>
          </cell>
          <cell r="N31">
            <v>0</v>
          </cell>
          <cell r="O31">
            <v>0</v>
          </cell>
          <cell r="P31">
            <v>0</v>
          </cell>
          <cell r="Q31">
            <v>0</v>
          </cell>
          <cell r="S31">
            <v>190.94932153560001</v>
          </cell>
          <cell r="T31">
            <v>401.83011205999998</v>
          </cell>
          <cell r="U31">
            <v>43190</v>
          </cell>
          <cell r="V31">
            <v>30687831000</v>
          </cell>
          <cell r="W31">
            <v>25304907000</v>
          </cell>
          <cell r="X31">
            <v>22106519000</v>
          </cell>
          <cell r="Y31">
            <v>20826189000</v>
          </cell>
          <cell r="Z31">
            <v>2459230000</v>
          </cell>
          <cell r="AA31">
            <v>12.47863396266311</v>
          </cell>
          <cell r="AC31">
            <v>11011358000</v>
          </cell>
          <cell r="AD31">
            <v>6763618000</v>
          </cell>
          <cell r="AE31">
            <v>6458121000</v>
          </cell>
          <cell r="AF31">
            <v>5751628000</v>
          </cell>
          <cell r="AG31">
            <v>1.5155206835727755</v>
          </cell>
          <cell r="AH31">
            <v>11089098000</v>
          </cell>
          <cell r="AI31">
            <v>9195303000</v>
          </cell>
          <cell r="AJ31">
            <v>8136193000</v>
          </cell>
          <cell r="AK31">
            <v>7929673000</v>
          </cell>
          <cell r="AL31">
            <v>5525295000</v>
          </cell>
          <cell r="AM31">
            <v>3587786000</v>
          </cell>
          <cell r="AN31">
            <v>3427285000</v>
          </cell>
          <cell r="AO31">
            <v>3276958000</v>
          </cell>
          <cell r="AP31">
            <v>209.70436363002997</v>
          </cell>
          <cell r="AQ31">
            <v>8096647000</v>
          </cell>
          <cell r="AR31">
            <v>5678857000</v>
          </cell>
          <cell r="AS31">
            <v>4861763000</v>
          </cell>
          <cell r="AT31">
            <v>4726828000</v>
          </cell>
          <cell r="AU31">
            <v>71.101991722452013</v>
          </cell>
          <cell r="AV31">
            <v>485577000</v>
          </cell>
          <cell r="AW31">
            <v>391904000</v>
          </cell>
          <cell r="AX31">
            <v>320939000</v>
          </cell>
          <cell r="AY31">
            <v>283332000</v>
          </cell>
          <cell r="AZ31">
            <v>8.5482139709599423</v>
          </cell>
          <cell r="BA31">
            <v>-130.05415793661803</v>
          </cell>
          <cell r="BC31" t="str">
            <v>NULL</v>
          </cell>
          <cell r="BD31">
            <v>10.248559999999999</v>
          </cell>
          <cell r="BE31">
            <v>2.8027500000000001</v>
          </cell>
          <cell r="BF31">
            <v>1450818000</v>
          </cell>
          <cell r="BG31">
            <v>22240000</v>
          </cell>
          <cell r="BH31">
            <v>291176000</v>
          </cell>
          <cell r="BI31">
            <v>-52609000</v>
          </cell>
          <cell r="BJ31">
            <v>5.7083231545395199E-2</v>
          </cell>
          <cell r="BK31">
            <v>-999196000</v>
          </cell>
          <cell r="BL31">
            <v>-3632181000</v>
          </cell>
          <cell r="BM31">
            <v>-2679653000</v>
          </cell>
          <cell r="BN31">
            <v>-1616321000</v>
          </cell>
          <cell r="BO31">
            <v>-742941000</v>
          </cell>
          <cell r="BP31">
            <v>-2935908000</v>
          </cell>
          <cell r="BQ31">
            <v>2688977000</v>
          </cell>
          <cell r="BR31">
            <v>3283299000</v>
          </cell>
          <cell r="BS31">
            <v>2079399000</v>
          </cell>
          <cell r="BT31">
            <v>982709000</v>
          </cell>
          <cell r="BU31">
            <v>139931000</v>
          </cell>
          <cell r="BV31">
            <v>4628445000</v>
          </cell>
          <cell r="BW31">
            <v>5.6446640747914147E-2</v>
          </cell>
          <cell r="BX31">
            <v>6.9208684689680347E-2</v>
          </cell>
          <cell r="BY31">
            <v>2459230000</v>
          </cell>
          <cell r="BZ31">
            <v>1060864000</v>
          </cell>
          <cell r="CA31">
            <v>1047233000</v>
          </cell>
          <cell r="CB31">
            <v>738373000</v>
          </cell>
          <cell r="CC31" t="str">
            <v>NULL</v>
          </cell>
          <cell r="CD31" t="str">
            <v>NULL</v>
          </cell>
          <cell r="CE31" t="str">
            <v>NULL</v>
          </cell>
          <cell r="CF31" t="str">
            <v>NULL</v>
          </cell>
          <cell r="CG31" t="str">
            <v>NULL</v>
          </cell>
          <cell r="CH31" t="str">
            <v>NULL</v>
          </cell>
          <cell r="CI31" t="str">
            <v>NULL</v>
          </cell>
          <cell r="CJ31" t="str">
            <v>NULL</v>
          </cell>
          <cell r="CK31">
            <v>2459230000</v>
          </cell>
          <cell r="CL31">
            <v>1060864000</v>
          </cell>
          <cell r="CM31">
            <v>1047233000</v>
          </cell>
          <cell r="CN31">
            <v>738373000</v>
          </cell>
          <cell r="CO31">
            <v>1.2904046591401701</v>
          </cell>
          <cell r="CP31">
            <v>1450818000</v>
          </cell>
          <cell r="CQ31">
            <v>421383000</v>
          </cell>
          <cell r="CR31">
            <v>682190000</v>
          </cell>
          <cell r="CS31">
            <v>-1188648000</v>
          </cell>
          <cell r="CT31">
            <v>1142443000</v>
          </cell>
          <cell r="CU31">
            <v>-779716000</v>
          </cell>
          <cell r="CV31">
            <v>866847000</v>
          </cell>
          <cell r="CW31">
            <v>-1033357000</v>
          </cell>
          <cell r="CX31">
            <v>2.4429912929567639</v>
          </cell>
          <cell r="CY31">
            <v>0.3876121521257711</v>
          </cell>
          <cell r="CZ31">
            <v>1.5739209589382224</v>
          </cell>
          <cell r="DA31">
            <v>-2.0404440309056993</v>
          </cell>
          <cell r="DB31">
            <v>2.4652039973528823</v>
          </cell>
          <cell r="DC31">
            <v>-1.8994851455908597</v>
          </cell>
          <cell r="DD31">
            <v>1.8388649808343098</v>
          </cell>
          <cell r="DE31">
            <v>2.1769314476166666</v>
          </cell>
          <cell r="DG31">
            <v>5.5193510242859096</v>
          </cell>
          <cell r="DH31">
            <v>442210385</v>
          </cell>
          <cell r="DI31">
            <v>59.75</v>
          </cell>
          <cell r="DJ31">
            <v>54160692225</v>
          </cell>
          <cell r="DK31">
            <v>26147362503.75</v>
          </cell>
          <cell r="DM31">
            <v>2459230000</v>
          </cell>
          <cell r="DN31" t="str">
            <v>NULL</v>
          </cell>
          <cell r="DO31" t="str">
            <v>NULL</v>
          </cell>
          <cell r="DP31" t="str">
            <v>NULL</v>
          </cell>
          <cell r="DQ31" t="str">
            <v>NULL</v>
          </cell>
          <cell r="DR31">
            <v>2459230000</v>
          </cell>
          <cell r="DS31">
            <v>22.023435069106998</v>
          </cell>
          <cell r="DT31">
            <v>1.61442</v>
          </cell>
          <cell r="DU31">
            <v>2.4750000000000001E-2</v>
          </cell>
          <cell r="DV31">
            <v>0.32418999999999998</v>
          </cell>
          <cell r="DW31">
            <v>-5.8540000000000002E-2</v>
          </cell>
          <cell r="DX31">
            <v>1.90482</v>
          </cell>
          <cell r="DY31">
            <v>32.181518463686864</v>
          </cell>
          <cell r="DZ31">
            <v>1.8062761030824861</v>
          </cell>
          <cell r="EA31">
            <v>1692537000</v>
          </cell>
          <cell r="EB31">
            <v>31.999709445052012</v>
          </cell>
          <cell r="EC31">
            <v>31.367793282304898</v>
          </cell>
          <cell r="ED31">
            <v>0.80823951522741799</v>
          </cell>
          <cell r="EE31">
            <v>0.87383606162474003</v>
          </cell>
          <cell r="EG31">
            <v>0.54891417378845875</v>
          </cell>
          <cell r="EH31">
            <v>0.1144334549967978</v>
          </cell>
          <cell r="EK31" t="str">
            <v>NULL</v>
          </cell>
        </row>
        <row r="32">
          <cell r="A32" t="str">
            <v>TXAR</v>
          </cell>
          <cell r="B32" t="str">
            <v>TXAR.BA</v>
          </cell>
          <cell r="C32" t="str">
            <v>TERNIUM ARGENTINA SOCIEDAD ANONIMA</v>
          </cell>
          <cell r="D32">
            <v>43190</v>
          </cell>
          <cell r="E32">
            <v>20622560000</v>
          </cell>
          <cell r="F32">
            <v>13538925000</v>
          </cell>
          <cell r="G32">
            <v>1.52321</v>
          </cell>
          <cell r="H32">
            <v>0.44347999999999999</v>
          </cell>
          <cell r="I32">
            <v>1.46584</v>
          </cell>
          <cell r="J32">
            <v>0.60885</v>
          </cell>
          <cell r="K32">
            <v>16</v>
          </cell>
          <cell r="L32">
            <v>0</v>
          </cell>
          <cell r="M32">
            <v>0</v>
          </cell>
          <cell r="N32">
            <v>0</v>
          </cell>
          <cell r="O32">
            <v>0.26600000000000001</v>
          </cell>
          <cell r="P32">
            <v>0.26600000000000001</v>
          </cell>
          <cell r="Q32">
            <v>1.6625000000000001E-2</v>
          </cell>
          <cell r="S32">
            <v>18.738103614</v>
          </cell>
          <cell r="T32">
            <v>29.187780303</v>
          </cell>
          <cell r="U32">
            <v>43190</v>
          </cell>
          <cell r="V32">
            <v>57235204000</v>
          </cell>
          <cell r="W32">
            <v>53022051000</v>
          </cell>
          <cell r="X32">
            <v>49539947000</v>
          </cell>
          <cell r="Y32">
            <v>46083760000</v>
          </cell>
          <cell r="Z32">
            <v>41095989000</v>
          </cell>
          <cell r="AA32">
            <v>1.3927199561981585</v>
          </cell>
          <cell r="AC32">
            <v>12430609000</v>
          </cell>
          <cell r="AD32">
            <v>10851364000</v>
          </cell>
          <cell r="AE32">
            <v>10565715000</v>
          </cell>
          <cell r="AF32">
            <v>8831257000</v>
          </cell>
          <cell r="AG32">
            <v>1.0364954494129552</v>
          </cell>
          <cell r="AH32">
            <v>6647471000</v>
          </cell>
          <cell r="AI32">
            <v>3991526000</v>
          </cell>
          <cell r="AJ32">
            <v>3649384000</v>
          </cell>
          <cell r="AK32">
            <v>3507075000</v>
          </cell>
          <cell r="AL32">
            <v>8704304000</v>
          </cell>
          <cell r="AM32">
            <v>8543042000</v>
          </cell>
          <cell r="AN32">
            <v>7655488000</v>
          </cell>
          <cell r="AO32">
            <v>6820858000</v>
          </cell>
          <cell r="AP32">
            <v>51.186834117542183</v>
          </cell>
          <cell r="AQ32">
            <v>2639045000</v>
          </cell>
          <cell r="AR32">
            <v>1719086000</v>
          </cell>
          <cell r="AS32">
            <v>1797043000</v>
          </cell>
          <cell r="AT32">
            <v>1526597000</v>
          </cell>
          <cell r="AU32">
            <v>16.424061179347333</v>
          </cell>
          <cell r="AV32">
            <v>14618327000</v>
          </cell>
          <cell r="AW32">
            <v>11878902000</v>
          </cell>
          <cell r="AX32">
            <v>11116964000</v>
          </cell>
          <cell r="AY32">
            <v>9676573000</v>
          </cell>
          <cell r="AZ32">
            <v>136.02711807629453</v>
          </cell>
          <cell r="BA32">
            <v>101.26434513809969</v>
          </cell>
          <cell r="BC32">
            <v>24.256419999999999</v>
          </cell>
          <cell r="BD32">
            <v>13.523020000000001</v>
          </cell>
          <cell r="BE32">
            <v>14.568949999999999</v>
          </cell>
          <cell r="BF32">
            <v>2554353000</v>
          </cell>
          <cell r="BG32">
            <v>848082000</v>
          </cell>
          <cell r="BH32">
            <v>1609137000</v>
          </cell>
          <cell r="BI32">
            <v>1255111000</v>
          </cell>
          <cell r="BJ32">
            <v>0.14683312813847671</v>
          </cell>
          <cell r="BK32">
            <v>-342942000</v>
          </cell>
          <cell r="BL32">
            <v>-1604509000</v>
          </cell>
          <cell r="BM32">
            <v>-1136370000</v>
          </cell>
          <cell r="BN32">
            <v>-798011000</v>
          </cell>
          <cell r="BO32">
            <v>-407525000</v>
          </cell>
          <cell r="BP32">
            <v>-1071787000</v>
          </cell>
          <cell r="BQ32">
            <v>1083569000</v>
          </cell>
          <cell r="BR32">
            <v>-995035000</v>
          </cell>
          <cell r="BS32">
            <v>-1068695000</v>
          </cell>
          <cell r="BT32">
            <v>-1010116000</v>
          </cell>
          <cell r="BU32">
            <v>-947333000</v>
          </cell>
          <cell r="BV32">
            <v>962207000</v>
          </cell>
          <cell r="BW32">
            <v>-2.5675423795035231E-3</v>
          </cell>
          <cell r="BX32">
            <v>0.12175352085250117</v>
          </cell>
          <cell r="BY32">
            <v>41095989000</v>
          </cell>
          <cell r="BZ32">
            <v>36681073000</v>
          </cell>
          <cell r="CA32">
            <v>34164500000</v>
          </cell>
          <cell r="CB32">
            <v>31613799000</v>
          </cell>
          <cell r="CC32" t="str">
            <v>NULL</v>
          </cell>
          <cell r="CD32" t="str">
            <v>NULL</v>
          </cell>
          <cell r="CE32" t="str">
            <v>NULL</v>
          </cell>
          <cell r="CF32" t="str">
            <v>NULL</v>
          </cell>
          <cell r="CG32" t="str">
            <v>NULL</v>
          </cell>
          <cell r="CH32" t="str">
            <v>NULL</v>
          </cell>
          <cell r="CI32" t="str">
            <v>NULL</v>
          </cell>
          <cell r="CJ32" t="str">
            <v>NULL</v>
          </cell>
          <cell r="CK32">
            <v>41095989000</v>
          </cell>
          <cell r="CL32">
            <v>36681073000</v>
          </cell>
          <cell r="CM32">
            <v>34164500000</v>
          </cell>
          <cell r="CN32">
            <v>31613799000</v>
          </cell>
          <cell r="CO32">
            <v>0.17461369485184186</v>
          </cell>
          <cell r="CP32">
            <v>2554353000</v>
          </cell>
          <cell r="CQ32">
            <v>1857426000</v>
          </cell>
          <cell r="CR32">
            <v>5569756000</v>
          </cell>
          <cell r="CS32">
            <v>3703279000</v>
          </cell>
          <cell r="CT32">
            <v>1756930000</v>
          </cell>
          <cell r="CU32">
            <v>2371723000</v>
          </cell>
          <cell r="CV32">
            <v>2107381000</v>
          </cell>
          <cell r="CW32">
            <v>540499000</v>
          </cell>
          <cell r="CX32">
            <v>0.37521117934173431</v>
          </cell>
          <cell r="CY32">
            <v>0.87539838956480465</v>
          </cell>
          <cell r="CZ32">
            <v>0.50400658443503721</v>
          </cell>
          <cell r="DA32">
            <v>1.107812491106646</v>
          </cell>
          <cell r="DB32">
            <v>-0.25921787662387219</v>
          </cell>
          <cell r="DC32">
            <v>0.12543626425406695</v>
          </cell>
          <cell r="DD32">
            <v>2.8989544846521453</v>
          </cell>
          <cell r="DE32">
            <v>1.2386004923278033</v>
          </cell>
          <cell r="DG32">
            <v>9.9879929218342696</v>
          </cell>
          <cell r="DH32">
            <v>4517094023</v>
          </cell>
          <cell r="DI32">
            <v>15.5</v>
          </cell>
          <cell r="DJ32" t="e">
            <v>#N/A</v>
          </cell>
          <cell r="DK32">
            <v>74979453356.5</v>
          </cell>
          <cell r="DM32">
            <v>41095989000</v>
          </cell>
          <cell r="DN32" t="str">
            <v>NULL</v>
          </cell>
          <cell r="DO32" t="str">
            <v>NULL</v>
          </cell>
          <cell r="DP32">
            <v>254768000</v>
          </cell>
          <cell r="DQ32" t="str">
            <v>NULL</v>
          </cell>
          <cell r="DR32">
            <v>40841221000</v>
          </cell>
          <cell r="DS32" t="e">
            <v>#N/A</v>
          </cell>
          <cell r="DT32">
            <v>0.56549000000000005</v>
          </cell>
          <cell r="DU32">
            <v>0.18775</v>
          </cell>
          <cell r="DV32">
            <v>0.35622999999999999</v>
          </cell>
          <cell r="DW32">
            <v>0.27786</v>
          </cell>
          <cell r="DX32">
            <v>1.38733</v>
          </cell>
          <cell r="DY32">
            <v>11.532944576993218</v>
          </cell>
          <cell r="DZ32" t="e">
            <v>#N/A</v>
          </cell>
          <cell r="EA32">
            <v>-109580000</v>
          </cell>
          <cell r="EB32" t="e">
            <v>#N/A</v>
          </cell>
          <cell r="EC32">
            <v>11.1725400589622</v>
          </cell>
          <cell r="ED32">
            <v>0.79069903308575096</v>
          </cell>
          <cell r="EE32">
            <v>0.86201800553972996</v>
          </cell>
          <cell r="EG32">
            <v>0.42910280470144263</v>
          </cell>
          <cell r="EH32">
            <v>2.0718917979362539E-2</v>
          </cell>
          <cell r="EK32">
            <v>2.14258075225806</v>
          </cell>
        </row>
        <row r="33">
          <cell r="A33" t="str">
            <v>ESME</v>
          </cell>
          <cell r="B33" t="str">
            <v>ESM.BA</v>
          </cell>
          <cell r="C33" t="str">
            <v>BODEGAS ESMERALDA SA</v>
          </cell>
          <cell r="D33">
            <v>43100</v>
          </cell>
          <cell r="E33">
            <v>2983674390</v>
          </cell>
          <cell r="F33">
            <v>1294896780</v>
          </cell>
          <cell r="G33">
            <v>2.3041800000000001</v>
          </cell>
          <cell r="H33">
            <v>1.43418</v>
          </cell>
          <cell r="I33">
            <v>2.3121900000000002</v>
          </cell>
          <cell r="J33">
            <v>1.2203900000000001</v>
          </cell>
          <cell r="K33">
            <v>97</v>
          </cell>
          <cell r="L33">
            <v>0</v>
          </cell>
          <cell r="M33">
            <v>0.5</v>
          </cell>
          <cell r="N33">
            <v>0</v>
          </cell>
          <cell r="O33" t="str">
            <v>NULL</v>
          </cell>
          <cell r="P33">
            <v>0.5</v>
          </cell>
          <cell r="Q33">
            <v>5.1546391752577319E-3</v>
          </cell>
          <cell r="S33">
            <v>7.8637893160000001</v>
          </cell>
          <cell r="T33">
            <v>5.3437603239999998</v>
          </cell>
          <cell r="U33">
            <v>43100</v>
          </cell>
          <cell r="V33">
            <v>3286812910</v>
          </cell>
          <cell r="W33">
            <v>3013373190</v>
          </cell>
          <cell r="X33">
            <v>2946251700</v>
          </cell>
          <cell r="Y33">
            <v>2334410940</v>
          </cell>
          <cell r="Z33">
            <v>1731857690</v>
          </cell>
          <cell r="AA33">
            <v>1.8978539223970532</v>
          </cell>
          <cell r="AC33">
            <v>930869370</v>
          </cell>
          <cell r="AD33">
            <v>878826380</v>
          </cell>
          <cell r="AE33">
            <v>709270840</v>
          </cell>
          <cell r="AF33">
            <v>499966230</v>
          </cell>
          <cell r="AG33">
            <v>1.3034111973884042</v>
          </cell>
          <cell r="AH33">
            <v>685408330</v>
          </cell>
          <cell r="AI33">
            <v>968578910</v>
          </cell>
          <cell r="AJ33">
            <v>1009816990</v>
          </cell>
          <cell r="AK33">
            <v>477343620</v>
          </cell>
          <cell r="AL33">
            <v>520043330</v>
          </cell>
          <cell r="AM33">
            <v>502835750</v>
          </cell>
          <cell r="AN33">
            <v>452312570</v>
          </cell>
          <cell r="AO33">
            <v>404832750</v>
          </cell>
          <cell r="AP33">
            <v>152.4606496131114</v>
          </cell>
          <cell r="AQ33">
            <v>1013983790</v>
          </cell>
          <cell r="AR33">
            <v>880757000</v>
          </cell>
          <cell r="AS33">
            <v>714606150</v>
          </cell>
          <cell r="AT33">
            <v>598839690</v>
          </cell>
          <cell r="AU33">
            <v>96.970369147697696</v>
          </cell>
          <cell r="AV33">
            <v>1126562060</v>
          </cell>
          <cell r="AW33">
            <v>1283880520</v>
          </cell>
          <cell r="AX33">
            <v>1323374820</v>
          </cell>
          <cell r="AY33">
            <v>850080860</v>
          </cell>
          <cell r="AZ33">
            <v>222.48685507751921</v>
          </cell>
          <cell r="BA33">
            <v>166.99657461210552</v>
          </cell>
          <cell r="BC33">
            <v>41.666350000000001</v>
          </cell>
          <cell r="BD33">
            <v>16.901070000000001</v>
          </cell>
          <cell r="BE33">
            <v>11.87763</v>
          </cell>
          <cell r="BF33">
            <v>147436330</v>
          </cell>
          <cell r="BG33">
            <v>133131430</v>
          </cell>
          <cell r="BH33">
            <v>79737240</v>
          </cell>
          <cell r="BI33">
            <v>-21154290</v>
          </cell>
          <cell r="BJ33">
            <v>0.11234125772961055</v>
          </cell>
          <cell r="BK33">
            <v>-29851140</v>
          </cell>
          <cell r="BL33">
            <v>-16893150</v>
          </cell>
          <cell r="BM33">
            <v>-9013510</v>
          </cell>
          <cell r="BN33">
            <v>-65296580</v>
          </cell>
          <cell r="BO33">
            <v>-44837550</v>
          </cell>
          <cell r="BP33">
            <v>5972900</v>
          </cell>
          <cell r="BQ33">
            <v>153509410</v>
          </cell>
          <cell r="BR33">
            <v>-102191940</v>
          </cell>
          <cell r="BS33">
            <v>-36145020</v>
          </cell>
          <cell r="BT33">
            <v>5957910</v>
          </cell>
          <cell r="BU33">
            <v>-50774180</v>
          </cell>
          <cell r="BV33">
            <v>168138570</v>
          </cell>
          <cell r="BW33">
            <v>5.7673184658676838E-2</v>
          </cell>
          <cell r="BX33">
            <v>0.11714191856373388</v>
          </cell>
          <cell r="BY33">
            <v>1731857690</v>
          </cell>
          <cell r="BZ33">
            <v>1584421360</v>
          </cell>
          <cell r="CA33">
            <v>1480758380</v>
          </cell>
          <cell r="CB33">
            <v>1401021140</v>
          </cell>
          <cell r="CC33" t="str">
            <v>NULL</v>
          </cell>
          <cell r="CD33" t="str">
            <v>NULL</v>
          </cell>
          <cell r="CE33" t="str">
            <v>NULL</v>
          </cell>
          <cell r="CF33" t="str">
            <v>NULL</v>
          </cell>
          <cell r="CG33" t="str">
            <v>NULL</v>
          </cell>
          <cell r="CH33" t="str">
            <v>NULL</v>
          </cell>
          <cell r="CI33" t="str">
            <v>NULL</v>
          </cell>
          <cell r="CJ33" t="str">
            <v>NULL</v>
          </cell>
          <cell r="CK33">
            <v>1731857690</v>
          </cell>
          <cell r="CL33">
            <v>1584421360</v>
          </cell>
          <cell r="CM33">
            <v>1480758380</v>
          </cell>
          <cell r="CN33">
            <v>1401021140</v>
          </cell>
          <cell r="CO33">
            <v>0.2188754469933962</v>
          </cell>
          <cell r="CP33">
            <v>147436330</v>
          </cell>
          <cell r="CQ33">
            <v>108505990</v>
          </cell>
          <cell r="CR33">
            <v>296004430</v>
          </cell>
          <cell r="CS33">
            <v>367908430</v>
          </cell>
          <cell r="CT33">
            <v>207819320</v>
          </cell>
          <cell r="CU33">
            <v>145700550</v>
          </cell>
          <cell r="CV33">
            <v>84994270</v>
          </cell>
          <cell r="CW33">
            <v>51942710</v>
          </cell>
          <cell r="CX33">
            <v>0.35878516937175542</v>
          </cell>
          <cell r="CY33">
            <v>0.47035630194950384</v>
          </cell>
          <cell r="CZ33">
            <v>-0.19543993596450071</v>
          </cell>
          <cell r="DA33">
            <v>0.770328331360145</v>
          </cell>
          <cell r="DB33">
            <v>0.42634547364440278</v>
          </cell>
          <cell r="DC33">
            <v>0.71423967756885265</v>
          </cell>
          <cell r="DD33">
            <v>0.63630796313861948</v>
          </cell>
          <cell r="DE33">
            <v>0.39440583686483288</v>
          </cell>
          <cell r="DG33">
            <v>10.864294917850099</v>
          </cell>
          <cell r="DH33">
            <v>58936904</v>
          </cell>
          <cell r="DI33">
            <v>97</v>
          </cell>
          <cell r="DJ33">
            <v>5716879688</v>
          </cell>
          <cell r="DK33">
            <v>5290751268</v>
          </cell>
          <cell r="DM33">
            <v>1731857690</v>
          </cell>
          <cell r="DN33" t="str">
            <v>NULL</v>
          </cell>
          <cell r="DO33" t="str">
            <v>NULL</v>
          </cell>
          <cell r="DP33">
            <v>24910</v>
          </cell>
          <cell r="DQ33" t="str">
            <v>NULL</v>
          </cell>
          <cell r="DR33">
            <v>1731832780</v>
          </cell>
          <cell r="DS33">
            <v>3.3010575582245303</v>
          </cell>
          <cell r="DT33">
            <v>2.5020000000000001E-2</v>
          </cell>
          <cell r="DU33">
            <v>2.2589999999999999E-2</v>
          </cell>
          <cell r="DV33">
            <v>1.353E-2</v>
          </cell>
          <cell r="DW33">
            <v>-3.5899999999999999E-3</v>
          </cell>
          <cell r="DX33">
            <v>5.7549999999999997E-2</v>
          </cell>
          <cell r="DY33">
            <v>1685.490877497828</v>
          </cell>
          <cell r="DZ33">
            <v>1.8936756890138418</v>
          </cell>
          <cell r="EA33">
            <v>174111470</v>
          </cell>
          <cell r="EB33">
            <v>32.8345954921867</v>
          </cell>
          <cell r="EC33">
            <v>1685.4908774978301</v>
          </cell>
          <cell r="ED33" t="str">
            <v>NULL</v>
          </cell>
          <cell r="EE33">
            <v>0.392253814431338</v>
          </cell>
          <cell r="EG33">
            <v>0.33972700265022832</v>
          </cell>
          <cell r="EH33">
            <v>4.1776948127252744E-2</v>
          </cell>
          <cell r="EK33">
            <v>0.58648339061855703</v>
          </cell>
        </row>
        <row r="34">
          <cell r="A34" t="str">
            <v>ESTR</v>
          </cell>
          <cell r="B34" t="str">
            <v>EST.BA</v>
          </cell>
          <cell r="C34" t="str">
            <v>ANGEL ESTRADA Y COMPANIA SA</v>
          </cell>
          <cell r="E34" t="str">
            <v>Unable to collect data for the field 'TR.TotalCurrentAssets' and some specific identifier(s).</v>
          </cell>
          <cell r="F34" t="str">
            <v>Unable to collect data for the field 'TR.TotalCurrLiabilities' and some specific identifier(s).</v>
          </cell>
          <cell r="G34" t="str">
            <v>Unable to collect data for the field 'TR.CurrentRatio' and some specific identifier(s).</v>
          </cell>
          <cell r="H34" t="str">
            <v>Unable to collect data for the field 'TR.QuickRatio' and some specific identifier(s).</v>
          </cell>
          <cell r="I34" t="str">
            <v>Unable to collect data for the field 'TR.CurrentRatio' and some specific identifier(s).</v>
          </cell>
          <cell r="J34" t="str">
            <v>Unable to collect data for the field 'TR.QuickRatio' and some specific identifier(s).</v>
          </cell>
          <cell r="K34" t="str">
            <v>*The record could not be found</v>
          </cell>
          <cell r="L34" t="str">
            <v>Unable to collect data for the field 'TR.DpsCommonStock' and some specific identifier(s).</v>
          </cell>
          <cell r="M34" t="str">
            <v>Unable to collect data for the field 'TR.DpsCommonStock' and some specific identifier(s).</v>
          </cell>
          <cell r="N34" t="str">
            <v>Unable to collect data for the field 'TR.DpsCommonStock' and some specific identifier(s).</v>
          </cell>
          <cell r="O34" t="str">
            <v>Unable to collect data for the field 'TR.DpsCommonStock' and some specific identifier(s).</v>
          </cell>
          <cell r="P34">
            <v>0</v>
          </cell>
          <cell r="Q34" t="e">
            <v>#VALUE!</v>
          </cell>
          <cell r="S34" t="str">
            <v>Unable to collect data for the field 'TR.TtlDebtToTtlEquityPct' and some specific identifier(s).</v>
          </cell>
          <cell r="T34" t="str">
            <v>Unable to collect data for the field 'TR.TtlDebtToTtlEquityPct' and some specific identifier(s).</v>
          </cell>
          <cell r="V34" t="str">
            <v>Unable to collect data for the field 'TR.TotalAssetsReported' and some specific identifier(s).</v>
          </cell>
          <cell r="W34" t="str">
            <v>Unable to collect data for the field 'TR.TotalAssetsReported' and some specific identifier(s).</v>
          </cell>
          <cell r="X34" t="str">
            <v>Unable to collect data for the field 'TR.TotalAssetsReported' and some specific identifier(s).</v>
          </cell>
          <cell r="Y34" t="str">
            <v>Unable to collect data for the field 'TR.TotalAssetsReported' and some specific identifier(s).</v>
          </cell>
          <cell r="Z34" t="str">
            <v>Unable to collect data for the field 'TR.TotalEquity' and some specific identifier(s).</v>
          </cell>
          <cell r="AA34" t="e">
            <v>#VALUE!</v>
          </cell>
          <cell r="AC34" t="str">
            <v>Unable to collect data for the field 'TR.TotalRevenue' and some specific identifier(s).</v>
          </cell>
          <cell r="AD34" t="str">
            <v>Unable to collect data for the field 'TR.TotalRevenue' and some specific identifier(s).</v>
          </cell>
          <cell r="AE34" t="str">
            <v>Unable to collect data for the field 'TR.TotalRevenue' and some specific identifier(s).</v>
          </cell>
          <cell r="AF34" t="str">
            <v>Unable to collect data for the field 'TR.TotalRevenue' and some specific identifier(s).</v>
          </cell>
          <cell r="AG34" t="e">
            <v>#DIV/0!</v>
          </cell>
          <cell r="AH34" t="str">
            <v>Unable to collect data for the field 'TR.AccountsPayable' and some specific identifier(s).</v>
          </cell>
          <cell r="AI34" t="str">
            <v>Unable to collect data for the field 'TR.AccountsPayable' and some specific identifier(s).</v>
          </cell>
          <cell r="AJ34" t="str">
            <v>Unable to collect data for the field 'TR.AccountsPayable' and some specific identifier(s).</v>
          </cell>
          <cell r="AK34" t="str">
            <v>Unable to collect data for the field 'TR.AccountsPayable' and some specific identifier(s).</v>
          </cell>
          <cell r="AL34" t="str">
            <v>Unable to collect data for the field 'TR.CostofRevenueTotal' and some specific identifier(s).</v>
          </cell>
          <cell r="AM34" t="str">
            <v>Unable to collect data for the field 'TR.CostofRevenueTotal' and some specific identifier(s).</v>
          </cell>
          <cell r="AN34" t="str">
            <v>Unable to collect data for the field 'TR.CostofRevenueTotal' and some specific identifier(s).</v>
          </cell>
          <cell r="AO34" t="str">
            <v>Unable to collect data for the field 'TR.CostofRevenueTotal' and some specific identifier(s).</v>
          </cell>
          <cell r="AP34" t="e">
            <v>#DIV/0!</v>
          </cell>
          <cell r="AQ34" t="str">
            <v>Unable to collect data for the field 'TR.AcctsReceivTradeNet' and some specific identifier(s).</v>
          </cell>
          <cell r="AR34" t="str">
            <v>Unable to collect data for the field 'TR.AcctsReceivTradeNet' and some specific identifier(s).</v>
          </cell>
          <cell r="AS34" t="str">
            <v>Unable to collect data for the field 'TR.AcctsReceivTradeNet' and some specific identifier(s).</v>
          </cell>
          <cell r="AT34" t="str">
            <v>Unable to collect data for the field 'TR.AcctsReceivTradeNet' and some specific identifier(s).</v>
          </cell>
          <cell r="AU34" t="e">
            <v>#DIV/0!</v>
          </cell>
          <cell r="AV34" t="str">
            <v>Unable to collect data for the field 'TR.TotalInventory' and some specific identifier(s).</v>
          </cell>
          <cell r="AW34" t="str">
            <v>Unable to collect data for the field 'TR.TotalInventory' and some specific identifier(s).</v>
          </cell>
          <cell r="AX34" t="str">
            <v>Unable to collect data for the field 'TR.TotalInventory' and some specific identifier(s).</v>
          </cell>
          <cell r="AY34" t="str">
            <v>Unable to collect data for the field 'TR.TotalInventory' and some specific identifier(s).</v>
          </cell>
          <cell r="AZ34" t="e">
            <v>#DIV/0!</v>
          </cell>
          <cell r="BA34" t="e">
            <v>#DIV/0!</v>
          </cell>
          <cell r="BC34" t="str">
            <v>Unable to collect data for the field 'TR.GrossMargin' and some specific identifier(s).</v>
          </cell>
          <cell r="BD34" t="str">
            <v>Unable to collect data for the field 'TR.OperatingMarginPercent' and some specific identifier(s).</v>
          </cell>
          <cell r="BE34" t="str">
            <v>Unable to collect data for the field 'TR.NetProfitMargin' and some specific identifier(s).</v>
          </cell>
          <cell r="BF34" t="str">
            <v>Unable to collect data for the field 'TR.NetIncomeBeforeExtraItems' and some specific identifier(s).</v>
          </cell>
          <cell r="BG34" t="str">
            <v>Unable to collect data for the field 'TR.NetIncomeBeforeExtraItems' and some specific identifier(s).</v>
          </cell>
          <cell r="BH34" t="str">
            <v>Unable to collect data for the field 'TR.NetIncomeBeforeExtraItems' and some specific identifier(s).</v>
          </cell>
          <cell r="BI34" t="str">
            <v>Unable to collect data for the field 'TR.NetIncomeBeforeExtraItems' and some specific identifier(s).</v>
          </cell>
          <cell r="BJ34" t="e">
            <v>#DIV/0!</v>
          </cell>
          <cell r="BK34" t="str">
            <v>Unable to collect data for the field 'TR.CapitalExpenditures' and some specific identifier(s).</v>
          </cell>
          <cell r="BL34" t="str">
            <v>Unable to collect data for the field 'TR.CapitalExpenditures' and some specific identifier(s).</v>
          </cell>
          <cell r="BM34" t="str">
            <v>Unable to collect data for the field 'TR.CapitalExpenditures' and some specific identifier(s).</v>
          </cell>
          <cell r="BN34" t="str">
            <v>Unable to collect data for the field 'TR.CapitalExpenditures' and some specific identifier(s).</v>
          </cell>
          <cell r="BO34" t="str">
            <v>Unable to collect data for the field 'TR.CapitalExpenditures' and some specific identifier(s).</v>
          </cell>
          <cell r="BP34" t="e">
            <v>#VALUE!</v>
          </cell>
          <cell r="BQ34" t="str">
            <v>Unable to collect data for the field 'TR.CashFromOperatingAct' and some specific identifier(s).</v>
          </cell>
          <cell r="BR34" t="str">
            <v>Unable to collect data for the field 'TR.CashFromOperatingAct' and some specific identifier(s).</v>
          </cell>
          <cell r="BS34" t="str">
            <v>Unable to collect data for the field 'TR.CashFromOperatingAct' and some specific identifier(s).</v>
          </cell>
          <cell r="BT34" t="str">
            <v>Unable to collect data for the field 'TR.CashFromOperatingAct' and some specific identifier(s).</v>
          </cell>
          <cell r="BU34" t="str">
            <v>Unable to collect data for the field 'TR.CashFromOperatingAct' and some specific identifier(s).</v>
          </cell>
          <cell r="BV34" t="e">
            <v>#VALUE!</v>
          </cell>
          <cell r="BW34" t="e">
            <v>#VALUE!</v>
          </cell>
          <cell r="BX34" t="e">
            <v>#DIV/0!</v>
          </cell>
          <cell r="BY34" t="str">
            <v>Unable to collect data for the field 'TR.TotalEquity' and some specific identifier(s).</v>
          </cell>
          <cell r="BZ34" t="str">
            <v>Unable to collect data for the field 'TR.TotalEquity' and some specific identifier(s).</v>
          </cell>
          <cell r="CA34" t="str">
            <v>Unable to collect data for the field 'TR.TotalEquity' and some specific identifier(s).</v>
          </cell>
          <cell r="CB34" t="str">
            <v>Unable to collect data for the field 'TR.TotalEquity' and some specific identifier(s).</v>
          </cell>
          <cell r="CC34" t="str">
            <v>Unable to collect data for the field 'TR.PreferredStockNonRedeemableNet' and some specific identifier(s).</v>
          </cell>
          <cell r="CD34" t="str">
            <v>Unable to collect data for the field 'TR.PreferredStockNonRedeemableNet' and some specific identifier(s).</v>
          </cell>
          <cell r="CE34" t="str">
            <v>Unable to collect data for the field 'TR.PreferredStockNonRedeemableNet' and some specific identifier(s).</v>
          </cell>
          <cell r="CF34" t="str">
            <v>Unable to collect data for the field 'TR.PreferredStockNonRedeemableNet' and some specific identifier(s).</v>
          </cell>
          <cell r="CG34" t="str">
            <v>Unable to collect data for the field 'TR.RedeemablePreferredTtl' and some specific identifier(s).</v>
          </cell>
          <cell r="CH34" t="str">
            <v>Unable to collect data for the field 'TR.RedeemablePreferredTtl' and some specific identifier(s).</v>
          </cell>
          <cell r="CI34" t="str">
            <v>Unable to collect data for the field 'TR.RedeemablePreferredTtl' and some specific identifier(s).</v>
          </cell>
          <cell r="CJ34" t="str">
            <v>Unable to collect data for the field 'TR.RedeemablePreferredTtl' and some specific identifier(s).</v>
          </cell>
          <cell r="CK34" t="e">
            <v>#VALUE!</v>
          </cell>
          <cell r="CL34" t="e">
            <v>#VALUE!</v>
          </cell>
          <cell r="CM34" t="e">
            <v>#VALUE!</v>
          </cell>
          <cell r="CN34" t="e">
            <v>#VALUE!</v>
          </cell>
          <cell r="CO34" t="e">
            <v>#VALUE!</v>
          </cell>
          <cell r="CP34" t="str">
            <v>Unable to collect data for the field 'TR.NetIncomeBeforeExtraItems' and some specific identifier(s).</v>
          </cell>
          <cell r="CQ34" t="str">
            <v>Unable to collect data for the field 'TR.NetIncomeBeforeExtraItems' and some specific identifier(s).</v>
          </cell>
          <cell r="CR34" t="str">
            <v>Unable to collect data for the field 'TR.NetIncomeBeforeExtraItems' and some specific identifier(s).</v>
          </cell>
          <cell r="CS34" t="str">
            <v>Unable to collect data for the field 'TR.NetIncomeBeforeExtraItems' and some specific identifier(s).</v>
          </cell>
          <cell r="CT34" t="str">
            <v>Unable to collect data for the field 'TR.NetIncomeBeforeExtraItems' and some specific identifier(s).</v>
          </cell>
          <cell r="CU34" t="str">
            <v>Unable to collect data for the field 'TR.NetIncomeBeforeExtraItems' and some specific identifier(s).</v>
          </cell>
          <cell r="CV34" t="str">
            <v>Unable to collect data for the field 'TR.NetIncomeBeforeExtraItems' and some specific identifier(s).</v>
          </cell>
          <cell r="CW34" t="str">
            <v>Unable to collect data for the field 'TR.NetIncomeBeforeExtraItems' and some specific identifier(s).</v>
          </cell>
          <cell r="CX34" t="str">
            <v>-</v>
          </cell>
          <cell r="CY34" t="str">
            <v>-</v>
          </cell>
          <cell r="CZ34" t="e">
            <v>#VALUE!</v>
          </cell>
          <cell r="DA34" t="e">
            <v>#VALUE!</v>
          </cell>
          <cell r="DB34" t="e">
            <v>#VALUE!</v>
          </cell>
          <cell r="DC34" t="e">
            <v>#VALUE!</v>
          </cell>
          <cell r="DD34" t="e">
            <v>#VALUE!</v>
          </cell>
          <cell r="DE34" t="str">
            <v>-</v>
          </cell>
          <cell r="DG34" t="str">
            <v>NULL</v>
          </cell>
          <cell r="DH34">
            <v>42607474</v>
          </cell>
          <cell r="DI34" t="str">
            <v>*The record could not be found</v>
          </cell>
          <cell r="DJ34" t="e">
            <v>#N/A</v>
          </cell>
          <cell r="DK34" t="str">
            <v>NULL</v>
          </cell>
          <cell r="DM34" t="str">
            <v>Unable to collect data for the field 'TR.TotalEquity' and some specific identifier(s).</v>
          </cell>
          <cell r="DN34" t="str">
            <v>Unable to collect data for the field 'TR.RedeemablePreferredTtl' and some specific identifier(s).</v>
          </cell>
          <cell r="DO34" t="str">
            <v>Unable to collect data for the field 'TR.PreferredStockNonRedeemableNet' and some specific identifier(s).</v>
          </cell>
          <cell r="DP34" t="str">
            <v>Unable to collect data for the field 'TR.IntangiblesNet' and some specific identifier(s).</v>
          </cell>
          <cell r="DQ34" t="str">
            <v>Unable to collect data for the field 'TR.GoodwillNet' and some specific identifier(s).</v>
          </cell>
          <cell r="DR34" t="e">
            <v>#VALUE!</v>
          </cell>
          <cell r="DS34" t="e">
            <v>#N/A</v>
          </cell>
          <cell r="DT34" t="str">
            <v>Unable to collect data for the field 'TR.DilutedEpsExclExtra' and some specific identifier(s).</v>
          </cell>
          <cell r="DU34" t="str">
            <v>Unable to collect data for the field 'TR.DilutedEpsExclExtra' and some specific identifier(s).</v>
          </cell>
          <cell r="DV34" t="str">
            <v>Unable to collect data for the field 'TR.DilutedEpsExclExtra' and some specific identifier(s).</v>
          </cell>
          <cell r="DW34" t="str">
            <v>Unable to collect data for the field 'TR.DilutedEpsExclExtra' and some specific identifier(s).</v>
          </cell>
          <cell r="DX34">
            <v>0</v>
          </cell>
          <cell r="DY34" t="e">
            <v>#VALUE!</v>
          </cell>
          <cell r="DZ34" t="e">
            <v>#N/A</v>
          </cell>
          <cell r="EA34" t="e">
            <v>#VALUE!</v>
          </cell>
          <cell r="EB34" t="e">
            <v>#N/A</v>
          </cell>
          <cell r="EC34" t="str">
            <v>NULL</v>
          </cell>
          <cell r="ED34" t="str">
            <v>NULL</v>
          </cell>
          <cell r="EE34" t="str">
            <v>NULL</v>
          </cell>
          <cell r="EG34" t="str">
            <v>-</v>
          </cell>
          <cell r="EH34" t="str">
            <v>-</v>
          </cell>
          <cell r="EK34" t="str">
            <v>NULL</v>
          </cell>
        </row>
        <row r="35">
          <cell r="A35" t="str">
            <v>FERR</v>
          </cell>
          <cell r="B35" t="str">
            <v>FER.BA</v>
          </cell>
          <cell r="C35" t="str">
            <v>FERRUM SA DE CERAMICA Y METALURGIA</v>
          </cell>
          <cell r="D35">
            <v>43190</v>
          </cell>
          <cell r="E35">
            <v>1375919700</v>
          </cell>
          <cell r="F35">
            <v>705729880</v>
          </cell>
          <cell r="G35">
            <v>1.94964</v>
          </cell>
          <cell r="H35">
            <v>0.80186999999999997</v>
          </cell>
          <cell r="I35">
            <v>1.9846299999999999</v>
          </cell>
          <cell r="J35">
            <v>0.89893999999999996</v>
          </cell>
          <cell r="K35">
            <v>5.8</v>
          </cell>
          <cell r="L35">
            <v>0</v>
          </cell>
          <cell r="M35">
            <v>0</v>
          </cell>
          <cell r="N35">
            <v>0</v>
          </cell>
          <cell r="O35">
            <v>0</v>
          </cell>
          <cell r="P35">
            <v>0</v>
          </cell>
          <cell r="Q35">
            <v>0</v>
          </cell>
          <cell r="S35">
            <v>27.684448726199999</v>
          </cell>
          <cell r="T35">
            <v>30.402839610000001</v>
          </cell>
          <cell r="U35">
            <v>43190</v>
          </cell>
          <cell r="V35">
            <v>1738790530</v>
          </cell>
          <cell r="W35">
            <v>1762317210</v>
          </cell>
          <cell r="X35">
            <v>1663231780</v>
          </cell>
          <cell r="Y35">
            <v>1525955350</v>
          </cell>
          <cell r="Z35">
            <v>1011914280</v>
          </cell>
          <cell r="AA35">
            <v>1.71831800812219</v>
          </cell>
          <cell r="AC35">
            <v>675666940</v>
          </cell>
          <cell r="AD35">
            <v>712790570</v>
          </cell>
          <cell r="AE35">
            <v>681727230</v>
          </cell>
          <cell r="AF35">
            <v>527285810</v>
          </cell>
          <cell r="AG35">
            <v>1.9412102398305415</v>
          </cell>
          <cell r="AH35">
            <v>221813210</v>
          </cell>
          <cell r="AI35">
            <v>209817740</v>
          </cell>
          <cell r="AJ35">
            <v>201887930</v>
          </cell>
          <cell r="AK35">
            <v>180825330</v>
          </cell>
          <cell r="AL35">
            <v>449921280</v>
          </cell>
          <cell r="AM35">
            <v>474639070</v>
          </cell>
          <cell r="AN35">
            <v>466429140</v>
          </cell>
          <cell r="AO35">
            <v>355284300</v>
          </cell>
          <cell r="AP35">
            <v>42.552839988796947</v>
          </cell>
          <cell r="AQ35">
            <v>309975570</v>
          </cell>
          <cell r="AR35">
            <v>324605390</v>
          </cell>
          <cell r="AS35">
            <v>316169960</v>
          </cell>
          <cell r="AT35">
            <v>256311740</v>
          </cell>
          <cell r="AU35">
            <v>42.404510697917253</v>
          </cell>
          <cell r="AV35">
            <v>810012720</v>
          </cell>
          <cell r="AW35">
            <v>768280450</v>
          </cell>
          <cell r="AX35">
            <v>723569250</v>
          </cell>
          <cell r="AY35">
            <v>704843750</v>
          </cell>
          <cell r="AZ35">
            <v>157.11278470972184</v>
          </cell>
          <cell r="BA35">
            <v>156.96445541884214</v>
          </cell>
          <cell r="BC35">
            <v>35.846299999999999</v>
          </cell>
          <cell r="BD35">
            <v>7.0296799999999999</v>
          </cell>
          <cell r="BE35">
            <v>4.7331500000000002</v>
          </cell>
          <cell r="BF35">
            <v>26178790</v>
          </cell>
          <cell r="BG35">
            <v>37667030</v>
          </cell>
          <cell r="BH35">
            <v>33531790</v>
          </cell>
          <cell r="BI35">
            <v>7515390</v>
          </cell>
          <cell r="BJ35">
            <v>4.0382748516628993E-2</v>
          </cell>
          <cell r="BK35">
            <v>-24511590</v>
          </cell>
          <cell r="BL35">
            <v>-12706350</v>
          </cell>
          <cell r="BM35">
            <v>-5133030</v>
          </cell>
          <cell r="BN35">
            <v>-43495490</v>
          </cell>
          <cell r="BO35">
            <v>-31901330</v>
          </cell>
          <cell r="BP35">
            <v>2256710</v>
          </cell>
          <cell r="BQ35">
            <v>35542530</v>
          </cell>
          <cell r="BR35">
            <v>43051340</v>
          </cell>
          <cell r="BS35">
            <v>17158890</v>
          </cell>
          <cell r="BT35">
            <v>-42520250</v>
          </cell>
          <cell r="BU35">
            <v>-29374940</v>
          </cell>
          <cell r="BV35">
            <v>82076360</v>
          </cell>
          <cell r="BW35">
            <v>3.2467382546454662E-2</v>
          </cell>
          <cell r="BX35">
            <v>6.2713528798469836E-2</v>
          </cell>
          <cell r="BY35">
            <v>1011914280</v>
          </cell>
          <cell r="BZ35">
            <v>985735490</v>
          </cell>
          <cell r="CA35">
            <v>948068460</v>
          </cell>
          <cell r="CB35">
            <v>914536680</v>
          </cell>
          <cell r="CC35" t="str">
            <v>NULL</v>
          </cell>
          <cell r="CD35" t="str">
            <v>NULL</v>
          </cell>
          <cell r="CE35" t="str">
            <v>NULL</v>
          </cell>
          <cell r="CF35" t="str">
            <v>NULL</v>
          </cell>
          <cell r="CG35" t="str">
            <v>NULL</v>
          </cell>
          <cell r="CH35" t="str">
            <v>NULL</v>
          </cell>
          <cell r="CI35" t="str">
            <v>NULL</v>
          </cell>
          <cell r="CJ35" t="str">
            <v>NULL</v>
          </cell>
          <cell r="CK35">
            <v>1011914280</v>
          </cell>
          <cell r="CL35">
            <v>985735490</v>
          </cell>
          <cell r="CM35">
            <v>948068460</v>
          </cell>
          <cell r="CN35">
            <v>914536680</v>
          </cell>
          <cell r="CO35">
            <v>0.10869023154742907</v>
          </cell>
          <cell r="CP35">
            <v>26178790</v>
          </cell>
          <cell r="CQ35">
            <v>7424760</v>
          </cell>
          <cell r="CR35">
            <v>94461380</v>
          </cell>
          <cell r="CS35">
            <v>250310370</v>
          </cell>
          <cell r="CT35">
            <v>161682000</v>
          </cell>
          <cell r="CU35">
            <v>122066220</v>
          </cell>
          <cell r="CV35">
            <v>61407250</v>
          </cell>
          <cell r="CW35">
            <v>42584260</v>
          </cell>
          <cell r="CX35">
            <v>2.5258769307021374</v>
          </cell>
          <cell r="CY35">
            <v>0.3359834213615101</v>
          </cell>
          <cell r="CZ35">
            <v>-0.62262298601532162</v>
          </cell>
          <cell r="DA35">
            <v>0.54816473076780348</v>
          </cell>
          <cell r="DB35">
            <v>0.32454335032247261</v>
          </cell>
          <cell r="DC35">
            <v>0.98781446816133278</v>
          </cell>
          <cell r="DD35">
            <v>0.44201754357126322</v>
          </cell>
          <cell r="DE35">
            <v>0.59165128585079774</v>
          </cell>
          <cell r="DG35">
            <v>12.386431615362399</v>
          </cell>
          <cell r="DH35">
            <v>410999999</v>
          </cell>
          <cell r="DI35">
            <v>5.9</v>
          </cell>
          <cell r="DJ35">
            <v>2424900000</v>
          </cell>
          <cell r="DK35">
            <v>2519340364.0999999</v>
          </cell>
          <cell r="DM35">
            <v>1011914280</v>
          </cell>
          <cell r="DN35" t="str">
            <v>NULL</v>
          </cell>
          <cell r="DO35" t="str">
            <v>NULL</v>
          </cell>
          <cell r="DP35">
            <v>7126560</v>
          </cell>
          <cell r="DQ35" t="str">
            <v>NULL</v>
          </cell>
          <cell r="DR35">
            <v>1004787720</v>
          </cell>
          <cell r="DS35">
            <v>2.4133455771135419</v>
          </cell>
          <cell r="DT35">
            <v>6.3699999999999998E-3</v>
          </cell>
          <cell r="DU35">
            <v>9.1599999999999997E-3</v>
          </cell>
          <cell r="DV35">
            <v>8.1600000000000006E-3</v>
          </cell>
          <cell r="DW35">
            <v>1.83E-3</v>
          </cell>
          <cell r="DX35">
            <v>2.5520000000000001E-2</v>
          </cell>
          <cell r="DY35">
            <v>227.27272727272725</v>
          </cell>
          <cell r="DZ35">
            <v>0.93356207638234823</v>
          </cell>
          <cell r="EA35">
            <v>84333070</v>
          </cell>
          <cell r="EB35">
            <v>28.753844725444004</v>
          </cell>
          <cell r="EC35">
            <v>231.191222570533</v>
          </cell>
          <cell r="ED35">
            <v>0.67029798107511496</v>
          </cell>
          <cell r="EE35">
            <v>0.81089569919681403</v>
          </cell>
          <cell r="EG35">
            <v>0.44691417604026434</v>
          </cell>
          <cell r="EH35">
            <v>2.178882368528412E-2</v>
          </cell>
          <cell r="EK35">
            <v>0.12371651186440701</v>
          </cell>
        </row>
        <row r="36">
          <cell r="A36" t="str">
            <v>FIPL</v>
          </cell>
          <cell r="B36" t="str">
            <v>FIP.BA</v>
          </cell>
          <cell r="C36" t="str">
            <v>FIPLASTO SA</v>
          </cell>
          <cell r="D36">
            <v>43190</v>
          </cell>
          <cell r="E36">
            <v>288937900</v>
          </cell>
          <cell r="F36">
            <v>288467900</v>
          </cell>
          <cell r="G36">
            <v>1.00163</v>
          </cell>
          <cell r="H36">
            <v>0.68852999999999998</v>
          </cell>
          <cell r="I36">
            <v>1.0587599999999999</v>
          </cell>
          <cell r="J36">
            <v>0.73933000000000004</v>
          </cell>
          <cell r="K36">
            <v>6.05</v>
          </cell>
          <cell r="L36">
            <v>0</v>
          </cell>
          <cell r="M36" t="str">
            <v>NULL</v>
          </cell>
          <cell r="N36">
            <v>0</v>
          </cell>
          <cell r="O36">
            <v>0</v>
          </cell>
          <cell r="P36">
            <v>0</v>
          </cell>
          <cell r="Q36">
            <v>0</v>
          </cell>
          <cell r="S36">
            <v>147.9795586409</v>
          </cell>
          <cell r="T36">
            <v>147.68826207199999</v>
          </cell>
          <cell r="U36">
            <v>43190</v>
          </cell>
          <cell r="V36">
            <v>485570420</v>
          </cell>
          <cell r="W36">
            <v>479934500</v>
          </cell>
          <cell r="X36">
            <v>445573470</v>
          </cell>
          <cell r="Y36">
            <v>404756450</v>
          </cell>
          <cell r="Z36">
            <v>129903300</v>
          </cell>
          <cell r="AA36">
            <v>3.7379375273761331</v>
          </cell>
          <cell r="AC36">
            <v>155151530</v>
          </cell>
          <cell r="AD36">
            <v>156604670</v>
          </cell>
          <cell r="AE36">
            <v>163238960</v>
          </cell>
          <cell r="AF36">
            <v>122113930</v>
          </cell>
          <cell r="AG36">
            <v>1.6441332516149225</v>
          </cell>
          <cell r="AH36">
            <v>111761560</v>
          </cell>
          <cell r="AI36">
            <v>109660920</v>
          </cell>
          <cell r="AJ36">
            <v>90259900</v>
          </cell>
          <cell r="AK36">
            <v>70318040</v>
          </cell>
          <cell r="AL36">
            <v>123404080</v>
          </cell>
          <cell r="AM36">
            <v>127376820</v>
          </cell>
          <cell r="AN36">
            <v>125963950</v>
          </cell>
          <cell r="AO36">
            <v>104895930</v>
          </cell>
          <cell r="AP36">
            <v>72.372481260826788</v>
          </cell>
          <cell r="AQ36">
            <v>150563450</v>
          </cell>
          <cell r="AR36">
            <v>156410820</v>
          </cell>
          <cell r="AS36">
            <v>143903090</v>
          </cell>
          <cell r="AT36">
            <v>121490620</v>
          </cell>
          <cell r="AU36">
            <v>87.469072318091833</v>
          </cell>
          <cell r="AV36">
            <v>90319630</v>
          </cell>
          <cell r="AW36">
            <v>87257560</v>
          </cell>
          <cell r="AX36">
            <v>67790570</v>
          </cell>
          <cell r="AY36">
            <v>66523360</v>
          </cell>
          <cell r="AZ36">
            <v>59.089815235329532</v>
          </cell>
          <cell r="BA36">
            <v>74.186406292594569</v>
          </cell>
          <cell r="BC36">
            <v>18.921779999999998</v>
          </cell>
          <cell r="BD36">
            <v>6.8310300000000002</v>
          </cell>
          <cell r="BE36">
            <v>1.9390000000000001E-2</v>
          </cell>
          <cell r="BF36">
            <v>-342000</v>
          </cell>
          <cell r="BG36">
            <v>4522330</v>
          </cell>
          <cell r="BH36">
            <v>4632490</v>
          </cell>
          <cell r="BI36">
            <v>-11005000</v>
          </cell>
          <cell r="BJ36">
            <v>-3.671322437914988E-3</v>
          </cell>
          <cell r="BK36">
            <v>-28708680</v>
          </cell>
          <cell r="BL36">
            <v>-18730620</v>
          </cell>
          <cell r="BM36">
            <v>-8925500</v>
          </cell>
          <cell r="BN36">
            <v>-58378120</v>
          </cell>
          <cell r="BO36">
            <v>-46769220</v>
          </cell>
          <cell r="BP36">
            <v>9135040</v>
          </cell>
          <cell r="BQ36">
            <v>34585900</v>
          </cell>
          <cell r="BR36">
            <v>9781910</v>
          </cell>
          <cell r="BS36">
            <v>9701890</v>
          </cell>
          <cell r="BT36">
            <v>2940670</v>
          </cell>
          <cell r="BU36">
            <v>-5685250</v>
          </cell>
          <cell r="BV36">
            <v>49973040</v>
          </cell>
          <cell r="BW36">
            <v>9.8990420661658321E-2</v>
          </cell>
          <cell r="BX36">
            <v>-4.8290294947749765E-3</v>
          </cell>
          <cell r="BY36">
            <v>129903300</v>
          </cell>
          <cell r="BZ36">
            <v>130245300</v>
          </cell>
          <cell r="CA36">
            <v>125722960</v>
          </cell>
          <cell r="CB36">
            <v>121090470</v>
          </cell>
          <cell r="CC36" t="str">
            <v>NULL</v>
          </cell>
          <cell r="CD36" t="str">
            <v>NULL</v>
          </cell>
          <cell r="CE36" t="str">
            <v>NULL</v>
          </cell>
          <cell r="CF36" t="str">
            <v>NULL</v>
          </cell>
          <cell r="CG36" t="str">
            <v>NULL</v>
          </cell>
          <cell r="CH36" t="str">
            <v>NULL</v>
          </cell>
          <cell r="CI36" t="str">
            <v>NULL</v>
          </cell>
          <cell r="CJ36" t="str">
            <v>NULL</v>
          </cell>
          <cell r="CK36">
            <v>129903300</v>
          </cell>
          <cell r="CL36">
            <v>130245300</v>
          </cell>
          <cell r="CM36">
            <v>125722960</v>
          </cell>
          <cell r="CN36">
            <v>121090470</v>
          </cell>
          <cell r="CO36">
            <v>-1.7296601088645634E-2</v>
          </cell>
          <cell r="CP36">
            <v>-342000</v>
          </cell>
          <cell r="CQ36">
            <v>9919800</v>
          </cell>
          <cell r="CR36">
            <v>96960</v>
          </cell>
          <cell r="CS36">
            <v>17379610</v>
          </cell>
          <cell r="CT36">
            <v>-166510</v>
          </cell>
          <cell r="CU36">
            <v>6553500</v>
          </cell>
          <cell r="CV36">
            <v>10180280</v>
          </cell>
          <cell r="CW36">
            <v>12903690</v>
          </cell>
          <cell r="CX36">
            <v>-1.0344765015423698</v>
          </cell>
          <cell r="CY36">
            <v>20.557726454300884</v>
          </cell>
          <cell r="CZ36">
            <v>-0.99442104857358704</v>
          </cell>
          <cell r="DA36">
            <v>105.37577322683322</v>
          </cell>
          <cell r="DB36">
            <v>-1.0254077973601892</v>
          </cell>
          <cell r="DC36">
            <v>-0.35625542715917435</v>
          </cell>
          <cell r="DD36">
            <v>-0.21105668223585661</v>
          </cell>
          <cell r="DE36">
            <v>47.416149135945489</v>
          </cell>
          <cell r="DG36">
            <v>21.127377195694599</v>
          </cell>
          <cell r="DH36">
            <v>69430000</v>
          </cell>
          <cell r="DI36">
            <v>6.2</v>
          </cell>
          <cell r="DJ36">
            <v>430466000</v>
          </cell>
          <cell r="DK36">
            <v>586965230</v>
          </cell>
          <cell r="DM36">
            <v>129903300</v>
          </cell>
          <cell r="DN36" t="str">
            <v>NULL</v>
          </cell>
          <cell r="DO36" t="str">
            <v>NULL</v>
          </cell>
          <cell r="DP36" t="str">
            <v>NULL</v>
          </cell>
          <cell r="DQ36" t="str">
            <v>NULL</v>
          </cell>
          <cell r="DR36">
            <v>129903300</v>
          </cell>
          <cell r="DS36">
            <v>3.3137418371973615</v>
          </cell>
          <cell r="DT36">
            <v>-4.9300000000000004E-3</v>
          </cell>
          <cell r="DU36">
            <v>6.5129999999999993E-2</v>
          </cell>
          <cell r="DV36">
            <v>6.6720000000000002E-2</v>
          </cell>
          <cell r="DW36">
            <v>-0.1585</v>
          </cell>
          <cell r="DX36">
            <v>-3.1580000000000025E-2</v>
          </cell>
          <cell r="DY36">
            <v>-191.57694743508534</v>
          </cell>
          <cell r="DZ36">
            <v>0.7209168428502738</v>
          </cell>
          <cell r="EA36">
            <v>59108080</v>
          </cell>
          <cell r="EB36">
            <v>7.28269299222712</v>
          </cell>
          <cell r="EC36" t="str">
            <v>NULL</v>
          </cell>
          <cell r="ED36">
            <v>0.36072247076997599</v>
          </cell>
          <cell r="EE36">
            <v>0.47793904001341098</v>
          </cell>
          <cell r="EG36">
            <v>0.39181550100641371</v>
          </cell>
          <cell r="EH36">
            <v>-1.5426848461801201E-2</v>
          </cell>
          <cell r="EK36">
            <v>0.46461255645161298</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142</v>
          </cell>
          <cell r="L37" t="str">
            <v>NULL</v>
          </cell>
          <cell r="M37">
            <v>1.4869600000000001</v>
          </cell>
          <cell r="N37">
            <v>0</v>
          </cell>
          <cell r="O37">
            <v>0</v>
          </cell>
          <cell r="P37">
            <v>1.4869600000000001</v>
          </cell>
          <cell r="Q37">
            <v>1.0471549295774648E-2</v>
          </cell>
          <cell r="S37">
            <v>18.213283662999999</v>
          </cell>
          <cell r="T37">
            <v>10.946518038000001</v>
          </cell>
          <cell r="U37">
            <v>43100</v>
          </cell>
          <cell r="V37">
            <v>225642790000</v>
          </cell>
          <cell r="W37">
            <v>200056912000</v>
          </cell>
          <cell r="X37">
            <v>172447778000</v>
          </cell>
          <cell r="Y37">
            <v>184364247000</v>
          </cell>
          <cell r="Z37">
            <v>26056548000</v>
          </cell>
          <cell r="AA37">
            <v>8.6597345895549935</v>
          </cell>
          <cell r="AC37" t="str">
            <v>NULL</v>
          </cell>
          <cell r="AD37" t="str">
            <v>NULL</v>
          </cell>
          <cell r="AE37" t="str">
            <v>NULL</v>
          </cell>
          <cell r="AF37" t="str">
            <v>NULL</v>
          </cell>
          <cell r="AG37">
            <v>0</v>
          </cell>
          <cell r="AH37">
            <v>16672427000</v>
          </cell>
          <cell r="AI37">
            <v>17101794000</v>
          </cell>
          <cell r="AJ37">
            <v>12040180000</v>
          </cell>
          <cell r="AK37">
            <v>17308169000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15.76558</v>
          </cell>
          <cell r="BF37">
            <v>1420910000</v>
          </cell>
          <cell r="BG37">
            <v>1134580000</v>
          </cell>
          <cell r="BH37">
            <v>-282995000</v>
          </cell>
          <cell r="BI37">
            <v>1605770000</v>
          </cell>
          <cell r="BJ37" t="e">
            <v>#DIV/0!</v>
          </cell>
          <cell r="BK37">
            <v>-775993000</v>
          </cell>
          <cell r="BL37">
            <v>-503027000</v>
          </cell>
          <cell r="BM37">
            <v>-326608000</v>
          </cell>
          <cell r="BN37">
            <v>-150057000</v>
          </cell>
          <cell r="BO37">
            <v>-419649000</v>
          </cell>
          <cell r="BP37">
            <v>-682952000</v>
          </cell>
          <cell r="BQ37">
            <v>-14955223000</v>
          </cell>
          <cell r="BR37">
            <v>-24314066000</v>
          </cell>
          <cell r="BS37">
            <v>-9846993000</v>
          </cell>
          <cell r="BT37">
            <v>-3563295000</v>
          </cell>
          <cell r="BU37">
            <v>21113585000</v>
          </cell>
          <cell r="BV37">
            <v>-45915801000</v>
          </cell>
          <cell r="BW37" t="e">
            <v>#DIV/0!</v>
          </cell>
          <cell r="BX37">
            <v>1.9824699700634645E-2</v>
          </cell>
          <cell r="BY37">
            <v>26056548000</v>
          </cell>
          <cell r="BZ37">
            <v>24638812000</v>
          </cell>
          <cell r="CA37">
            <v>16871810000</v>
          </cell>
          <cell r="CB37">
            <v>17154805000</v>
          </cell>
          <cell r="CC37" t="str">
            <v>NULL</v>
          </cell>
          <cell r="CD37" t="str">
            <v>NULL</v>
          </cell>
          <cell r="CE37" t="str">
            <v>NULL</v>
          </cell>
          <cell r="CF37" t="str">
            <v>NULL</v>
          </cell>
          <cell r="CG37" t="str">
            <v>NULL</v>
          </cell>
          <cell r="CH37" t="str">
            <v>NULL</v>
          </cell>
          <cell r="CI37" t="str">
            <v>NULL</v>
          </cell>
          <cell r="CJ37" t="str">
            <v>NULL</v>
          </cell>
          <cell r="CK37">
            <v>26056548000</v>
          </cell>
          <cell r="CL37">
            <v>24638812000</v>
          </cell>
          <cell r="CM37">
            <v>16871810000</v>
          </cell>
          <cell r="CN37">
            <v>17154805000</v>
          </cell>
          <cell r="CO37">
            <v>0.18310550479966975</v>
          </cell>
          <cell r="CP37">
            <v>1420910000</v>
          </cell>
          <cell r="CQ37">
            <v>582405000</v>
          </cell>
          <cell r="CR37">
            <v>3878265000</v>
          </cell>
          <cell r="CS37">
            <v>3643672000</v>
          </cell>
          <cell r="CT37">
            <v>3784487000</v>
          </cell>
          <cell r="CU37">
            <v>3204496000</v>
          </cell>
          <cell r="CV37">
            <v>2024244000</v>
          </cell>
          <cell r="CW37">
            <v>1263679000</v>
          </cell>
          <cell r="CX37">
            <v>1.4397283677166235</v>
          </cell>
          <cell r="CY37">
            <v>0.27861838481145823</v>
          </cell>
          <cell r="CZ37">
            <v>6.4383676686595281E-2</v>
          </cell>
          <cell r="DA37">
            <v>-3.7208477661569428E-2</v>
          </cell>
          <cell r="DB37">
            <v>0.1809928924860571</v>
          </cell>
          <cell r="DC37">
            <v>0.58305816887687456</v>
          </cell>
          <cell r="DD37">
            <v>0.60186566366933381</v>
          </cell>
          <cell r="DE37">
            <v>0.2967938002163697</v>
          </cell>
          <cell r="DG37">
            <v>6.2788113087421804</v>
          </cell>
          <cell r="DH37">
            <v>612659638</v>
          </cell>
          <cell r="DI37">
            <v>144.80000000000001</v>
          </cell>
          <cell r="DJ37">
            <v>88713115582.399994</v>
          </cell>
          <cell r="DK37">
            <v>57967147582.399902</v>
          </cell>
          <cell r="DM37">
            <v>26056548000</v>
          </cell>
          <cell r="DN37" t="str">
            <v>NULL</v>
          </cell>
          <cell r="DO37" t="str">
            <v>NULL</v>
          </cell>
          <cell r="DP37">
            <v>432746000</v>
          </cell>
          <cell r="DQ37">
            <v>3117000</v>
          </cell>
          <cell r="DR37">
            <v>25620685000</v>
          </cell>
          <cell r="DS37">
            <v>3.4625583032772149</v>
          </cell>
          <cell r="DT37">
            <v>2.3192499999999998</v>
          </cell>
          <cell r="DU37">
            <v>1.85189</v>
          </cell>
          <cell r="DV37">
            <v>-0.52710999999999997</v>
          </cell>
          <cell r="DW37">
            <v>2.9909400000000002</v>
          </cell>
          <cell r="DX37">
            <v>6.6349699999999991</v>
          </cell>
          <cell r="DY37">
            <v>21.401754642447518</v>
          </cell>
          <cell r="DZ37" t="e">
            <v>#DIV/0!</v>
          </cell>
          <cell r="EA37">
            <v>-46598753000</v>
          </cell>
          <cell r="EB37">
            <v>-1.9037658707819927</v>
          </cell>
          <cell r="EC37">
            <v>21.8237610720169</v>
          </cell>
          <cell r="ED37">
            <v>1.15623170544162</v>
          </cell>
          <cell r="EE37">
            <v>1.0731341355292601</v>
          </cell>
          <cell r="EG37">
            <v>0.480266866843509</v>
          </cell>
          <cell r="EH37">
            <v>0.14353219385800187</v>
          </cell>
          <cell r="EK37">
            <v>1.09341216850829</v>
          </cell>
        </row>
        <row r="38">
          <cell r="A38" t="str">
            <v>GARO</v>
          </cell>
          <cell r="B38" t="str">
            <v>GAR.BA</v>
          </cell>
          <cell r="C38" t="str">
            <v>GAROVAGLIO Y ZORRAQUIN SA</v>
          </cell>
          <cell r="D38">
            <v>43190</v>
          </cell>
          <cell r="E38">
            <v>442472970</v>
          </cell>
          <cell r="F38">
            <v>369669530</v>
          </cell>
          <cell r="G38">
            <v>1.1969399999999999</v>
          </cell>
          <cell r="H38">
            <v>0.80694999999999995</v>
          </cell>
          <cell r="I38">
            <v>1.4226000000000001</v>
          </cell>
          <cell r="J38">
            <v>0.90039000000000002</v>
          </cell>
          <cell r="K38">
            <v>9.75</v>
          </cell>
          <cell r="L38">
            <v>0</v>
          </cell>
          <cell r="M38" t="str">
            <v>NULL</v>
          </cell>
          <cell r="N38" t="str">
            <v>NULL</v>
          </cell>
          <cell r="O38">
            <v>0</v>
          </cell>
          <cell r="P38">
            <v>0</v>
          </cell>
          <cell r="Q38">
            <v>0</v>
          </cell>
          <cell r="S38">
            <v>40.474791915300003</v>
          </cell>
          <cell r="T38">
            <v>47.556147547000002</v>
          </cell>
          <cell r="U38">
            <v>43190</v>
          </cell>
          <cell r="V38">
            <v>662095550</v>
          </cell>
          <cell r="W38">
            <v>563532660</v>
          </cell>
          <cell r="X38">
            <v>586122000</v>
          </cell>
          <cell r="Y38">
            <v>613357310</v>
          </cell>
          <cell r="Z38">
            <v>167451040</v>
          </cell>
          <cell r="AA38">
            <v>3.9539649917970054</v>
          </cell>
          <cell r="AC38">
            <v>313241500</v>
          </cell>
          <cell r="AD38">
            <v>207626620</v>
          </cell>
          <cell r="AE38">
            <v>304121040</v>
          </cell>
          <cell r="AF38">
            <v>335062700</v>
          </cell>
          <cell r="AG38">
            <v>2.3917108640229623</v>
          </cell>
          <cell r="AH38">
            <v>140587400</v>
          </cell>
          <cell r="AI38">
            <v>135108030</v>
          </cell>
          <cell r="AJ38">
            <v>181597080</v>
          </cell>
          <cell r="AK38">
            <v>149099960</v>
          </cell>
          <cell r="AL38">
            <v>192923210</v>
          </cell>
          <cell r="AM38">
            <v>134026850</v>
          </cell>
          <cell r="AN38">
            <v>191100020</v>
          </cell>
          <cell r="AO38">
            <v>213041610</v>
          </cell>
          <cell r="AP38">
            <v>75.685873118732886</v>
          </cell>
          <cell r="AQ38">
            <v>245030070</v>
          </cell>
          <cell r="AR38">
            <v>177442980</v>
          </cell>
          <cell r="AS38">
            <v>195224780</v>
          </cell>
          <cell r="AT38">
            <v>225587410</v>
          </cell>
          <cell r="AU38">
            <v>66.33305010174287</v>
          </cell>
          <cell r="AV38">
            <v>144169130</v>
          </cell>
          <cell r="AW38">
            <v>140039350</v>
          </cell>
          <cell r="AX38">
            <v>122455460</v>
          </cell>
          <cell r="AY38">
            <v>124553240</v>
          </cell>
          <cell r="AZ38">
            <v>66.302993643656379</v>
          </cell>
          <cell r="BA38">
            <v>56.950170626666377</v>
          </cell>
          <cell r="BC38">
            <v>35.204979999999999</v>
          </cell>
          <cell r="BD38">
            <v>12.574439999999999</v>
          </cell>
          <cell r="BE38">
            <v>-1.8069</v>
          </cell>
          <cell r="BF38">
            <v>4438130</v>
          </cell>
          <cell r="BG38">
            <v>-13049760</v>
          </cell>
          <cell r="BH38">
            <v>5224480</v>
          </cell>
          <cell r="BI38">
            <v>11444080</v>
          </cell>
          <cell r="BJ38">
            <v>6.9453188066954177E-3</v>
          </cell>
          <cell r="BK38">
            <v>-12502130</v>
          </cell>
          <cell r="BL38">
            <v>-14208940</v>
          </cell>
          <cell r="BM38">
            <v>-8421070</v>
          </cell>
          <cell r="BN38">
            <v>-61879090</v>
          </cell>
          <cell r="BO38">
            <v>-54739970</v>
          </cell>
          <cell r="BP38">
            <v>33816770</v>
          </cell>
          <cell r="BQ38">
            <v>-12477830</v>
          </cell>
          <cell r="BR38">
            <v>-17962410</v>
          </cell>
          <cell r="BS38">
            <v>-3226650</v>
          </cell>
          <cell r="BT38">
            <v>33458120</v>
          </cell>
          <cell r="BU38">
            <v>18988960</v>
          </cell>
          <cell r="BV38">
            <v>-34693440</v>
          </cell>
          <cell r="BW38">
            <v>-7.5571621427338606E-4</v>
          </cell>
          <cell r="BX38">
            <v>1.3289192225176062E-2</v>
          </cell>
          <cell r="BY38">
            <v>167451040</v>
          </cell>
          <cell r="BZ38">
            <v>163012910</v>
          </cell>
          <cell r="CA38">
            <v>176062670</v>
          </cell>
          <cell r="CB38">
            <v>170838190</v>
          </cell>
          <cell r="CC38" t="str">
            <v>NULL</v>
          </cell>
          <cell r="CD38" t="str">
            <v>NULL</v>
          </cell>
          <cell r="CE38" t="str">
            <v>NULL</v>
          </cell>
          <cell r="CF38" t="str">
            <v>NULL</v>
          </cell>
          <cell r="CG38" t="str">
            <v>NULL</v>
          </cell>
          <cell r="CH38" t="str">
            <v>NULL</v>
          </cell>
          <cell r="CI38" t="str">
            <v>NULL</v>
          </cell>
          <cell r="CJ38" t="str">
            <v>NULL</v>
          </cell>
          <cell r="CK38">
            <v>167451040</v>
          </cell>
          <cell r="CL38">
            <v>163012910</v>
          </cell>
          <cell r="CM38">
            <v>176062670</v>
          </cell>
          <cell r="CN38">
            <v>170838190</v>
          </cell>
          <cell r="CO38">
            <v>4.7578084252708673E-2</v>
          </cell>
          <cell r="CP38">
            <v>4438130</v>
          </cell>
          <cell r="CQ38">
            <v>-13201660</v>
          </cell>
          <cell r="CR38">
            <v>-19418530</v>
          </cell>
          <cell r="CS38">
            <v>48345700</v>
          </cell>
          <cell r="CT38">
            <v>45810720</v>
          </cell>
          <cell r="CU38">
            <v>55026270</v>
          </cell>
          <cell r="CV38">
            <v>10307220</v>
          </cell>
          <cell r="CW38">
            <v>22175250</v>
          </cell>
          <cell r="CX38">
            <v>1.3361796925538152</v>
          </cell>
          <cell r="CY38">
            <v>0.45792441166253794</v>
          </cell>
          <cell r="CZ38">
            <v>-1.4016599201169908</v>
          </cell>
          <cell r="DA38">
            <v>5.533595630018473E-2</v>
          </cell>
          <cell r="DB38">
            <v>-0.1674754621747031</v>
          </cell>
          <cell r="DC38">
            <v>4.338614097690745</v>
          </cell>
          <cell r="DD38">
            <v>-0.53519261338654589</v>
          </cell>
          <cell r="DE38">
            <v>2.2392683078560869</v>
          </cell>
          <cell r="DG38">
            <v>3.1180058428714301</v>
          </cell>
          <cell r="DH38">
            <v>44000000</v>
          </cell>
          <cell r="DI38">
            <v>9.75</v>
          </cell>
          <cell r="DJ38">
            <v>429000000</v>
          </cell>
          <cell r="DK38">
            <v>552458970</v>
          </cell>
          <cell r="DM38">
            <v>167451040</v>
          </cell>
          <cell r="DN38" t="str">
            <v>NULL</v>
          </cell>
          <cell r="DO38" t="str">
            <v>NULL</v>
          </cell>
          <cell r="DP38">
            <v>34856220</v>
          </cell>
          <cell r="DQ38" t="str">
            <v>NULL</v>
          </cell>
          <cell r="DR38">
            <v>132594820</v>
          </cell>
          <cell r="DS38">
            <v>3.2354205088856411</v>
          </cell>
          <cell r="DT38">
            <v>0.10087</v>
          </cell>
          <cell r="DU38">
            <v>-0.29659000000000002</v>
          </cell>
          <cell r="DV38">
            <v>0.11874</v>
          </cell>
          <cell r="DW38">
            <v>0.26008999999999999</v>
          </cell>
          <cell r="DX38">
            <v>0.18310999999999999</v>
          </cell>
          <cell r="DY38">
            <v>53.246682322101471</v>
          </cell>
          <cell r="DZ38">
            <v>0.36981105310240181</v>
          </cell>
          <cell r="EA38">
            <v>-876670</v>
          </cell>
          <cell r="EB38">
            <v>-489.35175151425278</v>
          </cell>
          <cell r="EC38">
            <v>53.246682322101499</v>
          </cell>
          <cell r="ED38">
            <v>0.54790668502828899</v>
          </cell>
          <cell r="EE38">
            <v>0.669977419444439</v>
          </cell>
          <cell r="EG38">
            <v>0.45706759962811744</v>
          </cell>
          <cell r="EH38">
            <v>6.0765358839525829E-2</v>
          </cell>
          <cell r="EK38" t="str">
            <v>NULL</v>
          </cell>
        </row>
        <row r="39">
          <cell r="A39" t="str">
            <v>GBAN</v>
          </cell>
          <cell r="B39" t="str">
            <v>GBA.BA</v>
          </cell>
          <cell r="C39" t="str">
            <v>GAS NATURAL BAN SA</v>
          </cell>
          <cell r="D39">
            <v>43190</v>
          </cell>
          <cell r="E39">
            <v>2323063820</v>
          </cell>
          <cell r="F39">
            <v>2689325600</v>
          </cell>
          <cell r="G39">
            <v>0.86380999999999997</v>
          </cell>
          <cell r="H39">
            <v>0.85421000000000002</v>
          </cell>
          <cell r="I39">
            <v>1.05461</v>
          </cell>
          <cell r="J39">
            <v>1.04149</v>
          </cell>
          <cell r="K39">
            <v>56</v>
          </cell>
          <cell r="L39">
            <v>0</v>
          </cell>
          <cell r="M39" t="str">
            <v>NULL</v>
          </cell>
          <cell r="N39">
            <v>0</v>
          </cell>
          <cell r="O39">
            <v>0</v>
          </cell>
          <cell r="P39">
            <v>0</v>
          </cell>
          <cell r="Q39">
            <v>0</v>
          </cell>
          <cell r="S39">
            <v>29.138578356699998</v>
          </cell>
          <cell r="T39">
            <v>26.494138667000001</v>
          </cell>
          <cell r="U39">
            <v>43190</v>
          </cell>
          <cell r="V39">
            <v>4966967120</v>
          </cell>
          <cell r="W39">
            <v>4530812100</v>
          </cell>
          <cell r="X39">
            <v>5007519930</v>
          </cell>
          <cell r="Y39">
            <v>5414512010</v>
          </cell>
          <cell r="Z39">
            <v>1548799720</v>
          </cell>
          <cell r="AA39">
            <v>3.2069783173772786</v>
          </cell>
          <cell r="AC39">
            <v>1770724100</v>
          </cell>
          <cell r="AD39">
            <v>1377038800</v>
          </cell>
          <cell r="AE39">
            <v>1571580160</v>
          </cell>
          <cell r="AF39">
            <v>2269710720</v>
          </cell>
          <cell r="AG39">
            <v>1.7542933942185175</v>
          </cell>
          <cell r="AH39">
            <v>2007733100</v>
          </cell>
          <cell r="AI39">
            <v>1316223210</v>
          </cell>
          <cell r="AJ39">
            <v>2346102660</v>
          </cell>
          <cell r="AK39">
            <v>3598934850</v>
          </cell>
          <cell r="AL39">
            <v>1413790870</v>
          </cell>
          <cell r="AM39">
            <v>731771940</v>
          </cell>
          <cell r="AN39">
            <v>903376690</v>
          </cell>
          <cell r="AO39">
            <v>1615482070</v>
          </cell>
          <cell r="AP39">
            <v>181.32916876872258</v>
          </cell>
          <cell r="AQ39">
            <v>1583297120</v>
          </cell>
          <cell r="AR39">
            <v>1868127570</v>
          </cell>
          <cell r="AS39">
            <v>2134332280</v>
          </cell>
          <cell r="AT39">
            <v>2301036510</v>
          </cell>
          <cell r="AU39">
            <v>102.97100690645995</v>
          </cell>
          <cell r="AV39">
            <v>25818440</v>
          </cell>
          <cell r="AW39">
            <v>27467660</v>
          </cell>
          <cell r="AX39">
            <v>27081750</v>
          </cell>
          <cell r="AY39">
            <v>28691960</v>
          </cell>
          <cell r="AZ39">
            <v>2.1335352118483577</v>
          </cell>
          <cell r="BA39">
            <v>-76.22462665041428</v>
          </cell>
          <cell r="BC39" t="str">
            <v>NULL</v>
          </cell>
          <cell r="BD39">
            <v>13.84529</v>
          </cell>
          <cell r="BE39">
            <v>8.2966899999999999</v>
          </cell>
          <cell r="BF39">
            <v>-23903810</v>
          </cell>
          <cell r="BG39">
            <v>149265460</v>
          </cell>
          <cell r="BH39">
            <v>245374940</v>
          </cell>
          <cell r="BI39">
            <v>174260700</v>
          </cell>
          <cell r="BJ39">
            <v>7.7978694563715326E-2</v>
          </cell>
          <cell r="BK39">
            <v>-316983940</v>
          </cell>
          <cell r="BL39">
            <v>-734168530</v>
          </cell>
          <cell r="BM39">
            <v>-490046000</v>
          </cell>
          <cell r="BN39">
            <v>-268681670</v>
          </cell>
          <cell r="BO39">
            <v>-136290520</v>
          </cell>
          <cell r="BP39">
            <v>-670739420</v>
          </cell>
          <cell r="BQ39">
            <v>485467970</v>
          </cell>
          <cell r="BR39">
            <v>-467697040</v>
          </cell>
          <cell r="BS39">
            <v>55780900</v>
          </cell>
          <cell r="BT39">
            <v>223241310</v>
          </cell>
          <cell r="BU39">
            <v>359690560</v>
          </cell>
          <cell r="BV39">
            <v>181558310</v>
          </cell>
          <cell r="BW39">
            <v>-6.9992466133233844E-2</v>
          </cell>
          <cell r="BX39">
            <v>0.10943824429307492</v>
          </cell>
          <cell r="BY39">
            <v>1548799720</v>
          </cell>
          <cell r="BZ39">
            <v>1644287310</v>
          </cell>
          <cell r="CA39">
            <v>1495021840</v>
          </cell>
          <cell r="CB39">
            <v>1249646910</v>
          </cell>
          <cell r="CC39" t="str">
            <v>NULL</v>
          </cell>
          <cell r="CD39" t="str">
            <v>NULL</v>
          </cell>
          <cell r="CE39" t="str">
            <v>NULL</v>
          </cell>
          <cell r="CF39" t="str">
            <v>NULL</v>
          </cell>
          <cell r="CG39" t="str">
            <v>NULL</v>
          </cell>
          <cell r="CH39" t="str">
            <v>NULL</v>
          </cell>
          <cell r="CI39" t="str">
            <v>NULL</v>
          </cell>
          <cell r="CJ39" t="str">
            <v>NULL</v>
          </cell>
          <cell r="CK39">
            <v>1548799720</v>
          </cell>
          <cell r="CL39">
            <v>1644287310</v>
          </cell>
          <cell r="CM39">
            <v>1495021840</v>
          </cell>
          <cell r="CN39">
            <v>1249646910</v>
          </cell>
          <cell r="CO39">
            <v>0.3671402531142835</v>
          </cell>
          <cell r="CP39">
            <v>-23903810</v>
          </cell>
          <cell r="CQ39">
            <v>-25926000</v>
          </cell>
          <cell r="CR39">
            <v>542975100</v>
          </cell>
          <cell r="CS39">
            <v>241741320</v>
          </cell>
          <cell r="CT39">
            <v>213896800</v>
          </cell>
          <cell r="CU39">
            <v>-56466890</v>
          </cell>
          <cell r="CV39">
            <v>34986400</v>
          </cell>
          <cell r="CW39">
            <v>-6343630</v>
          </cell>
          <cell r="CX39">
            <v>7.7998534289902E-2</v>
          </cell>
          <cell r="CY39">
            <v>2.0131031893458187</v>
          </cell>
          <cell r="CZ39">
            <v>1.2460996738166235</v>
          </cell>
          <cell r="DA39">
            <v>0.13017735655699392</v>
          </cell>
          <cell r="DB39">
            <v>4.7880039081309418</v>
          </cell>
          <cell r="DC39">
            <v>-2.6139668556924978</v>
          </cell>
          <cell r="DD39">
            <v>6.5152018639170315</v>
          </cell>
          <cell r="DE39">
            <v>3.6576101405493784</v>
          </cell>
          <cell r="DG39">
            <v>8.6000410447605606</v>
          </cell>
          <cell r="DH39">
            <v>159514582</v>
          </cell>
          <cell r="DI39">
            <v>57</v>
          </cell>
          <cell r="DJ39">
            <v>18555778062</v>
          </cell>
          <cell r="DK39">
            <v>9322335444</v>
          </cell>
          <cell r="DM39">
            <v>1548799720</v>
          </cell>
          <cell r="DN39" t="str">
            <v>NULL</v>
          </cell>
          <cell r="DO39" t="str">
            <v>NULL</v>
          </cell>
          <cell r="DP39">
            <v>94764680</v>
          </cell>
          <cell r="DQ39" t="str">
            <v>NULL</v>
          </cell>
          <cell r="DR39">
            <v>1454035040</v>
          </cell>
          <cell r="DS39">
            <v>12.761575582112519</v>
          </cell>
          <cell r="DT39">
            <v>-7.3429999999999995E-2</v>
          </cell>
          <cell r="DU39">
            <v>0.45851999999999998</v>
          </cell>
          <cell r="DV39">
            <v>0.75375000000000003</v>
          </cell>
          <cell r="DW39">
            <v>0.5353</v>
          </cell>
          <cell r="DX39">
            <v>1.67414</v>
          </cell>
          <cell r="DY39">
            <v>33.450010154467371</v>
          </cell>
          <cell r="DZ39">
            <v>2.6549771465630361</v>
          </cell>
          <cell r="EA39">
            <v>-489181110</v>
          </cell>
          <cell r="EB39">
            <v>-37.932327480920101</v>
          </cell>
          <cell r="EC39">
            <v>34.0473317643686</v>
          </cell>
          <cell r="ED39">
            <v>1.0420904269875599</v>
          </cell>
          <cell r="EE39">
            <v>0.90758767412619101</v>
          </cell>
          <cell r="EG39">
            <v>0.42366181535048536</v>
          </cell>
          <cell r="EH39">
            <v>0.14175379134939092</v>
          </cell>
          <cell r="EK39" t="str">
            <v>NULL</v>
          </cell>
        </row>
        <row r="40">
          <cell r="A40" t="str">
            <v>GCLA</v>
          </cell>
          <cell r="B40" t="str">
            <v>CLA.BA</v>
          </cell>
          <cell r="C40" t="str">
            <v>GRUPO CLARIN SA</v>
          </cell>
          <cell r="D40">
            <v>43190</v>
          </cell>
          <cell r="E40">
            <v>7170455560</v>
          </cell>
          <cell r="F40">
            <v>4910591010</v>
          </cell>
          <cell r="G40">
            <v>1.4601999999999999</v>
          </cell>
          <cell r="H40">
            <v>1.2993699999999999</v>
          </cell>
          <cell r="I40">
            <v>1.5194000000000001</v>
          </cell>
          <cell r="J40">
            <v>1.3758999999999999</v>
          </cell>
          <cell r="K40">
            <v>51.1</v>
          </cell>
          <cell r="L40">
            <v>0</v>
          </cell>
          <cell r="M40">
            <v>0</v>
          </cell>
          <cell r="N40">
            <v>0</v>
          </cell>
          <cell r="O40">
            <v>4.4954000000000001</v>
          </cell>
          <cell r="P40">
            <v>4.4954000000000001</v>
          </cell>
          <cell r="Q40">
            <v>8.7972602739726027E-2</v>
          </cell>
          <cell r="S40">
            <v>27.869532412400002</v>
          </cell>
          <cell r="T40">
            <v>24.680855596000001</v>
          </cell>
          <cell r="U40">
            <v>43190</v>
          </cell>
          <cell r="V40">
            <v>10206036320</v>
          </cell>
          <cell r="W40">
            <v>9991993120</v>
          </cell>
          <cell r="X40">
            <v>9684757340</v>
          </cell>
          <cell r="Y40">
            <v>8993083450</v>
          </cell>
          <cell r="Z40">
            <v>4195586430</v>
          </cell>
          <cell r="AA40">
            <v>2.4325649084530956</v>
          </cell>
          <cell r="AC40">
            <v>3073301110</v>
          </cell>
          <cell r="AD40">
            <v>4116761070</v>
          </cell>
          <cell r="AE40">
            <v>3759245610</v>
          </cell>
          <cell r="AF40">
            <v>3606014920</v>
          </cell>
          <cell r="AG40">
            <v>1.8720232438978408</v>
          </cell>
          <cell r="AH40" t="str">
            <v>NULL</v>
          </cell>
          <cell r="AI40" t="str">
            <v>NULL</v>
          </cell>
          <cell r="AJ40" t="str">
            <v>NULL</v>
          </cell>
          <cell r="AK40" t="str">
            <v>NULL</v>
          </cell>
          <cell r="AL40">
            <v>2085327620</v>
          </cell>
          <cell r="AM40">
            <v>2407294550</v>
          </cell>
          <cell r="AN40">
            <v>2231453620</v>
          </cell>
          <cell r="AO40">
            <v>2218252670</v>
          </cell>
          <cell r="AP40" t="e">
            <v>#DIV/0!</v>
          </cell>
          <cell r="AQ40">
            <v>4282356460</v>
          </cell>
          <cell r="AR40">
            <v>4776942930</v>
          </cell>
          <cell r="AS40">
            <v>4314984570</v>
          </cell>
          <cell r="AT40">
            <v>3692746320</v>
          </cell>
          <cell r="AU40">
            <v>106.99635755791499</v>
          </cell>
          <cell r="AV40">
            <v>789798060</v>
          </cell>
          <cell r="AW40">
            <v>677237700</v>
          </cell>
          <cell r="AX40">
            <v>675511920</v>
          </cell>
          <cell r="AY40">
            <v>705817450</v>
          </cell>
          <cell r="AZ40">
            <v>29.065507856831733</v>
          </cell>
          <cell r="BA40" t="e">
            <v>#DIV/0!</v>
          </cell>
          <cell r="BC40">
            <v>38.121029999999998</v>
          </cell>
          <cell r="BD40">
            <v>8.1906300000000005</v>
          </cell>
          <cell r="BE40">
            <v>-4.8063000000000002</v>
          </cell>
          <cell r="BF40">
            <v>18190880</v>
          </cell>
          <cell r="BG40">
            <v>-22661740</v>
          </cell>
          <cell r="BH40">
            <v>214579500</v>
          </cell>
          <cell r="BI40">
            <v>-16969810</v>
          </cell>
          <cell r="BJ40">
            <v>1.3269292192835208E-2</v>
          </cell>
          <cell r="BK40">
            <v>-125039270</v>
          </cell>
          <cell r="BL40">
            <v>-472463720</v>
          </cell>
          <cell r="BM40">
            <v>-336545600</v>
          </cell>
          <cell r="BN40">
            <v>-192089590</v>
          </cell>
          <cell r="BO40">
            <v>-89600400</v>
          </cell>
          <cell r="BP40">
            <v>-371984470</v>
          </cell>
          <cell r="BQ40">
            <v>392565580</v>
          </cell>
          <cell r="BR40">
            <v>1535752360</v>
          </cell>
          <cell r="BS40">
            <v>1053999180</v>
          </cell>
          <cell r="BT40">
            <v>992217690</v>
          </cell>
          <cell r="BU40">
            <v>2504508750</v>
          </cell>
          <cell r="BV40">
            <v>-1057943990</v>
          </cell>
          <cell r="BW40">
            <v>-9.8240931409757801E-2</v>
          </cell>
          <cell r="BX40">
            <v>1.9872360809657943E-2</v>
          </cell>
          <cell r="BY40">
            <v>4195586430</v>
          </cell>
          <cell r="BZ40">
            <v>4189098210</v>
          </cell>
          <cell r="CA40">
            <v>4210732410</v>
          </cell>
          <cell r="CB40">
            <v>3999234070</v>
          </cell>
          <cell r="CC40" t="str">
            <v>NULL</v>
          </cell>
          <cell r="CD40" t="str">
            <v>NULL</v>
          </cell>
          <cell r="CE40" t="str">
            <v>NULL</v>
          </cell>
          <cell r="CF40" t="str">
            <v>NULL</v>
          </cell>
          <cell r="CG40" t="str">
            <v>NULL</v>
          </cell>
          <cell r="CH40" t="str">
            <v>NULL</v>
          </cell>
          <cell r="CI40" t="str">
            <v>NULL</v>
          </cell>
          <cell r="CJ40" t="str">
            <v>NULL</v>
          </cell>
          <cell r="CK40">
            <v>4195586430</v>
          </cell>
          <cell r="CL40">
            <v>4189098210</v>
          </cell>
          <cell r="CM40">
            <v>4210732410</v>
          </cell>
          <cell r="CN40">
            <v>3999234070</v>
          </cell>
          <cell r="CO40">
            <v>4.6554477970851126E-2</v>
          </cell>
          <cell r="CP40">
            <v>18190880</v>
          </cell>
          <cell r="CQ40">
            <v>-855416850</v>
          </cell>
          <cell r="CR40">
            <v>-680468900</v>
          </cell>
          <cell r="CS40">
            <v>-1425489650</v>
          </cell>
          <cell r="CT40">
            <v>-423102960</v>
          </cell>
          <cell r="CU40">
            <v>804101690</v>
          </cell>
          <cell r="CV40">
            <v>426066190</v>
          </cell>
          <cell r="CW40">
            <v>-16406490</v>
          </cell>
          <cell r="CX40">
            <v>1.0212655151695924</v>
          </cell>
          <cell r="CY40">
            <v>4.8967934992707898</v>
          </cell>
          <cell r="CZ40">
            <v>0.52264199182365156</v>
          </cell>
          <cell r="DA40">
            <v>-2.3691318302287461</v>
          </cell>
          <cell r="DB40">
            <v>-1.5261809112725531</v>
          </cell>
          <cell r="DC40">
            <v>0.88726941698894257</v>
          </cell>
          <cell r="DD40">
            <v>26.969368829042654</v>
          </cell>
          <cell r="DE40">
            <v>12.414269386851881</v>
          </cell>
          <cell r="DG40">
            <v>2.1781499177005101</v>
          </cell>
          <cell r="DH40">
            <v>69203544</v>
          </cell>
          <cell r="DI40">
            <v>52</v>
          </cell>
          <cell r="DJ40">
            <v>5552352208</v>
          </cell>
          <cell r="DK40">
            <v>3433571558</v>
          </cell>
          <cell r="DM40">
            <v>4195586430</v>
          </cell>
          <cell r="DN40" t="str">
            <v>NULL</v>
          </cell>
          <cell r="DO40" t="str">
            <v>NULL</v>
          </cell>
          <cell r="DP40">
            <v>227344760</v>
          </cell>
          <cell r="DQ40">
            <v>269817940</v>
          </cell>
          <cell r="DR40">
            <v>3698423730</v>
          </cell>
          <cell r="DS40">
            <v>1.5012753035737201</v>
          </cell>
          <cell r="DT40">
            <v>0.17036999999999999</v>
          </cell>
          <cell r="DU40">
            <v>-0.21224000000000001</v>
          </cell>
          <cell r="DV40">
            <v>2.00963</v>
          </cell>
          <cell r="DW40">
            <v>-0.15892999999999999</v>
          </cell>
          <cell r="DX40">
            <v>1.8088299999999999</v>
          </cell>
          <cell r="DY40">
            <v>28.250305446061819</v>
          </cell>
          <cell r="DZ40">
            <v>0.38146541431096859</v>
          </cell>
          <cell r="EA40">
            <v>-1429928460</v>
          </cell>
          <cell r="EB40">
            <v>-3.8829580383343094</v>
          </cell>
          <cell r="EC40">
            <v>28.747864641785</v>
          </cell>
          <cell r="ED40">
            <v>0.54177707466284297</v>
          </cell>
          <cell r="EE40">
            <v>0.60542968967542998</v>
          </cell>
          <cell r="EG40">
            <v>0.49910767947689805</v>
          </cell>
          <cell r="EH40">
            <v>6.9479943931429533E-2</v>
          </cell>
          <cell r="EK40">
            <v>8.6449845944230805</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115.75</v>
          </cell>
          <cell r="L41">
            <v>0</v>
          </cell>
          <cell r="M41">
            <v>0.84106000000000003</v>
          </cell>
          <cell r="N41" t="str">
            <v>NULL</v>
          </cell>
          <cell r="O41">
            <v>0</v>
          </cell>
          <cell r="P41">
            <v>0.84106000000000003</v>
          </cell>
          <cell r="Q41">
            <v>7.266177105831534E-3</v>
          </cell>
          <cell r="S41">
            <v>41.152477803700002</v>
          </cell>
          <cell r="T41">
            <v>33.573356334899998</v>
          </cell>
          <cell r="U41">
            <v>43190</v>
          </cell>
          <cell r="V41">
            <v>327621311000</v>
          </cell>
          <cell r="W41">
            <v>324294296000</v>
          </cell>
          <cell r="X41">
            <v>274402244000</v>
          </cell>
          <cell r="Y41">
            <v>253173525000</v>
          </cell>
          <cell r="Z41">
            <v>44677893000</v>
          </cell>
          <cell r="AA41">
            <v>7.332962434016304</v>
          </cell>
          <cell r="AC41" t="str">
            <v>NULL</v>
          </cell>
          <cell r="AD41" t="str">
            <v>NULL</v>
          </cell>
          <cell r="AE41" t="str">
            <v>NULL</v>
          </cell>
          <cell r="AF41" t="str">
            <v>NULL</v>
          </cell>
          <cell r="AG41">
            <v>0</v>
          </cell>
          <cell r="AH41" t="str">
            <v>NULL</v>
          </cell>
          <cell r="AI41" t="str">
            <v>NULL</v>
          </cell>
          <cell r="AJ41">
            <v>4003954000</v>
          </cell>
          <cell r="AK41">
            <v>3575697000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2947596000</v>
          </cell>
          <cell r="BG41">
            <v>2676050000</v>
          </cell>
          <cell r="BH41">
            <v>2217089000</v>
          </cell>
          <cell r="BI41">
            <v>1835577000</v>
          </cell>
          <cell r="BJ41" t="e">
            <v>#DIV/0!</v>
          </cell>
          <cell r="BK41">
            <v>-524348000</v>
          </cell>
          <cell r="BL41">
            <v>-929806000</v>
          </cell>
          <cell r="BM41">
            <v>-597654000</v>
          </cell>
          <cell r="BN41">
            <v>-435590000</v>
          </cell>
          <cell r="BO41">
            <v>-635911000</v>
          </cell>
          <cell r="BP41">
            <v>-486091000</v>
          </cell>
          <cell r="BQ41">
            <v>-21269338000</v>
          </cell>
          <cell r="BR41">
            <v>-884195000</v>
          </cell>
          <cell r="BS41">
            <v>-16279101000</v>
          </cell>
          <cell r="BT41">
            <v>-18322428000</v>
          </cell>
          <cell r="BU41">
            <v>-4307199000</v>
          </cell>
          <cell r="BV41">
            <v>-33241240000</v>
          </cell>
          <cell r="BW41" t="e">
            <v>#DIV/0!</v>
          </cell>
          <cell r="BX41">
            <v>3.28152022028858E-2</v>
          </cell>
          <cell r="BY41">
            <v>44677893000</v>
          </cell>
          <cell r="BZ41">
            <v>41187997000</v>
          </cell>
          <cell r="CA41">
            <v>35194714000</v>
          </cell>
          <cell r="CB41">
            <v>23549029000</v>
          </cell>
          <cell r="CC41" t="str">
            <v>NULL</v>
          </cell>
          <cell r="CD41" t="str">
            <v>NULL</v>
          </cell>
          <cell r="CE41" t="str">
            <v>NULL</v>
          </cell>
          <cell r="CF41" t="str">
            <v>NULL</v>
          </cell>
          <cell r="CG41" t="str">
            <v>NULL</v>
          </cell>
          <cell r="CH41" t="str">
            <v>NULL</v>
          </cell>
          <cell r="CI41" t="str">
            <v>NULL</v>
          </cell>
          <cell r="CJ41" t="str">
            <v>NULL</v>
          </cell>
          <cell r="CK41">
            <v>44677893000</v>
          </cell>
          <cell r="CL41">
            <v>41187997000</v>
          </cell>
          <cell r="CM41">
            <v>35194714000</v>
          </cell>
          <cell r="CN41">
            <v>23549029000</v>
          </cell>
          <cell r="CO41">
            <v>0.26765331739691228</v>
          </cell>
          <cell r="CP41">
            <v>2947596000</v>
          </cell>
          <cell r="CQ41">
            <v>1613170000</v>
          </cell>
          <cell r="CR41">
            <v>8329469000</v>
          </cell>
          <cell r="CS41">
            <v>6017877000</v>
          </cell>
          <cell r="CT41">
            <v>4338397000</v>
          </cell>
          <cell r="CU41">
            <v>3337790000</v>
          </cell>
          <cell r="CV41">
            <v>1823653000</v>
          </cell>
          <cell r="CW41">
            <v>1336215000</v>
          </cell>
          <cell r="CX41">
            <v>0.82720729991259456</v>
          </cell>
          <cell r="CY41">
            <v>0.45321782008758882</v>
          </cell>
          <cell r="CZ41">
            <v>0.38412084527483703</v>
          </cell>
          <cell r="DA41">
            <v>0.38711994314950893</v>
          </cell>
          <cell r="DB41">
            <v>0.2997812924120451</v>
          </cell>
          <cell r="DC41">
            <v>0.83027692219956317</v>
          </cell>
          <cell r="DD41">
            <v>0.36479009740198998</v>
          </cell>
          <cell r="DE41">
            <v>0.21370488875665247</v>
          </cell>
          <cell r="DG41">
            <v>4.7556902360947504</v>
          </cell>
          <cell r="DH41">
            <v>1145542947</v>
          </cell>
          <cell r="DI41">
            <v>117.9</v>
          </cell>
          <cell r="DJ41">
            <v>168215545986.29999</v>
          </cell>
          <cell r="DK41">
            <v>109100703451.3</v>
          </cell>
          <cell r="DM41">
            <v>44677893000</v>
          </cell>
          <cell r="DN41" t="str">
            <v>NULL</v>
          </cell>
          <cell r="DO41" t="str">
            <v>NULL</v>
          </cell>
          <cell r="DP41">
            <v>1076852000</v>
          </cell>
          <cell r="DQ41" t="str">
            <v>NULL</v>
          </cell>
          <cell r="DR41">
            <v>43601041000</v>
          </cell>
          <cell r="DS41">
            <v>3.8580626087872534</v>
          </cell>
          <cell r="DT41">
            <v>2.0659299999999998</v>
          </cell>
          <cell r="DU41">
            <v>1.87496</v>
          </cell>
          <cell r="DV41">
            <v>1.70194</v>
          </cell>
          <cell r="DW41">
            <v>1.4116899999999999</v>
          </cell>
          <cell r="DX41">
            <v>7.0545200000000001</v>
          </cell>
          <cell r="DY41">
            <v>16.407920028577422</v>
          </cell>
          <cell r="DZ41" t="e">
            <v>#DIV/0!</v>
          </cell>
          <cell r="EA41">
            <v>-33727331000</v>
          </cell>
          <cell r="EB41">
            <v>-4.9875143095758148</v>
          </cell>
          <cell r="EC41">
            <v>16.712689169497001</v>
          </cell>
          <cell r="ED41">
            <v>1.2234195365879299</v>
          </cell>
          <cell r="EE41">
            <v>1.1479445720483901</v>
          </cell>
          <cell r="EG41">
            <v>0.47610953236762704</v>
          </cell>
          <cell r="EH41">
            <v>0.23100733528223016</v>
          </cell>
          <cell r="EK41">
            <v>0.71337045156912604</v>
          </cell>
        </row>
        <row r="42">
          <cell r="A42" t="str">
            <v>GRIM</v>
          </cell>
          <cell r="B42" t="str">
            <v>GRM.BA</v>
          </cell>
          <cell r="C42" t="str">
            <v>GRIMOLDI SA</v>
          </cell>
          <cell r="D42">
            <v>43190</v>
          </cell>
          <cell r="E42">
            <v>1944253250</v>
          </cell>
          <cell r="F42">
            <v>1207892240</v>
          </cell>
          <cell r="G42">
            <v>1.6096200000000001</v>
          </cell>
          <cell r="H42">
            <v>1.12408</v>
          </cell>
          <cell r="I42">
            <v>1.67842</v>
          </cell>
          <cell r="J42">
            <v>1.1069100000000001</v>
          </cell>
          <cell r="K42">
            <v>37</v>
          </cell>
          <cell r="L42">
            <v>0</v>
          </cell>
          <cell r="M42">
            <v>6.7710000000000006E-2</v>
          </cell>
          <cell r="N42">
            <v>6.7710000000000006E-2</v>
          </cell>
          <cell r="O42">
            <v>0.1467</v>
          </cell>
          <cell r="P42">
            <v>0.28212000000000004</v>
          </cell>
          <cell r="Q42">
            <v>7.6248648648648658E-3</v>
          </cell>
          <cell r="S42">
            <v>125.2418956722</v>
          </cell>
          <cell r="T42">
            <v>130.945381384</v>
          </cell>
          <cell r="U42">
            <v>43190</v>
          </cell>
          <cell r="V42">
            <v>2194730120</v>
          </cell>
          <cell r="W42">
            <v>2000292060</v>
          </cell>
          <cell r="X42">
            <v>2115845120</v>
          </cell>
          <cell r="Y42">
            <v>1633790970</v>
          </cell>
          <cell r="Z42">
            <v>638368180</v>
          </cell>
          <cell r="AA42">
            <v>3.4380318267116636</v>
          </cell>
          <cell r="AC42">
            <v>1111292920</v>
          </cell>
          <cell r="AD42">
            <v>948513570</v>
          </cell>
          <cell r="AE42">
            <v>937033540</v>
          </cell>
          <cell r="AF42">
            <v>900230360</v>
          </cell>
          <cell r="AG42">
            <v>2.4526222977798335</v>
          </cell>
          <cell r="AH42">
            <v>347528250</v>
          </cell>
          <cell r="AI42">
            <v>360227820</v>
          </cell>
          <cell r="AJ42">
            <v>230165380</v>
          </cell>
          <cell r="AK42">
            <v>336376170</v>
          </cell>
          <cell r="AL42">
            <v>620517700</v>
          </cell>
          <cell r="AM42">
            <v>488404050</v>
          </cell>
          <cell r="AN42">
            <v>529464130</v>
          </cell>
          <cell r="AO42">
            <v>525972690</v>
          </cell>
          <cell r="AP42">
            <v>53.724766051588212</v>
          </cell>
          <cell r="AQ42">
            <v>774092600</v>
          </cell>
          <cell r="AR42">
            <v>594057920</v>
          </cell>
          <cell r="AS42">
            <v>646212100</v>
          </cell>
          <cell r="AT42">
            <v>599860840</v>
          </cell>
          <cell r="AU42">
            <v>61.212107263220354</v>
          </cell>
          <cell r="AV42">
            <v>586487450</v>
          </cell>
          <cell r="AW42">
            <v>599210760</v>
          </cell>
          <cell r="AX42">
            <v>617741620</v>
          </cell>
          <cell r="AY42">
            <v>587359030</v>
          </cell>
          <cell r="AZ42">
            <v>100.79678986601559</v>
          </cell>
          <cell r="BA42">
            <v>108.28413107764774</v>
          </cell>
          <cell r="BC42">
            <v>43.465760000000003</v>
          </cell>
          <cell r="BD42">
            <v>11.98888</v>
          </cell>
          <cell r="BE42">
            <v>1.9885699999999999</v>
          </cell>
          <cell r="BF42">
            <v>51095040</v>
          </cell>
          <cell r="BG42">
            <v>27665110</v>
          </cell>
          <cell r="BH42">
            <v>32380650</v>
          </cell>
          <cell r="BI42">
            <v>-4476270</v>
          </cell>
          <cell r="BJ42">
            <v>2.7370439670195437E-2</v>
          </cell>
          <cell r="BK42">
            <v>-14227280</v>
          </cell>
          <cell r="BL42">
            <v>-64486030</v>
          </cell>
          <cell r="BM42">
            <v>-54586650</v>
          </cell>
          <cell r="BN42">
            <v>-36437600</v>
          </cell>
          <cell r="BO42">
            <v>-19951710</v>
          </cell>
          <cell r="BP42">
            <v>-48862220</v>
          </cell>
          <cell r="BQ42">
            <v>-176535490</v>
          </cell>
          <cell r="BR42">
            <v>87512530</v>
          </cell>
          <cell r="BS42">
            <v>-81458960</v>
          </cell>
          <cell r="BT42">
            <v>-23873580</v>
          </cell>
          <cell r="BU42">
            <v>-87502080</v>
          </cell>
          <cell r="BV42">
            <v>-170492370</v>
          </cell>
          <cell r="BW42">
            <v>-5.6287048487209904E-2</v>
          </cell>
          <cell r="BX42">
            <v>5.3703772459428895E-2</v>
          </cell>
          <cell r="BY42">
            <v>638368180</v>
          </cell>
          <cell r="BZ42">
            <v>586604210</v>
          </cell>
          <cell r="CA42">
            <v>557283570</v>
          </cell>
          <cell r="CB42">
            <v>524356230</v>
          </cell>
          <cell r="CC42" t="str">
            <v>NULL</v>
          </cell>
          <cell r="CD42" t="str">
            <v>NULL</v>
          </cell>
          <cell r="CE42" t="str">
            <v>NULL</v>
          </cell>
          <cell r="CF42" t="str">
            <v>NULL</v>
          </cell>
          <cell r="CG42" t="str">
            <v>NULL</v>
          </cell>
          <cell r="CH42" t="str">
            <v>NULL</v>
          </cell>
          <cell r="CI42" t="str">
            <v>NULL</v>
          </cell>
          <cell r="CJ42" t="str">
            <v>NULL</v>
          </cell>
          <cell r="CK42">
            <v>638368180</v>
          </cell>
          <cell r="CL42">
            <v>586604210</v>
          </cell>
          <cell r="CM42">
            <v>557283570</v>
          </cell>
          <cell r="CN42">
            <v>524356230</v>
          </cell>
          <cell r="CO42">
            <v>0.18497176155129919</v>
          </cell>
          <cell r="CP42">
            <v>51095040</v>
          </cell>
          <cell r="CQ42">
            <v>17712130</v>
          </cell>
          <cell r="CR42">
            <v>73281610</v>
          </cell>
          <cell r="CS42">
            <v>163653910</v>
          </cell>
          <cell r="CT42">
            <v>168397630</v>
          </cell>
          <cell r="CU42">
            <v>75305520</v>
          </cell>
          <cell r="CV42">
            <v>31964400</v>
          </cell>
          <cell r="CW42">
            <v>17063140</v>
          </cell>
          <cell r="CX42">
            <v>1.8847484746329211</v>
          </cell>
          <cell r="CY42">
            <v>0.57700525861304119</v>
          </cell>
          <cell r="CZ42">
            <v>-0.55221595377708965</v>
          </cell>
          <cell r="DA42">
            <v>-2.8169755120662887E-2</v>
          </cell>
          <cell r="DB42">
            <v>1.2361923800539456</v>
          </cell>
          <cell r="DC42">
            <v>1.3559184592859554</v>
          </cell>
          <cell r="DD42">
            <v>0.87330116262305757</v>
          </cell>
          <cell r="DE42">
            <v>0.83222623753229019</v>
          </cell>
          <cell r="DG42">
            <v>3.49624840547167</v>
          </cell>
          <cell r="DH42">
            <v>44307514</v>
          </cell>
          <cell r="DI42">
            <v>38</v>
          </cell>
          <cell r="DJ42">
            <v>1683685532</v>
          </cell>
          <cell r="DK42">
            <v>1952969222</v>
          </cell>
          <cell r="DM42">
            <v>638368180</v>
          </cell>
          <cell r="DN42" t="str">
            <v>NULL</v>
          </cell>
          <cell r="DO42" t="str">
            <v>NULL</v>
          </cell>
          <cell r="DP42">
            <v>7332760</v>
          </cell>
          <cell r="DQ42">
            <v>1860090</v>
          </cell>
          <cell r="DR42">
            <v>629175330</v>
          </cell>
          <cell r="DS42">
            <v>2.6760196271522596</v>
          </cell>
          <cell r="DT42">
            <v>1.1531899999999999</v>
          </cell>
          <cell r="DU42">
            <v>0.62439</v>
          </cell>
          <cell r="DV42">
            <v>0.73082000000000003</v>
          </cell>
          <cell r="DW42">
            <v>-0.10102999999999999</v>
          </cell>
          <cell r="DX42">
            <v>2.4073699999999998</v>
          </cell>
          <cell r="DY42">
            <v>15.369469587142817</v>
          </cell>
          <cell r="DZ42">
            <v>0.43203877875041408</v>
          </cell>
          <cell r="EA42">
            <v>-219354590</v>
          </cell>
          <cell r="EB42">
            <v>-7.6756339222261092</v>
          </cell>
          <cell r="EC42">
            <v>15.7848606570656</v>
          </cell>
          <cell r="ED42">
            <v>0.43159434948785702</v>
          </cell>
          <cell r="EE42">
            <v>0.50297536233068296</v>
          </cell>
          <cell r="EG42">
            <v>0.48089105067881138</v>
          </cell>
          <cell r="EH42">
            <v>0.15419658462507879</v>
          </cell>
          <cell r="EK42">
            <v>0.65332865236842097</v>
          </cell>
        </row>
        <row r="43">
          <cell r="A43" t="str">
            <v>HAVA</v>
          </cell>
          <cell r="B43" t="str">
            <v>HAVH.BA</v>
          </cell>
          <cell r="C43" t="str">
            <v>HAVANNA</v>
          </cell>
          <cell r="D43">
            <v>43190</v>
          </cell>
          <cell r="E43">
            <v>443322500</v>
          </cell>
          <cell r="F43">
            <v>289253910</v>
          </cell>
          <cell r="G43">
            <v>1.53264</v>
          </cell>
          <cell r="H43">
            <v>1.14927</v>
          </cell>
          <cell r="I43">
            <v>1.22343</v>
          </cell>
          <cell r="J43">
            <v>0.80867999999999995</v>
          </cell>
          <cell r="K43">
            <v>51</v>
          </cell>
          <cell r="L43">
            <v>0</v>
          </cell>
          <cell r="M43">
            <v>0.503</v>
          </cell>
          <cell r="N43">
            <v>1.42</v>
          </cell>
          <cell r="O43">
            <v>0</v>
          </cell>
          <cell r="Q43">
            <v>0</v>
          </cell>
          <cell r="S43">
            <v>28.709486742199999</v>
          </cell>
          <cell r="T43">
            <v>35.208755527000001</v>
          </cell>
          <cell r="U43">
            <v>43190</v>
          </cell>
          <cell r="V43">
            <v>770710980</v>
          </cell>
          <cell r="W43">
            <v>677832270</v>
          </cell>
          <cell r="X43">
            <v>584723860</v>
          </cell>
          <cell r="Y43">
            <v>556055440</v>
          </cell>
          <cell r="Z43">
            <v>378379840</v>
          </cell>
          <cell r="AA43">
            <v>2.0368711504291559</v>
          </cell>
          <cell r="AC43">
            <v>469322450</v>
          </cell>
          <cell r="AD43">
            <v>356658920</v>
          </cell>
          <cell r="AE43">
            <v>281353480</v>
          </cell>
          <cell r="AF43">
            <v>274306870</v>
          </cell>
          <cell r="AG43">
            <v>2.6679153482582185</v>
          </cell>
          <cell r="AH43">
            <v>78260270</v>
          </cell>
          <cell r="AI43">
            <v>88723360</v>
          </cell>
          <cell r="AJ43">
            <v>69857170</v>
          </cell>
          <cell r="AK43">
            <v>56488570</v>
          </cell>
          <cell r="AL43">
            <v>196669220</v>
          </cell>
          <cell r="AM43">
            <v>159679310</v>
          </cell>
          <cell r="AN43">
            <v>126346340</v>
          </cell>
          <cell r="AO43">
            <v>130148100</v>
          </cell>
          <cell r="AQ43">
            <v>30588250</v>
          </cell>
          <cell r="AR43">
            <v>31034630</v>
          </cell>
          <cell r="AS43">
            <v>116328750</v>
          </cell>
          <cell r="AT43">
            <v>122427110</v>
          </cell>
          <cell r="AU43">
            <v>19.838399223352926</v>
          </cell>
          <cell r="AV43">
            <v>110892050</v>
          </cell>
          <cell r="AW43">
            <v>119305110</v>
          </cell>
          <cell r="AX43">
            <v>101311580</v>
          </cell>
          <cell r="AY43">
            <v>96842260</v>
          </cell>
          <cell r="AZ43">
            <v>63.779843554377393</v>
          </cell>
          <cell r="BA43">
            <v>83.618242777730316</v>
          </cell>
          <cell r="BC43">
            <v>55.305</v>
          </cell>
          <cell r="BD43">
            <v>12.75604</v>
          </cell>
          <cell r="BE43">
            <v>7.4561700000000002</v>
          </cell>
          <cell r="BF43">
            <v>62148700</v>
          </cell>
          <cell r="BG43">
            <v>37531210</v>
          </cell>
          <cell r="BH43">
            <v>11580130</v>
          </cell>
          <cell r="BI43">
            <v>7819450</v>
          </cell>
          <cell r="BJ43">
            <v>8.6186953011233622E-2</v>
          </cell>
          <cell r="BK43">
            <v>-8181800</v>
          </cell>
          <cell r="BL43">
            <v>-61187400</v>
          </cell>
          <cell r="BM43">
            <v>-35918050</v>
          </cell>
          <cell r="BN43">
            <v>-20038580</v>
          </cell>
          <cell r="BO43">
            <v>-10222110</v>
          </cell>
          <cell r="BP43">
            <v>-33877740</v>
          </cell>
          <cell r="BQ43">
            <v>100750080</v>
          </cell>
          <cell r="BR43">
            <v>151454880</v>
          </cell>
          <cell r="BS43">
            <v>136858200</v>
          </cell>
          <cell r="BT43">
            <v>100927820</v>
          </cell>
          <cell r="BU43">
            <v>77004330</v>
          </cell>
          <cell r="BV43">
            <v>160603950</v>
          </cell>
          <cell r="BW43">
            <v>9.1721470309972977E-2</v>
          </cell>
          <cell r="BX43">
            <v>0.18395466412633682</v>
          </cell>
          <cell r="BY43">
            <v>378379840</v>
          </cell>
          <cell r="BZ43">
            <v>314873100</v>
          </cell>
          <cell r="CA43">
            <v>276076170</v>
          </cell>
          <cell r="CB43">
            <v>263751420</v>
          </cell>
          <cell r="CC43" t="str">
            <v>NULL</v>
          </cell>
          <cell r="CD43" t="str">
            <v>NULL</v>
          </cell>
          <cell r="CE43" t="str">
            <v>NULL</v>
          </cell>
          <cell r="CF43" t="str">
            <v>NULL</v>
          </cell>
          <cell r="CG43" t="str">
            <v>NULL</v>
          </cell>
          <cell r="CH43" t="str">
            <v>NULL</v>
          </cell>
          <cell r="CI43" t="str">
            <v>NULL</v>
          </cell>
          <cell r="CJ43" t="str">
            <v>NULL</v>
          </cell>
          <cell r="CK43">
            <v>378379840</v>
          </cell>
          <cell r="CL43">
            <v>314873100</v>
          </cell>
          <cell r="CM43">
            <v>276076170</v>
          </cell>
          <cell r="CN43">
            <v>263751420</v>
          </cell>
          <cell r="CO43">
            <v>0.38628292995592106</v>
          </cell>
          <cell r="CP43">
            <v>62148700</v>
          </cell>
          <cell r="CQ43">
            <v>38139910</v>
          </cell>
          <cell r="CR43">
            <v>95070690</v>
          </cell>
          <cell r="CS43">
            <v>73728690</v>
          </cell>
          <cell r="CT43">
            <v>65976290</v>
          </cell>
          <cell r="CU43">
            <v>44763080</v>
          </cell>
          <cell r="CV43">
            <v>28065900</v>
          </cell>
          <cell r="CW43" t="str">
            <v>NULL</v>
          </cell>
          <cell r="CX43">
            <v>0.62949257090538491</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51</v>
          </cell>
          <cell r="DJ43">
            <v>2395782885</v>
          </cell>
          <cell r="DK43" t="str">
            <v>NULL</v>
          </cell>
          <cell r="DM43">
            <v>378379840</v>
          </cell>
          <cell r="DN43" t="str">
            <v>NULL</v>
          </cell>
          <cell r="DO43" t="str">
            <v>NULL</v>
          </cell>
          <cell r="DP43">
            <v>2727970</v>
          </cell>
          <cell r="DQ43">
            <v>58513830</v>
          </cell>
          <cell r="DR43">
            <v>317138040</v>
          </cell>
          <cell r="DS43">
            <v>7.5543851030926472</v>
          </cell>
          <cell r="DT43">
            <v>1.32</v>
          </cell>
          <cell r="DU43">
            <v>0.79893999999999998</v>
          </cell>
          <cell r="DV43">
            <v>0.24651000000000001</v>
          </cell>
          <cell r="DW43">
            <v>0.16685</v>
          </cell>
          <cell r="DX43">
            <v>2.5323000000000002</v>
          </cell>
          <cell r="DY43">
            <v>20.139793863286339</v>
          </cell>
          <cell r="DZ43">
            <v>1.7340116835788659</v>
          </cell>
          <cell r="EA43">
            <v>126726210</v>
          </cell>
          <cell r="EB43">
            <v>18.905188476795765</v>
          </cell>
          <cell r="EC43" t="str">
            <v>NULL</v>
          </cell>
          <cell r="ED43">
            <v>8.8447862192892995E-2</v>
          </cell>
          <cell r="EE43">
            <v>0.13068039944847101</v>
          </cell>
          <cell r="EG43" t="str">
            <v>-</v>
          </cell>
          <cell r="EH43" t="str">
            <v>-</v>
          </cell>
          <cell r="EK43">
            <v>3.7698390603921599</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22</v>
          </cell>
          <cell r="L44">
            <v>0.15</v>
          </cell>
          <cell r="M44">
            <v>0</v>
          </cell>
          <cell r="N44" t="str">
            <v>NULL</v>
          </cell>
          <cell r="O44">
            <v>0</v>
          </cell>
          <cell r="Q44">
            <v>0</v>
          </cell>
          <cell r="S44">
            <v>4.301578696</v>
          </cell>
          <cell r="T44">
            <v>4.007287582</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1.30157511134143</v>
          </cell>
          <cell r="DH44">
            <v>2200000</v>
          </cell>
          <cell r="DI44">
            <v>22</v>
          </cell>
          <cell r="DJ44">
            <v>48400000</v>
          </cell>
          <cell r="DK44">
            <v>47420260.000000097</v>
          </cell>
          <cell r="DM44">
            <v>33939400</v>
          </cell>
          <cell r="DN44" t="str">
            <v>NULL</v>
          </cell>
          <cell r="DO44" t="str">
            <v>NULL</v>
          </cell>
          <cell r="DP44">
            <v>1205530</v>
          </cell>
          <cell r="DQ44" t="str">
            <v>NULL</v>
          </cell>
          <cell r="DR44">
            <v>32733870</v>
          </cell>
          <cell r="DS44">
            <v>1.4785908296208179</v>
          </cell>
          <cell r="DT44">
            <v>0.25064999999999998</v>
          </cell>
          <cell r="DU44">
            <v>-0.13219</v>
          </cell>
          <cell r="DV44">
            <v>0.13396</v>
          </cell>
          <cell r="DW44">
            <v>0.24632999999999999</v>
          </cell>
          <cell r="DX44">
            <v>0.49874999999999997</v>
          </cell>
          <cell r="DY44">
            <v>44.110275689223059</v>
          </cell>
          <cell r="DZ44">
            <v>0.13091754753348364</v>
          </cell>
          <cell r="EA44">
            <v>538280</v>
          </cell>
          <cell r="EB44">
            <v>89.916028832577837</v>
          </cell>
          <cell r="EC44" t="str">
            <v>NULL</v>
          </cell>
          <cell r="ED44" t="str">
            <v>NULL</v>
          </cell>
          <cell r="EE44" t="str">
            <v>NULL</v>
          </cell>
          <cell r="EG44">
            <v>0.35329195089524335</v>
          </cell>
          <cell r="EH44">
            <v>-1.0535379005556456E-2</v>
          </cell>
          <cell r="EK44">
            <v>0.68181818181818199</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15.450000000000001</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9.8860332928384107</v>
          </cell>
          <cell r="DH45">
            <v>414283186</v>
          </cell>
          <cell r="DI45">
            <v>14.700000000000001</v>
          </cell>
          <cell r="DJ45" t="e">
            <v>#N/A</v>
          </cell>
          <cell r="DK45">
            <v>8886337834.2000008</v>
          </cell>
          <cell r="DM45">
            <v>1881598000</v>
          </cell>
          <cell r="DN45" t="str">
            <v>NULL</v>
          </cell>
          <cell r="DO45" t="str">
            <v>NULL</v>
          </cell>
          <cell r="DP45">
            <v>1045000</v>
          </cell>
          <cell r="DQ45">
            <v>43489000</v>
          </cell>
          <cell r="DR45">
            <v>1837064000</v>
          </cell>
          <cell r="DS45" t="e">
            <v>#N/A</v>
          </cell>
          <cell r="DT45">
            <v>0.64551999999999998</v>
          </cell>
          <cell r="DU45">
            <v>0.19822999999999999</v>
          </cell>
          <cell r="DV45">
            <v>0.43439</v>
          </cell>
          <cell r="DW45">
            <v>-0.96882999999999997</v>
          </cell>
          <cell r="DX45">
            <v>0.30931000000000008</v>
          </cell>
          <cell r="DY45">
            <v>49.949888461414105</v>
          </cell>
          <cell r="DZ45" t="e">
            <v>#N/A</v>
          </cell>
          <cell r="EA45">
            <v>-72757000</v>
          </cell>
          <cell r="EB45" t="e">
            <v>#N/A</v>
          </cell>
          <cell r="EC45">
            <v>47.525136594355203</v>
          </cell>
          <cell r="ED45">
            <v>1.0568344956181801</v>
          </cell>
          <cell r="EE45">
            <v>0.95075836936855695</v>
          </cell>
          <cell r="EG45">
            <v>0.53011884127475517</v>
          </cell>
          <cell r="EH45">
            <v>-9.3851795085214573E-2</v>
          </cell>
          <cell r="EK45" t="str">
            <v>NULL</v>
          </cell>
        </row>
        <row r="46">
          <cell r="A46" t="str">
            <v>INTR</v>
          </cell>
          <cell r="B46" t="str">
            <v>INR.BA</v>
          </cell>
          <cell r="C46" t="str">
            <v>COMPANIA INTRODUCTORA DE BUENOS AIRES SA</v>
          </cell>
          <cell r="D46">
            <v>43190</v>
          </cell>
          <cell r="E46">
            <v>484547670</v>
          </cell>
          <cell r="F46">
            <v>263444760</v>
          </cell>
          <cell r="G46">
            <v>1.83928</v>
          </cell>
          <cell r="H46">
            <v>1.2865500000000001</v>
          </cell>
          <cell r="I46">
            <v>1.7492000000000001</v>
          </cell>
          <cell r="J46">
            <v>1.2384900000000001</v>
          </cell>
          <cell r="K46">
            <v>8.9500000000000011</v>
          </cell>
          <cell r="L46">
            <v>0</v>
          </cell>
          <cell r="M46">
            <v>0.10464</v>
          </cell>
          <cell r="N46">
            <v>0</v>
          </cell>
          <cell r="O46">
            <v>0</v>
          </cell>
          <cell r="P46">
            <v>0.10464</v>
          </cell>
          <cell r="Q46">
            <v>1.1691620111731842E-2</v>
          </cell>
          <cell r="S46">
            <v>22.467792707499999</v>
          </cell>
          <cell r="T46">
            <v>26.890303246999999</v>
          </cell>
          <cell r="U46">
            <v>43190</v>
          </cell>
          <cell r="V46">
            <v>634948240</v>
          </cell>
          <cell r="W46">
            <v>620444980</v>
          </cell>
          <cell r="X46">
            <v>521130150</v>
          </cell>
          <cell r="Y46">
            <v>473866840</v>
          </cell>
          <cell r="Z46">
            <v>349208180</v>
          </cell>
          <cell r="AA46">
            <v>1.8182513364950386</v>
          </cell>
          <cell r="AC46">
            <v>276080730</v>
          </cell>
          <cell r="AD46">
            <v>277896390</v>
          </cell>
          <cell r="AE46">
            <v>242125360</v>
          </cell>
          <cell r="AF46">
            <v>237541550</v>
          </cell>
          <cell r="AG46">
            <v>2.2965443678537656</v>
          </cell>
          <cell r="AH46">
            <v>119183110</v>
          </cell>
          <cell r="AI46">
            <v>107430690</v>
          </cell>
          <cell r="AJ46">
            <v>81792650</v>
          </cell>
          <cell r="AK46">
            <v>76364300</v>
          </cell>
          <cell r="AL46">
            <v>134866300</v>
          </cell>
          <cell r="AM46">
            <v>132413070</v>
          </cell>
          <cell r="AN46">
            <v>119779360</v>
          </cell>
          <cell r="AO46">
            <v>119538840</v>
          </cell>
          <cell r="AP46">
            <v>69.306157424916179</v>
          </cell>
          <cell r="AQ46">
            <v>216615680</v>
          </cell>
          <cell r="AR46">
            <v>212837770</v>
          </cell>
          <cell r="AS46">
            <v>177442350</v>
          </cell>
          <cell r="AT46">
            <v>163648020</v>
          </cell>
          <cell r="AU46">
            <v>68.023537634131159</v>
          </cell>
          <cell r="AV46">
            <v>145611660</v>
          </cell>
          <cell r="AW46">
            <v>142167630</v>
          </cell>
          <cell r="AX46">
            <v>126983890</v>
          </cell>
          <cell r="AY46">
            <v>116088090</v>
          </cell>
          <cell r="AZ46">
            <v>95.618655232594179</v>
          </cell>
          <cell r="BA46">
            <v>94.336035441809159</v>
          </cell>
          <cell r="BC46">
            <v>52.823450000000001</v>
          </cell>
          <cell r="BD46">
            <v>14.012370000000001</v>
          </cell>
          <cell r="BE46">
            <v>10.13987</v>
          </cell>
          <cell r="BF46">
            <v>27730660</v>
          </cell>
          <cell r="BG46">
            <v>26246630</v>
          </cell>
          <cell r="BH46">
            <v>23642540</v>
          </cell>
          <cell r="BI46">
            <v>20704680</v>
          </cell>
          <cell r="BJ46">
            <v>9.5124150235744123E-2</v>
          </cell>
          <cell r="BK46">
            <v>-71523570</v>
          </cell>
          <cell r="BL46">
            <v>-55467200</v>
          </cell>
          <cell r="BM46">
            <v>-5965040</v>
          </cell>
          <cell r="BN46">
            <v>-29894550</v>
          </cell>
          <cell r="BO46">
            <v>-21037740</v>
          </cell>
          <cell r="BP46">
            <v>-56450870</v>
          </cell>
          <cell r="BQ46">
            <v>16773930</v>
          </cell>
          <cell r="BR46">
            <v>10709480</v>
          </cell>
          <cell r="BS46">
            <v>2323460</v>
          </cell>
          <cell r="BT46">
            <v>55566720</v>
          </cell>
          <cell r="BU46">
            <v>17767010</v>
          </cell>
          <cell r="BV46">
            <v>1330380</v>
          </cell>
          <cell r="BW46">
            <v>-5.3326375812377112E-2</v>
          </cell>
          <cell r="BX46">
            <v>0.17476881931511781</v>
          </cell>
          <cell r="BY46">
            <v>349208180</v>
          </cell>
          <cell r="BZ46">
            <v>321477520</v>
          </cell>
          <cell r="CA46">
            <v>304238470</v>
          </cell>
          <cell r="CB46">
            <v>280595930</v>
          </cell>
          <cell r="CC46" t="str">
            <v>NULL</v>
          </cell>
          <cell r="CD46" t="str">
            <v>NULL</v>
          </cell>
          <cell r="CE46" t="str">
            <v>NULL</v>
          </cell>
          <cell r="CF46" t="str">
            <v>NULL</v>
          </cell>
          <cell r="CG46" t="str">
            <v>NULL</v>
          </cell>
          <cell r="CH46" t="str">
            <v>NULL</v>
          </cell>
          <cell r="CI46" t="str">
            <v>NULL</v>
          </cell>
          <cell r="CJ46" t="str">
            <v>NULL</v>
          </cell>
          <cell r="CK46">
            <v>349208180</v>
          </cell>
          <cell r="CL46">
            <v>321477520</v>
          </cell>
          <cell r="CM46">
            <v>304238470</v>
          </cell>
          <cell r="CN46">
            <v>280595930</v>
          </cell>
          <cell r="CO46">
            <v>0.31325507253926083</v>
          </cell>
          <cell r="CP46">
            <v>27730660</v>
          </cell>
          <cell r="CQ46">
            <v>22670180</v>
          </cell>
          <cell r="CR46">
            <v>87926240</v>
          </cell>
          <cell r="CS46">
            <v>48559030</v>
          </cell>
          <cell r="CT46">
            <v>27076750</v>
          </cell>
          <cell r="CU46">
            <v>20876950</v>
          </cell>
          <cell r="CV46">
            <v>18008730</v>
          </cell>
          <cell r="CW46">
            <v>12811110</v>
          </cell>
          <cell r="CX46">
            <v>0.22322187119819947</v>
          </cell>
          <cell r="CY46">
            <v>0.4932083904154535</v>
          </cell>
          <cell r="CZ46">
            <v>0.81070832757573608</v>
          </cell>
          <cell r="DA46">
            <v>0.79338473044216906</v>
          </cell>
          <cell r="DB46">
            <v>0.29696866640002484</v>
          </cell>
          <cell r="DC46">
            <v>0.15926831042499945</v>
          </cell>
          <cell r="DD46">
            <v>0.40571191723433797</v>
          </cell>
          <cell r="DE46">
            <v>0.29520911416038381</v>
          </cell>
          <cell r="DG46">
            <v>5.1568457966411803</v>
          </cell>
          <cell r="DH46">
            <v>86085807</v>
          </cell>
          <cell r="DI46">
            <v>8.9500000000000011</v>
          </cell>
          <cell r="DJ46">
            <v>770467972.64999998</v>
          </cell>
          <cell r="DK46">
            <v>784976562.65000105</v>
          </cell>
          <cell r="DM46">
            <v>349208180</v>
          </cell>
          <cell r="DN46" t="str">
            <v>NULL</v>
          </cell>
          <cell r="DO46" t="str">
            <v>NULL</v>
          </cell>
          <cell r="DP46">
            <v>1152380</v>
          </cell>
          <cell r="DQ46">
            <v>20590820</v>
          </cell>
          <cell r="DR46">
            <v>327464980</v>
          </cell>
          <cell r="DS46">
            <v>2.3528255529797413</v>
          </cell>
          <cell r="DT46">
            <v>0.32213000000000003</v>
          </cell>
          <cell r="DU46">
            <v>0.30488999999999999</v>
          </cell>
          <cell r="DV46">
            <v>0.27464</v>
          </cell>
          <cell r="DW46">
            <v>0.24051</v>
          </cell>
          <cell r="DX46">
            <v>1.1421700000000001</v>
          </cell>
          <cell r="DY46">
            <v>7.83596137177478</v>
          </cell>
          <cell r="DZ46">
            <v>0.74539004752922533</v>
          </cell>
          <cell r="EA46">
            <v>-55120490</v>
          </cell>
          <cell r="EB46">
            <v>-13.977886855686515</v>
          </cell>
          <cell r="EC46">
            <v>7.83596137177478</v>
          </cell>
          <cell r="ED46">
            <v>0.46155875267560997</v>
          </cell>
          <cell r="EE46">
            <v>0.420586115398284</v>
          </cell>
          <cell r="EG46">
            <v>0.4076103298257745</v>
          </cell>
          <cell r="EH46">
            <v>0.12659487241207712</v>
          </cell>
          <cell r="EK46">
            <v>1.1691045273742999</v>
          </cell>
        </row>
        <row r="47">
          <cell r="A47" t="str">
            <v>INVJ</v>
          </cell>
          <cell r="B47" t="str">
            <v>INVJ.BA</v>
          </cell>
          <cell r="C47" t="str">
            <v>INVERSORA JURAMENTO SA</v>
          </cell>
          <cell r="D47">
            <v>43190</v>
          </cell>
          <cell r="E47">
            <v>2215445410</v>
          </cell>
          <cell r="F47">
            <v>911631870</v>
          </cell>
          <cell r="G47">
            <v>2.4302000000000001</v>
          </cell>
          <cell r="H47">
            <v>1.05989</v>
          </cell>
          <cell r="I47">
            <v>2.5318499999999999</v>
          </cell>
          <cell r="J47">
            <v>1.2238</v>
          </cell>
          <cell r="K47">
            <v>10.5</v>
          </cell>
          <cell r="L47">
            <v>0</v>
          </cell>
          <cell r="M47">
            <v>0</v>
          </cell>
          <cell r="N47" t="str">
            <v>NULL</v>
          </cell>
          <cell r="O47">
            <v>0</v>
          </cell>
          <cell r="P47">
            <v>0</v>
          </cell>
          <cell r="Q47">
            <v>0</v>
          </cell>
          <cell r="S47">
            <v>28.3044675507</v>
          </cell>
          <cell r="T47">
            <v>30.182590413</v>
          </cell>
          <cell r="U47">
            <v>43190</v>
          </cell>
          <cell r="V47">
            <v>5550945790</v>
          </cell>
          <cell r="W47">
            <v>5411624200</v>
          </cell>
          <cell r="X47">
            <v>5031207540</v>
          </cell>
          <cell r="Y47">
            <v>4653226250</v>
          </cell>
          <cell r="Z47">
            <v>3441872730</v>
          </cell>
          <cell r="AA47">
            <v>1.6127690433225286</v>
          </cell>
          <cell r="AC47">
            <v>600886790</v>
          </cell>
          <cell r="AD47">
            <v>669415300</v>
          </cell>
          <cell r="AE47">
            <v>682956480</v>
          </cell>
          <cell r="AF47">
            <v>621887730</v>
          </cell>
          <cell r="AG47">
            <v>0.62361128536726529</v>
          </cell>
          <cell r="AH47">
            <v>141064580</v>
          </cell>
          <cell r="AI47">
            <v>101732840</v>
          </cell>
          <cell r="AJ47">
            <v>136415290</v>
          </cell>
          <cell r="AK47">
            <v>105135840</v>
          </cell>
          <cell r="AL47">
            <v>514458850</v>
          </cell>
          <cell r="AM47">
            <v>538917280</v>
          </cell>
          <cell r="AN47">
            <v>500964500</v>
          </cell>
          <cell r="AO47">
            <v>477045080</v>
          </cell>
          <cell r="AP47">
            <v>21.756973562396482</v>
          </cell>
          <cell r="AQ47">
            <v>307867760</v>
          </cell>
          <cell r="AR47">
            <v>279379510</v>
          </cell>
          <cell r="AS47">
            <v>330371430</v>
          </cell>
          <cell r="AT47">
            <v>314214970</v>
          </cell>
          <cell r="AU47">
            <v>43.64987821759874</v>
          </cell>
          <cell r="AV47">
            <v>1249215750</v>
          </cell>
          <cell r="AW47">
            <v>1105471150</v>
          </cell>
          <cell r="AX47">
            <v>1037057600</v>
          </cell>
          <cell r="AY47">
            <v>875678730</v>
          </cell>
          <cell r="AZ47">
            <v>191.69297481052971</v>
          </cell>
          <cell r="BA47">
            <v>213.58587946573198</v>
          </cell>
          <cell r="BC47">
            <v>24.398070000000001</v>
          </cell>
          <cell r="BD47">
            <v>6.7732700000000001</v>
          </cell>
          <cell r="BE47">
            <v>4.2390400000000001</v>
          </cell>
          <cell r="BF47">
            <v>70872070</v>
          </cell>
          <cell r="BG47">
            <v>21763610</v>
          </cell>
          <cell r="BH47">
            <v>35438620</v>
          </cell>
          <cell r="BI47">
            <v>6936590</v>
          </cell>
          <cell r="BJ47">
            <v>5.2428434842711653E-2</v>
          </cell>
          <cell r="BK47">
            <v>-103471680</v>
          </cell>
          <cell r="BL47">
            <v>-46156930</v>
          </cell>
          <cell r="BM47">
            <v>-134500970</v>
          </cell>
          <cell r="BN47">
            <v>-97353570</v>
          </cell>
          <cell r="BO47">
            <v>-70924750</v>
          </cell>
          <cell r="BP47">
            <v>-167047900</v>
          </cell>
          <cell r="BQ47">
            <v>-107333560</v>
          </cell>
          <cell r="BR47">
            <v>-98075180</v>
          </cell>
          <cell r="BS47">
            <v>-204588390</v>
          </cell>
          <cell r="BT47">
            <v>-76567580</v>
          </cell>
          <cell r="BU47">
            <v>-63924980</v>
          </cell>
          <cell r="BV47">
            <v>-247996970</v>
          </cell>
          <cell r="BW47">
            <v>-0.16117331663835954</v>
          </cell>
          <cell r="BX47">
            <v>2.6156025627462737E-2</v>
          </cell>
          <cell r="BY47">
            <v>3441872730</v>
          </cell>
          <cell r="BZ47">
            <v>3160314330</v>
          </cell>
          <cell r="CA47">
            <v>2411054080</v>
          </cell>
          <cell r="CB47">
            <v>2375615460</v>
          </cell>
          <cell r="CC47" t="str">
            <v>NULL</v>
          </cell>
          <cell r="CD47" t="str">
            <v>NULL</v>
          </cell>
          <cell r="CE47" t="str">
            <v>NULL</v>
          </cell>
          <cell r="CF47" t="str">
            <v>NULL</v>
          </cell>
          <cell r="CG47" t="str">
            <v>NULL</v>
          </cell>
          <cell r="CH47" t="str">
            <v>NULL</v>
          </cell>
          <cell r="CI47" t="str">
            <v>NULL</v>
          </cell>
          <cell r="CJ47" t="str">
            <v>NULL</v>
          </cell>
          <cell r="CK47">
            <v>3441872730</v>
          </cell>
          <cell r="CL47">
            <v>3160314330</v>
          </cell>
          <cell r="CM47">
            <v>2411054080</v>
          </cell>
          <cell r="CN47">
            <v>2375615460</v>
          </cell>
          <cell r="CO47">
            <v>4.7418593364324212E-2</v>
          </cell>
          <cell r="CP47">
            <v>70872070</v>
          </cell>
          <cell r="CQ47">
            <v>38456410</v>
          </cell>
          <cell r="CR47">
            <v>96289630</v>
          </cell>
          <cell r="CS47">
            <v>51980180</v>
          </cell>
          <cell r="CT47">
            <v>-7073450</v>
          </cell>
          <cell r="CU47">
            <v>-17003300</v>
          </cell>
          <cell r="CV47">
            <v>-66066270</v>
          </cell>
          <cell r="CW47">
            <v>1430650</v>
          </cell>
          <cell r="CX47">
            <v>0.84291955489344939</v>
          </cell>
          <cell r="CY47">
            <v>-7.3303017147781002</v>
          </cell>
          <cell r="CZ47">
            <v>0.85242971455658667</v>
          </cell>
          <cell r="DA47">
            <v>8.3486318557422479</v>
          </cell>
          <cell r="DB47">
            <v>0.58399545970488087</v>
          </cell>
          <cell r="DC47">
            <v>0.74263266262799466</v>
          </cell>
          <cell r="DD47">
            <v>-47.179198266522214</v>
          </cell>
          <cell r="DE47">
            <v>22.519596894554695</v>
          </cell>
          <cell r="DG47">
            <v>10.883031382978899</v>
          </cell>
          <cell r="DH47">
            <v>443641592</v>
          </cell>
          <cell r="DI47">
            <v>10</v>
          </cell>
          <cell r="DJ47">
            <v>5469246440</v>
          </cell>
          <cell r="DK47">
            <v>5031412270.0000095</v>
          </cell>
          <cell r="DM47">
            <v>3441872730</v>
          </cell>
          <cell r="DN47" t="str">
            <v>NULL</v>
          </cell>
          <cell r="DO47" t="str">
            <v>NULL</v>
          </cell>
          <cell r="DP47">
            <v>14935160</v>
          </cell>
          <cell r="DQ47">
            <v>7555320</v>
          </cell>
          <cell r="DR47">
            <v>3419382250</v>
          </cell>
          <cell r="DS47">
            <v>1.599483778100562</v>
          </cell>
          <cell r="DT47">
            <v>0.13167000000000001</v>
          </cell>
          <cell r="DU47">
            <v>4.4580000000000002E-2</v>
          </cell>
          <cell r="DV47">
            <v>7.4620000000000006E-2</v>
          </cell>
          <cell r="DW47">
            <v>1.461E-2</v>
          </cell>
          <cell r="DX47">
            <v>0.26548000000000005</v>
          </cell>
          <cell r="DY47">
            <v>39.551001958716277</v>
          </cell>
          <cell r="DZ47">
            <v>2.123858531843414</v>
          </cell>
          <cell r="EA47">
            <v>-415044870</v>
          </cell>
          <cell r="EB47">
            <v>-13.177482328597387</v>
          </cell>
          <cell r="EC47">
            <v>37.667620913063097</v>
          </cell>
          <cell r="ED47">
            <v>0.650539622102282</v>
          </cell>
          <cell r="EE47">
            <v>0.604093601746724</v>
          </cell>
          <cell r="EG47" t="str">
            <v>-</v>
          </cell>
          <cell r="EH47" t="str">
            <v>-</v>
          </cell>
          <cell r="EK47" t="str">
            <v>NULL</v>
          </cell>
        </row>
        <row r="48">
          <cell r="A48" t="str">
            <v>IRCP</v>
          </cell>
          <cell r="B48" t="str">
            <v>IRCP.BA</v>
          </cell>
          <cell r="C48" t="str">
            <v>ALTO PALERMO SA APSA</v>
          </cell>
          <cell r="D48">
            <v>43190</v>
          </cell>
          <cell r="E48">
            <v>8464141000</v>
          </cell>
          <cell r="F48">
            <v>1824763000</v>
          </cell>
          <cell r="G48">
            <v>4.63849</v>
          </cell>
          <cell r="H48">
            <v>4.62446</v>
          </cell>
          <cell r="I48">
            <v>4.32416</v>
          </cell>
          <cell r="J48">
            <v>4.3084699999999998</v>
          </cell>
          <cell r="K48">
            <v>230.15</v>
          </cell>
          <cell r="L48">
            <v>0</v>
          </cell>
          <cell r="M48">
            <v>5.3962199999999996</v>
          </cell>
          <cell r="N48">
            <v>0</v>
          </cell>
          <cell r="O48">
            <v>0.246</v>
          </cell>
          <cell r="P48">
            <v>5.64222</v>
          </cell>
          <cell r="Q48">
            <v>2.4515402998044753E-2</v>
          </cell>
          <cell r="S48">
            <v>32.503786024999997</v>
          </cell>
          <cell r="T48">
            <v>29.111727456000001</v>
          </cell>
          <cell r="U48">
            <v>43190</v>
          </cell>
          <cell r="V48">
            <v>58237471000</v>
          </cell>
          <cell r="W48">
            <v>55902170000</v>
          </cell>
          <cell r="X48">
            <v>47811428000</v>
          </cell>
          <cell r="Y48">
            <v>42421508000</v>
          </cell>
          <cell r="Z48">
            <v>33306037000</v>
          </cell>
          <cell r="AA48">
            <v>1.7485560050269566</v>
          </cell>
          <cell r="AC48">
            <v>1443477000</v>
          </cell>
          <cell r="AD48">
            <v>1514481000</v>
          </cell>
          <cell r="AE48">
            <v>1396985000</v>
          </cell>
          <cell r="AF48">
            <v>1415055000</v>
          </cell>
          <cell r="AG48">
            <v>0.14116367433748661</v>
          </cell>
          <cell r="AH48" t="str">
            <v>NULL</v>
          </cell>
          <cell r="AI48" t="str">
            <v>NULL</v>
          </cell>
          <cell r="AJ48">
            <v>1041057000</v>
          </cell>
          <cell r="AK48">
            <v>953729000</v>
          </cell>
          <cell r="AL48">
            <v>548340000</v>
          </cell>
          <cell r="AM48">
            <v>554273000</v>
          </cell>
          <cell r="AN48">
            <v>509063000</v>
          </cell>
          <cell r="AO48">
            <v>554070000</v>
          </cell>
          <cell r="AP48">
            <v>168.09378615959582</v>
          </cell>
          <cell r="AQ48">
            <v>1619769000</v>
          </cell>
          <cell r="AR48">
            <v>1512916000</v>
          </cell>
          <cell r="AS48">
            <v>956613000</v>
          </cell>
          <cell r="AT48">
            <v>920607000</v>
          </cell>
          <cell r="AU48">
            <v>79.229460954752497</v>
          </cell>
          <cell r="AV48">
            <v>25597000</v>
          </cell>
          <cell r="AW48">
            <v>26981000</v>
          </cell>
          <cell r="AX48">
            <v>24307000</v>
          </cell>
          <cell r="AY48">
            <v>22722000</v>
          </cell>
          <cell r="AZ48">
            <v>4.196770419984615</v>
          </cell>
          <cell r="BA48">
            <v>-84.667554784858709</v>
          </cell>
          <cell r="BC48">
            <v>62.096510000000002</v>
          </cell>
          <cell r="BD48">
            <v>112.48116</v>
          </cell>
          <cell r="BE48">
            <v>65.246549999999999</v>
          </cell>
          <cell r="BF48">
            <v>598902000</v>
          </cell>
          <cell r="BG48">
            <v>9360914000</v>
          </cell>
          <cell r="BH48">
            <v>1881142000</v>
          </cell>
          <cell r="BI48">
            <v>901935000</v>
          </cell>
          <cell r="BJ48">
            <v>2.2084744223481532</v>
          </cell>
          <cell r="BK48">
            <v>-52270000</v>
          </cell>
          <cell r="BL48">
            <v>-36154000</v>
          </cell>
          <cell r="BM48">
            <v>-13961000</v>
          </cell>
          <cell r="BN48">
            <v>-59652000</v>
          </cell>
          <cell r="BO48">
            <v>-31387000</v>
          </cell>
          <cell r="BP48">
            <v>-34844000</v>
          </cell>
          <cell r="BQ48">
            <v>2380756000</v>
          </cell>
          <cell r="BR48">
            <v>1519371000</v>
          </cell>
          <cell r="BS48">
            <v>817259000</v>
          </cell>
          <cell r="BT48">
            <v>2875207000</v>
          </cell>
          <cell r="BU48">
            <v>1848021000</v>
          </cell>
          <cell r="BV48">
            <v>1349994000</v>
          </cell>
          <cell r="BW48">
            <v>0.22792902181248589</v>
          </cell>
          <cell r="BX48">
            <v>0.2494051440179276</v>
          </cell>
          <cell r="BY48">
            <v>33306037000</v>
          </cell>
          <cell r="BZ48">
            <v>32707135000</v>
          </cell>
          <cell r="CA48">
            <v>24026221000</v>
          </cell>
          <cell r="CB48">
            <v>22145079000</v>
          </cell>
          <cell r="CC48" t="str">
            <v>NULL</v>
          </cell>
          <cell r="CD48" t="str">
            <v>NULL</v>
          </cell>
          <cell r="CE48" t="str">
            <v>NULL</v>
          </cell>
          <cell r="CF48" t="str">
            <v>NULL</v>
          </cell>
          <cell r="CG48" t="str">
            <v>NULL</v>
          </cell>
          <cell r="CH48" t="str">
            <v>NULL</v>
          </cell>
          <cell r="CI48" t="str">
            <v>NULL</v>
          </cell>
          <cell r="CJ48" t="str">
            <v>NULL</v>
          </cell>
          <cell r="CK48">
            <v>33306037000</v>
          </cell>
          <cell r="CL48">
            <v>32707135000</v>
          </cell>
          <cell r="CM48">
            <v>24026221000</v>
          </cell>
          <cell r="CN48">
            <v>22145079000</v>
          </cell>
          <cell r="CO48">
            <v>0.45435496634507494</v>
          </cell>
          <cell r="CP48">
            <v>598902000</v>
          </cell>
          <cell r="CQ48">
            <v>355617000</v>
          </cell>
          <cell r="CR48">
            <v>3260476000</v>
          </cell>
          <cell r="CS48">
            <v>11821280000</v>
          </cell>
          <cell r="CT48">
            <v>2280391000</v>
          </cell>
          <cell r="CU48">
            <v>377003000</v>
          </cell>
          <cell r="CV48">
            <v>330098000</v>
          </cell>
          <cell r="CW48">
            <v>332047000</v>
          </cell>
          <cell r="CX48">
            <v>0.68412083786770594</v>
          </cell>
          <cell r="CY48">
            <v>1.7289311879208966</v>
          </cell>
          <cell r="CZ48">
            <v>-0.72418587496447084</v>
          </cell>
          <cell r="DA48">
            <v>4.1838829393731158</v>
          </cell>
          <cell r="DB48">
            <v>5.0487343602040298</v>
          </cell>
          <cell r="DC48">
            <v>0.14209416597495284</v>
          </cell>
          <cell r="DD48">
            <v>-5.8696509831439592E-3</v>
          </cell>
          <cell r="DE48">
            <v>2.6736328381884844</v>
          </cell>
          <cell r="DG48">
            <v>11.4964858652076</v>
          </cell>
          <cell r="DH48">
            <v>126014050</v>
          </cell>
          <cell r="DI48">
            <v>225</v>
          </cell>
          <cell r="DJ48">
            <v>31503161250</v>
          </cell>
          <cell r="DK48">
            <v>33643270250</v>
          </cell>
          <cell r="DM48">
            <v>33306037000</v>
          </cell>
          <cell r="DN48" t="str">
            <v>NULL</v>
          </cell>
          <cell r="DO48" t="str">
            <v>NULL</v>
          </cell>
          <cell r="DP48">
            <v>109644000</v>
          </cell>
          <cell r="DQ48">
            <v>87716000</v>
          </cell>
          <cell r="DR48">
            <v>33108677000</v>
          </cell>
          <cell r="DS48">
            <v>0.95150770446067656</v>
          </cell>
          <cell r="DT48">
            <v>4.7526599999999997</v>
          </cell>
          <cell r="DU48">
            <v>74.284679999999994</v>
          </cell>
          <cell r="DV48">
            <v>14.92803</v>
          </cell>
          <cell r="DW48">
            <v>7.1574299999999997</v>
          </cell>
          <cell r="DX48">
            <v>101.12280000000001</v>
          </cell>
          <cell r="DY48">
            <v>2.2759456818838082</v>
          </cell>
          <cell r="DZ48">
            <v>5.4598218664893814</v>
          </cell>
          <cell r="EA48">
            <v>1315150000</v>
          </cell>
          <cell r="EB48">
            <v>23.954044215488729</v>
          </cell>
          <cell r="EC48">
            <v>2.22501750347103</v>
          </cell>
          <cell r="ED48">
            <v>0.26275843780362801</v>
          </cell>
          <cell r="EE48">
            <v>0.27769146022067998</v>
          </cell>
          <cell r="EG48">
            <v>0.4086118018483717</v>
          </cell>
          <cell r="EH48">
            <v>0.15687464032039733</v>
          </cell>
          <cell r="EK48">
            <v>2.50765688431111</v>
          </cell>
        </row>
        <row r="49">
          <cell r="A49" t="str">
            <v>IRSA</v>
          </cell>
          <cell r="B49" t="str">
            <v>IRS.BA</v>
          </cell>
          <cell r="C49" t="str">
            <v>IRSA INVERSIONES Y REPRESENTACIONES SA</v>
          </cell>
          <cell r="D49">
            <v>43190</v>
          </cell>
          <cell r="E49">
            <v>84227000000</v>
          </cell>
          <cell r="F49">
            <v>51401000000</v>
          </cell>
          <cell r="G49">
            <v>1.63863</v>
          </cell>
          <cell r="H49">
            <v>1.5549500000000001</v>
          </cell>
          <cell r="I49">
            <v>1.66303</v>
          </cell>
          <cell r="J49">
            <v>1.57596</v>
          </cell>
          <cell r="K49">
            <v>49.800000000000004</v>
          </cell>
          <cell r="L49">
            <v>0</v>
          </cell>
          <cell r="M49">
            <v>2.4193099999999998</v>
          </cell>
          <cell r="N49">
            <v>0</v>
          </cell>
          <cell r="O49">
            <v>0</v>
          </cell>
          <cell r="P49">
            <v>2.4193099999999998</v>
          </cell>
          <cell r="Q49">
            <v>4.8580522088353409E-2</v>
          </cell>
          <cell r="S49">
            <v>526.93549965700004</v>
          </cell>
          <cell r="T49">
            <v>481.91924145799999</v>
          </cell>
          <cell r="U49">
            <v>43190</v>
          </cell>
          <cell r="V49">
            <v>279757000000</v>
          </cell>
          <cell r="W49">
            <v>260538000000</v>
          </cell>
          <cell r="X49">
            <v>239354000000</v>
          </cell>
          <cell r="Y49">
            <v>231242000000</v>
          </cell>
          <cell r="Z49">
            <v>30651000000</v>
          </cell>
          <cell r="AA49">
            <v>9.127173664807021</v>
          </cell>
          <cell r="AC49">
            <v>22656000000</v>
          </cell>
          <cell r="AD49">
            <v>22827000000</v>
          </cell>
          <cell r="AE49">
            <v>20213000000</v>
          </cell>
          <cell r="AF49">
            <v>18971000000</v>
          </cell>
          <cell r="AG49">
            <v>0.41877411304794093</v>
          </cell>
          <cell r="AH49">
            <v>24670000000</v>
          </cell>
          <cell r="AI49">
            <v>23120000000</v>
          </cell>
          <cell r="AJ49">
            <v>11874000000</v>
          </cell>
          <cell r="AK49">
            <v>12726000000</v>
          </cell>
          <cell r="AL49">
            <v>15487000000</v>
          </cell>
          <cell r="AM49">
            <v>15550000000</v>
          </cell>
          <cell r="AN49">
            <v>13727000000</v>
          </cell>
          <cell r="AO49">
            <v>12565000000</v>
          </cell>
          <cell r="AP49">
            <v>115.22244413821976</v>
          </cell>
          <cell r="AQ49">
            <v>17550000000</v>
          </cell>
          <cell r="AR49">
            <v>17094000000</v>
          </cell>
          <cell r="AS49">
            <v>12363000000</v>
          </cell>
          <cell r="AT49">
            <v>13561000000</v>
          </cell>
          <cell r="AU49">
            <v>65.277262687942169</v>
          </cell>
          <cell r="AV49">
            <v>4301000000</v>
          </cell>
          <cell r="AW49">
            <v>4184000000</v>
          </cell>
          <cell r="AX49">
            <v>3533000000</v>
          </cell>
          <cell r="AY49">
            <v>4260000000</v>
          </cell>
          <cell r="AZ49">
            <v>25.909530952920861</v>
          </cell>
          <cell r="BA49">
            <v>-24.035650497356727</v>
          </cell>
          <cell r="BC49">
            <v>30.53848</v>
          </cell>
          <cell r="BD49">
            <v>12.87548</v>
          </cell>
          <cell r="BE49">
            <v>1.618E-2</v>
          </cell>
          <cell r="BF49">
            <v>507000000</v>
          </cell>
          <cell r="BG49">
            <v>8171000000</v>
          </cell>
          <cell r="BH49">
            <v>540000000</v>
          </cell>
          <cell r="BI49">
            <v>930000000</v>
          </cell>
          <cell r="BJ49">
            <v>0.11985779583544946</v>
          </cell>
          <cell r="BK49">
            <v>-3333000000</v>
          </cell>
          <cell r="BL49">
            <v>-2038000000</v>
          </cell>
          <cell r="BM49">
            <v>-1193000000</v>
          </cell>
          <cell r="BN49">
            <v>-3130000000</v>
          </cell>
          <cell r="BO49">
            <v>-2154000000</v>
          </cell>
          <cell r="BP49">
            <v>-2372000000</v>
          </cell>
          <cell r="BQ49">
            <v>9123000000</v>
          </cell>
          <cell r="BR49">
            <v>6733000000</v>
          </cell>
          <cell r="BS49">
            <v>2642000000</v>
          </cell>
          <cell r="BT49">
            <v>8902000000</v>
          </cell>
          <cell r="BU49">
            <v>6151000000</v>
          </cell>
          <cell r="BV49">
            <v>5614000000</v>
          </cell>
          <cell r="BW49">
            <v>3.8291187829969174E-2</v>
          </cell>
          <cell r="BX49">
            <v>4.0154675429893032E-2</v>
          </cell>
          <cell r="BY49">
            <v>30651000000</v>
          </cell>
          <cell r="BZ49">
            <v>30585000000</v>
          </cell>
          <cell r="CA49">
            <v>26107000000</v>
          </cell>
          <cell r="CB49">
            <v>25864000000</v>
          </cell>
          <cell r="CC49" t="str">
            <v>NULL</v>
          </cell>
          <cell r="CD49" t="str">
            <v>NULL</v>
          </cell>
          <cell r="CE49" t="str">
            <v>NULL</v>
          </cell>
          <cell r="CF49" t="str">
            <v>NULL</v>
          </cell>
          <cell r="CG49" t="str">
            <v>NULL</v>
          </cell>
          <cell r="CH49" t="str">
            <v>NULL</v>
          </cell>
          <cell r="CI49" t="str">
            <v>NULL</v>
          </cell>
          <cell r="CJ49" t="str">
            <v>NULL</v>
          </cell>
          <cell r="CK49">
            <v>30651000000</v>
          </cell>
          <cell r="CL49">
            <v>30585000000</v>
          </cell>
          <cell r="CM49">
            <v>26107000000</v>
          </cell>
          <cell r="CN49">
            <v>25864000000</v>
          </cell>
          <cell r="CO49">
            <v>0.35856439972793203</v>
          </cell>
          <cell r="CP49">
            <v>507000000</v>
          </cell>
          <cell r="CQ49">
            <v>1166000000</v>
          </cell>
          <cell r="CR49">
            <v>12000000</v>
          </cell>
          <cell r="CS49">
            <v>8529000000</v>
          </cell>
          <cell r="CT49">
            <v>2459000000</v>
          </cell>
          <cell r="CU49">
            <v>-514566000</v>
          </cell>
          <cell r="CV49">
            <v>238737000</v>
          </cell>
          <cell r="CW49">
            <v>203891000</v>
          </cell>
          <cell r="CX49">
            <v>-0.565180102915952</v>
          </cell>
          <cell r="CY49">
            <v>0.85284239186932176</v>
          </cell>
          <cell r="CZ49">
            <v>-0.99859303552585299</v>
          </cell>
          <cell r="DA49">
            <v>2.4684831232208215</v>
          </cell>
          <cell r="DB49">
            <v>5.7787844513628963</v>
          </cell>
          <cell r="DC49">
            <v>-3.1553676221113611</v>
          </cell>
          <cell r="DD49">
            <v>0.17090504240010596</v>
          </cell>
          <cell r="DE49">
            <v>3.4217612187614685</v>
          </cell>
          <cell r="DG49">
            <v>13.0244830663858</v>
          </cell>
          <cell r="DH49">
            <v>578676460</v>
          </cell>
          <cell r="DI49">
            <v>49.15</v>
          </cell>
          <cell r="DJ49">
            <v>28441948009</v>
          </cell>
          <cell r="DK49">
            <v>163821948009</v>
          </cell>
          <cell r="DM49">
            <v>30651000000</v>
          </cell>
          <cell r="DN49" t="str">
            <v>NULL</v>
          </cell>
          <cell r="DO49" t="str">
            <v>NULL</v>
          </cell>
          <cell r="DP49">
            <v>9677000000</v>
          </cell>
          <cell r="DQ49">
            <v>4137000000</v>
          </cell>
          <cell r="DR49">
            <v>16837000000</v>
          </cell>
          <cell r="DS49">
            <v>1.6892527177644474</v>
          </cell>
          <cell r="DT49">
            <v>0.87614000000000003</v>
          </cell>
          <cell r="DU49">
            <v>14.114879999999999</v>
          </cell>
          <cell r="DV49">
            <v>0.93742999999999999</v>
          </cell>
          <cell r="DW49">
            <v>1.6071200000000001</v>
          </cell>
          <cell r="DX49">
            <v>17.53557</v>
          </cell>
          <cell r="DY49">
            <v>2.839941900947617</v>
          </cell>
          <cell r="DZ49">
            <v>0.33592719724331793</v>
          </cell>
          <cell r="EA49">
            <v>3242000000</v>
          </cell>
          <cell r="EB49">
            <v>8.7729636054904372</v>
          </cell>
          <cell r="EC49">
            <v>2.8028743861762102</v>
          </cell>
          <cell r="ED49">
            <v>0.56137568080286504</v>
          </cell>
          <cell r="EE49">
            <v>0.69051078049316605</v>
          </cell>
          <cell r="EG49">
            <v>0.42226239692011269</v>
          </cell>
          <cell r="EH49">
            <v>7.6989095024571297E-2</v>
          </cell>
          <cell r="EK49">
            <v>4.9223070077314404</v>
          </cell>
        </row>
        <row r="50">
          <cell r="A50" t="str">
            <v>HARG</v>
          </cell>
          <cell r="B50" t="str">
            <v>HARG.BA</v>
          </cell>
          <cell r="C50" t="str">
            <v>HOLCIM ARGENTINA SA</v>
          </cell>
          <cell r="D50">
            <v>43190</v>
          </cell>
          <cell r="E50">
            <v>1884584640</v>
          </cell>
          <cell r="F50">
            <v>2587893440</v>
          </cell>
          <cell r="G50">
            <v>0.72823000000000004</v>
          </cell>
          <cell r="H50">
            <v>0.43020999999999998</v>
          </cell>
          <cell r="I50">
            <v>0.68215999999999999</v>
          </cell>
          <cell r="J50">
            <v>0.49402000000000001</v>
          </cell>
          <cell r="K50">
            <v>62.75</v>
          </cell>
          <cell r="L50">
            <v>0</v>
          </cell>
          <cell r="M50">
            <v>2.06</v>
          </cell>
          <cell r="N50">
            <v>0</v>
          </cell>
          <cell r="O50">
            <v>1.06</v>
          </cell>
          <cell r="P50">
            <v>3.12</v>
          </cell>
          <cell r="Q50">
            <v>4.9721115537848609E-2</v>
          </cell>
          <cell r="S50">
            <v>16.052124375599998</v>
          </cell>
          <cell r="T50">
            <v>3.4852161050000001</v>
          </cell>
          <cell r="U50">
            <v>43190</v>
          </cell>
          <cell r="V50">
            <v>4000948920</v>
          </cell>
          <cell r="W50">
            <v>4015043570</v>
          </cell>
          <cell r="X50">
            <v>4050745290</v>
          </cell>
          <cell r="Y50">
            <v>3292730760</v>
          </cell>
          <cell r="Z50">
            <v>1071883920</v>
          </cell>
          <cell r="AA50">
            <v>3.7326326529835434</v>
          </cell>
          <cell r="AC50">
            <v>2205199100</v>
          </cell>
          <cell r="AD50">
            <v>2186058910</v>
          </cell>
          <cell r="AE50">
            <v>2095166070</v>
          </cell>
          <cell r="AF50">
            <v>1675688160</v>
          </cell>
          <cell r="AG50">
            <v>2.6570220406348817</v>
          </cell>
          <cell r="AH50">
            <v>1327372970</v>
          </cell>
          <cell r="AI50">
            <v>1175659140</v>
          </cell>
          <cell r="AJ50">
            <v>808165110</v>
          </cell>
          <cell r="AK50">
            <v>692956340</v>
          </cell>
          <cell r="AL50">
            <v>1336461450</v>
          </cell>
          <cell r="AM50">
            <v>1246819310</v>
          </cell>
          <cell r="AN50">
            <v>1116675490</v>
          </cell>
          <cell r="AO50">
            <v>970578730</v>
          </cell>
          <cell r="AP50">
            <v>78.230655356316376</v>
          </cell>
          <cell r="AQ50">
            <v>633603690</v>
          </cell>
          <cell r="AR50">
            <v>511470070</v>
          </cell>
          <cell r="AS50">
            <v>497235730</v>
          </cell>
          <cell r="AT50">
            <v>455879180</v>
          </cell>
          <cell r="AU50">
            <v>23.45712856032717</v>
          </cell>
          <cell r="AV50">
            <v>771256010</v>
          </cell>
          <cell r="AW50">
            <v>532974490</v>
          </cell>
          <cell r="AX50">
            <v>516131440</v>
          </cell>
          <cell r="AY50">
            <v>604280540</v>
          </cell>
          <cell r="AZ50">
            <v>47.371152822411794</v>
          </cell>
          <cell r="BA50">
            <v>-7.4023739735774114</v>
          </cell>
          <cell r="BC50">
            <v>44.180100000000003</v>
          </cell>
          <cell r="BD50">
            <v>21.554320000000001</v>
          </cell>
          <cell r="BE50">
            <v>14.31096</v>
          </cell>
          <cell r="BF50">
            <v>238749580</v>
          </cell>
          <cell r="BG50">
            <v>337171900</v>
          </cell>
          <cell r="BH50">
            <v>331268250</v>
          </cell>
          <cell r="BI50">
            <v>194641670</v>
          </cell>
          <cell r="BJ50">
            <v>0.13499341440078017</v>
          </cell>
          <cell r="BK50">
            <v>-67638780</v>
          </cell>
          <cell r="BL50">
            <v>-153594100</v>
          </cell>
          <cell r="BM50">
            <v>-58374350</v>
          </cell>
          <cell r="BN50">
            <v>-25090520</v>
          </cell>
          <cell r="BO50">
            <v>-5006320</v>
          </cell>
          <cell r="BP50">
            <v>-121006810</v>
          </cell>
          <cell r="BQ50">
            <v>159220250</v>
          </cell>
          <cell r="BR50">
            <v>1498082390</v>
          </cell>
          <cell r="BS50">
            <v>762297890</v>
          </cell>
          <cell r="BT50">
            <v>-77675150</v>
          </cell>
          <cell r="BU50">
            <v>-370295320</v>
          </cell>
          <cell r="BV50">
            <v>1291813460</v>
          </cell>
          <cell r="BW50">
            <v>0.14344407618682783</v>
          </cell>
          <cell r="BX50">
            <v>0.28694518879492426</v>
          </cell>
          <cell r="BY50">
            <v>1071883920</v>
          </cell>
          <cell r="BZ50">
            <v>837768710</v>
          </cell>
          <cell r="CA50">
            <v>1878011980</v>
          </cell>
          <cell r="CB50">
            <v>1546743730</v>
          </cell>
          <cell r="CC50" t="str">
            <v>NULL</v>
          </cell>
          <cell r="CD50" t="str">
            <v>NULL</v>
          </cell>
          <cell r="CE50" t="str">
            <v>NULL</v>
          </cell>
          <cell r="CF50" t="str">
            <v>NULL</v>
          </cell>
          <cell r="CG50" t="str">
            <v>NULL</v>
          </cell>
          <cell r="CH50" t="str">
            <v>NULL</v>
          </cell>
          <cell r="CI50" t="str">
            <v>NULL</v>
          </cell>
          <cell r="CJ50" t="str">
            <v>NULL</v>
          </cell>
          <cell r="CK50">
            <v>1071883920</v>
          </cell>
          <cell r="CL50">
            <v>837768710</v>
          </cell>
          <cell r="CM50">
            <v>1878011980</v>
          </cell>
          <cell r="CN50">
            <v>1546743730</v>
          </cell>
          <cell r="CO50">
            <v>0.8262070166154547</v>
          </cell>
          <cell r="CP50">
            <v>238749580</v>
          </cell>
          <cell r="CQ50">
            <v>200702140</v>
          </cell>
          <cell r="CR50">
            <v>1063783950</v>
          </cell>
          <cell r="CS50">
            <v>390805970</v>
          </cell>
          <cell r="CT50">
            <v>64358260</v>
          </cell>
          <cell r="CU50">
            <v>58944470</v>
          </cell>
          <cell r="CV50">
            <v>29627350</v>
          </cell>
          <cell r="CW50">
            <v>24588790</v>
          </cell>
          <cell r="CX50">
            <v>0.18957167073554881</v>
          </cell>
          <cell r="CY50">
            <v>1.6161329314549495</v>
          </cell>
          <cell r="CZ50">
            <v>1.7220258431568998</v>
          </cell>
          <cell r="DA50">
            <v>5.0723513966971758</v>
          </cell>
          <cell r="DB50">
            <v>9.1845596372314375E-2</v>
          </cell>
          <cell r="DC50">
            <v>0.98952893188219671</v>
          </cell>
          <cell r="DD50">
            <v>0.20491288916616068</v>
          </cell>
          <cell r="DE50">
            <v>2.0410956523495849</v>
          </cell>
          <cell r="DG50">
            <v>12.4954124248545</v>
          </cell>
          <cell r="DH50">
            <v>352056899</v>
          </cell>
          <cell r="DI50">
            <v>64</v>
          </cell>
          <cell r="DJ50">
            <v>22531641536</v>
          </cell>
          <cell r="DK50">
            <v>22413104236</v>
          </cell>
          <cell r="DM50">
            <v>1071883920</v>
          </cell>
          <cell r="DN50" t="str">
            <v>NULL</v>
          </cell>
          <cell r="DO50" t="str">
            <v>NULL</v>
          </cell>
          <cell r="DP50">
            <v>359680</v>
          </cell>
          <cell r="DQ50" t="str">
            <v>NULL</v>
          </cell>
          <cell r="DR50">
            <v>1071524240</v>
          </cell>
          <cell r="DS50">
            <v>21.027654526975518</v>
          </cell>
          <cell r="DT50">
            <v>0.67815999999999999</v>
          </cell>
          <cell r="DU50">
            <v>0.95772000000000002</v>
          </cell>
          <cell r="DV50">
            <v>0.94094999999999995</v>
          </cell>
          <cell r="DW50">
            <v>0.55286999999999997</v>
          </cell>
          <cell r="DX50">
            <v>3.1297000000000001</v>
          </cell>
          <cell r="DY50">
            <v>20.049845033070262</v>
          </cell>
          <cell r="DZ50">
            <v>2.7605160127031039</v>
          </cell>
          <cell r="EA50">
            <v>1170806650</v>
          </cell>
          <cell r="EB50">
            <v>19.244545233835151</v>
          </cell>
          <cell r="EC50">
            <v>20.4492443365179</v>
          </cell>
          <cell r="ED50">
            <v>1.37168659186263</v>
          </cell>
          <cell r="EE50">
            <v>1.26466578138249</v>
          </cell>
          <cell r="EG50">
            <v>0.47059937386653611</v>
          </cell>
          <cell r="EH50">
            <v>0.18500396306701705</v>
          </cell>
          <cell r="EK50">
            <v>1.65625</v>
          </cell>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12.700000000000001</v>
          </cell>
          <cell r="L51">
            <v>0</v>
          </cell>
          <cell r="M51">
            <v>0</v>
          </cell>
          <cell r="N51">
            <v>0</v>
          </cell>
          <cell r="O51">
            <v>0</v>
          </cell>
          <cell r="P51">
            <v>0</v>
          </cell>
          <cell r="Q51">
            <v>0</v>
          </cell>
          <cell r="S51">
            <v>772.56219020100002</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10.2133391327115</v>
          </cell>
          <cell r="DH51">
            <v>440000000</v>
          </cell>
          <cell r="DI51">
            <v>13.1</v>
          </cell>
          <cell r="DJ51">
            <v>5764000000</v>
          </cell>
          <cell r="DK51">
            <v>12092951000</v>
          </cell>
          <cell r="DM51">
            <v>824326000</v>
          </cell>
          <cell r="DN51" t="str">
            <v>NULL</v>
          </cell>
          <cell r="DO51" t="str">
            <v>NULL</v>
          </cell>
          <cell r="DP51">
            <v>23885000</v>
          </cell>
          <cell r="DQ51" t="str">
            <v>NULL</v>
          </cell>
          <cell r="DR51">
            <v>800441000</v>
          </cell>
          <cell r="DS51">
            <v>7.2010304319743739</v>
          </cell>
          <cell r="DT51">
            <v>-0.77737000000000001</v>
          </cell>
          <cell r="DU51">
            <v>0.37508999999999998</v>
          </cell>
          <cell r="DV51">
            <v>-0.44950000000000001</v>
          </cell>
          <cell r="DW51">
            <v>-9.7670000000000007E-2</v>
          </cell>
          <cell r="DX51">
            <v>-0.94945000000000002</v>
          </cell>
          <cell r="DY51">
            <v>-13.376165148243722</v>
          </cell>
          <cell r="DZ51">
            <v>0.46685560117378061</v>
          </cell>
          <cell r="EA51">
            <v>-1140326000</v>
          </cell>
          <cell r="EB51">
            <v>-5.0546948854976561</v>
          </cell>
          <cell r="EC51" t="str">
            <v>NULL</v>
          </cell>
          <cell r="ED51">
            <v>0.56956245941504402</v>
          </cell>
          <cell r="EE51">
            <v>0.56285233568842297</v>
          </cell>
          <cell r="EG51">
            <v>0.412398521593625</v>
          </cell>
          <cell r="EH51">
            <v>-8.0992922579262827E-2</v>
          </cell>
          <cell r="EK51">
            <v>0.74512</v>
          </cell>
        </row>
        <row r="52">
          <cell r="A52" t="str">
            <v>LONG</v>
          </cell>
          <cell r="B52" t="str">
            <v>LON.BA</v>
          </cell>
          <cell r="C52" t="str">
            <v>LONGVIE SA</v>
          </cell>
          <cell r="D52">
            <v>43190</v>
          </cell>
          <cell r="E52">
            <v>820963690</v>
          </cell>
          <cell r="F52">
            <v>491748910</v>
          </cell>
          <cell r="G52">
            <v>1.6694800000000001</v>
          </cell>
          <cell r="H52">
            <v>0.76624000000000003</v>
          </cell>
          <cell r="I52">
            <v>1.8858699999999999</v>
          </cell>
          <cell r="J52">
            <v>0.88327</v>
          </cell>
          <cell r="K52">
            <v>3.75</v>
          </cell>
          <cell r="L52">
            <v>0</v>
          </cell>
          <cell r="M52" t="str">
            <v>NULL</v>
          </cell>
          <cell r="N52">
            <v>0</v>
          </cell>
          <cell r="O52">
            <v>0</v>
          </cell>
          <cell r="P52">
            <v>0</v>
          </cell>
          <cell r="Q52">
            <v>0</v>
          </cell>
          <cell r="S52">
            <v>121.9406153086</v>
          </cell>
          <cell r="T52">
            <v>113.826191006</v>
          </cell>
          <cell r="U52">
            <v>43190</v>
          </cell>
          <cell r="V52">
            <v>932926870</v>
          </cell>
          <cell r="W52">
            <v>906804280</v>
          </cell>
          <cell r="X52">
            <v>794176420</v>
          </cell>
          <cell r="Y52">
            <v>799710110</v>
          </cell>
          <cell r="Z52">
            <v>297012910</v>
          </cell>
          <cell r="AA52">
            <v>3.1410313780636674</v>
          </cell>
          <cell r="AC52">
            <v>298799620</v>
          </cell>
          <cell r="AD52">
            <v>254197930</v>
          </cell>
          <cell r="AE52">
            <v>301576450</v>
          </cell>
          <cell r="AF52">
            <v>393187440</v>
          </cell>
          <cell r="AG52">
            <v>1.8169549749390363</v>
          </cell>
          <cell r="AH52">
            <v>210554120</v>
          </cell>
          <cell r="AI52">
            <v>203080440</v>
          </cell>
          <cell r="AJ52">
            <v>186664250</v>
          </cell>
          <cell r="AK52">
            <v>184638570</v>
          </cell>
          <cell r="AL52">
            <v>237271380</v>
          </cell>
          <cell r="AM52">
            <v>213347450</v>
          </cell>
          <cell r="AN52">
            <v>258736870</v>
          </cell>
          <cell r="AO52">
            <v>290105080</v>
          </cell>
          <cell r="AP52">
            <v>71.664178683429682</v>
          </cell>
          <cell r="AQ52">
            <v>317948610</v>
          </cell>
          <cell r="AR52">
            <v>287274130</v>
          </cell>
          <cell r="AS52">
            <v>275447480</v>
          </cell>
          <cell r="AT52">
            <v>338584170</v>
          </cell>
          <cell r="AU52">
            <v>89.165251883004174</v>
          </cell>
          <cell r="AV52">
            <v>444164280</v>
          </cell>
          <cell r="AW52">
            <v>425200900</v>
          </cell>
          <cell r="AX52">
            <v>366700460</v>
          </cell>
          <cell r="AY52">
            <v>306229380</v>
          </cell>
          <cell r="AZ52">
            <v>140.81034833102706</v>
          </cell>
          <cell r="BA52">
            <v>158.31142153060154</v>
          </cell>
          <cell r="BC52">
            <v>19.927869999999999</v>
          </cell>
          <cell r="BD52">
            <v>1.6721200000000001</v>
          </cell>
          <cell r="BE52">
            <v>-7.8659999999999994E-2</v>
          </cell>
          <cell r="BF52">
            <v>-2324340</v>
          </cell>
          <cell r="BG52">
            <v>-15766250</v>
          </cell>
          <cell r="BH52">
            <v>-13054840</v>
          </cell>
          <cell r="BI52">
            <v>23159900</v>
          </cell>
          <cell r="BJ52">
            <v>-6.3998852216494203E-3</v>
          </cell>
          <cell r="BK52">
            <v>-9741220</v>
          </cell>
          <cell r="BL52">
            <v>-21433970</v>
          </cell>
          <cell r="BM52">
            <v>-11282810</v>
          </cell>
          <cell r="BN52">
            <v>-7420790</v>
          </cell>
          <cell r="BO52">
            <v>-3092900</v>
          </cell>
          <cell r="BP52">
            <v>-17931130</v>
          </cell>
          <cell r="BQ52">
            <v>-43283760</v>
          </cell>
          <cell r="BR52">
            <v>-107999410</v>
          </cell>
          <cell r="BS52">
            <v>-50191440</v>
          </cell>
          <cell r="BT52">
            <v>-39436820</v>
          </cell>
          <cell r="BU52">
            <v>-29270010</v>
          </cell>
          <cell r="BV52">
            <v>-64205190</v>
          </cell>
          <cell r="BW52">
            <v>-6.5826942047511897E-2</v>
          </cell>
          <cell r="BX52">
            <v>-9.3027596479524181E-3</v>
          </cell>
          <cell r="BY52">
            <v>297012910</v>
          </cell>
          <cell r="BZ52">
            <v>299447910</v>
          </cell>
          <cell r="CA52">
            <v>315281870</v>
          </cell>
          <cell r="CB52">
            <v>328416590</v>
          </cell>
          <cell r="CC52" t="str">
            <v>NULL</v>
          </cell>
          <cell r="CD52" t="str">
            <v>NULL</v>
          </cell>
          <cell r="CE52" t="str">
            <v>NULL</v>
          </cell>
          <cell r="CF52" t="str">
            <v>NULL</v>
          </cell>
          <cell r="CG52" t="str">
            <v>NULL</v>
          </cell>
          <cell r="CH52" t="str">
            <v>NULL</v>
          </cell>
          <cell r="CI52" t="str">
            <v>NULL</v>
          </cell>
          <cell r="CJ52" t="str">
            <v>NULL</v>
          </cell>
          <cell r="CK52">
            <v>297012910</v>
          </cell>
          <cell r="CL52">
            <v>299447910</v>
          </cell>
          <cell r="CM52">
            <v>315281870</v>
          </cell>
          <cell r="CN52">
            <v>328416590</v>
          </cell>
          <cell r="CO52">
            <v>-2.5756465733982169E-2</v>
          </cell>
          <cell r="CP52">
            <v>-2324340</v>
          </cell>
          <cell r="CQ52">
            <v>4688410</v>
          </cell>
          <cell r="CR52">
            <v>-972780</v>
          </cell>
          <cell r="CS52">
            <v>36614070</v>
          </cell>
          <cell r="CT52">
            <v>105332440</v>
          </cell>
          <cell r="CU52">
            <v>32501830</v>
          </cell>
          <cell r="CV52">
            <v>18155710</v>
          </cell>
          <cell r="CW52">
            <v>16629950</v>
          </cell>
          <cell r="CX52">
            <v>-1.4957629558848309</v>
          </cell>
          <cell r="CY52">
            <v>0.28875420822772396</v>
          </cell>
          <cell r="CZ52">
            <v>-1.0265684749059583</v>
          </cell>
          <cell r="DA52">
            <v>-0.65239512157887924</v>
          </cell>
          <cell r="DB52">
            <v>2.2408156709945257</v>
          </cell>
          <cell r="DC52">
            <v>0.79017124640127001</v>
          </cell>
          <cell r="DD52">
            <v>9.1747720227661533E-2</v>
          </cell>
          <cell r="DE52">
            <v>1.2958212047448447</v>
          </cell>
          <cell r="DG52">
            <v>19.5426954690803</v>
          </cell>
          <cell r="DH52">
            <v>153641513</v>
          </cell>
          <cell r="DI52">
            <v>3.85</v>
          </cell>
          <cell r="DJ52">
            <v>591519825.04999995</v>
          </cell>
          <cell r="DK52">
            <v>898578805.04999995</v>
          </cell>
          <cell r="DM52">
            <v>297012910</v>
          </cell>
          <cell r="DN52" t="str">
            <v>NULL</v>
          </cell>
          <cell r="DO52" t="str">
            <v>NULL</v>
          </cell>
          <cell r="DP52">
            <v>1681720</v>
          </cell>
          <cell r="DQ52" t="str">
            <v>NULL</v>
          </cell>
          <cell r="DR52">
            <v>295331190</v>
          </cell>
          <cell r="DS52">
            <v>2.002903333880854</v>
          </cell>
          <cell r="DT52">
            <v>-1.5129999999999999E-2</v>
          </cell>
          <cell r="DU52">
            <v>-0.10262</v>
          </cell>
          <cell r="DV52">
            <v>-8.4970000000000004E-2</v>
          </cell>
          <cell r="DW52">
            <v>0.15074000000000001</v>
          </cell>
          <cell r="DX52">
            <v>-5.1979999999999998E-2</v>
          </cell>
          <cell r="DY52">
            <v>-72.143131973836091</v>
          </cell>
          <cell r="DZ52">
            <v>0.47406483810719457</v>
          </cell>
          <cell r="EA52">
            <v>-82136320</v>
          </cell>
          <cell r="EB52">
            <v>-7.2016840424552742</v>
          </cell>
          <cell r="EC52" t="str">
            <v>NULL</v>
          </cell>
          <cell r="ED52">
            <v>0.73036030185637102</v>
          </cell>
          <cell r="EE52">
            <v>0.767772415562054</v>
          </cell>
          <cell r="EG52">
            <v>0.44282668445459777</v>
          </cell>
          <cell r="EH52">
            <v>-1.1853737291684929E-2</v>
          </cell>
          <cell r="EK52" t="str">
            <v>NULL</v>
          </cell>
        </row>
        <row r="53">
          <cell r="A53" t="str">
            <v>METR</v>
          </cell>
          <cell r="B53" t="str">
            <v>MET.BA</v>
          </cell>
          <cell r="C53" t="str">
            <v>METROGAS SA</v>
          </cell>
          <cell r="D53">
            <v>43190</v>
          </cell>
          <cell r="E53">
            <v>4898118000</v>
          </cell>
          <cell r="F53">
            <v>5110724000</v>
          </cell>
          <cell r="G53">
            <v>0.95840000000000003</v>
          </cell>
          <cell r="H53">
            <v>0.95769000000000004</v>
          </cell>
          <cell r="I53">
            <v>0.52905000000000002</v>
          </cell>
          <cell r="J53">
            <v>0.52858000000000005</v>
          </cell>
          <cell r="K53">
            <v>41</v>
          </cell>
          <cell r="L53">
            <v>0</v>
          </cell>
          <cell r="M53" t="str">
            <v>NULL</v>
          </cell>
          <cell r="N53">
            <v>0</v>
          </cell>
          <cell r="O53">
            <v>0</v>
          </cell>
          <cell r="P53">
            <v>0</v>
          </cell>
          <cell r="Q53">
            <v>0</v>
          </cell>
          <cell r="S53">
            <v>57.995675087899997</v>
          </cell>
          <cell r="T53">
            <v>38.157177916000002</v>
          </cell>
          <cell r="U53">
            <v>43190</v>
          </cell>
          <cell r="V53">
            <v>21072553000</v>
          </cell>
          <cell r="W53">
            <v>20191554000</v>
          </cell>
          <cell r="X53">
            <v>20881223000</v>
          </cell>
          <cell r="Y53">
            <v>20345486000</v>
          </cell>
          <cell r="Z53">
            <v>8582371000</v>
          </cell>
          <cell r="AA53">
            <v>2.4553300014646302</v>
          </cell>
          <cell r="AC53">
            <v>3752438000</v>
          </cell>
          <cell r="AD53">
            <v>2568220000</v>
          </cell>
          <cell r="AE53">
            <v>4026248000</v>
          </cell>
          <cell r="AF53">
            <v>3735267000</v>
          </cell>
          <cell r="AG53">
            <v>0.85355960274124043</v>
          </cell>
          <cell r="AH53">
            <v>3914935000</v>
          </cell>
          <cell r="AI53">
            <v>3857290000</v>
          </cell>
          <cell r="AJ53">
            <v>4328990000</v>
          </cell>
          <cell r="AK53">
            <v>4223585000</v>
          </cell>
          <cell r="AL53">
            <v>2983429000</v>
          </cell>
          <cell r="AM53">
            <v>2182319000</v>
          </cell>
          <cell r="AN53">
            <v>2958507000</v>
          </cell>
          <cell r="AO53">
            <v>2746267000</v>
          </cell>
          <cell r="AP53">
            <v>137.03463366340642</v>
          </cell>
          <cell r="AQ53">
            <v>3255693000</v>
          </cell>
          <cell r="AR53">
            <v>3244582000</v>
          </cell>
          <cell r="AS53">
            <v>4124243000</v>
          </cell>
          <cell r="AT53">
            <v>3538848000</v>
          </cell>
          <cell r="AU53">
            <v>91.776116335170713</v>
          </cell>
          <cell r="AV53">
            <v>3626000</v>
          </cell>
          <cell r="AW53">
            <v>3805000</v>
          </cell>
          <cell r="AX53">
            <v>2546000</v>
          </cell>
          <cell r="AY53">
            <v>3152000</v>
          </cell>
          <cell r="AZ53">
            <v>0.11020825402864738</v>
          </cell>
          <cell r="BA53">
            <v>-45.148309074207063</v>
          </cell>
          <cell r="BC53" t="str">
            <v>NULL</v>
          </cell>
          <cell r="BD53">
            <v>8.8327500000000008</v>
          </cell>
          <cell r="BE53">
            <v>6.3446899999999999</v>
          </cell>
          <cell r="BF53">
            <v>-402848000</v>
          </cell>
          <cell r="BG53">
            <v>-258178000</v>
          </cell>
          <cell r="BH53">
            <v>312705000</v>
          </cell>
          <cell r="BI53">
            <v>201446000</v>
          </cell>
          <cell r="BJ53">
            <v>-1.0429853404016554E-2</v>
          </cell>
          <cell r="BK53">
            <v>-387649000</v>
          </cell>
          <cell r="BL53">
            <v>-962384000</v>
          </cell>
          <cell r="BM53">
            <v>-597074000</v>
          </cell>
          <cell r="BN53">
            <v>-352573000</v>
          </cell>
          <cell r="BO53">
            <v>-158951000</v>
          </cell>
          <cell r="BP53">
            <v>-825772000</v>
          </cell>
          <cell r="BQ53">
            <v>461405000</v>
          </cell>
          <cell r="BR53">
            <v>1571934000</v>
          </cell>
          <cell r="BS53">
            <v>1164014000</v>
          </cell>
          <cell r="BT53">
            <v>983746000</v>
          </cell>
          <cell r="BU53">
            <v>1070625000</v>
          </cell>
          <cell r="BV53">
            <v>554794000</v>
          </cell>
          <cell r="BW53">
            <v>-1.9242626830390453E-2</v>
          </cell>
          <cell r="BX53">
            <v>-7.1220049514360484E-3</v>
          </cell>
          <cell r="BY53">
            <v>8582371000</v>
          </cell>
          <cell r="BZ53">
            <v>8985219000</v>
          </cell>
          <cell r="CA53">
            <v>8045459000</v>
          </cell>
          <cell r="CB53">
            <v>7732755000</v>
          </cell>
          <cell r="CC53" t="str">
            <v>NULL</v>
          </cell>
          <cell r="CD53" t="str">
            <v>NULL</v>
          </cell>
          <cell r="CE53" t="str">
            <v>NULL</v>
          </cell>
          <cell r="CF53" t="str">
            <v>NULL</v>
          </cell>
          <cell r="CG53" t="str">
            <v>NULL</v>
          </cell>
          <cell r="CH53" t="str">
            <v>NULL</v>
          </cell>
          <cell r="CI53" t="str">
            <v>NULL</v>
          </cell>
          <cell r="CJ53" t="str">
            <v>NULL</v>
          </cell>
          <cell r="CK53">
            <v>8582371000</v>
          </cell>
          <cell r="CL53">
            <v>8985219000</v>
          </cell>
          <cell r="CM53">
            <v>8045459000</v>
          </cell>
          <cell r="CN53">
            <v>7732755000</v>
          </cell>
          <cell r="CO53">
            <v>-1.7618408600974203E-2</v>
          </cell>
          <cell r="CP53">
            <v>-402848000</v>
          </cell>
          <cell r="CQ53">
            <v>516920000</v>
          </cell>
          <cell r="CR53">
            <v>772893000</v>
          </cell>
          <cell r="CS53">
            <v>-599682000</v>
          </cell>
          <cell r="CT53">
            <v>-564901000</v>
          </cell>
          <cell r="CU53">
            <v>-631420000</v>
          </cell>
          <cell r="CV53">
            <v>254936000</v>
          </cell>
          <cell r="CW53">
            <v>-178746000</v>
          </cell>
          <cell r="CX53">
            <v>-1.7793236864505146</v>
          </cell>
          <cell r="CY53">
            <v>0.25641701629354924</v>
          </cell>
          <cell r="CZ53">
            <v>2.2888380841846176</v>
          </cell>
          <cell r="DA53">
            <v>-6.1570080421171181E-2</v>
          </cell>
          <cell r="DB53">
            <v>0.10534826264609931</v>
          </cell>
          <cell r="DC53">
            <v>-3.4767784855806947</v>
          </cell>
          <cell r="DD53">
            <v>2.4262473006388952</v>
          </cell>
          <cell r="DE53">
            <v>2.3926755461872289</v>
          </cell>
          <cell r="DG53">
            <v>7.9811739890334197</v>
          </cell>
          <cell r="DH53">
            <v>275026000</v>
          </cell>
          <cell r="DI53">
            <v>41</v>
          </cell>
          <cell r="DJ53">
            <v>18985940520</v>
          </cell>
          <cell r="DK53">
            <v>15165324000</v>
          </cell>
          <cell r="DM53">
            <v>8582371000</v>
          </cell>
          <cell r="DN53" t="str">
            <v>NULL</v>
          </cell>
          <cell r="DO53" t="str">
            <v>NULL</v>
          </cell>
          <cell r="DP53">
            <v>218394000</v>
          </cell>
          <cell r="DQ53" t="str">
            <v>NULL</v>
          </cell>
          <cell r="DR53">
            <v>8363977000</v>
          </cell>
          <cell r="DS53">
            <v>2.2699656538988568</v>
          </cell>
          <cell r="DT53">
            <v>-0.70777999999999996</v>
          </cell>
          <cell r="DU53">
            <v>-0.4536</v>
          </cell>
          <cell r="DV53">
            <v>0.5494</v>
          </cell>
          <cell r="DW53">
            <v>0.35393000000000002</v>
          </cell>
          <cell r="DX53">
            <v>-0.25804999999999984</v>
          </cell>
          <cell r="DY53">
            <v>-158.88393722146881</v>
          </cell>
          <cell r="DZ53">
            <v>1.3482252007555937</v>
          </cell>
          <cell r="EA53">
            <v>-270978000</v>
          </cell>
          <cell r="EB53">
            <v>-70.064509000730681</v>
          </cell>
          <cell r="EC53" t="str">
            <v>NULL</v>
          </cell>
          <cell r="ED53">
            <v>1.5242288253056899</v>
          </cell>
          <cell r="EE53">
            <v>1.39653700654585</v>
          </cell>
          <cell r="EG53">
            <v>0.59479801548093791</v>
          </cell>
          <cell r="EH53">
            <v>0.15118454536526582</v>
          </cell>
          <cell r="EK53" t="str">
            <v>NULL</v>
          </cell>
        </row>
        <row r="54">
          <cell r="A54" t="str">
            <v>MIRG</v>
          </cell>
          <cell r="B54" t="str">
            <v>MIR.BA</v>
          </cell>
          <cell r="C54" t="str">
            <v>MIRGOR SACIFIA*</v>
          </cell>
          <cell r="D54">
            <v>43190</v>
          </cell>
          <cell r="E54">
            <v>10473098000</v>
          </cell>
          <cell r="F54">
            <v>9094803000</v>
          </cell>
          <cell r="G54">
            <v>1.1515500000000001</v>
          </cell>
          <cell r="H54">
            <v>0.64027000000000001</v>
          </cell>
          <cell r="I54">
            <v>1.14459</v>
          </cell>
          <cell r="J54">
            <v>0.74961999999999995</v>
          </cell>
          <cell r="K54">
            <v>485</v>
          </cell>
          <cell r="L54">
            <v>0</v>
          </cell>
          <cell r="M54" t="str">
            <v>NULL</v>
          </cell>
          <cell r="N54">
            <v>0</v>
          </cell>
          <cell r="O54">
            <v>0.16111</v>
          </cell>
          <cell r="P54">
            <v>0.16111</v>
          </cell>
          <cell r="Q54">
            <v>3.3218556701030929E-4</v>
          </cell>
          <cell r="S54">
            <v>19.9677083835</v>
          </cell>
          <cell r="T54">
            <v>20.254006894</v>
          </cell>
          <cell r="U54">
            <v>43190</v>
          </cell>
          <cell r="V54">
            <v>11900068000</v>
          </cell>
          <cell r="W54">
            <v>10698985000</v>
          </cell>
          <cell r="X54">
            <v>9223152000</v>
          </cell>
          <cell r="Y54">
            <v>8125235000</v>
          </cell>
          <cell r="Z54">
            <v>2802585000</v>
          </cell>
          <cell r="AA54">
            <v>4.2461042216382374</v>
          </cell>
          <cell r="AC54">
            <v>6059968000</v>
          </cell>
          <cell r="AD54">
            <v>6157619000</v>
          </cell>
          <cell r="AE54">
            <v>5906943000</v>
          </cell>
          <cell r="AF54">
            <v>5053035000</v>
          </cell>
          <cell r="AG54">
            <v>2.9010044124384295</v>
          </cell>
          <cell r="AH54">
            <v>7476289000</v>
          </cell>
          <cell r="AI54">
            <v>6742459000</v>
          </cell>
          <cell r="AJ54">
            <v>5766612000</v>
          </cell>
          <cell r="AK54">
            <v>4749000000</v>
          </cell>
          <cell r="AL54">
            <v>5018579000</v>
          </cell>
          <cell r="AM54">
            <v>5178912000</v>
          </cell>
          <cell r="AN54">
            <v>4866811000</v>
          </cell>
          <cell r="AO54">
            <v>4313368000</v>
          </cell>
          <cell r="AP54">
            <v>116.4748057945047</v>
          </cell>
          <cell r="AQ54">
            <v>4985958000</v>
          </cell>
          <cell r="AR54">
            <v>4617929000</v>
          </cell>
          <cell r="AS54">
            <v>4515982000</v>
          </cell>
          <cell r="AT54">
            <v>4030828000</v>
          </cell>
          <cell r="AU54">
            <v>71.459236604449174</v>
          </cell>
          <cell r="AV54">
            <v>4649992000</v>
          </cell>
          <cell r="AW54">
            <v>3224711000</v>
          </cell>
          <cell r="AX54">
            <v>3142949000</v>
          </cell>
          <cell r="AY54">
            <v>2313385000</v>
          </cell>
          <cell r="AZ54">
            <v>62.776232965573257</v>
          </cell>
          <cell r="BA54">
            <v>17.760663775517713</v>
          </cell>
          <cell r="BC54">
            <v>15.4138</v>
          </cell>
          <cell r="BD54">
            <v>5.4199299999999999</v>
          </cell>
          <cell r="BE54">
            <v>4.2999000000000001</v>
          </cell>
          <cell r="BF54">
            <v>270449000</v>
          </cell>
          <cell r="BG54">
            <v>250669000</v>
          </cell>
          <cell r="BH54">
            <v>311322000</v>
          </cell>
          <cell r="BI54">
            <v>209686000</v>
          </cell>
          <cell r="BJ54">
            <v>4.4962704235755567E-2</v>
          </cell>
          <cell r="BK54">
            <v>-81789000</v>
          </cell>
          <cell r="BL54">
            <v>-106185000</v>
          </cell>
          <cell r="BM54">
            <v>-72605000</v>
          </cell>
          <cell r="BN54">
            <v>-41437000</v>
          </cell>
          <cell r="BO54">
            <v>-33555000</v>
          </cell>
          <cell r="BP54">
            <v>-120839000</v>
          </cell>
          <cell r="BQ54">
            <v>-370422000</v>
          </cell>
          <cell r="BR54">
            <v>1547637000</v>
          </cell>
          <cell r="BS54">
            <v>380176000</v>
          </cell>
          <cell r="BT54">
            <v>268123000</v>
          </cell>
          <cell r="BU54">
            <v>-38033000</v>
          </cell>
          <cell r="BV54">
            <v>47787000</v>
          </cell>
          <cell r="BW54">
            <v>-3.1518410152231264E-3</v>
          </cell>
          <cell r="BX54">
            <v>0.10434971552620143</v>
          </cell>
          <cell r="BY54">
            <v>2802585000</v>
          </cell>
          <cell r="BZ54">
            <v>2532136000</v>
          </cell>
          <cell r="CA54">
            <v>2281467000</v>
          </cell>
          <cell r="CB54">
            <v>1970145000</v>
          </cell>
          <cell r="CC54" t="str">
            <v>NULL</v>
          </cell>
          <cell r="CD54" t="str">
            <v>NULL</v>
          </cell>
          <cell r="CE54" t="str">
            <v>NULL</v>
          </cell>
          <cell r="CF54" t="str">
            <v>NULL</v>
          </cell>
          <cell r="CG54" t="str">
            <v>NULL</v>
          </cell>
          <cell r="CH54" t="str">
            <v>NULL</v>
          </cell>
          <cell r="CI54" t="str">
            <v>NULL</v>
          </cell>
          <cell r="CJ54" t="str">
            <v>NULL</v>
          </cell>
          <cell r="CK54">
            <v>2802585000</v>
          </cell>
          <cell r="CL54">
            <v>2532136000</v>
          </cell>
          <cell r="CM54">
            <v>2281467000</v>
          </cell>
          <cell r="CN54">
            <v>1970145000</v>
          </cell>
          <cell r="CO54">
            <v>0.43483822229000391</v>
          </cell>
          <cell r="CP54">
            <v>270449000</v>
          </cell>
          <cell r="CQ54">
            <v>115605000</v>
          </cell>
          <cell r="CR54">
            <v>887282000</v>
          </cell>
          <cell r="CS54">
            <v>427484000</v>
          </cell>
          <cell r="CT54">
            <v>522273000</v>
          </cell>
          <cell r="CU54">
            <v>136920000</v>
          </cell>
          <cell r="CV54">
            <v>229179000</v>
          </cell>
          <cell r="CW54">
            <v>150317000</v>
          </cell>
          <cell r="CX54">
            <v>1.3394230353358418</v>
          </cell>
          <cell r="CY54">
            <v>0.76612237755700574</v>
          </cell>
          <cell r="CZ54">
            <v>1.0755911332353958</v>
          </cell>
          <cell r="DA54">
            <v>-0.1814932037459337</v>
          </cell>
          <cell r="DB54">
            <v>2.8144390885188431</v>
          </cell>
          <cell r="DC54">
            <v>-0.40256306206066006</v>
          </cell>
          <cell r="DD54">
            <v>0.52463793183738372</v>
          </cell>
          <cell r="DE54">
            <v>1.2858351316725649</v>
          </cell>
          <cell r="DG54">
            <v>3.9786189770943099</v>
          </cell>
          <cell r="DH54">
            <v>18000000</v>
          </cell>
          <cell r="DI54">
            <v>501.8</v>
          </cell>
          <cell r="DJ54">
            <v>9032400000</v>
          </cell>
          <cell r="DK54">
            <v>8932298000.0000095</v>
          </cell>
          <cell r="DM54">
            <v>2802585000</v>
          </cell>
          <cell r="DN54" t="str">
            <v>NULL</v>
          </cell>
          <cell r="DO54" t="str">
            <v>NULL</v>
          </cell>
          <cell r="DP54">
            <v>25305000</v>
          </cell>
          <cell r="DQ54">
            <v>766000</v>
          </cell>
          <cell r="DR54">
            <v>2776514000</v>
          </cell>
          <cell r="DS54">
            <v>3.2531440504171778</v>
          </cell>
          <cell r="DT54">
            <v>1.5024900000000001</v>
          </cell>
          <cell r="DU54">
            <v>1.3926099999999999</v>
          </cell>
          <cell r="DV54">
            <v>1.7295700000000001</v>
          </cell>
          <cell r="DW54">
            <v>1.16492</v>
          </cell>
          <cell r="DX54">
            <v>5.7895900000000005</v>
          </cell>
          <cell r="DY54">
            <v>83.771044236293065</v>
          </cell>
          <cell r="DZ54">
            <v>0.38970444047940322</v>
          </cell>
          <cell r="EA54">
            <v>-73052000</v>
          </cell>
          <cell r="EB54">
            <v>-123.64343207578163</v>
          </cell>
          <cell r="EC54">
            <v>86.672804119117302</v>
          </cell>
          <cell r="ED54">
            <v>0.947194322210129</v>
          </cell>
          <cell r="EE54">
            <v>0.94464076815523201</v>
          </cell>
          <cell r="EG54">
            <v>0.49339536891094243</v>
          </cell>
          <cell r="EH54">
            <v>0.10689472987636583</v>
          </cell>
          <cell r="EK54">
            <v>0.17529486265444399</v>
          </cell>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216</v>
          </cell>
          <cell r="L55">
            <v>0</v>
          </cell>
          <cell r="M55">
            <v>0</v>
          </cell>
          <cell r="N55">
            <v>0</v>
          </cell>
          <cell r="O55" t="str">
            <v>NULL</v>
          </cell>
          <cell r="Q55">
            <v>0</v>
          </cell>
          <cell r="S55">
            <v>0.52175678400000003</v>
          </cell>
          <cell r="T55">
            <v>1.49294193</v>
          </cell>
          <cell r="U55">
            <v>43100</v>
          </cell>
          <cell r="V55">
            <v>7428927000</v>
          </cell>
          <cell r="W55">
            <v>8162017000</v>
          </cell>
          <cell r="X55">
            <v>7115833000</v>
          </cell>
          <cell r="Y55">
            <v>5839763000</v>
          </cell>
          <cell r="Z55">
            <v>1182160000</v>
          </cell>
          <cell r="AA55">
            <v>6.2841975705488258</v>
          </cell>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Q55">
            <v>1603512000</v>
          </cell>
          <cell r="AR55">
            <v>1488623000</v>
          </cell>
          <cell r="AS55">
            <v>1182954000</v>
          </cell>
          <cell r="AT55">
            <v>1269412000</v>
          </cell>
          <cell r="AU55">
            <v>18.344427547418395</v>
          </cell>
          <cell r="AV55">
            <v>1241538000</v>
          </cell>
          <cell r="AW55">
            <v>1974193000</v>
          </cell>
          <cell r="AX55">
            <v>1985404000</v>
          </cell>
          <cell r="AY55">
            <v>1127680000</v>
          </cell>
          <cell r="BA55">
            <v>18.344427547418395</v>
          </cell>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G55">
            <v>3.0209841218411699</v>
          </cell>
          <cell r="DH55">
            <v>49082024</v>
          </cell>
          <cell r="DI55">
            <v>195.1</v>
          </cell>
          <cell r="DJ55">
            <v>9575902882.3999996</v>
          </cell>
          <cell r="DK55">
            <v>7140204727.3999901</v>
          </cell>
          <cell r="DM55">
            <v>1182160000</v>
          </cell>
          <cell r="DN55" t="str">
            <v>NULL</v>
          </cell>
          <cell r="DO55" t="str">
            <v>NULL</v>
          </cell>
          <cell r="DP55">
            <v>76292000</v>
          </cell>
          <cell r="DQ55" t="str">
            <v>NULL</v>
          </cell>
          <cell r="DR55">
            <v>1105868000</v>
          </cell>
          <cell r="DS55">
            <v>8.6591735020816216</v>
          </cell>
          <cell r="DT55">
            <v>1.28104</v>
          </cell>
          <cell r="DU55">
            <v>1.10344</v>
          </cell>
          <cell r="DV55">
            <v>2.7944200000000001</v>
          </cell>
          <cell r="DW55">
            <v>-1.7911699999999999</v>
          </cell>
          <cell r="DX55">
            <v>3.3877300000000004</v>
          </cell>
          <cell r="DY55">
            <v>63.759508579491275</v>
          </cell>
          <cell r="DZ55">
            <v>0.34720706798351431</v>
          </cell>
          <cell r="EA55">
            <v>-338628000</v>
          </cell>
          <cell r="EB55">
            <v>-28.278532437955512</v>
          </cell>
          <cell r="EC55">
            <v>57.590185758605301</v>
          </cell>
          <cell r="ED55">
            <v>0.48130423871990902</v>
          </cell>
          <cell r="EE55">
            <v>0.48415183285430502</v>
          </cell>
          <cell r="EG55" t="str">
            <v>-</v>
          </cell>
          <cell r="EH55" t="str">
            <v>-</v>
          </cell>
          <cell r="EK55" t="str">
            <v>NULL</v>
          </cell>
        </row>
        <row r="56">
          <cell r="A56" t="str">
            <v>MOLI</v>
          </cell>
          <cell r="B56" t="str">
            <v>MOL.BA</v>
          </cell>
          <cell r="C56" t="str">
            <v>MOLINOS RIO DE LA PLATA SA</v>
          </cell>
          <cell r="D56">
            <v>43190</v>
          </cell>
          <cell r="E56">
            <v>7024915000</v>
          </cell>
          <cell r="F56">
            <v>4625076000</v>
          </cell>
          <cell r="G56">
            <v>1.51888</v>
          </cell>
          <cell r="H56">
            <v>0.75802000000000003</v>
          </cell>
          <cell r="I56">
            <v>1.5916999999999999</v>
          </cell>
          <cell r="J56">
            <v>0.78388999999999998</v>
          </cell>
          <cell r="K56">
            <v>44</v>
          </cell>
          <cell r="L56">
            <v>0</v>
          </cell>
          <cell r="M56" t="str">
            <v>NULL</v>
          </cell>
          <cell r="N56">
            <v>0</v>
          </cell>
          <cell r="O56">
            <v>0</v>
          </cell>
          <cell r="P56">
            <v>0</v>
          </cell>
          <cell r="Q56">
            <v>0</v>
          </cell>
          <cell r="S56">
            <v>139.4715596504</v>
          </cell>
          <cell r="T56">
            <v>117.767023397</v>
          </cell>
          <cell r="U56">
            <v>43190</v>
          </cell>
          <cell r="V56">
            <v>10003583000</v>
          </cell>
          <cell r="W56">
            <v>8802857000</v>
          </cell>
          <cell r="X56">
            <v>8849996000</v>
          </cell>
          <cell r="Y56">
            <v>8268602000</v>
          </cell>
          <cell r="Z56">
            <v>2536748000</v>
          </cell>
          <cell r="AA56">
            <v>3.9434673842257881</v>
          </cell>
          <cell r="AC56">
            <v>3302189000</v>
          </cell>
          <cell r="AD56">
            <v>3051329000</v>
          </cell>
          <cell r="AE56">
            <v>3242770000</v>
          </cell>
          <cell r="AF56">
            <v>3318425000</v>
          </cell>
          <cell r="AG56">
            <v>1.7974507742511243</v>
          </cell>
          <cell r="AH56">
            <v>2071012000</v>
          </cell>
          <cell r="AI56">
            <v>1499231000</v>
          </cell>
          <cell r="AJ56">
            <v>1402498000</v>
          </cell>
          <cell r="AK56">
            <v>1675007000</v>
          </cell>
          <cell r="AL56">
            <v>2245668000</v>
          </cell>
          <cell r="AM56">
            <v>2228332000</v>
          </cell>
          <cell r="AN56">
            <v>2125755000</v>
          </cell>
          <cell r="AO56">
            <v>2189321000</v>
          </cell>
          <cell r="AP56">
            <v>69.018291001238353</v>
          </cell>
          <cell r="AQ56">
            <v>2423845000</v>
          </cell>
          <cell r="AR56">
            <v>2229616000</v>
          </cell>
          <cell r="AS56">
            <v>2291855000</v>
          </cell>
          <cell r="AT56">
            <v>1993888000</v>
          </cell>
          <cell r="AU56">
            <v>63.16070399706134</v>
          </cell>
          <cell r="AV56">
            <v>3518995000</v>
          </cell>
          <cell r="AW56">
            <v>2870838000</v>
          </cell>
          <cell r="AX56">
            <v>2878793000</v>
          </cell>
          <cell r="AY56">
            <v>3044785000</v>
          </cell>
          <cell r="AZ56">
            <v>127.8403729527427</v>
          </cell>
          <cell r="BA56">
            <v>121.98278594856568</v>
          </cell>
          <cell r="BC56">
            <v>31.808399999999999</v>
          </cell>
          <cell r="BD56">
            <v>0.43004999999999999</v>
          </cell>
          <cell r="BE56">
            <v>-1.5239799999999999</v>
          </cell>
          <cell r="BF56">
            <v>6868000</v>
          </cell>
          <cell r="BG56">
            <v>-178365000</v>
          </cell>
          <cell r="BH56">
            <v>-8324000</v>
          </cell>
          <cell r="BI56">
            <v>-40198000</v>
          </cell>
          <cell r="BJ56">
            <v>-1.7036305800988378E-2</v>
          </cell>
          <cell r="BK56">
            <v>-187978000</v>
          </cell>
          <cell r="BL56">
            <v>-489047000</v>
          </cell>
          <cell r="BM56">
            <v>-416697000</v>
          </cell>
          <cell r="BN56">
            <v>-181769000</v>
          </cell>
          <cell r="BO56">
            <v>-100901000</v>
          </cell>
          <cell r="BP56">
            <v>-503774000</v>
          </cell>
          <cell r="BQ56">
            <v>-143515000</v>
          </cell>
          <cell r="BR56">
            <v>-258420000</v>
          </cell>
          <cell r="BS56">
            <v>-260573000</v>
          </cell>
          <cell r="BT56">
            <v>-44341000</v>
          </cell>
          <cell r="BU56">
            <v>135990000</v>
          </cell>
          <cell r="BV56">
            <v>-540078000</v>
          </cell>
          <cell r="BW56">
            <v>-8.0826573536709648E-2</v>
          </cell>
          <cell r="BX56">
            <v>-2.4497566293458062E-2</v>
          </cell>
          <cell r="BY56">
            <v>2536748000</v>
          </cell>
          <cell r="BZ56">
            <v>2516184000</v>
          </cell>
          <cell r="CA56">
            <v>2683468000</v>
          </cell>
          <cell r="CB56">
            <v>2681459000</v>
          </cell>
          <cell r="CC56" t="str">
            <v>NULL</v>
          </cell>
          <cell r="CD56" t="str">
            <v>NULL</v>
          </cell>
          <cell r="CE56" t="str">
            <v>NULL</v>
          </cell>
          <cell r="CF56" t="str">
            <v>NULL</v>
          </cell>
          <cell r="CG56" t="str">
            <v>NULL</v>
          </cell>
          <cell r="CH56" t="str">
            <v>NULL</v>
          </cell>
          <cell r="CI56" t="str">
            <v>NULL</v>
          </cell>
          <cell r="CJ56" t="str">
            <v>NULL</v>
          </cell>
          <cell r="CK56">
            <v>2536748000</v>
          </cell>
          <cell r="CL56">
            <v>2516184000</v>
          </cell>
          <cell r="CM56">
            <v>2683468000</v>
          </cell>
          <cell r="CN56">
            <v>2681459000</v>
          </cell>
          <cell r="CO56">
            <v>-8.4477626352977134E-2</v>
          </cell>
          <cell r="CP56">
            <v>6868000</v>
          </cell>
          <cell r="CQ56">
            <v>39457000</v>
          </cell>
          <cell r="CR56">
            <v>-187430000</v>
          </cell>
          <cell r="CS56">
            <v>2538000</v>
          </cell>
          <cell r="CT56">
            <v>1095099000</v>
          </cell>
          <cell r="CU56">
            <v>671134000</v>
          </cell>
          <cell r="CV56">
            <v>-189842000</v>
          </cell>
          <cell r="CW56">
            <v>29962000</v>
          </cell>
          <cell r="CX56">
            <v>-0.82593709607927623</v>
          </cell>
          <cell r="CY56">
            <v>-15.603264832066372</v>
          </cell>
          <cell r="CZ56">
            <v>-74.849487785657999</v>
          </cell>
          <cell r="DA56">
            <v>-0.99768240131714114</v>
          </cell>
          <cell r="DB56">
            <v>0.63171438192670903</v>
          </cell>
          <cell r="DC56">
            <v>4.5352240284025669</v>
          </cell>
          <cell r="DD56">
            <v>-7.3360923836860019</v>
          </cell>
          <cell r="DE56">
            <v>33.395049769244906</v>
          </cell>
          <cell r="DG56">
            <v>32.7761363331403</v>
          </cell>
          <cell r="DH56">
            <v>201415127</v>
          </cell>
          <cell r="DI56">
            <v>44.5</v>
          </cell>
          <cell r="DJ56">
            <v>8962973151.5</v>
          </cell>
          <cell r="DK56">
            <v>11822385151.5</v>
          </cell>
          <cell r="DM56">
            <v>2536748000</v>
          </cell>
          <cell r="DN56" t="str">
            <v>NULL</v>
          </cell>
          <cell r="DO56" t="str">
            <v>NULL</v>
          </cell>
          <cell r="DP56">
            <v>69976000</v>
          </cell>
          <cell r="DQ56">
            <v>94820000</v>
          </cell>
          <cell r="DR56">
            <v>2371952000</v>
          </cell>
          <cell r="DS56">
            <v>3.7787329387356912</v>
          </cell>
          <cell r="DT56">
            <v>3.4099999999999998E-2</v>
          </cell>
          <cell r="DU56">
            <v>-0.88556000000000001</v>
          </cell>
          <cell r="DV56">
            <v>-4.1329999999999999E-2</v>
          </cell>
          <cell r="DW56">
            <v>-0.19958000000000001</v>
          </cell>
          <cell r="DX56">
            <v>-1.0923700000000001</v>
          </cell>
          <cell r="DY56">
            <v>-40.279392513525636</v>
          </cell>
          <cell r="DZ56">
            <v>0.69401256934629518</v>
          </cell>
          <cell r="EA56">
            <v>-1043852000</v>
          </cell>
          <cell r="EB56">
            <v>-8.5864405600602378</v>
          </cell>
          <cell r="EC56" t="str">
            <v>NULL</v>
          </cell>
          <cell r="ED56">
            <v>0.67333690636171695</v>
          </cell>
          <cell r="EE56">
            <v>0.71298386226696697</v>
          </cell>
          <cell r="EG56">
            <v>0.43940571479758167</v>
          </cell>
          <cell r="EH56">
            <v>-1.3988687793457966E-2</v>
          </cell>
          <cell r="EK56" t="str">
            <v>NULL</v>
          </cell>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3.8000000000000003</v>
          </cell>
          <cell r="L57">
            <v>0</v>
          </cell>
          <cell r="M57">
            <v>0</v>
          </cell>
          <cell r="N57">
            <v>0</v>
          </cell>
          <cell r="O57" t="str">
            <v>NULL</v>
          </cell>
          <cell r="P57">
            <v>0</v>
          </cell>
          <cell r="Q57">
            <v>0</v>
          </cell>
          <cell r="S57">
            <v>326.62685377999998</v>
          </cell>
          <cell r="T57">
            <v>181.03776876699999</v>
          </cell>
          <cell r="U57">
            <v>43159</v>
          </cell>
          <cell r="V57">
            <v>398858700</v>
          </cell>
          <cell r="W57">
            <v>242469220</v>
          </cell>
          <cell r="X57">
            <v>234240820</v>
          </cell>
          <cell r="Y57">
            <v>192751380</v>
          </cell>
          <cell r="Z57">
            <v>41418750</v>
          </cell>
          <cell r="AA57">
            <v>9.6299067451335443</v>
          </cell>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3.8000000000000003</v>
          </cell>
          <cell r="DJ57">
            <v>178227668.40000001</v>
          </cell>
          <cell r="DK57">
            <v>234103718.40000001</v>
          </cell>
          <cell r="DM57">
            <v>41418750</v>
          </cell>
          <cell r="DN57" t="str">
            <v>NULL</v>
          </cell>
          <cell r="DO57" t="str">
            <v>NULL</v>
          </cell>
          <cell r="DP57">
            <v>1088320</v>
          </cell>
          <cell r="DQ57" t="str">
            <v>NULL</v>
          </cell>
          <cell r="DR57">
            <v>40330430</v>
          </cell>
          <cell r="DS57">
            <v>4.4191859199120866</v>
          </cell>
          <cell r="DT57">
            <v>-0.27789000000000003</v>
          </cell>
          <cell r="DU57">
            <v>-0.22325</v>
          </cell>
          <cell r="DV57">
            <v>-0.40717999999999999</v>
          </cell>
          <cell r="DW57">
            <v>-0.7258</v>
          </cell>
          <cell r="DX57">
            <v>-1.63412</v>
          </cell>
          <cell r="DY57">
            <v>-2.3254106185592245</v>
          </cell>
          <cell r="DZ57">
            <v>0.80101912466605796</v>
          </cell>
          <cell r="EA57">
            <v>-147738120</v>
          </cell>
          <cell r="EB57">
            <v>-1.2063756354825688</v>
          </cell>
          <cell r="EC57" t="str">
            <v>NULL</v>
          </cell>
          <cell r="ED57">
            <v>0.53922146875249</v>
          </cell>
          <cell r="EE57">
            <v>0.67508573705742503</v>
          </cell>
          <cell r="EG57">
            <v>0.54834777053938144</v>
          </cell>
          <cell r="EH57">
            <v>-0.11422701924290102</v>
          </cell>
          <cell r="EK57" t="str">
            <v>NULL</v>
          </cell>
        </row>
        <row r="58">
          <cell r="A58" t="str">
            <v>OEST</v>
          </cell>
          <cell r="B58" t="str">
            <v>OEST.BA</v>
          </cell>
          <cell r="C58" t="str">
            <v>GRUPO CONCESIONARIO DEL OESTE S.A.</v>
          </cell>
          <cell r="D58">
            <v>43190</v>
          </cell>
          <cell r="E58">
            <v>1159428740</v>
          </cell>
          <cell r="F58">
            <v>543784560</v>
          </cell>
          <cell r="G58">
            <v>2.1321500000000002</v>
          </cell>
          <cell r="H58">
            <v>2.1009199999999999</v>
          </cell>
          <cell r="I58">
            <v>1.6570199999999999</v>
          </cell>
          <cell r="J58">
            <v>1.62582</v>
          </cell>
          <cell r="K58">
            <v>30.5</v>
          </cell>
          <cell r="L58">
            <v>0</v>
          </cell>
          <cell r="M58">
            <v>0</v>
          </cell>
          <cell r="N58">
            <v>0.9375</v>
          </cell>
          <cell r="O58">
            <v>0.48168</v>
          </cell>
          <cell r="P58">
            <v>1.4191799999999999</v>
          </cell>
          <cell r="Q58">
            <v>4.6530491803278687E-2</v>
          </cell>
          <cell r="S58">
            <v>0</v>
          </cell>
          <cell r="T58">
            <v>0</v>
          </cell>
          <cell r="U58">
            <v>43190</v>
          </cell>
          <cell r="V58">
            <v>1290243610</v>
          </cell>
          <cell r="W58">
            <v>1086987590</v>
          </cell>
          <cell r="X58">
            <v>881282440</v>
          </cell>
          <cell r="Y58">
            <v>865914350</v>
          </cell>
          <cell r="Z58">
            <v>638313130</v>
          </cell>
          <cell r="AA58">
            <v>2.0213333383883234</v>
          </cell>
          <cell r="AC58">
            <v>606251760</v>
          </cell>
          <cell r="AD58">
            <v>539017340</v>
          </cell>
          <cell r="AE58">
            <v>486517620</v>
          </cell>
          <cell r="AF58">
            <v>431739690</v>
          </cell>
          <cell r="AG58">
            <v>2.5015648309124563</v>
          </cell>
          <cell r="AH58">
            <v>112686120</v>
          </cell>
          <cell r="AI58">
            <v>143881190</v>
          </cell>
          <cell r="AJ58">
            <v>95874660</v>
          </cell>
          <cell r="AK58">
            <v>71932990</v>
          </cell>
          <cell r="AL58">
            <v>279344920</v>
          </cell>
          <cell r="AM58">
            <v>313500340</v>
          </cell>
          <cell r="AN58">
            <v>284882000</v>
          </cell>
          <cell r="AO58">
            <v>251173440</v>
          </cell>
          <cell r="AP58">
            <v>34.302587552651886</v>
          </cell>
          <cell r="AQ58">
            <v>187626470</v>
          </cell>
          <cell r="AR58">
            <v>141964560</v>
          </cell>
          <cell r="AS58">
            <v>134214210</v>
          </cell>
          <cell r="AT58">
            <v>117352380</v>
          </cell>
          <cell r="AU58">
            <v>25.699032766437917</v>
          </cell>
          <cell r="AV58">
            <v>16982170</v>
          </cell>
          <cell r="AW58">
            <v>17638860</v>
          </cell>
          <cell r="AX58">
            <v>17569630</v>
          </cell>
          <cell r="AY58">
            <v>17119100</v>
          </cell>
          <cell r="AZ58">
            <v>5.6023666209082874</v>
          </cell>
          <cell r="BA58">
            <v>-3.0011881653056811</v>
          </cell>
          <cell r="BC58">
            <v>41.534329999999997</v>
          </cell>
          <cell r="BD58">
            <v>26.131319999999999</v>
          </cell>
          <cell r="BE58">
            <v>21.224930000000001</v>
          </cell>
          <cell r="BF58">
            <v>201859550</v>
          </cell>
          <cell r="BG58">
            <v>129008450</v>
          </cell>
          <cell r="BH58">
            <v>98566590</v>
          </cell>
          <cell r="BI58">
            <v>87493240</v>
          </cell>
          <cell r="BJ58">
            <v>0.25050700950321253</v>
          </cell>
          <cell r="BK58">
            <v>-3345890</v>
          </cell>
          <cell r="BL58">
            <v>-13652650</v>
          </cell>
          <cell r="BM58">
            <v>-6341070</v>
          </cell>
          <cell r="BN58">
            <v>-2373120</v>
          </cell>
          <cell r="BO58">
            <v>-589160</v>
          </cell>
          <cell r="BP58">
            <v>-9097800</v>
          </cell>
          <cell r="BQ58">
            <v>197812580</v>
          </cell>
          <cell r="BR58">
            <v>594733110</v>
          </cell>
          <cell r="BS58">
            <v>368092540</v>
          </cell>
          <cell r="BT58">
            <v>187433470</v>
          </cell>
          <cell r="BU58">
            <v>86150150</v>
          </cell>
          <cell r="BV58">
            <v>479754970</v>
          </cell>
          <cell r="BW58">
            <v>0.22808390903996231</v>
          </cell>
          <cell r="BX58">
            <v>0.50133286967631119</v>
          </cell>
          <cell r="BY58">
            <v>638313130</v>
          </cell>
          <cell r="BZ58">
            <v>436453580</v>
          </cell>
          <cell r="CA58">
            <v>307445140</v>
          </cell>
          <cell r="CB58">
            <v>358878540</v>
          </cell>
          <cell r="CC58" t="str">
            <v>NULL</v>
          </cell>
          <cell r="CD58" t="str">
            <v>NULL</v>
          </cell>
          <cell r="CE58" t="str">
            <v>NULL</v>
          </cell>
          <cell r="CF58" t="str">
            <v>NULL</v>
          </cell>
          <cell r="CG58" t="str">
            <v>NULL</v>
          </cell>
          <cell r="CH58" t="str">
            <v>NULL</v>
          </cell>
          <cell r="CI58" t="str">
            <v>NULL</v>
          </cell>
          <cell r="CJ58" t="str">
            <v>NULL</v>
          </cell>
          <cell r="CK58">
            <v>638313130</v>
          </cell>
          <cell r="CL58">
            <v>436453580</v>
          </cell>
          <cell r="CM58">
            <v>307445140</v>
          </cell>
          <cell r="CN58">
            <v>358878540</v>
          </cell>
          <cell r="CO58">
            <v>1.1875956193176163</v>
          </cell>
          <cell r="CP58">
            <v>201859550</v>
          </cell>
          <cell r="CQ58">
            <v>74819190</v>
          </cell>
          <cell r="CR58">
            <v>389887460</v>
          </cell>
          <cell r="CS58">
            <v>164415460</v>
          </cell>
          <cell r="CT58">
            <v>66712660</v>
          </cell>
          <cell r="CU58">
            <v>30222120</v>
          </cell>
          <cell r="CV58">
            <v>63788270</v>
          </cell>
          <cell r="CW58">
            <v>59125540</v>
          </cell>
          <cell r="CX58">
            <v>1.6979649204970007</v>
          </cell>
          <cell r="CY58">
            <v>0.71918961421436234</v>
          </cell>
          <cell r="CZ58">
            <v>1.3713552241376816</v>
          </cell>
          <cell r="DA58">
            <v>1.4645316196356135</v>
          </cell>
          <cell r="DB58">
            <v>1.2074116574217824</v>
          </cell>
          <cell r="DC58">
            <v>-0.52621195088062422</v>
          </cell>
          <cell r="DD58">
            <v>7.8861520757357972E-2</v>
          </cell>
          <cell r="DE58">
            <v>0.89166425532497628</v>
          </cell>
          <cell r="DG58">
            <v>5.3718872476400303</v>
          </cell>
          <cell r="DH58">
            <v>160000000</v>
          </cell>
          <cell r="DI58">
            <v>31.5</v>
          </cell>
          <cell r="DJ58">
            <v>5040000000</v>
          </cell>
          <cell r="DK58">
            <v>4098991489.99999</v>
          </cell>
          <cell r="DM58">
            <v>638313130</v>
          </cell>
          <cell r="DN58" t="str">
            <v>NULL</v>
          </cell>
          <cell r="DO58" t="str">
            <v>NULL</v>
          </cell>
          <cell r="DP58">
            <v>94566100</v>
          </cell>
          <cell r="DQ58" t="str">
            <v>NULL</v>
          </cell>
          <cell r="DR58">
            <v>543747030</v>
          </cell>
          <cell r="DS58">
            <v>9.2690161452468072</v>
          </cell>
          <cell r="DT58">
            <v>1.26162</v>
          </cell>
          <cell r="DU58">
            <v>0.80630000000000002</v>
          </cell>
          <cell r="DV58">
            <v>0.61604000000000003</v>
          </cell>
          <cell r="DW58">
            <v>0.54683000000000004</v>
          </cell>
          <cell r="DX58">
            <v>3.2307899999999998</v>
          </cell>
          <cell r="DY58">
            <v>9.4404155020908203</v>
          </cell>
          <cell r="DZ58">
            <v>2.4424208847416691</v>
          </cell>
          <cell r="EA58">
            <v>470657170</v>
          </cell>
          <cell r="EB58">
            <v>10.708431362046392</v>
          </cell>
          <cell r="EC58">
            <v>9.7499373218314993</v>
          </cell>
          <cell r="ED58">
            <v>1.3787137310733699</v>
          </cell>
          <cell r="EE58">
            <v>1.3027755134965899</v>
          </cell>
          <cell r="EG58">
            <v>0.42044312793528493</v>
          </cell>
          <cell r="EH58">
            <v>0.22407859499995197</v>
          </cell>
          <cell r="EK58">
            <v>7.7358623809523799</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v>116504438.75</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PAM.BA</v>
          </cell>
          <cell r="C60" t="str">
            <v>PAMPA ENERGIA SA</v>
          </cell>
          <cell r="D60">
            <v>43190</v>
          </cell>
          <cell r="E60">
            <v>44720000000</v>
          </cell>
          <cell r="F60">
            <v>33663000000</v>
          </cell>
          <cell r="G60">
            <v>1.32846</v>
          </cell>
          <cell r="H60">
            <v>1.24017</v>
          </cell>
          <cell r="I60">
            <v>1.2321200000000001</v>
          </cell>
          <cell r="J60">
            <v>1.15448</v>
          </cell>
          <cell r="K60">
            <v>50.75</v>
          </cell>
          <cell r="L60">
            <v>0</v>
          </cell>
          <cell r="M60">
            <v>0</v>
          </cell>
          <cell r="N60">
            <v>0</v>
          </cell>
          <cell r="O60">
            <v>0</v>
          </cell>
          <cell r="P60">
            <v>0</v>
          </cell>
          <cell r="Q60">
            <v>0</v>
          </cell>
          <cell r="S60">
            <v>229.07705419359999</v>
          </cell>
          <cell r="T60">
            <v>254.086339444</v>
          </cell>
          <cell r="U60">
            <v>43190</v>
          </cell>
          <cell r="V60">
            <v>116862000000</v>
          </cell>
          <cell r="W60">
            <v>104467000000</v>
          </cell>
          <cell r="X60">
            <v>94590000000</v>
          </cell>
          <cell r="Y60">
            <v>88211000000</v>
          </cell>
          <cell r="Z60">
            <v>19947000000</v>
          </cell>
          <cell r="AA60">
            <v>5.858625357196571</v>
          </cell>
          <cell r="AC60">
            <v>19401000000</v>
          </cell>
          <cell r="AD60">
            <v>2189000000</v>
          </cell>
          <cell r="AE60">
            <v>17357000000</v>
          </cell>
          <cell r="AF60">
            <v>15635000000</v>
          </cell>
          <cell r="AG60">
            <v>0.67530242949963648</v>
          </cell>
          <cell r="AH60">
            <v>17851000000</v>
          </cell>
          <cell r="AI60">
            <v>16439000000</v>
          </cell>
          <cell r="AJ60">
            <v>13595000000</v>
          </cell>
          <cell r="AK60">
            <v>13660000000</v>
          </cell>
          <cell r="AL60">
            <v>11343000000</v>
          </cell>
          <cell r="AM60">
            <v>378000000</v>
          </cell>
          <cell r="AN60">
            <v>11914000000</v>
          </cell>
          <cell r="AO60">
            <v>11334000000</v>
          </cell>
          <cell r="AP60">
            <v>160.59885184020132</v>
          </cell>
          <cell r="AQ60">
            <v>15872000000</v>
          </cell>
          <cell r="AR60">
            <v>12259000000</v>
          </cell>
          <cell r="AS60">
            <v>10888000000</v>
          </cell>
          <cell r="AT60">
            <v>10354000000</v>
          </cell>
          <cell r="AU60">
            <v>82.541611703491981</v>
          </cell>
          <cell r="AV60">
            <v>2972000000</v>
          </cell>
          <cell r="AW60">
            <v>2326000000</v>
          </cell>
          <cell r="AX60">
            <v>4154000000</v>
          </cell>
          <cell r="AY60">
            <v>3917000000</v>
          </cell>
          <cell r="AZ60">
            <v>34.885791701221081</v>
          </cell>
          <cell r="BA60">
            <v>-43.171448435488259</v>
          </cell>
          <cell r="BC60">
            <v>32.154850000000003</v>
          </cell>
          <cell r="BD60">
            <v>20.170020000000001</v>
          </cell>
          <cell r="BE60">
            <v>8.9618099999999998</v>
          </cell>
          <cell r="BF60">
            <v>2482000000</v>
          </cell>
          <cell r="BG60">
            <v>1418000000</v>
          </cell>
          <cell r="BH60">
            <v>1284000000</v>
          </cell>
          <cell r="BI60">
            <v>-91000000</v>
          </cell>
          <cell r="BJ60">
            <v>9.3309149536477232E-2</v>
          </cell>
          <cell r="BK60">
            <v>-1320000000</v>
          </cell>
          <cell r="BL60">
            <v>-10725000000</v>
          </cell>
          <cell r="BM60">
            <v>-9217000000</v>
          </cell>
          <cell r="BN60">
            <v>-5959000000</v>
          </cell>
          <cell r="BO60">
            <v>-1623000000</v>
          </cell>
          <cell r="BP60">
            <v>-8914000000</v>
          </cell>
          <cell r="BQ60">
            <v>3433000000</v>
          </cell>
          <cell r="BR60">
            <v>10555000000</v>
          </cell>
          <cell r="BS60">
            <v>6049000000</v>
          </cell>
          <cell r="BT60">
            <v>2000000000</v>
          </cell>
          <cell r="BU60">
            <v>-719000000</v>
          </cell>
          <cell r="BV60">
            <v>10201000000</v>
          </cell>
          <cell r="BW60">
            <v>2.3579201934703749E-2</v>
          </cell>
          <cell r="BX60">
            <v>5.0409521688565558E-2</v>
          </cell>
          <cell r="BY60">
            <v>19947000000</v>
          </cell>
          <cell r="BZ60">
            <v>16910000000</v>
          </cell>
          <cell r="CA60">
            <v>14311000000</v>
          </cell>
          <cell r="CB60">
            <v>12900000000</v>
          </cell>
          <cell r="CC60" t="str">
            <v>NULL</v>
          </cell>
          <cell r="CD60" t="str">
            <v>NULL</v>
          </cell>
          <cell r="CE60" t="str">
            <v>NULL</v>
          </cell>
          <cell r="CF60" t="str">
            <v>NULL</v>
          </cell>
          <cell r="CG60" t="str">
            <v>NULL</v>
          </cell>
          <cell r="CH60" t="str">
            <v>NULL</v>
          </cell>
          <cell r="CI60" t="str">
            <v>NULL</v>
          </cell>
          <cell r="CJ60" t="str">
            <v>NULL</v>
          </cell>
          <cell r="CK60">
            <v>19947000000</v>
          </cell>
          <cell r="CL60">
            <v>16910000000</v>
          </cell>
          <cell r="CM60">
            <v>14311000000</v>
          </cell>
          <cell r="CN60">
            <v>12900000000</v>
          </cell>
          <cell r="CO60">
            <v>0.31797465193232188</v>
          </cell>
          <cell r="CP60">
            <v>2482000000</v>
          </cell>
          <cell r="CQ60">
            <v>1607000000</v>
          </cell>
          <cell r="CR60">
            <v>4512000000</v>
          </cell>
          <cell r="CS60">
            <v>-83000000</v>
          </cell>
          <cell r="CT60">
            <v>3065089420</v>
          </cell>
          <cell r="CU60">
            <v>743159360</v>
          </cell>
          <cell r="CV60">
            <v>412942130</v>
          </cell>
          <cell r="CW60">
            <v>-680760780</v>
          </cell>
          <cell r="CX60">
            <v>0.54449284380833851</v>
          </cell>
          <cell r="CY60">
            <v>11.973005862698315</v>
          </cell>
          <cell r="CZ60">
            <v>55.361445783132531</v>
          </cell>
          <cell r="DA60">
            <v>-1.0270791447252459</v>
          </cell>
          <cell r="DB60">
            <v>3.1244039770958416</v>
          </cell>
          <cell r="DC60">
            <v>0.7996695081705516</v>
          </cell>
          <cell r="DD60">
            <v>1.6065891898178974</v>
          </cell>
          <cell r="DE60">
            <v>24.301042797514064</v>
          </cell>
          <cell r="DG60">
            <v>6.8459399526014204</v>
          </cell>
          <cell r="DH60">
            <v>1938368431</v>
          </cell>
          <cell r="DI60">
            <v>50</v>
          </cell>
          <cell r="DJ60">
            <v>96918421550</v>
          </cell>
          <cell r="DK60">
            <v>124212734500</v>
          </cell>
          <cell r="DM60">
            <v>19947000000</v>
          </cell>
          <cell r="DN60" t="str">
            <v>NULL</v>
          </cell>
          <cell r="DO60" t="str">
            <v>NULL</v>
          </cell>
          <cell r="DP60">
            <v>889000000</v>
          </cell>
          <cell r="DQ60">
            <v>688000000</v>
          </cell>
          <cell r="DR60">
            <v>18370000000</v>
          </cell>
          <cell r="DS60">
            <v>5.2759075421883503</v>
          </cell>
          <cell r="DT60">
            <v>1.19442</v>
          </cell>
          <cell r="DU60">
            <v>0.71943000000000001</v>
          </cell>
          <cell r="DV60">
            <v>0.66322000000000003</v>
          </cell>
          <cell r="DW60">
            <v>-4.7E-2</v>
          </cell>
          <cell r="DX60">
            <v>2.5300699999999998</v>
          </cell>
          <cell r="DY60">
            <v>20.058733552826602</v>
          </cell>
          <cell r="DZ60">
            <v>1.7756480442270346</v>
          </cell>
          <cell r="EA60">
            <v>1287000000</v>
          </cell>
          <cell r="EB60">
            <v>75.305688850038848</v>
          </cell>
          <cell r="EC60">
            <v>19.762299066824198</v>
          </cell>
          <cell r="ED60">
            <v>1.01575342942519</v>
          </cell>
          <cell r="EE60">
            <v>1.04130009391103</v>
          </cell>
          <cell r="EG60">
            <v>0.44889539870801232</v>
          </cell>
          <cell r="EH60">
            <v>0.13534743944416316</v>
          </cell>
          <cell r="EK60">
            <v>0</v>
          </cell>
        </row>
        <row r="61">
          <cell r="A61" t="str">
            <v>PATA</v>
          </cell>
          <cell r="B61" t="str">
            <v>PAT.BA</v>
          </cell>
          <cell r="C61" t="str">
            <v>IMPORTADORA Y EXPORTADORA DE LA PATAGONIA SA</v>
          </cell>
          <cell r="D61">
            <v>43190</v>
          </cell>
          <cell r="E61">
            <v>7679671000</v>
          </cell>
          <cell r="F61">
            <v>6212950000</v>
          </cell>
          <cell r="G61">
            <v>1.23607</v>
          </cell>
          <cell r="H61">
            <v>0.62783999999999995</v>
          </cell>
          <cell r="I61">
            <v>1.20106</v>
          </cell>
          <cell r="J61">
            <v>0.66608999999999996</v>
          </cell>
          <cell r="K61">
            <v>26.5</v>
          </cell>
          <cell r="L61">
            <v>0</v>
          </cell>
          <cell r="M61">
            <v>0.13800000000000001</v>
          </cell>
          <cell r="N61">
            <v>0</v>
          </cell>
          <cell r="O61">
            <v>0</v>
          </cell>
          <cell r="P61">
            <v>0.13800000000000001</v>
          </cell>
          <cell r="Q61">
            <v>5.2075471698113211E-3</v>
          </cell>
          <cell r="S61">
            <v>105.15209675059999</v>
          </cell>
          <cell r="T61">
            <v>117.15390440100001</v>
          </cell>
          <cell r="U61">
            <v>43190</v>
          </cell>
          <cell r="V61">
            <v>10527284000</v>
          </cell>
          <cell r="W61">
            <v>10567800000</v>
          </cell>
          <cell r="X61">
            <v>9353147000</v>
          </cell>
          <cell r="Y61">
            <v>8517510000</v>
          </cell>
          <cell r="Z61">
            <v>2684344000</v>
          </cell>
          <cell r="AA61">
            <v>3.921734323171695</v>
          </cell>
          <cell r="AC61">
            <v>9313643000</v>
          </cell>
          <cell r="AD61">
            <v>9343320000</v>
          </cell>
          <cell r="AE61">
            <v>8402329000</v>
          </cell>
          <cell r="AF61">
            <v>7770731000</v>
          </cell>
          <cell r="AG61">
            <v>4.4693086157545645</v>
          </cell>
          <cell r="AH61">
            <v>3868235000</v>
          </cell>
          <cell r="AI61">
            <v>3638249000</v>
          </cell>
          <cell r="AJ61">
            <v>3108749000</v>
          </cell>
          <cell r="AK61">
            <v>2510239000</v>
          </cell>
          <cell r="AL61">
            <v>6360168000</v>
          </cell>
          <cell r="AM61">
            <v>6429435000</v>
          </cell>
          <cell r="AN61">
            <v>5760397000</v>
          </cell>
          <cell r="AO61">
            <v>5319399000</v>
          </cell>
          <cell r="AP61">
            <v>50.177187955172222</v>
          </cell>
          <cell r="AQ61">
            <v>3061686000</v>
          </cell>
          <cell r="AR61">
            <v>3123313000</v>
          </cell>
          <cell r="AS61">
            <v>2675298000</v>
          </cell>
          <cell r="AT61">
            <v>2245416000</v>
          </cell>
          <cell r="AU61">
            <v>29.095482114668716</v>
          </cell>
          <cell r="AV61">
            <v>3778912000</v>
          </cell>
          <cell r="AW61">
            <v>3451751000</v>
          </cell>
          <cell r="AX61">
            <v>3170101000</v>
          </cell>
          <cell r="AY61">
            <v>2937029000</v>
          </cell>
          <cell r="AZ61">
            <v>50.988867011272468</v>
          </cell>
          <cell r="BA61">
            <v>29.907161170768966</v>
          </cell>
          <cell r="BC61">
            <v>31.228590000000001</v>
          </cell>
          <cell r="BD61">
            <v>2.0658599999999998</v>
          </cell>
          <cell r="BE61">
            <v>0.97391000000000005</v>
          </cell>
          <cell r="BF61">
            <v>86673000</v>
          </cell>
          <cell r="BG61">
            <v>47641000</v>
          </cell>
          <cell r="BH61">
            <v>-19118000</v>
          </cell>
          <cell r="BI61">
            <v>-36007000</v>
          </cell>
          <cell r="BJ61">
            <v>2.2735844877277284E-3</v>
          </cell>
          <cell r="BK61">
            <v>-495578000</v>
          </cell>
          <cell r="BL61">
            <v>-247261000</v>
          </cell>
          <cell r="BM61">
            <v>-122758000</v>
          </cell>
          <cell r="BN61">
            <v>-481098000</v>
          </cell>
          <cell r="BO61">
            <v>-434715000</v>
          </cell>
          <cell r="BP61">
            <v>-183621000</v>
          </cell>
          <cell r="BQ61">
            <v>787840000</v>
          </cell>
          <cell r="BR61">
            <v>343706000</v>
          </cell>
          <cell r="BS61">
            <v>179496000</v>
          </cell>
          <cell r="BT61">
            <v>490769000</v>
          </cell>
          <cell r="BU61">
            <v>250304000</v>
          </cell>
          <cell r="BV61">
            <v>717032000</v>
          </cell>
          <cell r="BW61">
            <v>1.5314689858229494E-2</v>
          </cell>
          <cell r="BX61">
            <v>8.1290896020686475E-3</v>
          </cell>
          <cell r="BY61">
            <v>2684344000</v>
          </cell>
          <cell r="BZ61">
            <v>2597671000</v>
          </cell>
          <cell r="CA61">
            <v>2619030000</v>
          </cell>
          <cell r="CB61">
            <v>2638148000</v>
          </cell>
          <cell r="CC61" t="str">
            <v>NULL</v>
          </cell>
          <cell r="CD61" t="str">
            <v>NULL</v>
          </cell>
          <cell r="CE61" t="str">
            <v>NULL</v>
          </cell>
          <cell r="CF61" t="str">
            <v>NULL</v>
          </cell>
          <cell r="CG61" t="str">
            <v>NULL</v>
          </cell>
          <cell r="CH61" t="str">
            <v>NULL</v>
          </cell>
          <cell r="CI61" t="str">
            <v>NULL</v>
          </cell>
          <cell r="CJ61" t="str">
            <v>NULL</v>
          </cell>
          <cell r="CK61">
            <v>2684344000</v>
          </cell>
          <cell r="CL61">
            <v>2597671000</v>
          </cell>
          <cell r="CM61">
            <v>2619030000</v>
          </cell>
          <cell r="CN61">
            <v>2638148000</v>
          </cell>
          <cell r="CO61">
            <v>3.0055052602224856E-2</v>
          </cell>
          <cell r="CP61">
            <v>86673000</v>
          </cell>
          <cell r="CQ61">
            <v>129289000</v>
          </cell>
          <cell r="CR61">
            <v>297616000</v>
          </cell>
          <cell r="CS61">
            <v>586144000</v>
          </cell>
          <cell r="CT61">
            <v>502796000</v>
          </cell>
          <cell r="CU61">
            <v>458824000</v>
          </cell>
          <cell r="CV61">
            <v>197071610</v>
          </cell>
          <cell r="CW61">
            <v>156953760</v>
          </cell>
          <cell r="CX61">
            <v>-0.32961814230135589</v>
          </cell>
          <cell r="CY61">
            <v>0.27063404161498239</v>
          </cell>
          <cell r="CZ61">
            <v>-0.49224763880548128</v>
          </cell>
          <cell r="DA61">
            <v>0.16576901964216106</v>
          </cell>
          <cell r="DB61">
            <v>9.5836311962756993E-2</v>
          </cell>
          <cell r="DC61">
            <v>1.3282095274910475</v>
          </cell>
          <cell r="DD61">
            <v>0.25560298778442769</v>
          </cell>
          <cell r="DE61">
            <v>0.6599680330045038</v>
          </cell>
          <cell r="DG61">
            <v>21.594400452335002</v>
          </cell>
          <cell r="DH61">
            <v>500000000</v>
          </cell>
          <cell r="DI61">
            <v>26.5</v>
          </cell>
          <cell r="DJ61">
            <v>13250000000</v>
          </cell>
          <cell r="DK61">
            <v>15887821000</v>
          </cell>
          <cell r="DM61">
            <v>2684344000</v>
          </cell>
          <cell r="DN61" t="str">
            <v>NULL</v>
          </cell>
          <cell r="DO61" t="str">
            <v>NULL</v>
          </cell>
          <cell r="DP61">
            <v>4564000</v>
          </cell>
          <cell r="DQ61">
            <v>19873000</v>
          </cell>
          <cell r="DR61">
            <v>2659907000</v>
          </cell>
          <cell r="DS61">
            <v>4.9813771684498747</v>
          </cell>
          <cell r="DT61">
            <v>0.17335</v>
          </cell>
          <cell r="DU61">
            <v>9.5280000000000004E-2</v>
          </cell>
          <cell r="DV61">
            <v>-3.8240000000000003E-2</v>
          </cell>
          <cell r="DW61">
            <v>-7.2010000000000005E-2</v>
          </cell>
          <cell r="DX61">
            <v>0.15838000000000002</v>
          </cell>
          <cell r="DY61">
            <v>167.31910594772066</v>
          </cell>
          <cell r="DZ61">
            <v>0.38041892765904861</v>
          </cell>
          <cell r="EA61">
            <v>533411000</v>
          </cell>
          <cell r="EB61">
            <v>24.840132655682016</v>
          </cell>
          <cell r="EC61">
            <v>167.319105947721</v>
          </cell>
          <cell r="ED61">
            <v>9.5086165382702995E-2</v>
          </cell>
          <cell r="EE61">
            <v>3.5405378931773E-2</v>
          </cell>
          <cell r="EG61">
            <v>0.3202665889875152</v>
          </cell>
          <cell r="EH61">
            <v>6.5189190805355235E-2</v>
          </cell>
          <cell r="EK61">
            <v>0.52075471698113196</v>
          </cell>
        </row>
        <row r="62">
          <cell r="A62" t="str">
            <v>PATY</v>
          </cell>
          <cell r="B62" t="str">
            <v>QUI.BA</v>
          </cell>
          <cell r="C62" t="str">
            <v>QUICKFOOD SA</v>
          </cell>
          <cell r="D62">
            <v>43190</v>
          </cell>
          <cell r="E62">
            <v>1965612000</v>
          </cell>
          <cell r="F62">
            <v>2440005000</v>
          </cell>
          <cell r="G62">
            <v>0.80557999999999996</v>
          </cell>
          <cell r="H62">
            <v>0.54732999999999998</v>
          </cell>
          <cell r="I62">
            <v>0.84645999999999999</v>
          </cell>
          <cell r="J62">
            <v>0.53417999999999999</v>
          </cell>
          <cell r="K62">
            <v>11.85</v>
          </cell>
          <cell r="L62">
            <v>0</v>
          </cell>
          <cell r="M62" t="str">
            <v>NULL</v>
          </cell>
          <cell r="N62">
            <v>0</v>
          </cell>
          <cell r="O62">
            <v>0</v>
          </cell>
          <cell r="P62">
            <v>0</v>
          </cell>
          <cell r="Q62">
            <v>0</v>
          </cell>
          <cell r="S62">
            <v>274.60614706659999</v>
          </cell>
          <cell r="T62">
            <v>183.54327236629999</v>
          </cell>
          <cell r="U62">
            <v>43190</v>
          </cell>
          <cell r="V62">
            <v>4043015000</v>
          </cell>
          <cell r="W62">
            <v>3788090000</v>
          </cell>
          <cell r="X62">
            <v>3209500000</v>
          </cell>
          <cell r="Y62">
            <v>3185750000</v>
          </cell>
          <cell r="Z62">
            <v>520118000</v>
          </cell>
          <cell r="AA62">
            <v>7.773264912962059</v>
          </cell>
          <cell r="AC62">
            <v>1686647000</v>
          </cell>
          <cell r="AD62">
            <v>1632633000</v>
          </cell>
          <cell r="AE62">
            <v>1560813000</v>
          </cell>
          <cell r="AF62">
            <v>1335116000</v>
          </cell>
          <cell r="AG62">
            <v>2.1843930266090772</v>
          </cell>
          <cell r="AH62">
            <v>968462000</v>
          </cell>
          <cell r="AI62">
            <v>873448000</v>
          </cell>
          <cell r="AJ62">
            <v>985383000</v>
          </cell>
          <cell r="AK62">
            <v>850004000</v>
          </cell>
          <cell r="AL62">
            <v>1525874000</v>
          </cell>
          <cell r="AM62">
            <v>1503500000</v>
          </cell>
          <cell r="AN62">
            <v>1330910000</v>
          </cell>
          <cell r="AO62">
            <v>1189505000</v>
          </cell>
          <cell r="AP62">
            <v>60.46236194745422</v>
          </cell>
          <cell r="AQ62">
            <v>1015709000</v>
          </cell>
          <cell r="AR62">
            <v>808044000</v>
          </cell>
          <cell r="AS62">
            <v>696069000</v>
          </cell>
          <cell r="AT62">
            <v>561640000</v>
          </cell>
          <cell r="AU62">
            <v>45.241182959414559</v>
          </cell>
          <cell r="AV62">
            <v>630132000</v>
          </cell>
          <cell r="AW62">
            <v>660531000</v>
          </cell>
          <cell r="AX62">
            <v>558693000</v>
          </cell>
          <cell r="AY62">
            <v>566654000</v>
          </cell>
          <cell r="AZ62">
            <v>39.72419717218078</v>
          </cell>
          <cell r="BA62">
            <v>24.503018184141119</v>
          </cell>
          <cell r="BC62">
            <v>11.19267</v>
          </cell>
          <cell r="BD62">
            <v>-7.3511199999999999</v>
          </cell>
          <cell r="BE62">
            <v>-12.584149999999999</v>
          </cell>
          <cell r="BF62">
            <v>-76325000</v>
          </cell>
          <cell r="BG62">
            <v>-476246000</v>
          </cell>
          <cell r="BH62">
            <v>-84460000</v>
          </cell>
          <cell r="BI62">
            <v>-123350000</v>
          </cell>
          <cell r="BJ62">
            <v>-0.122341983994424</v>
          </cell>
          <cell r="BK62">
            <v>-12867000</v>
          </cell>
          <cell r="BL62">
            <v>-84538000</v>
          </cell>
          <cell r="BM62">
            <v>-71419000</v>
          </cell>
          <cell r="BN62">
            <v>-62228000</v>
          </cell>
          <cell r="BO62">
            <v>-48049000</v>
          </cell>
          <cell r="BP62">
            <v>-36237000</v>
          </cell>
          <cell r="BQ62">
            <v>-243608000</v>
          </cell>
          <cell r="BR62">
            <v>-173154000</v>
          </cell>
          <cell r="BS62">
            <v>138897000</v>
          </cell>
          <cell r="BT62">
            <v>-14854000</v>
          </cell>
          <cell r="BU62">
            <v>-52784000</v>
          </cell>
          <cell r="BV62">
            <v>-51927000</v>
          </cell>
          <cell r="BW62">
            <v>-1.4185202782400399E-2</v>
          </cell>
          <cell r="BX62">
            <v>-0.21379503042065237</v>
          </cell>
          <cell r="BY62">
            <v>520118000</v>
          </cell>
          <cell r="BZ62">
            <v>596443000</v>
          </cell>
          <cell r="CA62">
            <v>137172000</v>
          </cell>
          <cell r="CB62">
            <v>221632000</v>
          </cell>
          <cell r="CC62" t="str">
            <v>NULL</v>
          </cell>
          <cell r="CD62" t="str">
            <v>NULL</v>
          </cell>
          <cell r="CE62" t="str">
            <v>NULL</v>
          </cell>
          <cell r="CF62" t="str">
            <v>NULL</v>
          </cell>
          <cell r="CG62" t="str">
            <v>NULL</v>
          </cell>
          <cell r="CH62" t="str">
            <v>NULL</v>
          </cell>
          <cell r="CI62" t="str">
            <v>NULL</v>
          </cell>
          <cell r="CJ62" t="str">
            <v>NULL</v>
          </cell>
          <cell r="CK62">
            <v>520118000</v>
          </cell>
          <cell r="CL62">
            <v>596443000</v>
          </cell>
          <cell r="CM62">
            <v>137172000</v>
          </cell>
          <cell r="CN62">
            <v>221632000</v>
          </cell>
          <cell r="CO62">
            <v>-2.0615400256885583</v>
          </cell>
          <cell r="CP62">
            <v>-76325000</v>
          </cell>
          <cell r="CQ62">
            <v>-183864000</v>
          </cell>
          <cell r="CR62">
            <v>-742401000</v>
          </cell>
          <cell r="CS62">
            <v>-485084000</v>
          </cell>
          <cell r="CT62">
            <v>-113723000</v>
          </cell>
          <cell r="CU62">
            <v>-77570000</v>
          </cell>
          <cell r="CV62">
            <v>-13909000</v>
          </cell>
          <cell r="CW62">
            <v>32884000</v>
          </cell>
          <cell r="CX62">
            <v>0.58488339207240136</v>
          </cell>
          <cell r="CY62">
            <v>-2.0523902809524097</v>
          </cell>
          <cell r="CZ62">
            <v>-0.53045864221454431</v>
          </cell>
          <cell r="DA62">
            <v>-3.2654871925643887</v>
          </cell>
          <cell r="DB62">
            <v>-0.46606935671006822</v>
          </cell>
          <cell r="DC62">
            <v>-4.5769645553238911</v>
          </cell>
          <cell r="DD62">
            <v>-1.4229716579491547</v>
          </cell>
          <cell r="DE62">
            <v>1.8078949896526433</v>
          </cell>
          <cell r="DG62">
            <v>26.123703487864901</v>
          </cell>
          <cell r="DH62">
            <v>145828553</v>
          </cell>
          <cell r="DI62">
            <v>12</v>
          </cell>
          <cell r="DJ62">
            <v>1749942636</v>
          </cell>
          <cell r="DK62">
            <v>2994455636</v>
          </cell>
          <cell r="DM62">
            <v>520118000</v>
          </cell>
          <cell r="DN62" t="str">
            <v>NULL</v>
          </cell>
          <cell r="DO62" t="str">
            <v>NULL</v>
          </cell>
          <cell r="DP62">
            <v>358479000</v>
          </cell>
          <cell r="DQ62" t="str">
            <v>NULL</v>
          </cell>
          <cell r="DR62">
            <v>161639000</v>
          </cell>
          <cell r="DS62">
            <v>10.826240177184962</v>
          </cell>
          <cell r="DT62">
            <v>-0.52339000000000002</v>
          </cell>
          <cell r="DU62">
            <v>-3.2657799999999999</v>
          </cell>
          <cell r="DV62">
            <v>-0.57916999999999996</v>
          </cell>
          <cell r="DW62">
            <v>-0.84584999999999999</v>
          </cell>
          <cell r="DX62">
            <v>-5.2141900000000003</v>
          </cell>
          <cell r="DY62">
            <v>-2.2726444567612609</v>
          </cell>
          <cell r="DZ62">
            <v>0.28155813199523944</v>
          </cell>
          <cell r="EA62">
            <v>-88164000</v>
          </cell>
          <cell r="EB62">
            <v>-19.848720974547433</v>
          </cell>
          <cell r="EC62" t="str">
            <v>NULL</v>
          </cell>
          <cell r="ED62">
            <v>0.41684696942193999</v>
          </cell>
          <cell r="EE62">
            <v>0.63332327580562797</v>
          </cell>
          <cell r="EG62">
            <v>0.52439590311544837</v>
          </cell>
          <cell r="EH62">
            <v>-0.13942236912333716</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E64" t="str">
            <v>Unable to collect data for the field 'TR.TotalCurrentAssets' and some specific identifier(s).</v>
          </cell>
          <cell r="F64" t="str">
            <v>Unable to collect data for the field 'TR.TotalCurrLiabilities' and some specific identifier(s).</v>
          </cell>
          <cell r="G64" t="str">
            <v>Unable to collect data for the field 'TR.CurrentRatio' and some specific identifier(s).</v>
          </cell>
          <cell r="H64" t="str">
            <v>Unable to collect data for the field 'TR.QuickRatio' and some specific identifier(s).</v>
          </cell>
          <cell r="I64" t="str">
            <v>Unable to collect data for the field 'TR.CurrentRatio' and some specific identifier(s).</v>
          </cell>
          <cell r="J64" t="str">
            <v>Unable to collect data for the field 'TR.QuickRatio' and some specific identifier(s).</v>
          </cell>
          <cell r="K64" t="str">
            <v>*The record could not be found</v>
          </cell>
          <cell r="L64" t="str">
            <v>Unable to collect data for the field 'TR.DpsCommonStock' and some specific identifier(s).</v>
          </cell>
          <cell r="M64" t="str">
            <v>Unable to collect data for the field 'TR.DpsCommonStock' and some specific identifier(s).</v>
          </cell>
          <cell r="N64" t="str">
            <v>Unable to collect data for the field 'TR.DpsCommonStock' and some specific identifier(s).</v>
          </cell>
          <cell r="O64" t="str">
            <v>Unable to collect data for the field 'TR.DpsCommonStock' and some specific identifier(s).</v>
          </cell>
          <cell r="P64">
            <v>0</v>
          </cell>
          <cell r="Q64" t="e">
            <v>#VALUE!</v>
          </cell>
          <cell r="S64" t="str">
            <v>Unable to collect data for the field 'TR.TtlDebtToTtlEquityPct' and some specific identifier(s).</v>
          </cell>
          <cell r="T64" t="str">
            <v>Unable to collect data for the field 'TR.TtlDebtToTtlEquityPct' and some specific identifier(s).</v>
          </cell>
          <cell r="V64" t="str">
            <v>Unable to collect data for the field 'TR.TotalAssetsReported' and some specific identifier(s).</v>
          </cell>
          <cell r="W64" t="str">
            <v>Unable to collect data for the field 'TR.TotalAssetsReported' and some specific identifier(s).</v>
          </cell>
          <cell r="X64" t="str">
            <v>Unable to collect data for the field 'TR.TotalAssetsReported' and some specific identifier(s).</v>
          </cell>
          <cell r="Y64" t="str">
            <v>Unable to collect data for the field 'TR.TotalAssetsReported' and some specific identifier(s).</v>
          </cell>
          <cell r="Z64" t="str">
            <v>Unable to collect data for the field 'TR.TotalEquity' and some specific identifier(s).</v>
          </cell>
          <cell r="AA64" t="e">
            <v>#VALUE!</v>
          </cell>
          <cell r="AC64" t="str">
            <v>Unable to collect data for the field 'TR.TotalRevenue' and some specific identifier(s).</v>
          </cell>
          <cell r="AD64" t="str">
            <v>Unable to collect data for the field 'TR.TotalRevenue' and some specific identifier(s).</v>
          </cell>
          <cell r="AE64" t="str">
            <v>Unable to collect data for the field 'TR.TotalRevenue' and some specific identifier(s).</v>
          </cell>
          <cell r="AF64" t="str">
            <v>Unable to collect data for the field 'TR.TotalRevenue' and some specific identifier(s).</v>
          </cell>
          <cell r="AG64" t="e">
            <v>#DIV/0!</v>
          </cell>
          <cell r="AH64" t="str">
            <v>Unable to collect data for the field 'TR.AccountsPayable' and some specific identifier(s).</v>
          </cell>
          <cell r="AI64" t="str">
            <v>Unable to collect data for the field 'TR.AccountsPayable' and some specific identifier(s).</v>
          </cell>
          <cell r="AJ64" t="str">
            <v>Unable to collect data for the field 'TR.AccountsPayable' and some specific identifier(s).</v>
          </cell>
          <cell r="AK64" t="str">
            <v>Unable to collect data for the field 'TR.AccountsPayable' and some specific identifier(s).</v>
          </cell>
          <cell r="AL64" t="str">
            <v>Unable to collect data for the field 'TR.CostofRevenueTotal' and some specific identifier(s).</v>
          </cell>
          <cell r="AM64" t="str">
            <v>Unable to collect data for the field 'TR.CostofRevenueTotal' and some specific identifier(s).</v>
          </cell>
          <cell r="AN64" t="str">
            <v>Unable to collect data for the field 'TR.CostofRevenueTotal' and some specific identifier(s).</v>
          </cell>
          <cell r="AO64" t="str">
            <v>Unable to collect data for the field 'TR.CostofRevenueTotal' and some specific identifier(s).</v>
          </cell>
          <cell r="AP64" t="e">
            <v>#DIV/0!</v>
          </cell>
          <cell r="AQ64" t="str">
            <v>Unable to collect data for the field 'TR.AcctsReceivTradeNet' and some specific identifier(s).</v>
          </cell>
          <cell r="AR64" t="str">
            <v>Unable to collect data for the field 'TR.AcctsReceivTradeNet' and some specific identifier(s).</v>
          </cell>
          <cell r="AS64" t="str">
            <v>Unable to collect data for the field 'TR.AcctsReceivTradeNet' and some specific identifier(s).</v>
          </cell>
          <cell r="AT64" t="str">
            <v>Unable to collect data for the field 'TR.AcctsReceivTradeNet' and some specific identifier(s).</v>
          </cell>
          <cell r="AU64" t="e">
            <v>#DIV/0!</v>
          </cell>
          <cell r="AV64" t="str">
            <v>Unable to collect data for the field 'TR.TotalInventory' and some specific identifier(s).</v>
          </cell>
          <cell r="AW64" t="str">
            <v>Unable to collect data for the field 'TR.TotalInventory' and some specific identifier(s).</v>
          </cell>
          <cell r="AX64" t="str">
            <v>Unable to collect data for the field 'TR.TotalInventory' and some specific identifier(s).</v>
          </cell>
          <cell r="AY64" t="str">
            <v>Unable to collect data for the field 'TR.TotalInventory' and some specific identifier(s).</v>
          </cell>
          <cell r="AZ64" t="e">
            <v>#DIV/0!</v>
          </cell>
          <cell r="BA64" t="e">
            <v>#DIV/0!</v>
          </cell>
          <cell r="BC64" t="str">
            <v>Unable to collect data for the field 'TR.GrossMargin' and some specific identifier(s).</v>
          </cell>
          <cell r="BD64" t="str">
            <v>Unable to collect data for the field 'TR.OperatingMarginPercent' and some specific identifier(s).</v>
          </cell>
          <cell r="BE64" t="str">
            <v>Unable to collect data for the field 'TR.NetProfitMargin' and some specific identifier(s).</v>
          </cell>
          <cell r="BF64" t="str">
            <v>Unable to collect data for the field 'TR.NetIncomeBeforeExtraItems' and some specific identifier(s).</v>
          </cell>
          <cell r="BG64" t="str">
            <v>Unable to collect data for the field 'TR.NetIncomeBeforeExtraItems' and some specific identifier(s).</v>
          </cell>
          <cell r="BH64" t="str">
            <v>Unable to collect data for the field 'TR.NetIncomeBeforeExtraItems' and some specific identifier(s).</v>
          </cell>
          <cell r="BI64" t="str">
            <v>Unable to collect data for the field 'TR.NetIncomeBeforeExtraItems' and some specific identifier(s).</v>
          </cell>
          <cell r="BJ64" t="e">
            <v>#DIV/0!</v>
          </cell>
          <cell r="BK64" t="str">
            <v>Unable to collect data for the field 'TR.CapitalExpenditures' and some specific identifier(s).</v>
          </cell>
          <cell r="BL64" t="str">
            <v>Unable to collect data for the field 'TR.CapitalExpenditures' and some specific identifier(s).</v>
          </cell>
          <cell r="BM64" t="str">
            <v>Unable to collect data for the field 'TR.CapitalExpenditures' and some specific identifier(s).</v>
          </cell>
          <cell r="BN64" t="str">
            <v>Unable to collect data for the field 'TR.CapitalExpenditures' and some specific identifier(s).</v>
          </cell>
          <cell r="BO64" t="str">
            <v>Unable to collect data for the field 'TR.CapitalExpenditures' and some specific identifier(s).</v>
          </cell>
          <cell r="BP64" t="e">
            <v>#VALUE!</v>
          </cell>
          <cell r="BQ64" t="str">
            <v>Unable to collect data for the field 'TR.CashFromOperatingAct' and some specific identifier(s).</v>
          </cell>
          <cell r="BR64" t="str">
            <v>Unable to collect data for the field 'TR.CashFromOperatingAct' and some specific identifier(s).</v>
          </cell>
          <cell r="BS64" t="str">
            <v>Unable to collect data for the field 'TR.CashFromOperatingAct' and some specific identifier(s).</v>
          </cell>
          <cell r="BT64" t="str">
            <v>Unable to collect data for the field 'TR.CashFromOperatingAct' and some specific identifier(s).</v>
          </cell>
          <cell r="BU64" t="str">
            <v>Unable to collect data for the field 'TR.CashFromOperatingAct' and some specific identifier(s).</v>
          </cell>
          <cell r="BV64" t="e">
            <v>#VALUE!</v>
          </cell>
          <cell r="BW64" t="e">
            <v>#VALUE!</v>
          </cell>
          <cell r="BX64" t="e">
            <v>#DIV/0!</v>
          </cell>
          <cell r="BY64" t="str">
            <v>Unable to collect data for the field 'TR.TotalEquity' and some specific identifier(s).</v>
          </cell>
          <cell r="BZ64" t="str">
            <v>Unable to collect data for the field 'TR.TotalEquity' and some specific identifier(s).</v>
          </cell>
          <cell r="CA64" t="str">
            <v>Unable to collect data for the field 'TR.TotalEquity' and some specific identifier(s).</v>
          </cell>
          <cell r="CB64" t="str">
            <v>Unable to collect data for the field 'TR.TotalEquity' and some specific identifier(s).</v>
          </cell>
          <cell r="CC64" t="str">
            <v>Unable to collect data for the field 'TR.PreferredStockNonRedeemableNet' and some specific identifier(s).</v>
          </cell>
          <cell r="CD64" t="str">
            <v>Unable to collect data for the field 'TR.PreferredStockNonRedeemableNet' and some specific identifier(s).</v>
          </cell>
          <cell r="CE64" t="str">
            <v>Unable to collect data for the field 'TR.PreferredStockNonRedeemableNet' and some specific identifier(s).</v>
          </cell>
          <cell r="CF64" t="str">
            <v>Unable to collect data for the field 'TR.PreferredStockNonRedeemableNet' and some specific identifier(s).</v>
          </cell>
          <cell r="CG64" t="str">
            <v>Unable to collect data for the field 'TR.RedeemablePreferredTtl' and some specific identifier(s).</v>
          </cell>
          <cell r="CH64" t="str">
            <v>Unable to collect data for the field 'TR.RedeemablePreferredTtl' and some specific identifier(s).</v>
          </cell>
          <cell r="CI64" t="str">
            <v>Unable to collect data for the field 'TR.RedeemablePreferredTtl' and some specific identifier(s).</v>
          </cell>
          <cell r="CJ64" t="str">
            <v>Unable to collect data for the field 'TR.RedeemablePreferredTtl' and some specific identifier(s).</v>
          </cell>
          <cell r="CK64" t="e">
            <v>#VALUE!</v>
          </cell>
          <cell r="CL64" t="e">
            <v>#VALUE!</v>
          </cell>
          <cell r="CM64" t="e">
            <v>#VALUE!</v>
          </cell>
          <cell r="CN64" t="e">
            <v>#VALUE!</v>
          </cell>
          <cell r="CO64" t="e">
            <v>#VALUE!</v>
          </cell>
          <cell r="CP64" t="str">
            <v>Unable to collect data for the field 'TR.NetIncomeBeforeExtraItems' and some specific identifier(s).</v>
          </cell>
          <cell r="CQ64" t="str">
            <v>Unable to collect data for the field 'TR.NetIncomeBeforeExtraItems' and some specific identifier(s).</v>
          </cell>
          <cell r="CR64" t="str">
            <v>Unable to collect data for the field 'TR.NetIncomeBeforeExtraItems' and some specific identifier(s).</v>
          </cell>
          <cell r="CS64" t="str">
            <v>Unable to collect data for the field 'TR.NetIncomeBeforeExtraItems' and some specific identifier(s).</v>
          </cell>
          <cell r="CT64" t="str">
            <v>Unable to collect data for the field 'TR.NetIncomeBeforeExtraItems' and some specific identifier(s).</v>
          </cell>
          <cell r="CU64" t="str">
            <v>Unable to collect data for the field 'TR.NetIncomeBeforeExtraItems' and some specific identifier(s).</v>
          </cell>
          <cell r="CV64" t="str">
            <v>Unable to collect data for the field 'TR.NetIncomeBeforeExtraItems' and some specific identifier(s).</v>
          </cell>
          <cell r="CW64" t="str">
            <v>Unable to collect data for the field 'TR.NetIncomeBeforeExtraItems' and some specific identifier(s).</v>
          </cell>
          <cell r="CX64" t="str">
            <v>-</v>
          </cell>
          <cell r="CY64" t="str">
            <v>-</v>
          </cell>
          <cell r="CZ64" t="e">
            <v>#VALUE!</v>
          </cell>
          <cell r="DA64" t="e">
            <v>#VALUE!</v>
          </cell>
          <cell r="DB64" t="e">
            <v>#VALUE!</v>
          </cell>
          <cell r="DC64" t="e">
            <v>#VALUE!</v>
          </cell>
          <cell r="DD64" t="e">
            <v>#VALUE!</v>
          </cell>
          <cell r="DE64" t="str">
            <v>-</v>
          </cell>
          <cell r="DG64" t="str">
            <v>NULL</v>
          </cell>
          <cell r="DH64">
            <v>2019236820</v>
          </cell>
          <cell r="DI64" t="str">
            <v>*The record could not be found</v>
          </cell>
          <cell r="DJ64">
            <v>54721317822</v>
          </cell>
          <cell r="DK64" t="str">
            <v>NULL</v>
          </cell>
          <cell r="DM64" t="str">
            <v>Unable to collect data for the field 'TR.TotalEquity' and some specific identifier(s).</v>
          </cell>
          <cell r="DN64" t="str">
            <v>Unable to collect data for the field 'TR.RedeemablePreferredTtl' and some specific identifier(s).</v>
          </cell>
          <cell r="DO64" t="str">
            <v>Unable to collect data for the field 'TR.PreferredStockNonRedeemableNet' and some specific identifier(s).</v>
          </cell>
          <cell r="DP64" t="str">
            <v>Unable to collect data for the field 'TR.IntangiblesNet' and some specific identifier(s).</v>
          </cell>
          <cell r="DQ64" t="str">
            <v>Unable to collect data for the field 'TR.GoodwillNet' and some specific identifier(s).</v>
          </cell>
          <cell r="DR64" t="e">
            <v>#VALUE!</v>
          </cell>
          <cell r="DS64" t="e">
            <v>#VALUE!</v>
          </cell>
          <cell r="DT64" t="str">
            <v>Unable to collect data for the field 'TR.DilutedEpsExclExtra' and some specific identifier(s).</v>
          </cell>
          <cell r="DU64" t="str">
            <v>Unable to collect data for the field 'TR.DilutedEpsExclExtra' and some specific identifier(s).</v>
          </cell>
          <cell r="DV64" t="str">
            <v>Unable to collect data for the field 'TR.DilutedEpsExclExtra' and some specific identifier(s).</v>
          </cell>
          <cell r="DW64" t="str">
            <v>Unable to collect data for the field 'TR.DilutedEpsExclExtra' and some specific identifier(s).</v>
          </cell>
          <cell r="DX64">
            <v>0</v>
          </cell>
          <cell r="DY64" t="e">
            <v>#VALUE!</v>
          </cell>
          <cell r="DZ64" t="e">
            <v>#DIV/0!</v>
          </cell>
          <cell r="EA64" t="e">
            <v>#VALUE!</v>
          </cell>
          <cell r="EB64" t="e">
            <v>#VALUE!</v>
          </cell>
          <cell r="EC64" t="str">
            <v>NULL</v>
          </cell>
          <cell r="ED64">
            <v>1.00584703275086</v>
          </cell>
          <cell r="EE64">
            <v>0.99651264484237401</v>
          </cell>
          <cell r="EG64">
            <v>0.40869174902616329</v>
          </cell>
          <cell r="EH64">
            <v>-2.5183536797491635E-2</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104.15</v>
          </cell>
          <cell r="L65" t="str">
            <v>NULL</v>
          </cell>
          <cell r="M65">
            <v>0</v>
          </cell>
          <cell r="N65">
            <v>0</v>
          </cell>
          <cell r="O65">
            <v>0</v>
          </cell>
          <cell r="P65">
            <v>0</v>
          </cell>
          <cell r="Q65">
            <v>0</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5.3884520615308702</v>
          </cell>
          <cell r="DH65">
            <v>119400000</v>
          </cell>
          <cell r="DI65">
            <v>106.5</v>
          </cell>
          <cell r="DJ65">
            <v>12716100000</v>
          </cell>
          <cell r="DK65">
            <v>14918280590</v>
          </cell>
          <cell r="DM65">
            <v>20112000000</v>
          </cell>
          <cell r="DN65" t="str">
            <v>NULL</v>
          </cell>
          <cell r="DO65" t="str">
            <v>NULL</v>
          </cell>
          <cell r="DP65" t="str">
            <v>NULL</v>
          </cell>
          <cell r="DQ65" t="str">
            <v>NULL</v>
          </cell>
          <cell r="DR65">
            <v>20112000000</v>
          </cell>
          <cell r="DS65">
            <v>0.63226431980906916</v>
          </cell>
          <cell r="DT65" t="str">
            <v>NULL</v>
          </cell>
          <cell r="DU65">
            <v>2.4845000000000002</v>
          </cell>
          <cell r="DV65">
            <v>2.4698799999999999</v>
          </cell>
          <cell r="DW65">
            <v>2.2965</v>
          </cell>
          <cell r="DX65">
            <v>7.2508800000000004</v>
          </cell>
          <cell r="DY65">
            <v>14.363773776424379</v>
          </cell>
          <cell r="DZ65">
            <v>0.25256916996047429</v>
          </cell>
          <cell r="EA65" t="e">
            <v>#VALUE!</v>
          </cell>
          <cell r="EB65" t="e">
            <v>#VALUE!</v>
          </cell>
          <cell r="EC65">
            <v>13.999121933009301</v>
          </cell>
          <cell r="ED65">
            <v>0.957251178830683</v>
          </cell>
          <cell r="EE65">
            <v>0.97935719636926599</v>
          </cell>
          <cell r="EG65" t="str">
            <v>-</v>
          </cell>
          <cell r="EH65" t="str">
            <v>-</v>
          </cell>
          <cell r="EK65" t="str">
            <v>NULL</v>
          </cell>
        </row>
        <row r="66">
          <cell r="A66" t="str">
            <v>POLL</v>
          </cell>
          <cell r="B66" t="str">
            <v>POL.BA</v>
          </cell>
          <cell r="C66" t="str">
            <v>POLLEDO SAIC Y F</v>
          </cell>
          <cell r="D66">
            <v>43190</v>
          </cell>
          <cell r="E66">
            <v>559980</v>
          </cell>
          <cell r="F66">
            <v>23031560</v>
          </cell>
          <cell r="G66">
            <v>2.4309999999999998E-2</v>
          </cell>
          <cell r="H66">
            <v>2.4309999999999998E-2</v>
          </cell>
          <cell r="I66">
            <v>2.0809999999999999E-2</v>
          </cell>
          <cell r="J66">
            <v>2.0809999999999999E-2</v>
          </cell>
          <cell r="K66">
            <v>10.5</v>
          </cell>
          <cell r="L66">
            <v>0</v>
          </cell>
          <cell r="M66" t="str">
            <v>NULL</v>
          </cell>
          <cell r="N66">
            <v>0</v>
          </cell>
          <cell r="O66">
            <v>0</v>
          </cell>
          <cell r="P66">
            <v>0</v>
          </cell>
          <cell r="Q66">
            <v>0</v>
          </cell>
          <cell r="S66" t="str">
            <v>NULL</v>
          </cell>
          <cell r="T66" t="str">
            <v>NULL</v>
          </cell>
          <cell r="U66">
            <v>43190</v>
          </cell>
          <cell r="V66">
            <v>3460820</v>
          </cell>
          <cell r="W66">
            <v>3449810</v>
          </cell>
          <cell r="X66">
            <v>6202050</v>
          </cell>
          <cell r="Y66">
            <v>6262780</v>
          </cell>
          <cell r="Z66">
            <v>-45877060</v>
          </cell>
          <cell r="AA66">
            <v>-7.5436830520525938E-2</v>
          </cell>
          <cell r="AC66">
            <v>0</v>
          </cell>
          <cell r="AD66">
            <v>0</v>
          </cell>
          <cell r="AE66">
            <v>0</v>
          </cell>
          <cell r="AF66">
            <v>0</v>
          </cell>
          <cell r="AG66">
            <v>0</v>
          </cell>
          <cell r="AH66">
            <v>645330</v>
          </cell>
          <cell r="AI66">
            <v>517650</v>
          </cell>
          <cell r="AJ66">
            <v>724570</v>
          </cell>
          <cell r="AK66">
            <v>500920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-1338850</v>
          </cell>
          <cell r="BG66">
            <v>-3857450</v>
          </cell>
          <cell r="BH66">
            <v>-1152160</v>
          </cell>
          <cell r="BI66">
            <v>-1216440</v>
          </cell>
          <cell r="BJ66" t="e">
            <v>#DIV/0!</v>
          </cell>
          <cell r="BK66" t="str">
            <v>NULL</v>
          </cell>
          <cell r="BL66" t="str">
            <v>NULL</v>
          </cell>
          <cell r="BM66" t="str">
            <v>NULL</v>
          </cell>
          <cell r="BN66" t="str">
            <v>NULL</v>
          </cell>
          <cell r="BO66" t="str">
            <v>NULL</v>
          </cell>
          <cell r="BP66" t="e">
            <v>#VALUE!</v>
          </cell>
          <cell r="BQ66">
            <v>-1153220</v>
          </cell>
          <cell r="BR66">
            <v>-4691010</v>
          </cell>
          <cell r="BS66">
            <v>-3298230</v>
          </cell>
          <cell r="BT66">
            <v>-2533550</v>
          </cell>
          <cell r="BU66">
            <v>-1316770</v>
          </cell>
          <cell r="BV66">
            <v>-3134680</v>
          </cell>
          <cell r="BW66" t="e">
            <v>#VALUE!</v>
          </cell>
          <cell r="BX66">
            <v>-1.5617487275140822</v>
          </cell>
          <cell r="BY66">
            <v>-45877060</v>
          </cell>
          <cell r="BZ66">
            <v>-42835550</v>
          </cell>
          <cell r="CA66">
            <v>-34829880</v>
          </cell>
          <cell r="CB66">
            <v>-32901350</v>
          </cell>
          <cell r="CC66" t="str">
            <v>NULL</v>
          </cell>
          <cell r="CD66" t="str">
            <v>NULL</v>
          </cell>
          <cell r="CE66" t="str">
            <v>NULL</v>
          </cell>
          <cell r="CF66" t="str">
            <v>NULL</v>
          </cell>
          <cell r="CG66" t="str">
            <v>NULL</v>
          </cell>
          <cell r="CH66" t="str">
            <v>NULL</v>
          </cell>
          <cell r="CI66" t="str">
            <v>NULL</v>
          </cell>
          <cell r="CJ66" t="str">
            <v>NULL</v>
          </cell>
          <cell r="CK66">
            <v>-45877060</v>
          </cell>
          <cell r="CL66">
            <v>-42835550</v>
          </cell>
          <cell r="CM66">
            <v>-34829880</v>
          </cell>
          <cell r="CN66">
            <v>-32901350</v>
          </cell>
          <cell r="CO66" t="str">
            <v>-</v>
          </cell>
          <cell r="CP66">
            <v>-1338850</v>
          </cell>
          <cell r="CQ66">
            <v>-3524610</v>
          </cell>
          <cell r="CR66">
            <v>-9750650</v>
          </cell>
          <cell r="CS66">
            <v>-7116770</v>
          </cell>
          <cell r="CT66">
            <v>-24152810</v>
          </cell>
          <cell r="CU66">
            <v>-41420</v>
          </cell>
          <cell r="CV66">
            <v>2068270</v>
          </cell>
          <cell r="CW66">
            <v>-476520</v>
          </cell>
          <cell r="CX66">
            <v>0.62014237036154363</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10.5</v>
          </cell>
          <cell r="DJ66">
            <v>67414137</v>
          </cell>
          <cell r="DK66">
            <v>67158477</v>
          </cell>
          <cell r="DM66">
            <v>-45877060</v>
          </cell>
          <cell r="DN66" t="str">
            <v>NULL</v>
          </cell>
          <cell r="DO66" t="str">
            <v>NULL</v>
          </cell>
          <cell r="DP66" t="str">
            <v>NULL</v>
          </cell>
          <cell r="DQ66" t="str">
            <v>NULL</v>
          </cell>
          <cell r="DR66">
            <v>-45877060</v>
          </cell>
          <cell r="DS66">
            <v>-1.4694519875510768</v>
          </cell>
          <cell r="DT66">
            <v>-0.20852999999999999</v>
          </cell>
          <cell r="DU66">
            <v>-0.60080999999999996</v>
          </cell>
          <cell r="DV66">
            <v>-0.17945</v>
          </cell>
          <cell r="DW66">
            <v>-0.18945999999999999</v>
          </cell>
          <cell r="DX66">
            <v>-1.17825</v>
          </cell>
          <cell r="DY66">
            <v>-8.9115213239974533</v>
          </cell>
          <cell r="DZ66" t="e">
            <v>#DIV/0!</v>
          </cell>
          <cell r="EA66" t="e">
            <v>#VALUE!</v>
          </cell>
          <cell r="EB66" t="e">
            <v>#VALUE!</v>
          </cell>
          <cell r="EC66" t="str">
            <v>NULL</v>
          </cell>
          <cell r="ED66">
            <v>0.100259354275425</v>
          </cell>
          <cell r="EE66">
            <v>0.22032804118097099</v>
          </cell>
          <cell r="EG66">
            <v>0.63076012005901871</v>
          </cell>
          <cell r="EH66">
            <v>-0.21901862052994159</v>
          </cell>
          <cell r="EK66" t="str">
            <v>NULL</v>
          </cell>
        </row>
        <row r="67">
          <cell r="A67" t="str">
            <v>PSUR</v>
          </cell>
          <cell r="B67" t="str">
            <v>PSU.BA</v>
          </cell>
          <cell r="C67" t="str">
            <v>PETROLERA DEL CONOSUR SA</v>
          </cell>
          <cell r="D67">
            <v>43190</v>
          </cell>
          <cell r="E67">
            <v>68869090</v>
          </cell>
          <cell r="F67">
            <v>220782590</v>
          </cell>
          <cell r="G67">
            <v>0.31192999999999999</v>
          </cell>
          <cell r="H67">
            <v>0.27383999999999997</v>
          </cell>
          <cell r="I67">
            <v>0.60780999999999996</v>
          </cell>
          <cell r="J67">
            <v>0.54615999999999998</v>
          </cell>
          <cell r="K67">
            <v>3</v>
          </cell>
          <cell r="L67">
            <v>0</v>
          </cell>
          <cell r="M67" t="str">
            <v>NULL</v>
          </cell>
          <cell r="N67">
            <v>0</v>
          </cell>
          <cell r="O67">
            <v>0</v>
          </cell>
          <cell r="P67">
            <v>0</v>
          </cell>
          <cell r="Q67">
            <v>0</v>
          </cell>
          <cell r="S67" t="str">
            <v>NULL</v>
          </cell>
          <cell r="T67">
            <v>0</v>
          </cell>
          <cell r="U67">
            <v>43190</v>
          </cell>
          <cell r="V67">
            <v>177925340</v>
          </cell>
          <cell r="W67">
            <v>260490610</v>
          </cell>
          <cell r="X67">
            <v>283330940</v>
          </cell>
          <cell r="Y67">
            <v>286351520</v>
          </cell>
          <cell r="Z67">
            <v>-86343410</v>
          </cell>
          <cell r="AA67">
            <v>-2.0606707564595839</v>
          </cell>
          <cell r="AC67">
            <v>79477830</v>
          </cell>
          <cell r="AD67">
            <v>131598100</v>
          </cell>
          <cell r="AE67">
            <v>124280430</v>
          </cell>
          <cell r="AF67">
            <v>133684550</v>
          </cell>
          <cell r="AG67">
            <v>2.3262650306266499</v>
          </cell>
          <cell r="AH67">
            <v>194351760</v>
          </cell>
          <cell r="AI67">
            <v>187430540</v>
          </cell>
          <cell r="AJ67">
            <v>401920910</v>
          </cell>
          <cell r="AK67">
            <v>388033240</v>
          </cell>
          <cell r="AL67">
            <v>65494300</v>
          </cell>
          <cell r="AM67">
            <v>113424280</v>
          </cell>
          <cell r="AN67">
            <v>105158540</v>
          </cell>
          <cell r="AO67">
            <v>113652730</v>
          </cell>
          <cell r="AP67">
            <v>268.82807780834156</v>
          </cell>
          <cell r="AQ67">
            <v>10549610</v>
          </cell>
          <cell r="AR67">
            <v>6001500</v>
          </cell>
          <cell r="AS67">
            <v>5136120</v>
          </cell>
          <cell r="AT67">
            <v>4650030</v>
          </cell>
          <cell r="AU67">
            <v>5.1238067378813499</v>
          </cell>
          <cell r="AV67">
            <v>8408890</v>
          </cell>
          <cell r="AW67">
            <v>13245350</v>
          </cell>
          <cell r="AX67">
            <v>10171080</v>
          </cell>
          <cell r="AY67">
            <v>14579310</v>
          </cell>
          <cell r="AZ67">
            <v>10.646478979387643</v>
          </cell>
          <cell r="BA67">
            <v>-253.05779209107257</v>
          </cell>
          <cell r="BC67">
            <v>14.21645</v>
          </cell>
          <cell r="BD67">
            <v>-22.053699999999999</v>
          </cell>
          <cell r="BE67">
            <v>-31.022729999999999</v>
          </cell>
          <cell r="BF67">
            <v>-94149620</v>
          </cell>
          <cell r="BG67">
            <v>-79895790</v>
          </cell>
          <cell r="BH67">
            <v>-38994150</v>
          </cell>
          <cell r="BI67">
            <v>-47612390</v>
          </cell>
          <cell r="BJ67">
            <v>-0.55571261363960767</v>
          </cell>
          <cell r="BK67">
            <v>-80880</v>
          </cell>
          <cell r="BL67">
            <v>-309630</v>
          </cell>
          <cell r="BM67">
            <v>-221060</v>
          </cell>
          <cell r="BN67">
            <v>-124060</v>
          </cell>
          <cell r="BO67">
            <v>-35440</v>
          </cell>
          <cell r="BP67">
            <v>-266500</v>
          </cell>
          <cell r="BQ67">
            <v>-1634890</v>
          </cell>
          <cell r="BR67">
            <v>-121261250</v>
          </cell>
          <cell r="BS67">
            <v>-70520500</v>
          </cell>
          <cell r="BT67">
            <v>-55961190</v>
          </cell>
          <cell r="BU67">
            <v>-34302850</v>
          </cell>
          <cell r="BV67">
            <v>-37852540</v>
          </cell>
          <cell r="BW67">
            <v>-8.127018174171631E-2</v>
          </cell>
          <cell r="BX67">
            <v>-1.0342321639015382</v>
          </cell>
          <cell r="BY67">
            <v>-86343410</v>
          </cell>
          <cell r="BZ67">
            <v>7806210</v>
          </cell>
          <cell r="CA67">
            <v>-184216080</v>
          </cell>
          <cell r="CB67">
            <v>-160221940</v>
          </cell>
          <cell r="CC67" t="str">
            <v>NULL</v>
          </cell>
          <cell r="CD67" t="str">
            <v>NULL</v>
          </cell>
          <cell r="CE67" t="str">
            <v>NULL</v>
          </cell>
          <cell r="CF67" t="str">
            <v>NULL</v>
          </cell>
          <cell r="CG67" t="str">
            <v>NULL</v>
          </cell>
          <cell r="CH67" t="str">
            <v>NULL</v>
          </cell>
          <cell r="CI67" t="str">
            <v>NULL</v>
          </cell>
          <cell r="CJ67" t="str">
            <v>NULL</v>
          </cell>
          <cell r="CK67">
            <v>-86343410</v>
          </cell>
          <cell r="CL67">
            <v>7806210</v>
          </cell>
          <cell r="CM67">
            <v>-184216080</v>
          </cell>
          <cell r="CN67">
            <v>-160221940</v>
          </cell>
          <cell r="CO67" t="str">
            <v>-</v>
          </cell>
          <cell r="CP67">
            <v>-94149620</v>
          </cell>
          <cell r="CQ67">
            <v>-11037150</v>
          </cell>
          <cell r="CR67">
            <v>-177539480</v>
          </cell>
          <cell r="CS67">
            <v>-137124650</v>
          </cell>
          <cell r="CT67">
            <v>-224724510</v>
          </cell>
          <cell r="CU67">
            <v>-290306760</v>
          </cell>
          <cell r="CV67">
            <v>-216702690</v>
          </cell>
          <cell r="CW67">
            <v>-58410700</v>
          </cell>
          <cell r="CX67">
            <v>-7.5302473917632717</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2.9</v>
          </cell>
          <cell r="DJ67">
            <v>291069963.69999999</v>
          </cell>
          <cell r="DK67">
            <v>280990273.69999999</v>
          </cell>
          <cell r="DM67">
            <v>-86343410</v>
          </cell>
          <cell r="DN67" t="str">
            <v>NULL</v>
          </cell>
          <cell r="DO67" t="str">
            <v>NULL</v>
          </cell>
          <cell r="DP67" t="str">
            <v>NULL</v>
          </cell>
          <cell r="DQ67" t="str">
            <v>NULL</v>
          </cell>
          <cell r="DR67">
            <v>-86343410</v>
          </cell>
          <cell r="DS67">
            <v>-3.37107329557635</v>
          </cell>
          <cell r="DT67">
            <v>-0.93803999999999998</v>
          </cell>
          <cell r="DU67">
            <v>-0.79601999999999995</v>
          </cell>
          <cell r="DV67">
            <v>-0.38851000000000002</v>
          </cell>
          <cell r="DW67">
            <v>-0.47437000000000001</v>
          </cell>
          <cell r="DX67">
            <v>-2.59694</v>
          </cell>
          <cell r="DY67">
            <v>-1.1552057421426756</v>
          </cell>
          <cell r="DZ67">
            <v>0.62056412883046808</v>
          </cell>
          <cell r="EA67">
            <v>-38119040</v>
          </cell>
          <cell r="EB67">
            <v>-7.6358156894822109</v>
          </cell>
          <cell r="EC67" t="str">
            <v>NULL</v>
          </cell>
          <cell r="ED67">
            <v>9.3047085058557993E-2</v>
          </cell>
          <cell r="EE67">
            <v>0.26608536286786499</v>
          </cell>
          <cell r="EG67">
            <v>0.83432517168686138</v>
          </cell>
          <cell r="EH67">
            <v>-0.18111745944922808</v>
          </cell>
          <cell r="EK67" t="str">
            <v>NULL</v>
          </cell>
        </row>
        <row r="68">
          <cell r="A68" t="str">
            <v>REP</v>
          </cell>
          <cell r="B68" t="str">
            <v>REP.BA</v>
          </cell>
          <cell r="C68" t="str">
            <v>REPSOL SA</v>
          </cell>
          <cell r="D68">
            <v>43190</v>
          </cell>
          <cell r="E68">
            <v>429197678716.64099</v>
          </cell>
          <cell r="F68">
            <v>306152090879.96899</v>
          </cell>
          <cell r="G68">
            <v>1.40191</v>
          </cell>
          <cell r="H68">
            <v>1.0501</v>
          </cell>
          <cell r="I68" t="str">
            <v>NULL</v>
          </cell>
          <cell r="J68" t="str">
            <v>NULL</v>
          </cell>
          <cell r="K68">
            <v>520</v>
          </cell>
          <cell r="L68">
            <v>0</v>
          </cell>
          <cell r="M68" t="str">
            <v>NULL</v>
          </cell>
          <cell r="N68">
            <v>0</v>
          </cell>
          <cell r="O68" t="str">
            <v>NULL</v>
          </cell>
          <cell r="P68">
            <v>0</v>
          </cell>
          <cell r="Q68">
            <v>0</v>
          </cell>
          <cell r="S68">
            <v>43.452483540700001</v>
          </cell>
          <cell r="T68" t="str">
            <v>NULL</v>
          </cell>
          <cell r="U68">
            <v>43190</v>
          </cell>
          <cell r="V68">
            <v>1441808851432.9399</v>
          </cell>
          <cell r="W68" t="str">
            <v>NULL</v>
          </cell>
          <cell r="X68">
            <v>1240229457831.3301</v>
          </cell>
          <cell r="Y68" t="str">
            <v>NULL</v>
          </cell>
          <cell r="Z68">
            <v>718823106872.67395</v>
          </cell>
          <cell r="AA68">
            <v>2.0057909068973898</v>
          </cell>
          <cell r="AC68">
            <v>272925322195.116</v>
          </cell>
          <cell r="AD68" t="str">
            <v>NULL</v>
          </cell>
          <cell r="AE68">
            <v>205135843373.49399</v>
          </cell>
          <cell r="AF68" t="str">
            <v>NULL</v>
          </cell>
          <cell r="AG68">
            <v>0.53473638637323828</v>
          </cell>
          <cell r="AH68">
            <v>61398905891.919899</v>
          </cell>
          <cell r="AI68" t="str">
            <v>NULL</v>
          </cell>
          <cell r="AJ68">
            <v>53831566265.060204</v>
          </cell>
          <cell r="AK68" t="str">
            <v>NULL</v>
          </cell>
          <cell r="AL68">
            <v>201045489268.37701</v>
          </cell>
          <cell r="AM68" t="str">
            <v>NULL</v>
          </cell>
          <cell r="AN68">
            <v>145484096385.54199</v>
          </cell>
          <cell r="AO68" t="str">
            <v>NULL</v>
          </cell>
          <cell r="AP68">
            <v>60.686192577078266</v>
          </cell>
          <cell r="AQ68">
            <v>80304218723.047699</v>
          </cell>
          <cell r="AR68" t="str">
            <v>NULL</v>
          </cell>
          <cell r="AS68">
            <v>73620180722.891602</v>
          </cell>
          <cell r="AT68" t="str">
            <v>NULL</v>
          </cell>
          <cell r="AU68">
            <v>58.760687799168977</v>
          </cell>
          <cell r="AV68">
            <v>107708250166.334</v>
          </cell>
          <cell r="AW68" t="str">
            <v>NULL</v>
          </cell>
          <cell r="AX68">
            <v>73293433734.939804</v>
          </cell>
          <cell r="AY68" t="str">
            <v>NULL</v>
          </cell>
          <cell r="AZ68">
            <v>95.324638009328623</v>
          </cell>
          <cell r="BA68">
            <v>93.399133231419341</v>
          </cell>
          <cell r="BC68">
            <v>27.894310000000001</v>
          </cell>
          <cell r="BD68">
            <v>6.6597900000000001</v>
          </cell>
          <cell r="BE68">
            <v>5.0206400000000002</v>
          </cell>
          <cell r="BF68">
            <v>13429462063.5273</v>
          </cell>
          <cell r="BG68" t="str">
            <v>NULL</v>
          </cell>
          <cell r="BH68">
            <v>10762228915.662701</v>
          </cell>
          <cell r="BI68" t="str">
            <v>NULL</v>
          </cell>
          <cell r="BJ68">
            <v>5.0603756844411742E-2</v>
          </cell>
          <cell r="BK68">
            <v>-13181686010.6947</v>
          </cell>
          <cell r="BL68" t="str">
            <v>NULL</v>
          </cell>
          <cell r="BM68">
            <v>-28406566265.0602</v>
          </cell>
          <cell r="BN68" t="str">
            <v>NULL</v>
          </cell>
          <cell r="BO68">
            <v>-6627515813.6860304</v>
          </cell>
          <cell r="BP68">
            <v>-34960736462.068871</v>
          </cell>
          <cell r="BQ68">
            <v>19301754515.66</v>
          </cell>
          <cell r="BR68" t="str">
            <v>NULL</v>
          </cell>
          <cell r="BS68">
            <v>66738072289.156601</v>
          </cell>
          <cell r="BT68" t="str">
            <v>NULL</v>
          </cell>
          <cell r="BU68">
            <v>11111316635.7847</v>
          </cell>
          <cell r="BV68">
            <v>74928510169.031906</v>
          </cell>
          <cell r="BW68">
            <v>8.3603891270743622E-2</v>
          </cell>
          <cell r="BX68">
            <v>1.8039780338429397E-2</v>
          </cell>
          <cell r="BY68">
            <v>718823106872.67395</v>
          </cell>
          <cell r="BZ68" t="str">
            <v>NULL</v>
          </cell>
          <cell r="CA68">
            <v>608362048192.771</v>
          </cell>
          <cell r="CB68" t="str">
            <v>NULL</v>
          </cell>
          <cell r="CC68" t="str">
            <v>NULL</v>
          </cell>
          <cell r="CD68" t="str">
            <v>NULL</v>
          </cell>
          <cell r="CE68" t="str">
            <v>NULL</v>
          </cell>
          <cell r="CF68" t="str">
            <v>NULL</v>
          </cell>
          <cell r="CG68" t="str">
            <v>NULL</v>
          </cell>
          <cell r="CH68" t="str">
            <v>NULL</v>
          </cell>
          <cell r="CI68" t="str">
            <v>NULL</v>
          </cell>
          <cell r="CJ68" t="str">
            <v>NULL</v>
          </cell>
          <cell r="CK68">
            <v>718823106872.67395</v>
          </cell>
          <cell r="CL68" t="e">
            <v>#VALUE!</v>
          </cell>
          <cell r="CM68">
            <v>608362048192.771</v>
          </cell>
          <cell r="CN68">
            <v>0</v>
          </cell>
          <cell r="CO68" t="e">
            <v>#VALUE!</v>
          </cell>
          <cell r="CP68">
            <v>13429462063.5273</v>
          </cell>
          <cell r="CQ68">
            <v>11274959001.554701</v>
          </cell>
          <cell r="CR68">
            <v>47309741965.667397</v>
          </cell>
          <cell r="CS68">
            <v>23951007148.864601</v>
          </cell>
          <cell r="CT68">
            <v>-19639652262.681801</v>
          </cell>
          <cell r="CU68">
            <v>10486061815.7624</v>
          </cell>
          <cell r="CV68">
            <v>7873715534.5410604</v>
          </cell>
          <cell r="CW68">
            <v>8514612360.1435499</v>
          </cell>
          <cell r="CX68">
            <v>0.19108744091003027</v>
          </cell>
          <cell r="CY68">
            <v>0.11567511873306144</v>
          </cell>
          <cell r="CZ68">
            <v>0.97527150618842007</v>
          </cell>
          <cell r="DA68">
            <v>2.2195229746697196</v>
          </cell>
          <cell r="DB68">
            <v>-2.8729292853452324</v>
          </cell>
          <cell r="DC68">
            <v>0.33178062755268267</v>
          </cell>
          <cell r="DD68">
            <v>-7.527022940028294E-2</v>
          </cell>
          <cell r="DE68">
            <v>1.8828170218616374</v>
          </cell>
          <cell r="DG68">
            <v>6.8676770381735102</v>
          </cell>
          <cell r="DH68">
            <v>1519408403</v>
          </cell>
          <cell r="DI68">
            <v>515</v>
          </cell>
          <cell r="DJ68">
            <v>754806711500</v>
          </cell>
          <cell r="DK68">
            <v>1082198548758.62</v>
          </cell>
          <cell r="DM68">
            <v>718823106872.67395</v>
          </cell>
          <cell r="DN68" t="str">
            <v>NULL</v>
          </cell>
          <cell r="DO68" t="str">
            <v>NULL</v>
          </cell>
          <cell r="DP68">
            <v>44178470220.053703</v>
          </cell>
          <cell r="DQ68">
            <v>68980853108.597595</v>
          </cell>
          <cell r="DR68">
            <v>605663783544.02271</v>
          </cell>
          <cell r="DS68">
            <v>1.2462470631532103</v>
          </cell>
          <cell r="DT68">
            <v>8.6302876962125108</v>
          </cell>
          <cell r="DU68" t="str">
            <v>NULL</v>
          </cell>
          <cell r="DV68">
            <v>6.8424903614457797</v>
          </cell>
          <cell r="DW68" t="str">
            <v>NULL</v>
          </cell>
          <cell r="DX68">
            <v>15.472778057658291</v>
          </cell>
          <cell r="DY68">
            <v>33.607410257049779</v>
          </cell>
          <cell r="DZ68">
            <v>1.578891501471839</v>
          </cell>
          <cell r="EA68">
            <v>39967773706.963036</v>
          </cell>
          <cell r="EB68">
            <v>18.885382934614153</v>
          </cell>
          <cell r="EC68">
            <v>13.698630136986299</v>
          </cell>
          <cell r="ED68">
            <v>0.38860873030784299</v>
          </cell>
          <cell r="EE68">
            <v>0.32900107869061601</v>
          </cell>
          <cell r="EG68">
            <v>0.37910144124659184</v>
          </cell>
          <cell r="EH68">
            <v>-5.743285098757589E-2</v>
          </cell>
          <cell r="EK68">
            <v>4.1941018759805804</v>
          </cell>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67.05</v>
          </cell>
          <cell r="L69">
            <v>0</v>
          </cell>
          <cell r="M69">
            <v>0.20624999999999999</v>
          </cell>
          <cell r="N69">
            <v>0.20624999999999999</v>
          </cell>
          <cell r="O69">
            <v>0.13750000000000001</v>
          </cell>
          <cell r="P69">
            <v>0.55000000000000004</v>
          </cell>
          <cell r="Q69">
            <v>8.2028337061894122E-3</v>
          </cell>
          <cell r="S69">
            <v>117.656626018</v>
          </cell>
          <cell r="T69">
            <v>120.084854507</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16.066012642448101</v>
          </cell>
          <cell r="DH69">
            <v>72534732</v>
          </cell>
          <cell r="DI69">
            <v>67.05</v>
          </cell>
          <cell r="DJ69">
            <v>4863281395.0500002</v>
          </cell>
          <cell r="DK69">
            <v>5446429215.0500002</v>
          </cell>
          <cell r="DM69">
            <v>617287130</v>
          </cell>
          <cell r="DN69" t="str">
            <v>NULL</v>
          </cell>
          <cell r="DO69" t="str">
            <v>NULL</v>
          </cell>
          <cell r="DP69" t="str">
            <v>NULL</v>
          </cell>
          <cell r="DQ69" t="str">
            <v>NULL</v>
          </cell>
          <cell r="DR69">
            <v>617287130</v>
          </cell>
          <cell r="DS69">
            <v>7.8784752811062173</v>
          </cell>
          <cell r="DT69">
            <v>0.24037</v>
          </cell>
          <cell r="DU69">
            <v>0.27333000000000002</v>
          </cell>
          <cell r="DV69">
            <v>0.41349999999999998</v>
          </cell>
          <cell r="DW69">
            <v>0.15619</v>
          </cell>
          <cell r="DX69">
            <v>1.0833900000000001</v>
          </cell>
          <cell r="DY69">
            <v>61.889070417855059</v>
          </cell>
          <cell r="DZ69">
            <v>2.5269196036198673</v>
          </cell>
          <cell r="EA69">
            <v>-131171760</v>
          </cell>
          <cell r="EB69">
            <v>-37.075673872562206</v>
          </cell>
          <cell r="EC69">
            <v>61.889070417855102</v>
          </cell>
          <cell r="ED69">
            <v>0.107931196626415</v>
          </cell>
          <cell r="EE69">
            <v>0.16276941655163199</v>
          </cell>
          <cell r="EG69">
            <v>0.3795516594322953</v>
          </cell>
          <cell r="EH69">
            <v>6.4940470102737624E-2</v>
          </cell>
          <cell r="EK69">
            <v>0.82028337061894097</v>
          </cell>
        </row>
        <row r="70">
          <cell r="A70" t="str">
            <v>ROSE</v>
          </cell>
          <cell r="B70" t="str">
            <v>ROS.BA</v>
          </cell>
          <cell r="C70" t="str">
            <v>INSTITUTO ROSENBUSCH SA DE BIOLOGIA EXPERIMENTAL AGROPECUARIA</v>
          </cell>
          <cell r="D70">
            <v>43190</v>
          </cell>
          <cell r="E70">
            <v>200252530</v>
          </cell>
          <cell r="F70">
            <v>135563270</v>
          </cell>
          <cell r="G70">
            <v>1.47719</v>
          </cell>
          <cell r="H70">
            <v>0.93306999999999995</v>
          </cell>
          <cell r="I70">
            <v>1.64053</v>
          </cell>
          <cell r="J70">
            <v>0.97609000000000001</v>
          </cell>
          <cell r="K70">
            <v>7.9</v>
          </cell>
          <cell r="L70">
            <v>0</v>
          </cell>
          <cell r="M70" t="str">
            <v>NULL</v>
          </cell>
          <cell r="N70">
            <v>0</v>
          </cell>
          <cell r="O70">
            <v>0</v>
          </cell>
          <cell r="P70">
            <v>0</v>
          </cell>
          <cell r="Q70">
            <v>0</v>
          </cell>
          <cell r="S70">
            <v>71.810429989100001</v>
          </cell>
          <cell r="T70">
            <v>55.547686481</v>
          </cell>
          <cell r="U70">
            <v>43190</v>
          </cell>
          <cell r="V70">
            <v>240032870</v>
          </cell>
          <cell r="W70">
            <v>213524590</v>
          </cell>
          <cell r="X70">
            <v>214342580</v>
          </cell>
          <cell r="Y70">
            <v>205528520</v>
          </cell>
          <cell r="Z70">
            <v>76679850</v>
          </cell>
          <cell r="AA70">
            <v>3.1303252418986212</v>
          </cell>
          <cell r="AC70">
            <v>41274600</v>
          </cell>
          <cell r="AD70">
            <v>47307820</v>
          </cell>
          <cell r="AE70">
            <v>32167680</v>
          </cell>
          <cell r="AF70">
            <v>47608860</v>
          </cell>
          <cell r="AG70">
            <v>0.96373443102195344</v>
          </cell>
          <cell r="AH70">
            <v>34366360</v>
          </cell>
          <cell r="AI70">
            <v>36181530</v>
          </cell>
          <cell r="AJ70">
            <v>31270810</v>
          </cell>
          <cell r="AK70">
            <v>28827220</v>
          </cell>
          <cell r="AL70">
            <v>30814480</v>
          </cell>
          <cell r="AM70">
            <v>30834870</v>
          </cell>
          <cell r="AN70">
            <v>22086470</v>
          </cell>
          <cell r="AO70">
            <v>28787930</v>
          </cell>
          <cell r="AP70">
            <v>105.94599095746453</v>
          </cell>
          <cell r="AQ70">
            <v>80312970</v>
          </cell>
          <cell r="AR70">
            <v>69374590</v>
          </cell>
          <cell r="AS70">
            <v>75820140</v>
          </cell>
          <cell r="AT70">
            <v>79390940</v>
          </cell>
          <cell r="AU70">
            <v>165.25405538261819</v>
          </cell>
          <cell r="AV70">
            <v>73762760</v>
          </cell>
          <cell r="AW70">
            <v>73846230</v>
          </cell>
          <cell r="AX70">
            <v>74790580</v>
          </cell>
          <cell r="AY70">
            <v>67893620</v>
          </cell>
          <cell r="AZ70">
            <v>235.41033415167908</v>
          </cell>
          <cell r="BA70">
            <v>294.71839857683273</v>
          </cell>
          <cell r="BC70">
            <v>33.270710000000001</v>
          </cell>
          <cell r="BD70">
            <v>0.42232999999999998</v>
          </cell>
          <cell r="BE70">
            <v>-4.2009999999999999E-2</v>
          </cell>
          <cell r="BF70">
            <v>-2051220</v>
          </cell>
          <cell r="BG70">
            <v>-3208230</v>
          </cell>
          <cell r="BH70">
            <v>-928390</v>
          </cell>
          <cell r="BI70">
            <v>2060510</v>
          </cell>
          <cell r="BJ70">
            <v>-2.4515059964732498E-2</v>
          </cell>
          <cell r="BK70">
            <v>-399100</v>
          </cell>
          <cell r="BL70">
            <v>-1952820</v>
          </cell>
          <cell r="BM70">
            <v>-1322500</v>
          </cell>
          <cell r="BN70">
            <v>-103980</v>
          </cell>
          <cell r="BO70">
            <v>-29120</v>
          </cell>
          <cell r="BP70">
            <v>-1692480</v>
          </cell>
          <cell r="BQ70">
            <v>-1685440</v>
          </cell>
          <cell r="BR70">
            <v>-9034590</v>
          </cell>
          <cell r="BS70">
            <v>-16378180</v>
          </cell>
          <cell r="BT70">
            <v>-5331600</v>
          </cell>
          <cell r="BU70">
            <v>-805500</v>
          </cell>
          <cell r="BV70">
            <v>-17258120</v>
          </cell>
          <cell r="BW70">
            <v>-0.11256068581084132</v>
          </cell>
          <cell r="BX70">
            <v>-1.8901740515560882E-2</v>
          </cell>
          <cell r="BY70">
            <v>76679850</v>
          </cell>
          <cell r="BZ70">
            <v>77109170</v>
          </cell>
          <cell r="CA70">
            <v>80075750</v>
          </cell>
          <cell r="CB70">
            <v>81004130</v>
          </cell>
          <cell r="CC70" t="str">
            <v>NULL</v>
          </cell>
          <cell r="CD70" t="str">
            <v>NULL</v>
          </cell>
          <cell r="CE70" t="str">
            <v>NULL</v>
          </cell>
          <cell r="CF70" t="str">
            <v>NULL</v>
          </cell>
          <cell r="CG70" t="str">
            <v>NULL</v>
          </cell>
          <cell r="CH70" t="str">
            <v>NULL</v>
          </cell>
          <cell r="CI70" t="str">
            <v>NULL</v>
          </cell>
          <cell r="CJ70" t="str">
            <v>NULL</v>
          </cell>
          <cell r="CK70">
            <v>76679850</v>
          </cell>
          <cell r="CL70">
            <v>77109170</v>
          </cell>
          <cell r="CM70">
            <v>80075750</v>
          </cell>
          <cell r="CN70">
            <v>81004130</v>
          </cell>
          <cell r="CO70">
            <v>-5.2432361532053502E-2</v>
          </cell>
          <cell r="CP70">
            <v>-2051220</v>
          </cell>
          <cell r="CQ70">
            <v>2003790</v>
          </cell>
          <cell r="CR70">
            <v>-72320</v>
          </cell>
          <cell r="CS70">
            <v>10162700</v>
          </cell>
          <cell r="CT70">
            <v>-727460</v>
          </cell>
          <cell r="CU70">
            <v>8346230</v>
          </cell>
          <cell r="CV70">
            <v>-9120270</v>
          </cell>
          <cell r="CW70">
            <v>9284000</v>
          </cell>
          <cell r="CX70">
            <v>-2.0236701450750827</v>
          </cell>
          <cell r="CY70">
            <v>2.5617208176944217</v>
          </cell>
          <cell r="CZ70">
            <v>-1.0071162191149989</v>
          </cell>
          <cell r="DA70">
            <v>14.9701151953372</v>
          </cell>
          <cell r="DB70">
            <v>-1.0871603107031558</v>
          </cell>
          <cell r="DC70">
            <v>1.9151297055898564</v>
          </cell>
          <cell r="DD70">
            <v>-1.9823642826367944</v>
          </cell>
          <cell r="DE70">
            <v>7.0902392727767003</v>
          </cell>
          <cell r="DG70">
            <v>29.4314091874345</v>
          </cell>
          <cell r="DH70">
            <v>42589465</v>
          </cell>
          <cell r="DI70">
            <v>7.9</v>
          </cell>
          <cell r="DJ70">
            <v>336456773.5</v>
          </cell>
          <cell r="DK70">
            <v>393747813.5</v>
          </cell>
          <cell r="DM70">
            <v>76679850</v>
          </cell>
          <cell r="DN70" t="str">
            <v>NULL</v>
          </cell>
          <cell r="DO70" t="str">
            <v>NULL</v>
          </cell>
          <cell r="DP70">
            <v>550</v>
          </cell>
          <cell r="DQ70" t="str">
            <v>NULL</v>
          </cell>
          <cell r="DR70">
            <v>76679300</v>
          </cell>
          <cell r="DS70">
            <v>4.3878435705594603</v>
          </cell>
          <cell r="DT70">
            <v>-4.8160000000000001E-2</v>
          </cell>
          <cell r="DU70">
            <v>-7.5329999999999994E-2</v>
          </cell>
          <cell r="DV70">
            <v>-2.18E-2</v>
          </cell>
          <cell r="DW70">
            <v>4.8379999999999999E-2</v>
          </cell>
          <cell r="DX70">
            <v>-9.6909999999999968E-2</v>
          </cell>
          <cell r="DY70">
            <v>-81.518935094417529</v>
          </cell>
          <cell r="DZ70">
            <v>1.9984488707936898</v>
          </cell>
          <cell r="EA70">
            <v>-18950600</v>
          </cell>
          <cell r="EB70">
            <v>-17.754412709887813</v>
          </cell>
          <cell r="EC70" t="str">
            <v>NULL</v>
          </cell>
          <cell r="ED70">
            <v>0.25615912845598998</v>
          </cell>
          <cell r="EE70">
            <v>0.365697913399192</v>
          </cell>
          <cell r="EG70">
            <v>0.41492525226715876</v>
          </cell>
          <cell r="EH70">
            <v>-6.8926640995659261E-2</v>
          </cell>
          <cell r="EK70" t="str">
            <v>NULL</v>
          </cell>
        </row>
        <row r="71">
          <cell r="A71" t="str">
            <v>SAMI</v>
          </cell>
          <cell r="B71" t="str">
            <v>SMI.BA</v>
          </cell>
          <cell r="C71" t="str">
            <v>S.A. SAN MIGUEL AGICI Y F-B</v>
          </cell>
          <cell r="D71">
            <v>43190</v>
          </cell>
          <cell r="E71">
            <v>3668069000</v>
          </cell>
          <cell r="F71">
            <v>4040556000</v>
          </cell>
          <cell r="G71">
            <v>0.90781000000000001</v>
          </cell>
          <cell r="H71">
            <v>0.39406999999999998</v>
          </cell>
          <cell r="I71">
            <v>0.88082000000000005</v>
          </cell>
          <cell r="J71">
            <v>0.47154000000000001</v>
          </cell>
          <cell r="K71">
            <v>104.5</v>
          </cell>
          <cell r="L71">
            <v>0</v>
          </cell>
          <cell r="M71" t="str">
            <v>NULL</v>
          </cell>
          <cell r="N71">
            <v>0</v>
          </cell>
          <cell r="O71">
            <v>0</v>
          </cell>
          <cell r="P71">
            <v>0</v>
          </cell>
          <cell r="Q71">
            <v>0</v>
          </cell>
          <cell r="S71">
            <v>167.9038743447</v>
          </cell>
          <cell r="T71">
            <v>125.93121200900001</v>
          </cell>
          <cell r="U71">
            <v>43190</v>
          </cell>
          <cell r="V71">
            <v>8394349000</v>
          </cell>
          <cell r="W71">
            <v>7077859000</v>
          </cell>
          <cell r="X71">
            <v>8400448000</v>
          </cell>
          <cell r="Y71">
            <v>6995684710</v>
          </cell>
          <cell r="Z71">
            <v>2727971000</v>
          </cell>
          <cell r="AA71">
            <v>3.0771401162255758</v>
          </cell>
          <cell r="AC71">
            <v>258416000</v>
          </cell>
          <cell r="AD71">
            <v>954919000</v>
          </cell>
          <cell r="AE71">
            <v>1683484130</v>
          </cell>
          <cell r="AF71">
            <v>1085626030</v>
          </cell>
          <cell r="AG71">
            <v>0.64506861987031328</v>
          </cell>
          <cell r="AH71">
            <v>628127000</v>
          </cell>
          <cell r="AI71">
            <v>939598000</v>
          </cell>
          <cell r="AJ71">
            <v>1214693000</v>
          </cell>
          <cell r="AK71">
            <v>1547488480</v>
          </cell>
          <cell r="AL71">
            <v>231158000</v>
          </cell>
          <cell r="AM71">
            <v>803119000</v>
          </cell>
          <cell r="AN71">
            <v>1437536070</v>
          </cell>
          <cell r="AO71">
            <v>779527940</v>
          </cell>
          <cell r="AP71">
            <v>121.52030964601896</v>
          </cell>
          <cell r="AQ71">
            <v>443761000</v>
          </cell>
          <cell r="AR71">
            <v>429543000</v>
          </cell>
          <cell r="AS71">
            <v>1625230000</v>
          </cell>
          <cell r="AT71">
            <v>1010250640</v>
          </cell>
          <cell r="AU71">
            <v>80.396988668137737</v>
          </cell>
          <cell r="AV71">
            <v>2075809000</v>
          </cell>
          <cell r="AW71">
            <v>1295663000</v>
          </cell>
          <cell r="AX71">
            <v>1521317000</v>
          </cell>
          <cell r="AY71">
            <v>1604393380</v>
          </cell>
          <cell r="AZ71">
            <v>182.34565071813248</v>
          </cell>
          <cell r="BA71">
            <v>141.22232974025121</v>
          </cell>
          <cell r="BC71">
            <v>19.01322</v>
          </cell>
          <cell r="BD71">
            <v>-2.5924299999999998</v>
          </cell>
          <cell r="BE71">
            <v>4.3808699999999998</v>
          </cell>
          <cell r="BF71">
            <v>81089000</v>
          </cell>
          <cell r="BG71">
            <v>38231000</v>
          </cell>
          <cell r="BH71">
            <v>240609130</v>
          </cell>
          <cell r="BI71">
            <v>-25322950</v>
          </cell>
          <cell r="BJ71">
            <v>8.4020285667913627E-2</v>
          </cell>
          <cell r="BK71">
            <v>-212320000</v>
          </cell>
          <cell r="BL71">
            <v>-490579000</v>
          </cell>
          <cell r="BM71">
            <v>-270966000</v>
          </cell>
          <cell r="BN71">
            <v>-136955080</v>
          </cell>
          <cell r="BO71">
            <v>-78513000</v>
          </cell>
          <cell r="BP71">
            <v>-404773000</v>
          </cell>
          <cell r="BQ71">
            <v>-1034746000</v>
          </cell>
          <cell r="BR71">
            <v>-20277000</v>
          </cell>
          <cell r="BS71">
            <v>-1982375000</v>
          </cell>
          <cell r="BT71">
            <v>-1294747830</v>
          </cell>
          <cell r="BU71">
            <v>-645290000</v>
          </cell>
          <cell r="BV71">
            <v>-2371831000</v>
          </cell>
          <cell r="BW71">
            <v>-0.69721085625696355</v>
          </cell>
          <cell r="BX71">
            <v>4.3359140440173013E-2</v>
          </cell>
          <cell r="BY71">
            <v>2727971000</v>
          </cell>
          <cell r="BZ71">
            <v>2432663000</v>
          </cell>
          <cell r="CA71">
            <v>2189542000</v>
          </cell>
          <cell r="CB71">
            <v>1903202290</v>
          </cell>
          <cell r="CC71" t="str">
            <v>NULL</v>
          </cell>
          <cell r="CD71" t="str">
            <v>NULL</v>
          </cell>
          <cell r="CE71" t="str">
            <v>NULL</v>
          </cell>
          <cell r="CF71" t="str">
            <v>NULL</v>
          </cell>
          <cell r="CG71" t="str">
            <v>NULL</v>
          </cell>
          <cell r="CH71" t="str">
            <v>NULL</v>
          </cell>
          <cell r="CI71" t="str">
            <v>NULL</v>
          </cell>
          <cell r="CJ71" t="str">
            <v>NULL</v>
          </cell>
          <cell r="CK71">
            <v>2727971000</v>
          </cell>
          <cell r="CL71">
            <v>2432663000</v>
          </cell>
          <cell r="CM71">
            <v>2189542000</v>
          </cell>
          <cell r="CN71">
            <v>1903202290</v>
          </cell>
          <cell r="CO71">
            <v>0.14464173819051765</v>
          </cell>
          <cell r="CP71">
            <v>81089000</v>
          </cell>
          <cell r="CQ71">
            <v>-84292000</v>
          </cell>
          <cell r="CR71">
            <v>169224000</v>
          </cell>
          <cell r="CS71">
            <v>230741690</v>
          </cell>
          <cell r="CT71">
            <v>-65092850</v>
          </cell>
          <cell r="CU71">
            <v>298878460</v>
          </cell>
          <cell r="CV71">
            <v>93683650</v>
          </cell>
          <cell r="CW71">
            <v>20394660</v>
          </cell>
          <cell r="CX71">
            <v>1.962001138898116</v>
          </cell>
          <cell r="CY71">
            <v>1.7688485366016586</v>
          </cell>
          <cell r="CZ71">
            <v>-0.26660847461072168</v>
          </cell>
          <cell r="DA71">
            <v>4.544808531198127</v>
          </cell>
          <cell r="DB71">
            <v>-1.2177903687003742</v>
          </cell>
          <cell r="DC71">
            <v>2.1902947846289083</v>
          </cell>
          <cell r="DD71">
            <v>3.5935382104923548</v>
          </cell>
          <cell r="DE71">
            <v>2.463542187214224</v>
          </cell>
          <cell r="DG71">
            <v>234.38796976621899</v>
          </cell>
          <cell r="DH71">
            <v>40713530</v>
          </cell>
          <cell r="DI71">
            <v>101.95</v>
          </cell>
          <cell r="DJ71">
            <v>7253843226.6000004</v>
          </cell>
          <cell r="DK71">
            <v>8473038383.5</v>
          </cell>
          <cell r="DM71">
            <v>2727971000</v>
          </cell>
          <cell r="DN71" t="str">
            <v>NULL</v>
          </cell>
          <cell r="DO71" t="str">
            <v>NULL</v>
          </cell>
          <cell r="DP71">
            <v>6843000</v>
          </cell>
          <cell r="DQ71">
            <v>1085000</v>
          </cell>
          <cell r="DR71">
            <v>2720043000</v>
          </cell>
          <cell r="DS71">
            <v>2.6668119682666784</v>
          </cell>
          <cell r="DT71">
            <v>0.1051</v>
          </cell>
          <cell r="DU71">
            <v>5.373E-2</v>
          </cell>
          <cell r="DV71">
            <v>0.33817000000000003</v>
          </cell>
          <cell r="DW71">
            <v>-3.5589999999999997E-2</v>
          </cell>
          <cell r="DX71">
            <v>0.46140999999999999</v>
          </cell>
          <cell r="DY71">
            <v>226.47970351747904</v>
          </cell>
          <cell r="DZ71">
            <v>1.8214546428556471</v>
          </cell>
          <cell r="EA71">
            <v>-2776604000</v>
          </cell>
          <cell r="EB71">
            <v>-2.6124874942915879</v>
          </cell>
          <cell r="EC71">
            <v>220.95316529767501</v>
          </cell>
          <cell r="ED71">
            <v>0.86854757619135503</v>
          </cell>
          <cell r="EE71">
            <v>0.83664165804153001</v>
          </cell>
          <cell r="EG71">
            <v>0.61207070394539698</v>
          </cell>
          <cell r="EH71">
            <v>0.25395819455079693</v>
          </cell>
          <cell r="EK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3.22</v>
          </cell>
          <cell r="L72">
            <v>2.5090000000000001E-2</v>
          </cell>
          <cell r="M72">
            <v>0</v>
          </cell>
          <cell r="N72">
            <v>0</v>
          </cell>
          <cell r="O72">
            <v>0</v>
          </cell>
          <cell r="P72">
            <v>2.5090000000000001E-2</v>
          </cell>
          <cell r="Q72">
            <v>7.7919254658385092E-3</v>
          </cell>
          <cell r="S72">
            <v>54.060166314999996</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12.060722520226401</v>
          </cell>
          <cell r="DH72">
            <v>167900000</v>
          </cell>
          <cell r="DI72">
            <v>3.16</v>
          </cell>
          <cell r="DJ72">
            <v>530564000</v>
          </cell>
          <cell r="DK72">
            <v>610447440.00000095</v>
          </cell>
          <cell r="DM72">
            <v>182937580</v>
          </cell>
          <cell r="DN72" t="str">
            <v>NULL</v>
          </cell>
          <cell r="DO72" t="str">
            <v>NULL</v>
          </cell>
          <cell r="DP72" t="str">
            <v>NULL</v>
          </cell>
          <cell r="DQ72" t="str">
            <v>NULL</v>
          </cell>
          <cell r="DR72">
            <v>182937580</v>
          </cell>
          <cell r="DS72">
            <v>2.9002460839374828</v>
          </cell>
          <cell r="DT72">
            <v>7.4099999999999999E-3</v>
          </cell>
          <cell r="DU72">
            <v>1.9390000000000001E-2</v>
          </cell>
          <cell r="DV72">
            <v>4.2279999999999998E-2</v>
          </cell>
          <cell r="DW72">
            <v>2.743E-2</v>
          </cell>
          <cell r="DX72">
            <v>9.6509999999999999E-2</v>
          </cell>
          <cell r="DY72">
            <v>33.364418195005705</v>
          </cell>
          <cell r="DZ72">
            <v>0.76781842759305829</v>
          </cell>
          <cell r="EA72">
            <v>-43671480</v>
          </cell>
          <cell r="EB72">
            <v>-12.148981440519076</v>
          </cell>
          <cell r="EC72">
            <v>32.742720961558398</v>
          </cell>
          <cell r="ED72">
            <v>0.55398279688219798</v>
          </cell>
          <cell r="EE72">
            <v>0.65346622171403701</v>
          </cell>
          <cell r="EG72">
            <v>0.49072762288044341</v>
          </cell>
          <cell r="EH72">
            <v>-6.7770730480263386E-2</v>
          </cell>
          <cell r="EK72">
            <v>0.79398021518987305</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152.5</v>
          </cell>
          <cell r="L73">
            <v>1.61054434341194</v>
          </cell>
          <cell r="M73" t="str">
            <v>NULL</v>
          </cell>
          <cell r="N73">
            <v>1.22530120481928</v>
          </cell>
          <cell r="O73" t="str">
            <v>NULL</v>
          </cell>
          <cell r="P73">
            <v>2.8358455482312199</v>
          </cell>
          <cell r="Q73">
            <v>1.8595708512991607E-2</v>
          </cell>
          <cell r="S73">
            <v>235.853129475</v>
          </cell>
          <cell r="T73" t="str">
            <v>NULL</v>
          </cell>
          <cell r="U73">
            <v>43190</v>
          </cell>
          <cell r="V73">
            <v>35641841871811.898</v>
          </cell>
          <cell r="W73" t="str">
            <v>NULL</v>
          </cell>
          <cell r="X73">
            <v>29979648795180.699</v>
          </cell>
          <cell r="Y73" t="str">
            <v>NULL</v>
          </cell>
          <cell r="Z73">
            <v>2353079618540.7002</v>
          </cell>
          <cell r="AA73">
            <v>15.1468915845337</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v>50893201251.817398</v>
          </cell>
          <cell r="BG73" t="str">
            <v>NULL</v>
          </cell>
          <cell r="BH73">
            <v>40373674698.795197</v>
          </cell>
          <cell r="BI73" t="str">
            <v>NULL</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2.781615444055115E-3</v>
          </cell>
          <cell r="BY73">
            <v>2353079618540.7002</v>
          </cell>
          <cell r="BZ73" t="str">
            <v>NULL</v>
          </cell>
          <cell r="CA73">
            <v>1958419337349.3999</v>
          </cell>
          <cell r="CB73" t="str">
            <v>NULL</v>
          </cell>
          <cell r="CC73" t="str">
            <v>NULL</v>
          </cell>
          <cell r="CD73" t="str">
            <v>NULL</v>
          </cell>
          <cell r="CE73" t="str">
            <v>NULL</v>
          </cell>
          <cell r="CF73" t="str">
            <v>NULL</v>
          </cell>
          <cell r="CG73" t="str">
            <v>NULL</v>
          </cell>
          <cell r="CH73" t="str">
            <v>NULL</v>
          </cell>
          <cell r="CI73" t="str">
            <v>NULL</v>
          </cell>
          <cell r="CJ73" t="str">
            <v>NULL</v>
          </cell>
          <cell r="CK73">
            <v>2353079618540.7002</v>
          </cell>
          <cell r="CL73" t="e">
            <v>#VALUE!</v>
          </cell>
          <cell r="CM73">
            <v>1958419337349.3999</v>
          </cell>
          <cell r="CN73">
            <v>0</v>
          </cell>
          <cell r="CO73" t="e">
            <v>#VALUE!</v>
          </cell>
          <cell r="CP73">
            <v>50893201251.817398</v>
          </cell>
          <cell r="CQ73">
            <v>30552029689.263699</v>
          </cell>
          <cell r="CR73">
            <v>147639406916.90399</v>
          </cell>
          <cell r="CS73">
            <v>103404348191.758</v>
          </cell>
          <cell r="CT73">
            <v>83812707724.720596</v>
          </cell>
          <cell r="CU73">
            <v>60354259239.097603</v>
          </cell>
          <cell r="CV73">
            <v>37532273139.621201</v>
          </cell>
          <cell r="CW73">
            <v>14350980314.545099</v>
          </cell>
          <cell r="CX73">
            <v>0.66578789590865717</v>
          </cell>
          <cell r="CY73">
            <v>0.65471904538243175</v>
          </cell>
          <cell r="CZ73">
            <v>0.42778722073770425</v>
          </cell>
          <cell r="DA73">
            <v>0.23375501160737278</v>
          </cell>
          <cell r="DB73">
            <v>0.38867925447797669</v>
          </cell>
          <cell r="DC73">
            <v>0.60806298660829627</v>
          </cell>
          <cell r="DD73">
            <v>1.6153107534808089</v>
          </cell>
          <cell r="DE73">
            <v>0.55326285764565264</v>
          </cell>
          <cell r="DG73">
            <v>9.7340883040089103</v>
          </cell>
          <cell r="DH73">
            <v>16132240242</v>
          </cell>
          <cell r="DI73">
            <v>152.5</v>
          </cell>
          <cell r="DJ73">
            <v>2446187450515</v>
          </cell>
          <cell r="DK73">
            <v>4921793736794.8203</v>
          </cell>
          <cell r="DM73">
            <v>2353079618540.7002</v>
          </cell>
          <cell r="DN73" t="str">
            <v>NULL</v>
          </cell>
          <cell r="DO73" t="str">
            <v>NULL</v>
          </cell>
          <cell r="DP73">
            <v>72127608979.571701</v>
          </cell>
          <cell r="DQ73">
            <v>634604026514.87097</v>
          </cell>
          <cell r="DR73">
            <v>1646347983046.2576</v>
          </cell>
          <cell r="DS73">
            <v>1.4858264933691538</v>
          </cell>
          <cell r="DT73">
            <v>2.9485350287080201</v>
          </cell>
          <cell r="DU73" t="str">
            <v>NULL</v>
          </cell>
          <cell r="DV73">
            <v>1.8600072289156599</v>
          </cell>
          <cell r="DW73" t="str">
            <v>NULL</v>
          </cell>
          <cell r="DX73">
            <v>4.8085422576236798</v>
          </cell>
          <cell r="DY73">
            <v>31.714393225560119</v>
          </cell>
          <cell r="DZ73" t="e">
            <v>#DIV/0!</v>
          </cell>
          <cell r="EA73" t="e">
            <v>#VALUE!</v>
          </cell>
          <cell r="EB73" t="e">
            <v>#VALUE!</v>
          </cell>
          <cell r="EC73">
            <v>11.287584011319399</v>
          </cell>
          <cell r="ED73">
            <v>0.178089175211708</v>
          </cell>
          <cell r="EE73">
            <v>0.199971289296516</v>
          </cell>
          <cell r="EG73">
            <v>0.471818546072648</v>
          </cell>
          <cell r="EH73">
            <v>-8.7565407018131203E-2</v>
          </cell>
          <cell r="EK73">
            <v>3.5831838722785401</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86</v>
          </cell>
          <cell r="L74">
            <v>0</v>
          </cell>
          <cell r="M74">
            <v>0</v>
          </cell>
          <cell r="N74">
            <v>0.18006</v>
          </cell>
          <cell r="O74">
            <v>0</v>
          </cell>
          <cell r="Q74">
            <v>0</v>
          </cell>
          <cell r="S74">
            <v>81.900458494000006</v>
          </cell>
          <cell r="T74">
            <v>71.142428534000004</v>
          </cell>
          <cell r="U74">
            <v>43100</v>
          </cell>
          <cell r="V74">
            <v>93971278000</v>
          </cell>
          <cell r="W74">
            <v>78957704000</v>
          </cell>
          <cell r="X74">
            <v>67183230000</v>
          </cell>
          <cell r="Y74">
            <v>64519039000</v>
          </cell>
          <cell r="Z74">
            <v>15144798000</v>
          </cell>
          <cell r="AA74">
            <v>6.2048551588472822</v>
          </cell>
          <cell r="AC74" t="str">
            <v>NULL</v>
          </cell>
          <cell r="AD74" t="str">
            <v>NULL</v>
          </cell>
          <cell r="AE74" t="str">
            <v>NULL</v>
          </cell>
          <cell r="AF74" t="str">
            <v>NULL</v>
          </cell>
          <cell r="AG74">
            <v>0</v>
          </cell>
          <cell r="AH74">
            <v>7167710000</v>
          </cell>
          <cell r="AI74">
            <v>4513908000</v>
          </cell>
          <cell r="AJ74">
            <v>4611546000</v>
          </cell>
          <cell r="AK74">
            <v>6516059000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851366000</v>
          </cell>
          <cell r="BG74">
            <v>624107000</v>
          </cell>
          <cell r="BH74">
            <v>579708000</v>
          </cell>
          <cell r="BI74">
            <v>381878000</v>
          </cell>
          <cell r="BJ74" t="e">
            <v>#DIV/0!</v>
          </cell>
          <cell r="BK74">
            <v>-320981000</v>
          </cell>
          <cell r="BL74">
            <v>-64652000</v>
          </cell>
          <cell r="BM74">
            <v>-46231000</v>
          </cell>
          <cell r="BN74">
            <v>-26020000</v>
          </cell>
          <cell r="BO74">
            <v>-494253000</v>
          </cell>
          <cell r="BP74">
            <v>127041000</v>
          </cell>
          <cell r="BQ74">
            <v>6961692000</v>
          </cell>
          <cell r="BR74">
            <v>-1082517000</v>
          </cell>
          <cell r="BS74">
            <v>934127000</v>
          </cell>
          <cell r="BT74">
            <v>2422551000</v>
          </cell>
          <cell r="BU74">
            <v>-294347000</v>
          </cell>
          <cell r="BV74">
            <v>8190166000</v>
          </cell>
          <cell r="BW74" t="e">
            <v>#DIV/0!</v>
          </cell>
          <cell r="BX74">
            <v>3.2000118070617777E-2</v>
          </cell>
          <cell r="BY74">
            <v>15144798000</v>
          </cell>
          <cell r="BZ74">
            <v>14300098000</v>
          </cell>
          <cell r="CA74">
            <v>7827637000</v>
          </cell>
          <cell r="CB74">
            <v>7313429000</v>
          </cell>
          <cell r="CC74" t="str">
            <v>NULL</v>
          </cell>
          <cell r="CD74" t="str">
            <v>NULL</v>
          </cell>
          <cell r="CE74" t="str">
            <v>NULL</v>
          </cell>
          <cell r="CF74" t="str">
            <v>NULL</v>
          </cell>
          <cell r="CG74" t="str">
            <v>NULL</v>
          </cell>
          <cell r="CH74" t="str">
            <v>NULL</v>
          </cell>
          <cell r="CI74" t="str">
            <v>NULL</v>
          </cell>
          <cell r="CJ74" t="str">
            <v>NULL</v>
          </cell>
          <cell r="CK74">
            <v>15144798000</v>
          </cell>
          <cell r="CL74">
            <v>14300098000</v>
          </cell>
          <cell r="CM74">
            <v>7827637000</v>
          </cell>
          <cell r="CN74">
            <v>7313429000</v>
          </cell>
          <cell r="CO74">
            <v>0.21863913130325641</v>
          </cell>
          <cell r="CP74">
            <v>851366000</v>
          </cell>
          <cell r="CQ74">
            <v>532260000</v>
          </cell>
          <cell r="CR74">
            <v>2437059000</v>
          </cell>
          <cell r="CS74">
            <v>1311304000</v>
          </cell>
          <cell r="CT74">
            <v>674109000</v>
          </cell>
          <cell r="CU74">
            <v>362920000</v>
          </cell>
          <cell r="CV74">
            <v>372990000</v>
          </cell>
          <cell r="CW74" t="str">
            <v>NULL</v>
          </cell>
          <cell r="CX74">
            <v>0.59953030473828584</v>
          </cell>
          <cell r="CY74">
            <v>0.65855040114497643</v>
          </cell>
          <cell r="CZ74">
            <v>0.85850039350143059</v>
          </cell>
          <cell r="DA74">
            <v>0.94524030980153051</v>
          </cell>
          <cell r="DB74">
            <v>0.8574589441199163</v>
          </cell>
          <cell r="DC74">
            <v>-2.6998042842971692E-2</v>
          </cell>
          <cell r="DD74" t="e">
            <v>#VALUE!</v>
          </cell>
          <cell r="DE74">
            <v>0.45887993371235269</v>
          </cell>
          <cell r="DG74">
            <v>4.2402892679739903</v>
          </cell>
          <cell r="DH74">
            <v>329984134</v>
          </cell>
          <cell r="DI74">
            <v>88.9</v>
          </cell>
          <cell r="DJ74">
            <v>40602614425.800003</v>
          </cell>
          <cell r="DK74">
            <v>17556896512.599998</v>
          </cell>
          <cell r="DM74">
            <v>15144798000</v>
          </cell>
          <cell r="DN74" t="str">
            <v>NULL</v>
          </cell>
          <cell r="DO74" t="str">
            <v>NULL</v>
          </cell>
          <cell r="DP74">
            <v>302458000</v>
          </cell>
          <cell r="DQ74">
            <v>22043000</v>
          </cell>
          <cell r="DR74">
            <v>14820297000</v>
          </cell>
          <cell r="DS74">
            <v>2.7396626684202081</v>
          </cell>
          <cell r="DT74">
            <v>1.86408</v>
          </cell>
          <cell r="DU74">
            <v>1.36649</v>
          </cell>
          <cell r="DV74">
            <v>1.59358</v>
          </cell>
          <cell r="DW74">
            <v>1.04976</v>
          </cell>
          <cell r="DX74">
            <v>5.8739100000000004</v>
          </cell>
          <cell r="DY74">
            <v>14.641014247749794</v>
          </cell>
          <cell r="DZ74" t="e">
            <v>#DIV/0!</v>
          </cell>
          <cell r="EA74">
            <v>8317207000</v>
          </cell>
          <cell r="EB74">
            <v>4.881760719169308</v>
          </cell>
          <cell r="EC74">
            <v>15.1347228677321</v>
          </cell>
          <cell r="ED74">
            <v>1.1589944871781599</v>
          </cell>
          <cell r="EE74">
            <v>1.0924852576952899</v>
          </cell>
          <cell r="EG74" t="str">
            <v>-</v>
          </cell>
          <cell r="EH74" t="str">
            <v>-</v>
          </cell>
          <cell r="EK74">
            <v>0.60022210776152995</v>
          </cell>
        </row>
        <row r="75">
          <cell r="A75" t="str">
            <v>TECO2</v>
          </cell>
          <cell r="B75" t="str">
            <v>TEC2.BA</v>
          </cell>
          <cell r="C75" t="str">
            <v>TELECOM ARGENTINA SA</v>
          </cell>
          <cell r="D75">
            <v>43190</v>
          </cell>
          <cell r="E75">
            <v>26427000000</v>
          </cell>
          <cell r="F75">
            <v>53489000000</v>
          </cell>
          <cell r="G75">
            <v>0.49406</v>
          </cell>
          <cell r="H75">
            <v>0.45643</v>
          </cell>
          <cell r="I75">
            <v>0.82948999999999995</v>
          </cell>
          <cell r="J75">
            <v>0.74517</v>
          </cell>
          <cell r="K75">
            <v>122.45</v>
          </cell>
          <cell r="L75">
            <v>9.2273899999999998</v>
          </cell>
          <cell r="M75">
            <v>4.2823799999999999</v>
          </cell>
          <cell r="N75">
            <v>0</v>
          </cell>
          <cell r="O75">
            <v>0</v>
          </cell>
          <cell r="P75">
            <v>13.50977</v>
          </cell>
          <cell r="Q75">
            <v>0.11032886892609228</v>
          </cell>
          <cell r="S75">
            <v>34.735203716699999</v>
          </cell>
          <cell r="T75">
            <v>49.917699038000002</v>
          </cell>
          <cell r="U75">
            <v>43190</v>
          </cell>
          <cell r="V75">
            <v>223134000000</v>
          </cell>
          <cell r="W75">
            <v>57588000000</v>
          </cell>
          <cell r="X75">
            <v>58035000000</v>
          </cell>
          <cell r="Y75">
            <v>52166000000</v>
          </cell>
          <cell r="Z75">
            <v>127211000000</v>
          </cell>
          <cell r="AA75">
            <v>1.7540464268027136</v>
          </cell>
          <cell r="AC75">
            <v>30698000000</v>
          </cell>
          <cell r="AD75">
            <v>17995000000</v>
          </cell>
          <cell r="AE75">
            <v>16741000000</v>
          </cell>
          <cell r="AF75">
            <v>15841000000</v>
          </cell>
          <cell r="AG75">
            <v>1.0395268508193054</v>
          </cell>
          <cell r="AH75">
            <v>16170000000</v>
          </cell>
          <cell r="AI75">
            <v>11483000000</v>
          </cell>
          <cell r="AJ75">
            <v>10660000000</v>
          </cell>
          <cell r="AK75">
            <v>9963000000</v>
          </cell>
          <cell r="AL75">
            <v>5529000000</v>
          </cell>
          <cell r="AM75">
            <v>3081000000</v>
          </cell>
          <cell r="AN75">
            <v>2850000000</v>
          </cell>
          <cell r="AO75">
            <v>2528000000</v>
          </cell>
          <cell r="AP75">
            <v>314.92600800686301</v>
          </cell>
          <cell r="AQ75">
            <v>11077000000</v>
          </cell>
          <cell r="AR75">
            <v>8636000000</v>
          </cell>
          <cell r="AS75">
            <v>7824000000</v>
          </cell>
          <cell r="AT75">
            <v>7854000000</v>
          </cell>
          <cell r="AU75">
            <v>39.734589357120889</v>
          </cell>
          <cell r="AV75">
            <v>2013000000</v>
          </cell>
          <cell r="AW75">
            <v>1854000000</v>
          </cell>
          <cell r="AX75">
            <v>1951000000</v>
          </cell>
          <cell r="AY75">
            <v>1251000000</v>
          </cell>
          <cell r="AZ75">
            <v>46.114258650271658</v>
          </cell>
          <cell r="BA75">
            <v>-229.07715999947047</v>
          </cell>
          <cell r="BC75">
            <v>83.640289999999993</v>
          </cell>
          <cell r="BD75">
            <v>18.542840000000002</v>
          </cell>
          <cell r="BE75">
            <v>11.68113</v>
          </cell>
          <cell r="BF75">
            <v>3460000000</v>
          </cell>
          <cell r="BG75">
            <v>1989000000</v>
          </cell>
          <cell r="BH75">
            <v>2026000000</v>
          </cell>
          <cell r="BI75">
            <v>1660000000</v>
          </cell>
          <cell r="BJ75">
            <v>0.11239618578898801</v>
          </cell>
          <cell r="BK75">
            <v>-6324000000</v>
          </cell>
          <cell r="BL75">
            <v>-11698000000</v>
          </cell>
          <cell r="BM75">
            <v>-8548000000</v>
          </cell>
          <cell r="BN75">
            <v>-5271000000</v>
          </cell>
          <cell r="BO75">
            <v>-2626000000</v>
          </cell>
          <cell r="BP75">
            <v>-12246000000</v>
          </cell>
          <cell r="BQ75">
            <v>9200000000</v>
          </cell>
          <cell r="BR75">
            <v>19332000000</v>
          </cell>
          <cell r="BS75">
            <v>15568000000</v>
          </cell>
          <cell r="BT75">
            <v>10806000000</v>
          </cell>
          <cell r="BU75">
            <v>5568000000</v>
          </cell>
          <cell r="BV75">
            <v>19200000000</v>
          </cell>
          <cell r="BW75">
            <v>8.5561365733620429E-2</v>
          </cell>
          <cell r="BX75">
            <v>9.3471092772745526E-2</v>
          </cell>
          <cell r="BY75">
            <v>127211000000</v>
          </cell>
          <cell r="BZ75">
            <v>23086000000</v>
          </cell>
          <cell r="CA75">
            <v>25063000000</v>
          </cell>
          <cell r="CB75">
            <v>22999000000</v>
          </cell>
          <cell r="CC75" t="str">
            <v>NULL</v>
          </cell>
          <cell r="CD75" t="str">
            <v>NULL</v>
          </cell>
          <cell r="CE75" t="str">
            <v>NULL</v>
          </cell>
          <cell r="CF75" t="str">
            <v>NULL</v>
          </cell>
          <cell r="CG75" t="str">
            <v>NULL</v>
          </cell>
          <cell r="CH75" t="str">
            <v>NULL</v>
          </cell>
          <cell r="CI75" t="str">
            <v>NULL</v>
          </cell>
          <cell r="CJ75" t="str">
            <v>NULL</v>
          </cell>
          <cell r="CK75">
            <v>127211000000</v>
          </cell>
          <cell r="CL75">
            <v>23086000000</v>
          </cell>
          <cell r="CM75">
            <v>25063000000</v>
          </cell>
          <cell r="CN75">
            <v>22999000000</v>
          </cell>
          <cell r="CO75">
            <v>0.18421145498817801</v>
          </cell>
          <cell r="CP75">
            <v>3460000000</v>
          </cell>
          <cell r="CQ75">
            <v>1955000000</v>
          </cell>
          <cell r="CR75">
            <v>7630000000</v>
          </cell>
          <cell r="CS75">
            <v>3975000000</v>
          </cell>
          <cell r="CT75">
            <v>3403000000</v>
          </cell>
          <cell r="CU75">
            <v>3673000000</v>
          </cell>
          <cell r="CV75">
            <v>3202000000</v>
          </cell>
          <cell r="CW75">
            <v>2685000000</v>
          </cell>
          <cell r="CX75">
            <v>0.76982097186700771</v>
          </cell>
          <cell r="CY75">
            <v>0.27074424405073927</v>
          </cell>
          <cell r="CZ75">
            <v>0.91949685534591197</v>
          </cell>
          <cell r="DA75">
            <v>0.16808698207464001</v>
          </cell>
          <cell r="DB75">
            <v>-7.3509392866866308E-2</v>
          </cell>
          <cell r="DC75">
            <v>0.1470955652717052</v>
          </cell>
          <cell r="DD75">
            <v>0.19255121042830536</v>
          </cell>
          <cell r="DE75">
            <v>0.37793259217108188</v>
          </cell>
          <cell r="DG75">
            <v>3.8104986097903799</v>
          </cell>
          <cell r="DH75">
            <v>643151378</v>
          </cell>
          <cell r="DI75">
            <v>116.65</v>
          </cell>
          <cell r="DJ75">
            <v>114828041083.7</v>
          </cell>
          <cell r="DK75">
            <v>110340608243.7</v>
          </cell>
          <cell r="DM75">
            <v>127211000000</v>
          </cell>
          <cell r="DN75" t="str">
            <v>NULL</v>
          </cell>
          <cell r="DO75" t="str">
            <v>NULL</v>
          </cell>
          <cell r="DP75">
            <v>42351000000</v>
          </cell>
          <cell r="DQ75">
            <v>63817000000</v>
          </cell>
          <cell r="DR75">
            <v>21043000000</v>
          </cell>
          <cell r="DS75">
            <v>5.4568284504918498</v>
          </cell>
          <cell r="DT75">
            <v>1.6065499999999999</v>
          </cell>
          <cell r="DU75">
            <v>2.0522900000000002</v>
          </cell>
          <cell r="DV75">
            <v>2.0904699999999998</v>
          </cell>
          <cell r="DW75">
            <v>1.71282</v>
          </cell>
          <cell r="DX75">
            <v>7.4621299999999993</v>
          </cell>
          <cell r="DY75">
            <v>16.409523822286669</v>
          </cell>
          <cell r="DZ75">
            <v>1.4128334799593971</v>
          </cell>
          <cell r="EA75">
            <v>6954000000</v>
          </cell>
          <cell r="EB75">
            <v>16.512516693083118</v>
          </cell>
          <cell r="EC75">
            <v>15.6322658543874</v>
          </cell>
          <cell r="ED75">
            <v>0.52919064301804297</v>
          </cell>
          <cell r="EE75">
            <v>0.56012067918415698</v>
          </cell>
          <cell r="EG75">
            <v>0.42575200314618866</v>
          </cell>
          <cell r="EH75">
            <v>5.8412781028660987E-2</v>
          </cell>
          <cell r="EK75">
            <v>10.663676833261899</v>
          </cell>
        </row>
        <row r="76">
          <cell r="A76" t="str">
            <v>TEF</v>
          </cell>
          <cell r="B76" t="str">
            <v>TEF.BA</v>
          </cell>
          <cell r="C76" t="str">
            <v>TELEFONICA SA</v>
          </cell>
          <cell r="D76">
            <v>43190</v>
          </cell>
          <cell r="E76">
            <v>516365294103.15198</v>
          </cell>
          <cell r="F76">
            <v>637651671964.71301</v>
          </cell>
          <cell r="G76">
            <v>0.80979000000000001</v>
          </cell>
          <cell r="H76">
            <v>0.76417000000000002</v>
          </cell>
          <cell r="I76">
            <v>0.68572</v>
          </cell>
          <cell r="J76">
            <v>0.64729000000000003</v>
          </cell>
          <cell r="K76">
            <v>242</v>
          </cell>
          <cell r="L76">
            <v>0</v>
          </cell>
          <cell r="M76">
            <v>4.4610789217979603</v>
          </cell>
          <cell r="N76">
            <v>0</v>
          </cell>
          <cell r="O76">
            <v>3.7937927646984901</v>
          </cell>
          <cell r="P76">
            <v>8.2548716864964504</v>
          </cell>
          <cell r="Q76">
            <v>3.4111040026844834E-2</v>
          </cell>
          <cell r="S76">
            <v>315.33731949499997</v>
          </cell>
          <cell r="T76">
            <v>329.46808510599999</v>
          </cell>
          <cell r="U76">
            <v>43190</v>
          </cell>
          <cell r="V76">
            <v>2843800091175.6699</v>
          </cell>
          <cell r="W76">
            <v>2566592536078.02</v>
          </cell>
          <cell r="X76">
            <v>2367935421686.75</v>
          </cell>
          <cell r="Y76">
            <v>2282933765121.1401</v>
          </cell>
          <cell r="Z76">
            <v>439257386461.64502</v>
          </cell>
          <cell r="AA76">
            <v>6.4741087545126215</v>
          </cell>
          <cell r="AC76">
            <v>302039008402.94702</v>
          </cell>
          <cell r="AD76">
            <v>293583603843.52399</v>
          </cell>
          <cell r="AE76">
            <v>260458192771.08401</v>
          </cell>
          <cell r="AF76">
            <v>245818802188.63901</v>
          </cell>
          <cell r="AG76">
            <v>0.54759513410935023</v>
          </cell>
          <cell r="AH76">
            <v>348695239151.32703</v>
          </cell>
          <cell r="AI76">
            <v>336699931622.70099</v>
          </cell>
          <cell r="AJ76">
            <v>291437891566.26501</v>
          </cell>
          <cell r="AK76">
            <v>272887513564.76199</v>
          </cell>
          <cell r="AL76">
            <v>77405238904.906204</v>
          </cell>
          <cell r="AM76">
            <v>84425918595.026505</v>
          </cell>
          <cell r="AN76">
            <v>70291445783.132507</v>
          </cell>
          <cell r="AO76">
            <v>68895276606.924606</v>
          </cell>
          <cell r="AP76">
            <v>378.83797000036117</v>
          </cell>
          <cell r="AQ76">
            <v>267598137059.215</v>
          </cell>
          <cell r="AR76">
            <v>225128347788.534</v>
          </cell>
          <cell r="AS76">
            <v>210813072289.15701</v>
          </cell>
          <cell r="AT76">
            <v>203726671464.30899</v>
          </cell>
          <cell r="AU76">
            <v>75.132110782547073</v>
          </cell>
          <cell r="AV76">
            <v>29088908602.548</v>
          </cell>
          <cell r="AW76">
            <v>24915125778.2416</v>
          </cell>
          <cell r="AX76">
            <v>25077831325.301201</v>
          </cell>
          <cell r="AY76">
            <v>19519063774.373699</v>
          </cell>
          <cell r="AZ76">
            <v>29.889702294031693</v>
          </cell>
          <cell r="BA76">
            <v>-273.81615692378239</v>
          </cell>
          <cell r="BC76">
            <v>52.691890000000001</v>
          </cell>
          <cell r="BD76">
            <v>13.05761</v>
          </cell>
          <cell r="BE76">
            <v>5.49146</v>
          </cell>
          <cell r="BF76">
            <v>20714078016.805901</v>
          </cell>
          <cell r="BG76">
            <v>15457638464.0299</v>
          </cell>
          <cell r="BH76">
            <v>17133795180.7229</v>
          </cell>
          <cell r="BI76">
            <v>15573519299.087299</v>
          </cell>
          <cell r="BJ76">
            <v>6.2509352494720463E-2</v>
          </cell>
          <cell r="BK76">
            <v>-52132081515.9804</v>
          </cell>
          <cell r="BL76">
            <v>-200570108324.03601</v>
          </cell>
          <cell r="BM76">
            <v>-138744939759.03601</v>
          </cell>
          <cell r="BN76">
            <v>-83558285642.484299</v>
          </cell>
          <cell r="BO76">
            <v>-37392280578.450798</v>
          </cell>
          <cell r="BP76">
            <v>-153484740696.56561</v>
          </cell>
          <cell r="BQ76">
            <v>64966881052.709396</v>
          </cell>
          <cell r="BR76">
            <v>307680613236.40601</v>
          </cell>
          <cell r="BS76">
            <v>201419096385.54199</v>
          </cell>
          <cell r="BT76">
            <v>112941210605.07401</v>
          </cell>
          <cell r="BU76">
            <v>44887100930.718002</v>
          </cell>
          <cell r="BV76">
            <v>221498876507.53339</v>
          </cell>
          <cell r="BW76">
            <v>6.1724439655091529E-2</v>
          </cell>
          <cell r="BX76">
            <v>2.7383853927498807E-2</v>
          </cell>
          <cell r="BY76">
            <v>439257386461.64502</v>
          </cell>
          <cell r="BZ76">
            <v>377407276784.10797</v>
          </cell>
          <cell r="CA76">
            <v>354091626506.02399</v>
          </cell>
          <cell r="CB76">
            <v>320139202449.08197</v>
          </cell>
          <cell r="CC76" t="str">
            <v>NULL</v>
          </cell>
          <cell r="CD76" t="str">
            <v>NULL</v>
          </cell>
          <cell r="CE76" t="str">
            <v>NULL</v>
          </cell>
          <cell r="CF76" t="str">
            <v>NULL</v>
          </cell>
          <cell r="CG76" t="str">
            <v>NULL</v>
          </cell>
          <cell r="CH76" t="str">
            <v>NULL</v>
          </cell>
          <cell r="CI76" t="str">
            <v>NULL</v>
          </cell>
          <cell r="CJ76" t="str">
            <v>NULL</v>
          </cell>
          <cell r="CK76">
            <v>439257386461.64502</v>
          </cell>
          <cell r="CL76">
            <v>377407276784.10797</v>
          </cell>
          <cell r="CM76">
            <v>354091626506.02399</v>
          </cell>
          <cell r="CN76">
            <v>320139202449.08197</v>
          </cell>
          <cell r="CO76">
            <v>0.18479908570644832</v>
          </cell>
          <cell r="CP76">
            <v>20714078016.805901</v>
          </cell>
          <cell r="CQ76">
            <v>12747740293.485001</v>
          </cell>
          <cell r="CR76">
            <v>69860495915.356094</v>
          </cell>
          <cell r="CS76">
            <v>39484993692.178299</v>
          </cell>
          <cell r="CT76">
            <v>8653809580.6952591</v>
          </cell>
          <cell r="CU76">
            <v>26468266376.3382</v>
          </cell>
          <cell r="CV76">
            <v>41142179124.171898</v>
          </cell>
          <cell r="CW76">
            <v>25472503694.321301</v>
          </cell>
          <cell r="CX76">
            <v>0.62492155785384673</v>
          </cell>
          <cell r="CY76">
            <v>0.78349385401301685</v>
          </cell>
          <cell r="CZ76">
            <v>0.76929231545489563</v>
          </cell>
          <cell r="DA76">
            <v>3.5627296653557776</v>
          </cell>
          <cell r="DB76">
            <v>-0.67304962638461685</v>
          </cell>
          <cell r="DC76">
            <v>-0.35666347918874486</v>
          </cell>
          <cell r="DD76">
            <v>0.61516039482777307</v>
          </cell>
          <cell r="DE76">
            <v>1.6713891817116791</v>
          </cell>
          <cell r="DG76">
            <v>6.0629297742853998</v>
          </cell>
          <cell r="DH76">
            <v>5126443827</v>
          </cell>
          <cell r="DI76">
            <v>237</v>
          </cell>
          <cell r="DJ76">
            <v>1179122209689</v>
          </cell>
          <cell r="DK76">
            <v>2952391274301.0601</v>
          </cell>
          <cell r="DM76">
            <v>439257386461.64502</v>
          </cell>
          <cell r="DN76" t="str">
            <v>NULL</v>
          </cell>
          <cell r="DO76" t="str">
            <v>NULL</v>
          </cell>
          <cell r="DP76">
            <v>430362226164.95398</v>
          </cell>
          <cell r="DQ76">
            <v>658241861955.10205</v>
          </cell>
          <cell r="DR76">
            <v>-649346701658.41101</v>
          </cell>
          <cell r="DS76">
            <v>-1.8158592423393529</v>
          </cell>
          <cell r="DT76">
            <v>4.0449440624923003</v>
          </cell>
          <cell r="DU76">
            <v>2.71099766077662</v>
          </cell>
          <cell r="DV76">
            <v>3.06815421686747</v>
          </cell>
          <cell r="DW76">
            <v>2.6074737671772699</v>
          </cell>
          <cell r="DX76">
            <v>12.43156970731366</v>
          </cell>
          <cell r="DY76">
            <v>19.466568236964328</v>
          </cell>
          <cell r="DZ76">
            <v>1.0700813413289072</v>
          </cell>
          <cell r="EA76">
            <v>68014135810.967773</v>
          </cell>
          <cell r="EB76">
            <v>17.336428606049537</v>
          </cell>
          <cell r="EC76">
            <v>13.310177022356999</v>
          </cell>
          <cell r="ED76">
            <v>0.22325037995927499</v>
          </cell>
          <cell r="EE76">
            <v>0.21793628189608599</v>
          </cell>
          <cell r="EG76">
            <v>0.35854923226040486</v>
          </cell>
          <cell r="EH76">
            <v>-0.10366549810749925</v>
          </cell>
          <cell r="EK76">
            <v>4.1469137721519003</v>
          </cell>
        </row>
        <row r="77">
          <cell r="A77" t="str">
            <v>TGLT</v>
          </cell>
          <cell r="B77" t="str">
            <v>TGLT.BA</v>
          </cell>
          <cell r="C77" t="str">
            <v>TGLT SA</v>
          </cell>
          <cell r="D77">
            <v>43190</v>
          </cell>
          <cell r="E77">
            <v>4264491000</v>
          </cell>
          <cell r="F77">
            <v>4070285000</v>
          </cell>
          <cell r="G77">
            <v>1.0477099999999999</v>
          </cell>
          <cell r="H77">
            <v>0.62370000000000003</v>
          </cell>
          <cell r="I77">
            <v>1.6133299999999999</v>
          </cell>
          <cell r="J77">
            <v>0.93130000000000002</v>
          </cell>
          <cell r="K77">
            <v>11.65</v>
          </cell>
          <cell r="L77">
            <v>0</v>
          </cell>
          <cell r="M77" t="str">
            <v>NULL</v>
          </cell>
          <cell r="N77">
            <v>0</v>
          </cell>
          <cell r="O77">
            <v>0</v>
          </cell>
          <cell r="Q77">
            <v>0</v>
          </cell>
          <cell r="S77">
            <v>111.1337916531</v>
          </cell>
          <cell r="T77">
            <v>514.92245404499999</v>
          </cell>
          <cell r="U77">
            <v>43190</v>
          </cell>
          <cell r="V77">
            <v>8302126000</v>
          </cell>
          <cell r="W77">
            <v>5591501360</v>
          </cell>
          <cell r="X77">
            <v>6837759940</v>
          </cell>
          <cell r="Y77">
            <v>4815993090</v>
          </cell>
          <cell r="Z77">
            <v>372811000</v>
          </cell>
          <cell r="AA77">
            <v>22.268994208861862</v>
          </cell>
          <cell r="AC77">
            <v>705483000</v>
          </cell>
          <cell r="AD77">
            <v>214547660</v>
          </cell>
          <cell r="AE77">
            <v>204709950</v>
          </cell>
          <cell r="AF77">
            <v>334630310</v>
          </cell>
          <cell r="AG77">
            <v>0.28561997953141544</v>
          </cell>
          <cell r="AH77">
            <v>279205000</v>
          </cell>
          <cell r="AI77">
            <v>419876600</v>
          </cell>
          <cell r="AJ77">
            <v>490813250</v>
          </cell>
          <cell r="AK77">
            <v>509992960</v>
          </cell>
          <cell r="AL77">
            <v>580926000</v>
          </cell>
          <cell r="AM77">
            <v>196292080</v>
          </cell>
          <cell r="AN77">
            <v>183996670</v>
          </cell>
          <cell r="AO77">
            <v>313627430</v>
          </cell>
          <cell r="AQ77">
            <v>713940000</v>
          </cell>
          <cell r="AR77">
            <v>10030510</v>
          </cell>
          <cell r="AS77">
            <v>16065800</v>
          </cell>
          <cell r="AT77">
            <v>28718970</v>
          </cell>
          <cell r="AU77">
            <v>48.067916345763557</v>
          </cell>
          <cell r="AV77">
            <v>1725839000</v>
          </cell>
          <cell r="AW77">
            <v>1752429720</v>
          </cell>
          <cell r="AX77">
            <v>3336088710</v>
          </cell>
          <cell r="AY77">
            <v>3219834480</v>
          </cell>
          <cell r="BA77">
            <v>48.067916345763557</v>
          </cell>
          <cell r="BC77">
            <v>9.0365800000000007</v>
          </cell>
          <cell r="BD77">
            <v>-29.08474</v>
          </cell>
          <cell r="BE77">
            <v>-32.984960000000001</v>
          </cell>
          <cell r="BF77">
            <v>-78557000</v>
          </cell>
          <cell r="BG77">
            <v>-146753770</v>
          </cell>
          <cell r="BH77">
            <v>-158418780</v>
          </cell>
          <cell r="BI77">
            <v>-6574150</v>
          </cell>
          <cell r="BJ77">
            <v>-0.26744653785481759</v>
          </cell>
          <cell r="BK77">
            <v>-10068000</v>
          </cell>
          <cell r="BL77">
            <v>-548320</v>
          </cell>
          <cell r="BM77">
            <v>-466500</v>
          </cell>
          <cell r="BN77">
            <v>-239640</v>
          </cell>
          <cell r="BO77">
            <v>-224840</v>
          </cell>
          <cell r="BP77">
            <v>-10309660</v>
          </cell>
          <cell r="BQ77">
            <v>-337454000</v>
          </cell>
          <cell r="BR77">
            <v>-535213280</v>
          </cell>
          <cell r="BS77">
            <v>-583479640</v>
          </cell>
          <cell r="BT77">
            <v>-173019150</v>
          </cell>
          <cell r="BU77">
            <v>-102143140</v>
          </cell>
          <cell r="BV77">
            <v>-818790500</v>
          </cell>
          <cell r="BW77">
            <v>-0.56812161229031477</v>
          </cell>
          <cell r="BX77">
            <v>-6.1110563046656075E-2</v>
          </cell>
          <cell r="BY77">
            <v>372811000</v>
          </cell>
          <cell r="BZ77">
            <v>449143350</v>
          </cell>
          <cell r="CA77">
            <v>887832100</v>
          </cell>
          <cell r="CB77">
            <v>91429620</v>
          </cell>
          <cell r="CC77" t="str">
            <v>NULL</v>
          </cell>
          <cell r="CD77" t="str">
            <v>NULL</v>
          </cell>
          <cell r="CE77" t="str">
            <v>NULL</v>
          </cell>
          <cell r="CF77" t="str">
            <v>NULL</v>
          </cell>
          <cell r="CG77" t="str">
            <v>NULL</v>
          </cell>
          <cell r="CH77" t="str">
            <v>NULL</v>
          </cell>
          <cell r="CI77" t="str">
            <v>NULL</v>
          </cell>
          <cell r="CJ77" t="str">
            <v>NULL</v>
          </cell>
          <cell r="CK77">
            <v>372811000</v>
          </cell>
          <cell r="CL77">
            <v>449143350</v>
          </cell>
          <cell r="CM77">
            <v>887832100</v>
          </cell>
          <cell r="CN77">
            <v>91429620</v>
          </cell>
          <cell r="CO77">
            <v>-0.86675598003075782</v>
          </cell>
          <cell r="CP77">
            <v>-78557000</v>
          </cell>
          <cell r="CQ77">
            <v>-40229000</v>
          </cell>
          <cell r="CR77">
            <v>-351975040</v>
          </cell>
          <cell r="CS77">
            <v>4776570</v>
          </cell>
          <cell r="CT77">
            <v>-45076830</v>
          </cell>
          <cell r="CU77">
            <v>-18712940</v>
          </cell>
          <cell r="CV77">
            <v>-55850760</v>
          </cell>
          <cell r="CW77">
            <v>-142481430</v>
          </cell>
          <cell r="CX77">
            <v>-0.95274553183027177</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11.8</v>
          </cell>
          <cell r="DJ77">
            <v>841923923</v>
          </cell>
          <cell r="DK77">
            <v>691448123.00000095</v>
          </cell>
          <cell r="DM77">
            <v>372811000</v>
          </cell>
          <cell r="DN77" t="str">
            <v>NULL</v>
          </cell>
          <cell r="DO77" t="str">
            <v>NULL</v>
          </cell>
          <cell r="DP77">
            <v>41474000</v>
          </cell>
          <cell r="DQ77">
            <v>716152000</v>
          </cell>
          <cell r="DR77">
            <v>-384815000</v>
          </cell>
          <cell r="DS77">
            <v>-2.1878666969842651</v>
          </cell>
          <cell r="DT77">
            <v>-1.1006499999999999</v>
          </cell>
          <cell r="DU77">
            <v>-2.0860699999999999</v>
          </cell>
          <cell r="DV77">
            <v>-2.2518799999999999</v>
          </cell>
          <cell r="DW77">
            <v>-9.3450000000000005E-2</v>
          </cell>
          <cell r="DX77">
            <v>-5.532049999999999</v>
          </cell>
          <cell r="DY77">
            <v>-2.1059101056570353</v>
          </cell>
          <cell r="DZ77">
            <v>0.57690879779898585</v>
          </cell>
          <cell r="EA77">
            <v>-829100160</v>
          </cell>
          <cell r="EB77">
            <v>-1.0154670854242749</v>
          </cell>
          <cell r="EC77" t="str">
            <v>NULL</v>
          </cell>
          <cell r="ED77">
            <v>0.79491874864378298</v>
          </cell>
          <cell r="EE77">
            <v>0.85835922560022704</v>
          </cell>
          <cell r="EG77" t="str">
            <v>-</v>
          </cell>
          <cell r="EH77" t="str">
            <v>-</v>
          </cell>
          <cell r="EK77" t="str">
            <v>NULL</v>
          </cell>
        </row>
        <row r="78">
          <cell r="A78" t="str">
            <v>TGNO4</v>
          </cell>
          <cell r="B78" t="str">
            <v>TGNC.BA</v>
          </cell>
          <cell r="C78" t="str">
            <v>TRANSPORTADORA DE GAS DEL NORTE SA</v>
          </cell>
          <cell r="D78">
            <v>43190</v>
          </cell>
          <cell r="E78">
            <v>2478668000</v>
          </cell>
          <cell r="F78">
            <v>1037180000</v>
          </cell>
          <cell r="G78">
            <v>2.3898100000000002</v>
          </cell>
          <cell r="H78">
            <v>2.3467899999999999</v>
          </cell>
          <cell r="I78">
            <v>2.0950600000000001</v>
          </cell>
          <cell r="J78">
            <v>2.04792</v>
          </cell>
          <cell r="K78">
            <v>58.5</v>
          </cell>
          <cell r="L78">
            <v>0</v>
          </cell>
          <cell r="M78">
            <v>0.83679999999999999</v>
          </cell>
          <cell r="N78">
            <v>0</v>
          </cell>
          <cell r="O78">
            <v>0</v>
          </cell>
          <cell r="P78">
            <v>0.83679999999999999</v>
          </cell>
          <cell r="Q78">
            <v>1.4304273504273504E-2</v>
          </cell>
          <cell r="S78">
            <v>29.4737813355</v>
          </cell>
          <cell r="T78">
            <v>27.126986165999998</v>
          </cell>
          <cell r="U78">
            <v>43190</v>
          </cell>
          <cell r="V78">
            <v>25851970000</v>
          </cell>
          <cell r="W78">
            <v>25059911000</v>
          </cell>
          <cell r="X78">
            <v>5394582000</v>
          </cell>
          <cell r="Y78">
            <v>5059089000</v>
          </cell>
          <cell r="Z78">
            <v>15173065000</v>
          </cell>
          <cell r="AA78">
            <v>1.7038067127505221</v>
          </cell>
          <cell r="AC78">
            <v>1561747000</v>
          </cell>
          <cell r="AD78">
            <v>1233065000</v>
          </cell>
          <cell r="AE78">
            <v>1027188000</v>
          </cell>
          <cell r="AF78">
            <v>981231000</v>
          </cell>
          <cell r="AG78">
            <v>0.39136188487443563</v>
          </cell>
          <cell r="AH78">
            <v>540033000</v>
          </cell>
          <cell r="AI78">
            <v>359207000</v>
          </cell>
          <cell r="AJ78">
            <v>307051000</v>
          </cell>
          <cell r="AK78">
            <v>343625000</v>
          </cell>
          <cell r="AL78">
            <v>932206000</v>
          </cell>
          <cell r="AM78">
            <v>578024000</v>
          </cell>
          <cell r="AN78">
            <v>457262000</v>
          </cell>
          <cell r="AO78">
            <v>388990000</v>
          </cell>
          <cell r="AP78">
            <v>60.017362746670671</v>
          </cell>
          <cell r="AQ78">
            <v>783366000</v>
          </cell>
          <cell r="AR78">
            <v>895972000</v>
          </cell>
          <cell r="AS78">
            <v>578901000</v>
          </cell>
          <cell r="AT78">
            <v>648237000</v>
          </cell>
          <cell r="AU78">
            <v>55.21615241906958</v>
          </cell>
          <cell r="AV78">
            <v>44620000</v>
          </cell>
          <cell r="AW78">
            <v>36848000</v>
          </cell>
          <cell r="AX78">
            <v>37545000</v>
          </cell>
          <cell r="AY78">
            <v>34643000</v>
          </cell>
          <cell r="AZ78">
            <v>5.950017865614929</v>
          </cell>
          <cell r="BA78">
            <v>1.1488075380138412</v>
          </cell>
          <cell r="BC78">
            <v>56.158709999999999</v>
          </cell>
          <cell r="BD78">
            <v>40.717100000000002</v>
          </cell>
          <cell r="BE78">
            <v>21.723769999999998</v>
          </cell>
          <cell r="BF78">
            <v>136447000</v>
          </cell>
          <cell r="BG78">
            <v>238746000</v>
          </cell>
          <cell r="BH78">
            <v>300290000</v>
          </cell>
          <cell r="BI78">
            <v>100449000</v>
          </cell>
          <cell r="BJ78">
            <v>0.16154376085597383</v>
          </cell>
          <cell r="BK78">
            <v>-341154000</v>
          </cell>
          <cell r="BL78">
            <v>-788137000</v>
          </cell>
          <cell r="BM78">
            <v>-479029000</v>
          </cell>
          <cell r="BN78">
            <v>-306840000</v>
          </cell>
          <cell r="BO78">
            <v>-128179000</v>
          </cell>
          <cell r="BP78">
            <v>-692004000</v>
          </cell>
          <cell r="BQ78">
            <v>1159591000</v>
          </cell>
          <cell r="BR78">
            <v>1026069000</v>
          </cell>
          <cell r="BS78">
            <v>924058000</v>
          </cell>
          <cell r="BT78">
            <v>454425000</v>
          </cell>
          <cell r="BU78">
            <v>258103000</v>
          </cell>
          <cell r="BV78">
            <v>1825546000</v>
          </cell>
          <cell r="BW78">
            <v>0.23599572870844646</v>
          </cell>
          <cell r="BX78">
            <v>5.0577692187955874E-2</v>
          </cell>
          <cell r="BY78">
            <v>15173065000</v>
          </cell>
          <cell r="BZ78">
            <v>15035441000</v>
          </cell>
          <cell r="CA78">
            <v>660108000</v>
          </cell>
          <cell r="CB78">
            <v>359003000</v>
          </cell>
          <cell r="CC78" t="str">
            <v>NULL</v>
          </cell>
          <cell r="CD78" t="str">
            <v>NULL</v>
          </cell>
          <cell r="CE78" t="str">
            <v>NULL</v>
          </cell>
          <cell r="CF78" t="str">
            <v>NULL</v>
          </cell>
          <cell r="CG78" t="str">
            <v>NULL</v>
          </cell>
          <cell r="CH78" t="str">
            <v>NULL</v>
          </cell>
          <cell r="CI78" t="str">
            <v>NULL</v>
          </cell>
          <cell r="CJ78" t="str">
            <v>NULL</v>
          </cell>
          <cell r="CK78">
            <v>15173065000</v>
          </cell>
          <cell r="CL78">
            <v>15035441000</v>
          </cell>
          <cell r="CM78">
            <v>660108000</v>
          </cell>
          <cell r="CN78">
            <v>359003000</v>
          </cell>
          <cell r="CO78">
            <v>9.9390485031246534E-2</v>
          </cell>
          <cell r="CP78">
            <v>136447000</v>
          </cell>
          <cell r="CQ78">
            <v>202371000</v>
          </cell>
          <cell r="CR78">
            <v>841856000</v>
          </cell>
          <cell r="CS78">
            <v>-258826000</v>
          </cell>
          <cell r="CT78">
            <v>-517663000</v>
          </cell>
          <cell r="CU78">
            <v>-256625000</v>
          </cell>
          <cell r="CV78">
            <v>28876000</v>
          </cell>
          <cell r="CW78">
            <v>214613000</v>
          </cell>
          <cell r="CX78">
            <v>-0.32575813728251579</v>
          </cell>
          <cell r="CY78">
            <v>-1.4034360417807368</v>
          </cell>
          <cell r="CZ78">
            <v>4.2525944070533868</v>
          </cell>
          <cell r="DA78">
            <v>0.50001062467280843</v>
          </cell>
          <cell r="DB78">
            <v>-1.0171962981003411</v>
          </cell>
          <cell r="DC78">
            <v>-9.8871381077711593</v>
          </cell>
          <cell r="DD78">
            <v>-0.86545083475837903</v>
          </cell>
          <cell r="DE78">
            <v>5.1967682172970537</v>
          </cell>
          <cell r="DG78">
            <v>3.4029655375228298</v>
          </cell>
          <cell r="DH78">
            <v>439373355</v>
          </cell>
          <cell r="DI78">
            <v>60.6</v>
          </cell>
          <cell r="DJ78">
            <v>26626060703.400002</v>
          </cell>
          <cell r="DK78">
            <v>8352327092.4000101</v>
          </cell>
          <cell r="DM78">
            <v>15173065000</v>
          </cell>
          <cell r="DN78" t="str">
            <v>NULL</v>
          </cell>
          <cell r="DO78" t="str">
            <v>NULL</v>
          </cell>
          <cell r="DP78" t="str">
            <v>NULL</v>
          </cell>
          <cell r="DQ78" t="str">
            <v>NULL</v>
          </cell>
          <cell r="DR78">
            <v>15173065000</v>
          </cell>
          <cell r="DS78">
            <v>1.7548241376017306</v>
          </cell>
          <cell r="DT78">
            <v>0.31054999999999999</v>
          </cell>
          <cell r="DU78">
            <v>0.54337999999999997</v>
          </cell>
          <cell r="DV78">
            <v>0.68345</v>
          </cell>
          <cell r="DW78">
            <v>0.22861999999999999</v>
          </cell>
          <cell r="DX78">
            <v>1.766</v>
          </cell>
          <cell r="DY78">
            <v>33.125707814269532</v>
          </cell>
          <cell r="DZ78">
            <v>5.543364602576891</v>
          </cell>
          <cell r="EA78">
            <v>1133542000</v>
          </cell>
          <cell r="EB78">
            <v>23.489258186639756</v>
          </cell>
          <cell r="EC78" t="str">
            <v>NULL</v>
          </cell>
          <cell r="ED78">
            <v>1.20121697700145</v>
          </cell>
          <cell r="EE78">
            <v>1.1922562335604201</v>
          </cell>
          <cell r="EG78">
            <v>0.51623476291562664</v>
          </cell>
          <cell r="EH78">
            <v>0.19896241396316494</v>
          </cell>
          <cell r="EK78">
            <v>1.3808580858085799</v>
          </cell>
        </row>
        <row r="79">
          <cell r="A79" t="str">
            <v>TGSU2</v>
          </cell>
          <cell r="B79" t="str">
            <v>TGS2.BA</v>
          </cell>
          <cell r="C79" t="str">
            <v>TRANSPORTADORA DE GAS DEL SUR SA</v>
          </cell>
          <cell r="D79">
            <v>43190</v>
          </cell>
          <cell r="E79">
            <v>9311954000</v>
          </cell>
          <cell r="F79">
            <v>5446838000</v>
          </cell>
          <cell r="G79">
            <v>1.7096100000000001</v>
          </cell>
          <cell r="H79">
            <v>1.6792800000000001</v>
          </cell>
          <cell r="K79">
            <v>86</v>
          </cell>
          <cell r="L79">
            <v>0</v>
          </cell>
          <cell r="M79" t="str">
            <v>NULL</v>
          </cell>
          <cell r="N79">
            <v>0</v>
          </cell>
          <cell r="O79">
            <v>0</v>
          </cell>
          <cell r="P79">
            <v>0</v>
          </cell>
          <cell r="Q79">
            <v>0</v>
          </cell>
          <cell r="S79">
            <v>68.024272644299998</v>
          </cell>
          <cell r="T79">
            <v>83.866008024999999</v>
          </cell>
          <cell r="U79">
            <v>43190</v>
          </cell>
          <cell r="V79">
            <v>16435711000</v>
          </cell>
          <cell r="W79">
            <v>13666900000</v>
          </cell>
          <cell r="X79">
            <v>11395301000</v>
          </cell>
          <cell r="Y79">
            <v>10485337000</v>
          </cell>
          <cell r="Z79">
            <v>7054526000</v>
          </cell>
          <cell r="AA79">
            <v>2.3298108193236513</v>
          </cell>
          <cell r="AC79">
            <v>4947355000</v>
          </cell>
          <cell r="AD79">
            <v>4144769000</v>
          </cell>
          <cell r="AE79">
            <v>2625852000</v>
          </cell>
          <cell r="AF79">
            <v>2920805000</v>
          </cell>
          <cell r="AG79">
            <v>1.4080275010762069</v>
          </cell>
          <cell r="AH79">
            <v>1439497000</v>
          </cell>
          <cell r="AI79">
            <v>1453303000</v>
          </cell>
          <cell r="AJ79">
            <v>790061000</v>
          </cell>
          <cell r="AK79">
            <v>838787000</v>
          </cell>
          <cell r="AP79" t="e">
            <v>#DIV/0!</v>
          </cell>
          <cell r="AQ79">
            <v>2158796000</v>
          </cell>
          <cell r="AR79">
            <v>2033540000</v>
          </cell>
          <cell r="AS79">
            <v>1197581000</v>
          </cell>
          <cell r="AT79">
            <v>1131996000</v>
          </cell>
          <cell r="AU79">
            <v>40.653969838745454</v>
          </cell>
          <cell r="AZ79" t="e">
            <v>#DIV/0!</v>
          </cell>
          <cell r="BA79" t="e">
            <v>#DIV/0!</v>
          </cell>
          <cell r="BC79">
            <v>46.730240000000002</v>
          </cell>
          <cell r="BD79">
            <v>38.508980000000001</v>
          </cell>
          <cell r="BE79">
            <v>22.80838</v>
          </cell>
          <cell r="BF79">
            <v>1734894000</v>
          </cell>
          <cell r="BG79">
            <v>974708000</v>
          </cell>
          <cell r="BH79">
            <v>518102000</v>
          </cell>
          <cell r="BI79">
            <v>635640000</v>
          </cell>
          <cell r="BJ79">
            <v>0.26391159209226506</v>
          </cell>
          <cell r="BK79">
            <v>-305586000</v>
          </cell>
          <cell r="BL79">
            <v>-1308560000</v>
          </cell>
          <cell r="BM79">
            <v>-678340000</v>
          </cell>
          <cell r="BN79">
            <v>-378922000</v>
          </cell>
          <cell r="BO79">
            <v>-193154000</v>
          </cell>
          <cell r="BP79">
            <v>-790772000</v>
          </cell>
          <cell r="BQ79">
            <v>2099416000</v>
          </cell>
          <cell r="BR79">
            <v>3522571000</v>
          </cell>
          <cell r="BS79">
            <v>2027697000</v>
          </cell>
          <cell r="BT79">
            <v>1489432000</v>
          </cell>
          <cell r="BU79">
            <v>1090954000</v>
          </cell>
          <cell r="BV79">
            <v>3036159000</v>
          </cell>
          <cell r="BW79">
            <v>0.15338620066793812</v>
          </cell>
          <cell r="BX79">
            <v>0.29727607060497507</v>
          </cell>
          <cell r="BY79">
            <v>7054526000</v>
          </cell>
          <cell r="BZ79">
            <v>5319632000</v>
          </cell>
          <cell r="CA79">
            <v>4344924000</v>
          </cell>
          <cell r="CB79">
            <v>3826822000</v>
          </cell>
          <cell r="CC79" t="str">
            <v>NULL</v>
          </cell>
          <cell r="CD79" t="str">
            <v>NULL</v>
          </cell>
          <cell r="CE79" t="str">
            <v>NULL</v>
          </cell>
          <cell r="CF79" t="str">
            <v>NULL</v>
          </cell>
          <cell r="CG79" t="str">
            <v>NULL</v>
          </cell>
          <cell r="CH79" t="str">
            <v>NULL</v>
          </cell>
          <cell r="CI79" t="str">
            <v>NULL</v>
          </cell>
          <cell r="CJ79" t="str">
            <v>NULL</v>
          </cell>
          <cell r="CK79">
            <v>7054526000</v>
          </cell>
          <cell r="CL79">
            <v>5319632000</v>
          </cell>
          <cell r="CM79">
            <v>4344924000</v>
          </cell>
          <cell r="CN79">
            <v>3826822000</v>
          </cell>
          <cell r="CO79">
            <v>0.75213901515357995</v>
          </cell>
          <cell r="CP79">
            <v>1734894000</v>
          </cell>
          <cell r="CQ79">
            <v>664815000</v>
          </cell>
          <cell r="CR79">
            <v>2793263000</v>
          </cell>
          <cell r="CS79">
            <v>930675000</v>
          </cell>
          <cell r="CT79">
            <v>-172109000</v>
          </cell>
          <cell r="CU79">
            <v>104983000</v>
          </cell>
          <cell r="CV79">
            <v>107504000</v>
          </cell>
          <cell r="CW79">
            <v>232747000</v>
          </cell>
          <cell r="CX79">
            <v>1.6095891338191826</v>
          </cell>
          <cell r="CY79">
            <v>1.0415695195696408</v>
          </cell>
          <cell r="CZ79">
            <v>2.0013302173153895</v>
          </cell>
          <cell r="DA79">
            <v>6.4074743331261006</v>
          </cell>
          <cell r="DB79">
            <v>-2.6393987597992057</v>
          </cell>
          <cell r="DC79">
            <v>-2.3450290221759151E-2</v>
          </cell>
          <cell r="DD79">
            <v>-0.538107902572321</v>
          </cell>
          <cell r="DE79">
            <v>3.4239323333003608</v>
          </cell>
          <cell r="DG79">
            <v>4.7646953736869504</v>
          </cell>
          <cell r="DH79">
            <v>794495283</v>
          </cell>
          <cell r="DI79">
            <v>85.600000000000009</v>
          </cell>
          <cell r="DJ79">
            <v>68008796224.800003</v>
          </cell>
          <cell r="DK79">
            <v>31764237178.400101</v>
          </cell>
          <cell r="DM79">
            <v>7054526000</v>
          </cell>
          <cell r="DN79" t="str">
            <v>NULL</v>
          </cell>
          <cell r="DO79" t="str">
            <v>NULL</v>
          </cell>
          <cell r="DP79" t="str">
            <v>NULL</v>
          </cell>
          <cell r="DQ79" t="str">
            <v>NULL</v>
          </cell>
          <cell r="DR79">
            <v>7054526000</v>
          </cell>
          <cell r="DS79">
            <v>9.6404487310416034</v>
          </cell>
          <cell r="DT79">
            <v>2.18364</v>
          </cell>
          <cell r="DU79">
            <v>1.2268300000000001</v>
          </cell>
          <cell r="DV79">
            <v>0.65210999999999997</v>
          </cell>
          <cell r="DW79">
            <v>0.80005000000000004</v>
          </cell>
          <cell r="DX79">
            <v>4.8626300000000002</v>
          </cell>
          <cell r="DY79">
            <v>17.685902484869299</v>
          </cell>
          <cell r="DZ79">
            <v>4.6457964105617808</v>
          </cell>
          <cell r="EA79">
            <v>2245387000</v>
          </cell>
          <cell r="EB79">
            <v>30.288229256159408</v>
          </cell>
          <cell r="EC79">
            <v>17.603642473311801</v>
          </cell>
          <cell r="ED79">
            <v>0.99888294301464498</v>
          </cell>
          <cell r="EE79">
            <v>1.03300879252495</v>
          </cell>
          <cell r="EG79">
            <v>0.49083453390120008</v>
          </cell>
          <cell r="EH79">
            <v>0.23688861948809592</v>
          </cell>
        </row>
        <row r="80">
          <cell r="A80" t="str">
            <v>TRAN</v>
          </cell>
          <cell r="B80" t="str">
            <v>TRA.BA</v>
          </cell>
          <cell r="C80" t="str">
            <v>COMPANIA DE TRANSPORTE DE ENERGIA ELECTRICA EN ALTA TENSION TRANSENER SA</v>
          </cell>
          <cell r="D80">
            <v>43100</v>
          </cell>
          <cell r="E80">
            <v>4789155000</v>
          </cell>
          <cell r="F80">
            <v>2247940000</v>
          </cell>
          <cell r="G80">
            <v>2.1304599999999998</v>
          </cell>
          <cell r="H80">
            <v>2.1304599999999998</v>
          </cell>
          <cell r="I80">
            <v>1.51579</v>
          </cell>
          <cell r="J80">
            <v>1.51579</v>
          </cell>
          <cell r="K80">
            <v>51.95</v>
          </cell>
          <cell r="L80" t="str">
            <v>NULL</v>
          </cell>
          <cell r="M80">
            <v>0</v>
          </cell>
          <cell r="N80">
            <v>0</v>
          </cell>
          <cell r="O80">
            <v>0</v>
          </cell>
          <cell r="P80">
            <v>0</v>
          </cell>
          <cell r="Q80">
            <v>0</v>
          </cell>
          <cell r="S80">
            <v>64.904456682000003</v>
          </cell>
          <cell r="T80">
            <v>84.488428151999997</v>
          </cell>
          <cell r="U80">
            <v>43100</v>
          </cell>
          <cell r="V80">
            <v>7334561000</v>
          </cell>
          <cell r="W80">
            <v>5493465370</v>
          </cell>
          <cell r="X80">
            <v>4600142320</v>
          </cell>
          <cell r="Y80">
            <v>3622320940</v>
          </cell>
          <cell r="Z80">
            <v>2858494000</v>
          </cell>
          <cell r="AA80">
            <v>2.5658829439558035</v>
          </cell>
          <cell r="AC80">
            <v>2025468030</v>
          </cell>
          <cell r="AD80">
            <v>1356872090</v>
          </cell>
          <cell r="AE80">
            <v>1447980400</v>
          </cell>
          <cell r="AF80">
            <v>1194664480</v>
          </cell>
          <cell r="AG80">
            <v>1.4310766091476488</v>
          </cell>
          <cell r="AH80">
            <v>98774000</v>
          </cell>
          <cell r="AI80">
            <v>57935400</v>
          </cell>
          <cell r="AJ80">
            <v>54182740</v>
          </cell>
          <cell r="AK80">
            <v>56916540</v>
          </cell>
          <cell r="AL80">
            <v>435420490</v>
          </cell>
          <cell r="AM80">
            <v>534107570</v>
          </cell>
          <cell r="AN80">
            <v>452360160</v>
          </cell>
          <cell r="AO80">
            <v>438725090</v>
          </cell>
          <cell r="AP80">
            <v>13.134132664030012</v>
          </cell>
          <cell r="AQ80">
            <v>1361704000</v>
          </cell>
          <cell r="AR80">
            <v>1010580580</v>
          </cell>
          <cell r="AS80">
            <v>987012810</v>
          </cell>
          <cell r="AT80">
            <v>914689690</v>
          </cell>
          <cell r="AU80">
            <v>64.730670873039514</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895965020</v>
          </cell>
          <cell r="BG80">
            <v>510194730</v>
          </cell>
          <cell r="BH80">
            <v>452717910</v>
          </cell>
          <cell r="BI80">
            <v>423215350</v>
          </cell>
          <cell r="BJ80">
            <v>0.37877156706614207</v>
          </cell>
          <cell r="BK80">
            <v>-706248000</v>
          </cell>
          <cell r="BL80">
            <v>-391620810</v>
          </cell>
          <cell r="BM80">
            <v>-211002700</v>
          </cell>
          <cell r="BN80">
            <v>-116152140</v>
          </cell>
          <cell r="BO80">
            <v>-349669000</v>
          </cell>
          <cell r="BP80">
            <v>-567581700</v>
          </cell>
          <cell r="BQ80">
            <v>1938093000</v>
          </cell>
          <cell r="BR80">
            <v>725304830</v>
          </cell>
          <cell r="BS80">
            <v>-60883040</v>
          </cell>
          <cell r="BT80">
            <v>-795639240</v>
          </cell>
          <cell r="BU80">
            <v>-1298366000</v>
          </cell>
          <cell r="BV80">
            <v>3175575960</v>
          </cell>
          <cell r="BW80">
            <v>0.43286319551003033</v>
          </cell>
          <cell r="BX80">
            <v>0.43364179173251849</v>
          </cell>
          <cell r="BY80">
            <v>2858494000</v>
          </cell>
          <cell r="BZ80">
            <v>1984829410</v>
          </cell>
          <cell r="CA80">
            <v>1474634680</v>
          </cell>
          <cell r="CB80">
            <v>1021916770</v>
          </cell>
          <cell r="CC80" t="str">
            <v>NULL</v>
          </cell>
          <cell r="CD80" t="str">
            <v>NULL</v>
          </cell>
          <cell r="CE80" t="str">
            <v>NULL</v>
          </cell>
          <cell r="CF80" t="str">
            <v>NULL</v>
          </cell>
          <cell r="CG80" t="str">
            <v>NULL</v>
          </cell>
          <cell r="CH80" t="str">
            <v>NULL</v>
          </cell>
          <cell r="CI80" t="str">
            <v>NULL</v>
          </cell>
          <cell r="CJ80" t="str">
            <v>NULL</v>
          </cell>
          <cell r="CK80">
            <v>2858494000</v>
          </cell>
          <cell r="CL80">
            <v>1984829410</v>
          </cell>
          <cell r="CM80">
            <v>1474634680</v>
          </cell>
          <cell r="CN80">
            <v>1021916770</v>
          </cell>
          <cell r="CO80">
            <v>1.2436686202576483</v>
          </cell>
          <cell r="CP80">
            <v>895965020</v>
          </cell>
          <cell r="CQ80">
            <v>484466200</v>
          </cell>
          <cell r="CR80">
            <v>2282093000</v>
          </cell>
          <cell r="CS80">
            <v>-56813000</v>
          </cell>
          <cell r="CT80">
            <v>52246180</v>
          </cell>
          <cell r="CU80">
            <v>145199340</v>
          </cell>
          <cell r="CV80">
            <v>-5613350</v>
          </cell>
          <cell r="CW80">
            <v>-98922560</v>
          </cell>
          <cell r="CX80">
            <v>0.84938602527895646</v>
          </cell>
          <cell r="CY80">
            <v>13.250191687380616</v>
          </cell>
          <cell r="CZ80">
            <v>41.16850016721525</v>
          </cell>
          <cell r="DA80">
            <v>-2.08740964411178</v>
          </cell>
          <cell r="DB80">
            <v>-0.64017618812867882</v>
          </cell>
          <cell r="DC80">
            <v>26.866788994094435</v>
          </cell>
          <cell r="DD80">
            <v>0.94325510783384503</v>
          </cell>
          <cell r="DE80">
            <v>19.649991684999364</v>
          </cell>
          <cell r="DG80">
            <v>3.02426081876603</v>
          </cell>
          <cell r="DH80">
            <v>217890147</v>
          </cell>
          <cell r="DI80">
            <v>53.050000000000004</v>
          </cell>
          <cell r="DJ80">
            <v>23589944824.75</v>
          </cell>
          <cell r="DK80">
            <v>10524330298.35</v>
          </cell>
          <cell r="DM80">
            <v>2858494000</v>
          </cell>
          <cell r="DN80" t="str">
            <v>NULL</v>
          </cell>
          <cell r="DO80" t="str">
            <v>NULL</v>
          </cell>
          <cell r="DP80" t="str">
            <v>NULL</v>
          </cell>
          <cell r="DQ80" t="str">
            <v>NULL</v>
          </cell>
          <cell r="DR80">
            <v>2858494000</v>
          </cell>
          <cell r="DS80">
            <v>8.2525780445052543</v>
          </cell>
          <cell r="DT80">
            <v>2.0148799999999998</v>
          </cell>
          <cell r="DU80">
            <v>1.1473500000000001</v>
          </cell>
          <cell r="DV80">
            <v>1.0180899999999999</v>
          </cell>
          <cell r="DW80">
            <v>0.95174000000000003</v>
          </cell>
          <cell r="DX80">
            <v>5.1320600000000001</v>
          </cell>
          <cell r="DY80">
            <v>10.122640810902444</v>
          </cell>
          <cell r="DZ80">
            <v>3.9153532871451131</v>
          </cell>
          <cell r="EA80">
            <v>2607994260</v>
          </cell>
          <cell r="EB80">
            <v>9.0452441504798404</v>
          </cell>
          <cell r="EC80">
            <v>10.336979692365199</v>
          </cell>
          <cell r="ED80">
            <v>1.29834605047994</v>
          </cell>
          <cell r="EE80">
            <v>1.2561854100566601</v>
          </cell>
          <cell r="EG80">
            <v>0.52031363664823416</v>
          </cell>
          <cell r="EH80">
            <v>0.18050772400713244</v>
          </cell>
          <cell r="EK80" t="str">
            <v>NULL</v>
          </cell>
        </row>
        <row r="81">
          <cell r="A81" t="str">
            <v>TS</v>
          </cell>
          <cell r="B81" t="str">
            <v>TENA.BA</v>
          </cell>
          <cell r="C81" t="str">
            <v>TENARIS SA</v>
          </cell>
          <cell r="D81">
            <v>43190</v>
          </cell>
          <cell r="E81">
            <v>112297598370</v>
          </cell>
          <cell r="F81">
            <v>43580099460</v>
          </cell>
          <cell r="G81">
            <v>2.57681</v>
          </cell>
          <cell r="H81">
            <v>1.4765200000000001</v>
          </cell>
          <cell r="I81">
            <v>2.94998</v>
          </cell>
          <cell r="J81">
            <v>1.9726300000000001</v>
          </cell>
          <cell r="K81">
            <v>505.90000000000003</v>
          </cell>
          <cell r="L81">
            <v>0</v>
          </cell>
          <cell r="M81">
            <v>5.2063199999999998</v>
          </cell>
          <cell r="N81">
            <v>2.2475700000000001</v>
          </cell>
          <cell r="O81">
            <v>0</v>
          </cell>
          <cell r="P81">
            <v>7.4538899999999995</v>
          </cell>
          <cell r="Q81">
            <v>1.4733919746985569E-2</v>
          </cell>
          <cell r="S81">
            <v>8.5578030300000005</v>
          </cell>
          <cell r="T81">
            <v>8.4118048959999996</v>
          </cell>
          <cell r="U81">
            <v>43190</v>
          </cell>
          <cell r="V81">
            <v>296101590670</v>
          </cell>
          <cell r="W81">
            <v>267720465492</v>
          </cell>
          <cell r="X81">
            <v>248275641636</v>
          </cell>
          <cell r="Y81">
            <v>236238350904</v>
          </cell>
          <cell r="Z81">
            <v>236304988310</v>
          </cell>
          <cell r="AA81">
            <v>1.2530484133561963</v>
          </cell>
          <cell r="AC81">
            <v>37529985850</v>
          </cell>
          <cell r="AD81">
            <v>29544304104</v>
          </cell>
          <cell r="AE81">
            <v>22526253036</v>
          </cell>
          <cell r="AF81">
            <v>20638003224</v>
          </cell>
          <cell r="AG81">
            <v>0.5257786461164633</v>
          </cell>
          <cell r="AH81">
            <v>16294308490</v>
          </cell>
          <cell r="AI81">
            <v>13959240966</v>
          </cell>
          <cell r="AJ81">
            <v>12479338512</v>
          </cell>
          <cell r="AK81">
            <v>11786025470</v>
          </cell>
          <cell r="AL81">
            <v>14376295774</v>
          </cell>
          <cell r="AM81">
            <v>12660195152</v>
          </cell>
          <cell r="AN81">
            <v>10414016980</v>
          </cell>
          <cell r="AO81">
            <v>11763078030</v>
          </cell>
          <cell r="AP81">
            <v>101.08694086399362</v>
          </cell>
          <cell r="AQ81">
            <v>31270024390</v>
          </cell>
          <cell r="AR81">
            <v>22574231640</v>
          </cell>
          <cell r="AS81">
            <v>18439098858</v>
          </cell>
          <cell r="AT81">
            <v>17012066518</v>
          </cell>
          <cell r="AU81">
            <v>73.914320200484468</v>
          </cell>
          <cell r="AV81">
            <v>33026344920</v>
          </cell>
          <cell r="AW81">
            <v>25709513478</v>
          </cell>
          <cell r="AX81">
            <v>24793896206</v>
          </cell>
          <cell r="AY81">
            <v>22996385280</v>
          </cell>
          <cell r="AZ81">
            <v>197.51680515734162</v>
          </cell>
          <cell r="BA81">
            <v>170.34418449383247</v>
          </cell>
          <cell r="BC81">
            <v>30.319479999999999</v>
          </cell>
          <cell r="BD81">
            <v>6.3266999999999998</v>
          </cell>
          <cell r="BE81">
            <v>8.2820199999999993</v>
          </cell>
          <cell r="BF81">
            <v>4725508130</v>
          </cell>
          <cell r="BG81">
            <v>2979353808</v>
          </cell>
          <cell r="BH81">
            <v>1812820806</v>
          </cell>
          <cell r="BI81">
            <v>1237545544</v>
          </cell>
          <cell r="BJ81">
            <v>9.7563226814706625E-2</v>
          </cell>
          <cell r="BK81">
            <v>-1857198720</v>
          </cell>
          <cell r="BL81">
            <v>-10379840184</v>
          </cell>
          <cell r="BM81">
            <v>-7558093818</v>
          </cell>
          <cell r="BN81">
            <v>-4878942436</v>
          </cell>
          <cell r="BO81">
            <v>-2130096705</v>
          </cell>
          <cell r="BP81">
            <v>-7285195833</v>
          </cell>
          <cell r="BQ81">
            <v>-594592370</v>
          </cell>
          <cell r="BR81">
            <v>-409532850</v>
          </cell>
          <cell r="BS81">
            <v>-157779414</v>
          </cell>
          <cell r="BT81">
            <v>-111193776</v>
          </cell>
          <cell r="BU81">
            <v>401601178</v>
          </cell>
          <cell r="BV81">
            <v>-1153972962</v>
          </cell>
          <cell r="BW81">
            <v>-7.6553701811501645E-2</v>
          </cell>
          <cell r="BX81">
            <v>4.1037330734993285E-2</v>
          </cell>
          <cell r="BY81">
            <v>236304988310</v>
          </cell>
          <cell r="BZ81">
            <v>213499747890</v>
          </cell>
          <cell r="CA81">
            <v>198749727837</v>
          </cell>
          <cell r="CB81">
            <v>188331203324</v>
          </cell>
          <cell r="CC81" t="str">
            <v>NULL</v>
          </cell>
          <cell r="CD81" t="str">
            <v>NULL</v>
          </cell>
          <cell r="CE81" t="str">
            <v>NULL</v>
          </cell>
          <cell r="CF81" t="str">
            <v>NULL</v>
          </cell>
          <cell r="CG81" t="str">
            <v>NULL</v>
          </cell>
          <cell r="CH81" t="str">
            <v>NULL</v>
          </cell>
          <cell r="CI81" t="str">
            <v>NULL</v>
          </cell>
          <cell r="CJ81" t="str">
            <v>NULL</v>
          </cell>
          <cell r="CK81">
            <v>236304988310</v>
          </cell>
          <cell r="CL81">
            <v>213499747890</v>
          </cell>
          <cell r="CM81">
            <v>198749727837</v>
          </cell>
          <cell r="CN81">
            <v>188331203324</v>
          </cell>
          <cell r="CO81">
            <v>5.1405962403036888E-2</v>
          </cell>
          <cell r="CP81">
            <v>4725508130</v>
          </cell>
          <cell r="CQ81">
            <v>1745460695</v>
          </cell>
          <cell r="CR81">
            <v>8144079030</v>
          </cell>
          <cell r="CS81">
            <v>220164498</v>
          </cell>
          <cell r="CT81">
            <v>-1284431382.8</v>
          </cell>
          <cell r="CU81">
            <v>9788982204.7999992</v>
          </cell>
          <cell r="CV81">
            <v>10110434698</v>
          </cell>
          <cell r="CW81">
            <v>8352428125</v>
          </cell>
          <cell r="CX81">
            <v>1.7073128278033209</v>
          </cell>
          <cell r="CY81">
            <v>7.2419529614979368</v>
          </cell>
          <cell r="CZ81">
            <v>35.990882290204667</v>
          </cell>
          <cell r="DA81">
            <v>1.1714100892801698</v>
          </cell>
          <cell r="DB81">
            <v>-1.1312119437882093</v>
          </cell>
          <cell r="DC81">
            <v>-3.1794131785806257E-2</v>
          </cell>
          <cell r="DD81">
            <v>0.21047850357886189</v>
          </cell>
          <cell r="DE81">
            <v>16.092011594817361</v>
          </cell>
          <cell r="DG81">
            <v>19.438033170157599</v>
          </cell>
          <cell r="DH81">
            <v>1180536830</v>
          </cell>
          <cell r="DI81">
            <v>479</v>
          </cell>
          <cell r="DJ81">
            <v>565477141570</v>
          </cell>
          <cell r="DK81">
            <v>555419832859.771</v>
          </cell>
          <cell r="DM81">
            <v>236304988310</v>
          </cell>
          <cell r="DN81" t="str">
            <v>NULL</v>
          </cell>
          <cell r="DO81" t="str">
            <v>NULL</v>
          </cell>
          <cell r="DP81">
            <v>32895636350</v>
          </cell>
          <cell r="DQ81" t="str">
            <v>NULL</v>
          </cell>
          <cell r="DR81">
            <v>203409351960</v>
          </cell>
          <cell r="DS81">
            <v>2.7799957874168926</v>
          </cell>
          <cell r="DT81">
            <v>4.0028955000000002</v>
          </cell>
          <cell r="DU81">
            <v>2.52376362</v>
          </cell>
          <cell r="DV81">
            <v>1.5356089799999999</v>
          </cell>
          <cell r="DW81">
            <v>1.0483367800000001</v>
          </cell>
          <cell r="DX81">
            <v>9.1106048799999986</v>
          </cell>
          <cell r="DY81">
            <v>55.528695038742597</v>
          </cell>
          <cell r="DZ81">
            <v>5.1295772757404698</v>
          </cell>
          <cell r="EA81">
            <v>-8439168795</v>
          </cell>
          <cell r="EB81">
            <v>-67.006260368323396</v>
          </cell>
          <cell r="EC81">
            <v>38.196160524123997</v>
          </cell>
          <cell r="ED81">
            <v>0.49295019198156198</v>
          </cell>
          <cell r="EE81">
            <v>0.45781201904282898</v>
          </cell>
          <cell r="EG81">
            <v>0.41323392831986516</v>
          </cell>
          <cell r="EH81">
            <v>-4.4245457124454601E-2</v>
          </cell>
          <cell r="EK81">
            <v>2.64653485120831</v>
          </cell>
        </row>
        <row r="82">
          <cell r="A82" t="str">
            <v>CVH</v>
          </cell>
          <cell r="B82" t="str">
            <v>CVH.BA</v>
          </cell>
          <cell r="C82" t="str">
            <v>CABLEVISION HOLDING S.A.</v>
          </cell>
          <cell r="D82">
            <v>43190</v>
          </cell>
          <cell r="E82">
            <v>27436000000</v>
          </cell>
          <cell r="F82">
            <v>57828000000</v>
          </cell>
          <cell r="G82">
            <v>0.47443999999999997</v>
          </cell>
          <cell r="H82">
            <v>0.43963000000000002</v>
          </cell>
          <cell r="K82">
            <v>319.5</v>
          </cell>
          <cell r="L82">
            <v>0</v>
          </cell>
          <cell r="M82" t="str">
            <v>NULL</v>
          </cell>
          <cell r="N82">
            <v>0</v>
          </cell>
          <cell r="O82" t="str">
            <v>NULL</v>
          </cell>
          <cell r="P82">
            <v>0</v>
          </cell>
          <cell r="Q82">
            <v>0</v>
          </cell>
          <cell r="S82">
            <v>103.7630498032</v>
          </cell>
          <cell r="T82">
            <v>324.182406163</v>
          </cell>
          <cell r="U82">
            <v>43190</v>
          </cell>
          <cell r="V82">
            <v>223603000000</v>
          </cell>
          <cell r="W82">
            <v>47652964040</v>
          </cell>
          <cell r="X82">
            <v>45165495480</v>
          </cell>
          <cell r="Y82">
            <v>31397540110</v>
          </cell>
          <cell r="Z82">
            <v>46744000000</v>
          </cell>
          <cell r="AA82">
            <v>4.7835658052370356</v>
          </cell>
          <cell r="AC82">
            <v>30698000000</v>
          </cell>
          <cell r="AD82">
            <v>11174444980</v>
          </cell>
          <cell r="AE82">
            <v>10544680210</v>
          </cell>
          <cell r="AF82" t="str">
            <v>NULL</v>
          </cell>
          <cell r="AG82">
            <v>0.75351143463882186</v>
          </cell>
          <cell r="AH82">
            <v>16171000000</v>
          </cell>
          <cell r="AI82">
            <v>3885787500</v>
          </cell>
          <cell r="AJ82">
            <v>3384844440</v>
          </cell>
          <cell r="AK82">
            <v>3731088510</v>
          </cell>
          <cell r="AP82" t="e">
            <v>#DIV/0!</v>
          </cell>
          <cell r="AQ82">
            <v>11077000000</v>
          </cell>
          <cell r="AR82" t="str">
            <v>NULL</v>
          </cell>
          <cell r="AS82" t="str">
            <v>NULL</v>
          </cell>
          <cell r="AT82" t="str">
            <v>NULL</v>
          </cell>
          <cell r="AU82">
            <v>77.133283928576319</v>
          </cell>
          <cell r="AZ82" t="e">
            <v>#DIV/0!</v>
          </cell>
          <cell r="BA82" t="e">
            <v>#DIV/0!</v>
          </cell>
          <cell r="BC82">
            <v>53.15757</v>
          </cell>
          <cell r="BD82">
            <v>26.256250000000001</v>
          </cell>
          <cell r="BE82">
            <v>2.7530100000000002</v>
          </cell>
          <cell r="BF82">
            <v>220000000</v>
          </cell>
          <cell r="BG82">
            <v>-365923300</v>
          </cell>
          <cell r="BH82">
            <v>717078670</v>
          </cell>
          <cell r="BI82" t="str">
            <v>NULL</v>
          </cell>
          <cell r="BJ82">
            <v>1.0896350532954515E-2</v>
          </cell>
          <cell r="BK82">
            <v>-6324000000</v>
          </cell>
          <cell r="BL82">
            <v>-8019386900</v>
          </cell>
          <cell r="BM82">
            <v>-5207163070</v>
          </cell>
          <cell r="BN82">
            <v>-2605890850</v>
          </cell>
          <cell r="BO82" t="str">
            <v>NULL</v>
          </cell>
          <cell r="BP82" t="e">
            <v>#VALUE!</v>
          </cell>
          <cell r="BQ82">
            <v>9281000000</v>
          </cell>
          <cell r="BR82">
            <v>10581752600</v>
          </cell>
          <cell r="BS82">
            <v>6314587000</v>
          </cell>
          <cell r="BT82">
            <v>2436380210</v>
          </cell>
          <cell r="BU82" t="str">
            <v>NULL</v>
          </cell>
          <cell r="BV82" t="e">
            <v>#VALUE!</v>
          </cell>
          <cell r="BW82" t="e">
            <v>#VALUE!</v>
          </cell>
          <cell r="BX82">
            <v>6.5684205935567508E-3</v>
          </cell>
          <cell r="BY82">
            <v>46744000000</v>
          </cell>
          <cell r="BZ82">
            <v>7590757130</v>
          </cell>
          <cell r="CA82">
            <v>7856899200</v>
          </cell>
          <cell r="CB82">
            <v>7074729600</v>
          </cell>
          <cell r="CC82" t="str">
            <v>NULL</v>
          </cell>
          <cell r="CD82" t="str">
            <v>NULL</v>
          </cell>
          <cell r="CE82" t="str">
            <v>NULL</v>
          </cell>
          <cell r="CF82" t="str">
            <v>NULL</v>
          </cell>
          <cell r="CG82" t="str">
            <v>NULL</v>
          </cell>
          <cell r="CH82" t="str">
            <v>NULL</v>
          </cell>
          <cell r="CI82" t="str">
            <v>NULL</v>
          </cell>
          <cell r="CJ82" t="str">
            <v>NULL</v>
          </cell>
          <cell r="CK82">
            <v>46744000000</v>
          </cell>
          <cell r="CL82">
            <v>7590757130</v>
          </cell>
          <cell r="CM82">
            <v>7856899200</v>
          </cell>
          <cell r="CN82">
            <v>7074729600</v>
          </cell>
          <cell r="CO82">
            <v>3.2983119435577572E-2</v>
          </cell>
          <cell r="CP82">
            <v>220000000</v>
          </cell>
          <cell r="CQ82" t="str">
            <v>NULL</v>
          </cell>
          <cell r="CR82">
            <v>781846090</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v>6.32787355710549</v>
          </cell>
          <cell r="DH82">
            <v>121106082</v>
          </cell>
          <cell r="DI82">
            <v>319.2</v>
          </cell>
          <cell r="DJ82">
            <v>57661111536</v>
          </cell>
          <cell r="DK82">
            <v>154031061374.39999</v>
          </cell>
          <cell r="DM82">
            <v>46744000000</v>
          </cell>
          <cell r="DN82" t="str">
            <v>NULL</v>
          </cell>
          <cell r="DO82" t="str">
            <v>NULL</v>
          </cell>
          <cell r="DP82">
            <v>42336000000</v>
          </cell>
          <cell r="DQ82">
            <v>63291000000</v>
          </cell>
          <cell r="DR82">
            <v>-58883000000</v>
          </cell>
          <cell r="DS82">
            <v>-0.97924887549887063</v>
          </cell>
          <cell r="DT82">
            <v>1.2178899999999999</v>
          </cell>
          <cell r="DU82">
            <v>-2.0257399999999999</v>
          </cell>
          <cell r="DV82">
            <v>3.9696099999999999</v>
          </cell>
          <cell r="DW82" t="str">
            <v>NULL</v>
          </cell>
          <cell r="DX82">
            <v>3.1617600000000001</v>
          </cell>
          <cell r="DY82">
            <v>101.05131319265219</v>
          </cell>
          <cell r="DZ82">
            <v>1.1000433794679079</v>
          </cell>
          <cell r="EA82" t="e">
            <v>#VALUE!</v>
          </cell>
          <cell r="EB82" t="e">
            <v>#VALUE!</v>
          </cell>
          <cell r="EC82">
            <v>57.555305924842699</v>
          </cell>
          <cell r="ED82">
            <v>0.66236455102132796</v>
          </cell>
          <cell r="EE82">
            <v>0.59453930731376403</v>
          </cell>
          <cell r="EG82" t="str">
            <v>-</v>
          </cell>
          <cell r="EH82" t="str">
            <v>-</v>
          </cell>
        </row>
        <row r="83">
          <cell r="A83" t="str">
            <v>LOMA</v>
          </cell>
          <cell r="B83" t="str">
            <v>LOMA.BA</v>
          </cell>
          <cell r="C83" t="str">
            <v>LOMA NEGRA COMPAÑIA INDUSTRIAL ARGENTINA SOCIEDAD ANONIMA</v>
          </cell>
          <cell r="D83">
            <v>43190</v>
          </cell>
          <cell r="E83">
            <v>6438452180</v>
          </cell>
          <cell r="F83">
            <v>5510367480</v>
          </cell>
          <cell r="G83">
            <v>1.1684300000000001</v>
          </cell>
          <cell r="H83">
            <v>0.76424000000000003</v>
          </cell>
          <cell r="K83">
            <v>67.5</v>
          </cell>
          <cell r="L83">
            <v>0</v>
          </cell>
          <cell r="M83" t="str">
            <v>NULL</v>
          </cell>
          <cell r="N83">
            <v>0</v>
          </cell>
          <cell r="O83">
            <v>0</v>
          </cell>
          <cell r="P83">
            <v>0</v>
          </cell>
          <cell r="Q83">
            <v>0</v>
          </cell>
          <cell r="S83">
            <v>103.816522644</v>
          </cell>
          <cell r="T83">
            <v>114.161425536</v>
          </cell>
          <cell r="U83">
            <v>43190</v>
          </cell>
          <cell r="V83">
            <v>13668340100</v>
          </cell>
          <cell r="W83">
            <v>12972263670</v>
          </cell>
          <cell r="X83">
            <v>9797409500</v>
          </cell>
          <cell r="Y83">
            <v>9433683490</v>
          </cell>
          <cell r="Z83">
            <v>4391302650</v>
          </cell>
          <cell r="AA83">
            <v>3.1125935034334287</v>
          </cell>
          <cell r="AC83">
            <v>4533831460</v>
          </cell>
          <cell r="AD83">
            <v>4452413990</v>
          </cell>
          <cell r="AE83">
            <v>4164879580</v>
          </cell>
          <cell r="AF83">
            <v>3467333510</v>
          </cell>
          <cell r="AG83">
            <v>1.8114048603905202</v>
          </cell>
          <cell r="AH83">
            <v>1172796560</v>
          </cell>
          <cell r="AI83">
            <v>1750407360</v>
          </cell>
          <cell r="AJ83">
            <v>1030258750</v>
          </cell>
          <cell r="AK83">
            <v>892277060</v>
          </cell>
          <cell r="AP83" t="e">
            <v>#DIV/0!</v>
          </cell>
          <cell r="AQ83">
            <v>1554947380</v>
          </cell>
          <cell r="AR83">
            <v>1263410510</v>
          </cell>
          <cell r="AS83">
            <v>1122171410</v>
          </cell>
          <cell r="AT83">
            <v>957780870</v>
          </cell>
          <cell r="AU83">
            <v>26.896044656407707</v>
          </cell>
          <cell r="AZ83" t="e">
            <v>#DIV/0!</v>
          </cell>
          <cell r="BA83" t="e">
            <v>#DIV/0!</v>
          </cell>
          <cell r="BC83">
            <v>29.022079999999999</v>
          </cell>
          <cell r="BD83">
            <v>20.462730000000001</v>
          </cell>
          <cell r="BE83">
            <v>10.40682</v>
          </cell>
          <cell r="BF83">
            <v>526128940</v>
          </cell>
          <cell r="BG83">
            <v>665243770</v>
          </cell>
          <cell r="BH83">
            <v>295336730</v>
          </cell>
          <cell r="BI83">
            <v>276131030</v>
          </cell>
          <cell r="BJ83">
            <v>0.10607725534572955</v>
          </cell>
          <cell r="BK83">
            <v>-856483610</v>
          </cell>
          <cell r="BL83">
            <v>-1274179080</v>
          </cell>
          <cell r="BM83">
            <v>-958999180</v>
          </cell>
          <cell r="BN83">
            <v>-688651320</v>
          </cell>
          <cell r="BO83">
            <v>-468525840</v>
          </cell>
          <cell r="BP83">
            <v>-1346956950</v>
          </cell>
          <cell r="BQ83">
            <v>86196390</v>
          </cell>
          <cell r="BR83">
            <v>3220311140</v>
          </cell>
          <cell r="BS83">
            <v>1583676550</v>
          </cell>
          <cell r="BT83">
            <v>557975340</v>
          </cell>
          <cell r="BU83">
            <v>84488220</v>
          </cell>
          <cell r="BV83">
            <v>1585384720</v>
          </cell>
          <cell r="BW83">
            <v>1.4347165197428714E-2</v>
          </cell>
          <cell r="BX83">
            <v>0.15371922946065447</v>
          </cell>
          <cell r="BY83">
            <v>4391302650</v>
          </cell>
          <cell r="BZ83">
            <v>3822551470</v>
          </cell>
          <cell r="CA83">
            <v>1243279770</v>
          </cell>
          <cell r="CB83">
            <v>915021870</v>
          </cell>
          <cell r="CC83" t="str">
            <v>NULL</v>
          </cell>
          <cell r="CD83" t="str">
            <v>NULL</v>
          </cell>
          <cell r="CE83" t="str">
            <v>NULL</v>
          </cell>
          <cell r="CF83" t="str">
            <v>NULL</v>
          </cell>
          <cell r="CG83" t="str">
            <v>NULL</v>
          </cell>
          <cell r="CH83" t="str">
            <v>NULL</v>
          </cell>
          <cell r="CI83" t="str">
            <v>NULL</v>
          </cell>
          <cell r="CJ83" t="str">
            <v>NULL</v>
          </cell>
          <cell r="CK83">
            <v>4391302650</v>
          </cell>
          <cell r="CL83">
            <v>3822551470</v>
          </cell>
          <cell r="CM83">
            <v>1243279770</v>
          </cell>
          <cell r="CN83">
            <v>915021870</v>
          </cell>
          <cell r="CO83">
            <v>0.67983571045022562</v>
          </cell>
          <cell r="CP83">
            <v>526128940</v>
          </cell>
          <cell r="CQ83">
            <v>354130850</v>
          </cell>
          <cell r="CR83">
            <v>1590842380</v>
          </cell>
          <cell r="CS83">
            <v>502100000</v>
          </cell>
          <cell r="CT83">
            <v>351600000</v>
          </cell>
          <cell r="CU83">
            <v>231300000</v>
          </cell>
          <cell r="CV83" t="str">
            <v>NULL</v>
          </cell>
          <cell r="CW83" t="str">
            <v>NULL</v>
          </cell>
          <cell r="CX83">
            <v>0.48569078350558836</v>
          </cell>
          <cell r="CY83">
            <v>1.0388415221605205</v>
          </cell>
          <cell r="CZ83">
            <v>2.1683775741884088</v>
          </cell>
          <cell r="DA83">
            <v>0.42804323094425478</v>
          </cell>
          <cell r="DB83">
            <v>0.52010376134889746</v>
          </cell>
          <cell r="DC83" t="e">
            <v>#VALUE!</v>
          </cell>
          <cell r="DD83" t="e">
            <v>#VALUE!</v>
          </cell>
          <cell r="DE83">
            <v>0.9792893111525609</v>
          </cell>
          <cell r="DG83">
            <v>10.5556074974651</v>
          </cell>
          <cell r="DH83">
            <v>596026490</v>
          </cell>
          <cell r="DI83">
            <v>67.650000000000006</v>
          </cell>
          <cell r="DJ83">
            <v>40321192048.5</v>
          </cell>
          <cell r="DK83">
            <v>43242766888.500099</v>
          </cell>
          <cell r="DM83">
            <v>4391302650</v>
          </cell>
          <cell r="DN83" t="str">
            <v>NULL</v>
          </cell>
          <cell r="DO83" t="str">
            <v>NULL</v>
          </cell>
          <cell r="DP83">
            <v>73456400</v>
          </cell>
          <cell r="DQ83">
            <v>39347430</v>
          </cell>
          <cell r="DR83">
            <v>4278498820</v>
          </cell>
          <cell r="DS83">
            <v>9.4241447163704013</v>
          </cell>
          <cell r="DT83">
            <v>0.88273000000000001</v>
          </cell>
          <cell r="DU83">
            <v>1.1351800000000001</v>
          </cell>
          <cell r="DV83">
            <v>0.52</v>
          </cell>
          <cell r="DW83">
            <v>0.48784</v>
          </cell>
          <cell r="DX83">
            <v>3.0257499999999999</v>
          </cell>
          <cell r="DY83">
            <v>22.308518549120052</v>
          </cell>
          <cell r="DZ83">
            <v>2.4262895353048792</v>
          </cell>
          <cell r="EA83">
            <v>238427770</v>
          </cell>
          <cell r="EB83">
            <v>169.11281789239567</v>
          </cell>
          <cell r="EC83">
            <v>22.358093034784801</v>
          </cell>
          <cell r="ED83">
            <v>0.74516714696692898</v>
          </cell>
          <cell r="EE83">
            <v>0.75727057319009405</v>
          </cell>
          <cell r="EG83" t="str">
            <v>-</v>
          </cell>
          <cell r="EH83" t="str">
            <v>-</v>
          </cell>
        </row>
        <row r="84">
          <cell r="A84" t="str">
            <v>RICH</v>
          </cell>
          <cell r="B84" t="str">
            <v>RICH.BA</v>
          </cell>
          <cell r="C84" t="str">
            <v>LABORATORIOS RICHMOND S.A.C.I.F.</v>
          </cell>
          <cell r="D84">
            <v>43008</v>
          </cell>
          <cell r="E84">
            <v>753166150</v>
          </cell>
          <cell r="F84">
            <v>634249370</v>
          </cell>
          <cell r="G84">
            <v>1.1874899999999999</v>
          </cell>
          <cell r="H84">
            <v>0.69504999999999995</v>
          </cell>
          <cell r="K84">
            <v>28.5</v>
          </cell>
          <cell r="L84">
            <v>0</v>
          </cell>
          <cell r="M84">
            <v>0</v>
          </cell>
          <cell r="N84">
            <v>0</v>
          </cell>
          <cell r="O84" t="str">
            <v>NULL</v>
          </cell>
          <cell r="P84">
            <v>0</v>
          </cell>
          <cell r="Q84">
            <v>0</v>
          </cell>
          <cell r="S84">
            <v>133.23284293500001</v>
          </cell>
          <cell r="T84">
            <v>115.024964125</v>
          </cell>
          <cell r="U84">
            <v>43008</v>
          </cell>
          <cell r="V84">
            <v>912390460</v>
          </cell>
          <cell r="W84">
            <v>779149390</v>
          </cell>
          <cell r="X84">
            <v>726252830</v>
          </cell>
          <cell r="Y84">
            <v>861132060</v>
          </cell>
          <cell r="Z84">
            <v>169873610</v>
          </cell>
          <cell r="AA84">
            <v>5.3709958833511573</v>
          </cell>
          <cell r="AC84">
            <v>253045200</v>
          </cell>
          <cell r="AD84">
            <v>241713910</v>
          </cell>
          <cell r="AE84">
            <v>192331250</v>
          </cell>
          <cell r="AF84">
            <v>360786650</v>
          </cell>
          <cell r="AG84">
            <v>1.5978763600818435</v>
          </cell>
          <cell r="AH84">
            <v>365114180</v>
          </cell>
          <cell r="AI84">
            <v>280530520</v>
          </cell>
          <cell r="AJ84">
            <v>190963740</v>
          </cell>
          <cell r="AK84">
            <v>225075880</v>
          </cell>
          <cell r="AP84" t="e">
            <v>#DIV/0!</v>
          </cell>
          <cell r="AQ84">
            <v>376466830</v>
          </cell>
          <cell r="AR84">
            <v>317189500</v>
          </cell>
          <cell r="AS84">
            <v>317116490</v>
          </cell>
          <cell r="AT84">
            <v>488227290</v>
          </cell>
          <cell r="AU84">
            <v>130.53417407974243</v>
          </cell>
          <cell r="AZ84" t="e">
            <v>#DIV/0!</v>
          </cell>
          <cell r="BA84" t="e">
            <v>#DIV/0!</v>
          </cell>
          <cell r="BC84">
            <v>55.327390000000001</v>
          </cell>
          <cell r="BD84">
            <v>28.097760000000001</v>
          </cell>
          <cell r="BE84">
            <v>11.07443</v>
          </cell>
          <cell r="BF84">
            <v>17650920</v>
          </cell>
          <cell r="BG84">
            <v>2379170</v>
          </cell>
          <cell r="BH84">
            <v>10630120</v>
          </cell>
          <cell r="BI84">
            <v>69602190</v>
          </cell>
          <cell r="BJ84">
            <v>9.5681457884069815E-2</v>
          </cell>
          <cell r="BK84">
            <v>-33521930</v>
          </cell>
          <cell r="BL84">
            <v>-22584140</v>
          </cell>
          <cell r="BM84">
            <v>-13731940</v>
          </cell>
          <cell r="BN84">
            <v>-22830140</v>
          </cell>
          <cell r="BO84">
            <v>-15595290</v>
          </cell>
          <cell r="BP84">
            <v>-31658580</v>
          </cell>
          <cell r="BQ84">
            <v>71988740</v>
          </cell>
          <cell r="BR84">
            <v>130679090</v>
          </cell>
          <cell r="BS84">
            <v>82771850</v>
          </cell>
          <cell r="BT84">
            <v>-3671150</v>
          </cell>
          <cell r="BU84">
            <v>-10994160</v>
          </cell>
          <cell r="BV84">
            <v>165754750</v>
          </cell>
          <cell r="BW84">
            <v>0.12796937877280082</v>
          </cell>
          <cell r="BX84">
            <v>0.12231131599562117</v>
          </cell>
          <cell r="BY84">
            <v>169873610</v>
          </cell>
          <cell r="BZ84">
            <v>153454210</v>
          </cell>
          <cell r="CA84">
            <v>176834160</v>
          </cell>
          <cell r="CB84">
            <v>189459810</v>
          </cell>
          <cell r="CC84" t="str">
            <v>NULL</v>
          </cell>
          <cell r="CD84" t="str">
            <v>NULL</v>
          </cell>
          <cell r="CE84" t="str">
            <v>NULL</v>
          </cell>
          <cell r="CF84">
            <v>39330000</v>
          </cell>
          <cell r="CG84" t="str">
            <v>NULL</v>
          </cell>
          <cell r="CH84" t="str">
            <v>NULL</v>
          </cell>
          <cell r="CI84" t="str">
            <v>NULL</v>
          </cell>
          <cell r="CJ84" t="str">
            <v>NULL</v>
          </cell>
          <cell r="CK84">
            <v>169873610</v>
          </cell>
          <cell r="CL84">
            <v>153454210</v>
          </cell>
          <cell r="CM84">
            <v>176834160</v>
          </cell>
          <cell r="CN84">
            <v>150129810</v>
          </cell>
          <cell r="CO84">
            <v>0.61672253312624481</v>
          </cell>
          <cell r="CP84">
            <v>17650920</v>
          </cell>
          <cell r="CQ84">
            <v>20317520</v>
          </cell>
          <cell r="CR84">
            <v>94795140</v>
          </cell>
          <cell r="CS84">
            <v>5826230</v>
          </cell>
          <cell r="CT84">
            <v>6468470</v>
          </cell>
          <cell r="CU84">
            <v>106140</v>
          </cell>
          <cell r="CV84">
            <v>4094170</v>
          </cell>
          <cell r="CW84" t="str">
            <v>NULL</v>
          </cell>
          <cell r="CX84">
            <v>-0.13124633321389623</v>
          </cell>
          <cell r="CY84">
            <v>18.534964102686569</v>
          </cell>
          <cell r="CZ84">
            <v>15.270408136994249</v>
          </cell>
          <cell r="DA84">
            <v>-9.9287775934649103E-2</v>
          </cell>
          <cell r="DB84">
            <v>59.942811381194652</v>
          </cell>
          <cell r="DC84">
            <v>-0.97407533150797354</v>
          </cell>
          <cell r="DD84" t="e">
            <v>#VALUE!</v>
          </cell>
          <cell r="DE84">
            <v>28.595483936070764</v>
          </cell>
          <cell r="DG84">
            <v>2.8635301406863198</v>
          </cell>
          <cell r="DH84">
            <v>14167164</v>
          </cell>
          <cell r="DI84">
            <v>29</v>
          </cell>
          <cell r="DJ84">
            <v>2341793123</v>
          </cell>
          <cell r="DK84">
            <v>738779179.00000095</v>
          </cell>
          <cell r="DM84">
            <v>169873610</v>
          </cell>
          <cell r="DN84" t="str">
            <v>NULL</v>
          </cell>
          <cell r="DO84" t="str">
            <v>NULL</v>
          </cell>
          <cell r="DP84">
            <v>27735440</v>
          </cell>
          <cell r="DQ84">
            <v>39782730</v>
          </cell>
          <cell r="DR84">
            <v>102355440</v>
          </cell>
          <cell r="DS84">
            <v>22.879029419442681</v>
          </cell>
          <cell r="DT84">
            <v>0.26508999999999999</v>
          </cell>
          <cell r="DU84">
            <v>3.5729999999999998E-2</v>
          </cell>
          <cell r="DV84">
            <v>0.15964999999999999</v>
          </cell>
          <cell r="DW84">
            <v>1.04532</v>
          </cell>
          <cell r="DX84">
            <v>1.50579</v>
          </cell>
          <cell r="DY84">
            <v>18.926942003865083</v>
          </cell>
          <cell r="DZ84">
            <v>2.2347976915726018</v>
          </cell>
          <cell r="EA84">
            <v>134096170</v>
          </cell>
          <cell r="EB84">
            <v>17.463534737793033</v>
          </cell>
          <cell r="EC84">
            <v>19.258993617967999</v>
          </cell>
          <cell r="ED84">
            <v>0.65641454339455296</v>
          </cell>
          <cell r="EE84" t="str">
            <v>NULL</v>
          </cell>
          <cell r="EG84" t="str">
            <v>-</v>
          </cell>
          <cell r="EH84" t="str">
            <v>-</v>
          </cell>
        </row>
        <row r="85">
          <cell r="A85" t="str">
            <v>VALO</v>
          </cell>
          <cell r="B85" t="str">
            <v>VAL.BA</v>
          </cell>
          <cell r="C85" t="str">
            <v>GRUPO FINANCIERO VALORES SOCIEDAD ANONIMA</v>
          </cell>
          <cell r="D85">
            <v>43190</v>
          </cell>
          <cell r="E85">
            <v>7385587360</v>
          </cell>
          <cell r="F85">
            <v>6406881930</v>
          </cell>
          <cell r="G85">
            <v>1.15276</v>
          </cell>
          <cell r="H85">
            <v>1.15276</v>
          </cell>
          <cell r="K85">
            <v>6.11</v>
          </cell>
          <cell r="L85">
            <v>0</v>
          </cell>
          <cell r="M85">
            <v>0.17252999999999999</v>
          </cell>
          <cell r="N85">
            <v>0</v>
          </cell>
          <cell r="O85">
            <v>0</v>
          </cell>
          <cell r="P85">
            <v>0.17252999999999999</v>
          </cell>
          <cell r="Q85">
            <v>2.8237315875613744E-2</v>
          </cell>
          <cell r="S85">
            <v>18.023470068400002</v>
          </cell>
          <cell r="T85">
            <v>19.8905283438</v>
          </cell>
          <cell r="U85">
            <v>43190</v>
          </cell>
          <cell r="V85">
            <v>8153491250</v>
          </cell>
          <cell r="W85">
            <v>8557775910</v>
          </cell>
          <cell r="X85">
            <v>7128234390</v>
          </cell>
          <cell r="Y85">
            <v>8303184220</v>
          </cell>
          <cell r="Z85">
            <v>1702713400</v>
          </cell>
          <cell r="AA85">
            <v>4.7885282690557318</v>
          </cell>
          <cell r="AC85">
            <v>377792240</v>
          </cell>
          <cell r="AD85">
            <v>338635170</v>
          </cell>
          <cell r="AE85">
            <v>314367110</v>
          </cell>
          <cell r="AF85">
            <v>344773040</v>
          </cell>
          <cell r="AG85">
            <v>0.21397802932536067</v>
          </cell>
          <cell r="AH85">
            <v>47772860</v>
          </cell>
          <cell r="AI85">
            <v>84962990</v>
          </cell>
          <cell r="AJ85">
            <v>0</v>
          </cell>
          <cell r="AK85">
            <v>0</v>
          </cell>
          <cell r="AP85" t="e">
            <v>#DIV/0!</v>
          </cell>
          <cell r="AQ85" t="str">
            <v>NULL</v>
          </cell>
          <cell r="AR85" t="str">
            <v>NULL</v>
          </cell>
          <cell r="AS85">
            <v>0</v>
          </cell>
          <cell r="AT85">
            <v>0</v>
          </cell>
          <cell r="AU85">
            <v>0</v>
          </cell>
          <cell r="AZ85" t="e">
            <v>#DIV/0!</v>
          </cell>
          <cell r="BA85" t="e">
            <v>#DIV/0!</v>
          </cell>
          <cell r="BC85">
            <v>97.767939999999996</v>
          </cell>
          <cell r="BD85">
            <v>57.028120000000001</v>
          </cell>
          <cell r="BE85">
            <v>40.898260000000001</v>
          </cell>
          <cell r="BF85">
            <v>132628800</v>
          </cell>
          <cell r="BG85">
            <v>102956820</v>
          </cell>
          <cell r="BH85">
            <v>225965920</v>
          </cell>
          <cell r="BI85">
            <v>126507370</v>
          </cell>
          <cell r="BJ85">
            <v>0.42750274657538451</v>
          </cell>
          <cell r="BK85">
            <v>-13177000</v>
          </cell>
          <cell r="BL85">
            <v>-35518920</v>
          </cell>
          <cell r="BM85">
            <v>-22514210</v>
          </cell>
          <cell r="BN85">
            <v>-17610920</v>
          </cell>
          <cell r="BO85">
            <v>-5103690</v>
          </cell>
          <cell r="BP85">
            <v>-30587520</v>
          </cell>
          <cell r="BQ85">
            <v>-157919100</v>
          </cell>
          <cell r="BR85">
            <v>1222365790</v>
          </cell>
          <cell r="BS85">
            <v>407082900</v>
          </cell>
          <cell r="BT85">
            <v>759166550</v>
          </cell>
          <cell r="BU85">
            <v>341328950</v>
          </cell>
          <cell r="BV85">
            <v>-92165150</v>
          </cell>
          <cell r="BW85">
            <v>-8.9237834308916089E-2</v>
          </cell>
          <cell r="BX85">
            <v>7.3181054527665879E-2</v>
          </cell>
          <cell r="BY85">
            <v>1702713400</v>
          </cell>
          <cell r="BZ85">
            <v>1570644000</v>
          </cell>
          <cell r="CA85">
            <v>1461361320</v>
          </cell>
          <cell r="CB85">
            <v>1225380120</v>
          </cell>
          <cell r="CC85" t="str">
            <v>NULL</v>
          </cell>
          <cell r="CD85" t="str">
            <v>NULL</v>
          </cell>
          <cell r="CE85" t="str">
            <v>NULL</v>
          </cell>
          <cell r="CF85" t="str">
            <v>NULL</v>
          </cell>
          <cell r="CG85" t="str">
            <v>NULL</v>
          </cell>
          <cell r="CH85" t="str">
            <v>NULL</v>
          </cell>
          <cell r="CI85" t="str">
            <v>NULL</v>
          </cell>
          <cell r="CJ85" t="str">
            <v>NULL</v>
          </cell>
          <cell r="CK85">
            <v>1702713400</v>
          </cell>
          <cell r="CL85">
            <v>1570644000</v>
          </cell>
          <cell r="CM85">
            <v>1461361320</v>
          </cell>
          <cell r="CN85">
            <v>1225380120</v>
          </cell>
          <cell r="CO85">
            <v>0.39466386433282707</v>
          </cell>
          <cell r="CP85">
            <v>132628800</v>
          </cell>
          <cell r="CQ85">
            <v>58993490</v>
          </cell>
          <cell r="CR85">
            <v>514423580</v>
          </cell>
          <cell r="CS85">
            <v>511381290</v>
          </cell>
          <cell r="CT85">
            <v>191232910</v>
          </cell>
          <cell r="CU85">
            <v>346257240</v>
          </cell>
          <cell r="CV85">
            <v>137264130</v>
          </cell>
          <cell r="CW85">
            <v>82949520</v>
          </cell>
          <cell r="CX85">
            <v>1.2481938261323409</v>
          </cell>
          <cell r="CY85">
            <v>0.68194314701275671</v>
          </cell>
          <cell r="CZ85">
            <v>5.9491617301836719E-3</v>
          </cell>
          <cell r="DA85">
            <v>1.6741280567241277</v>
          </cell>
          <cell r="DB85">
            <v>-0.4477143351572952</v>
          </cell>
          <cell r="DC85">
            <v>1.5225617209681803</v>
          </cell>
          <cell r="DD85">
            <v>0.65479113079858697</v>
          </cell>
          <cell r="DE85">
            <v>0.92532448485427288</v>
          </cell>
          <cell r="DG85">
            <v>-1.92820796938612</v>
          </cell>
          <cell r="DH85">
            <v>858453000</v>
          </cell>
          <cell r="DI85">
            <v>6.18</v>
          </cell>
          <cell r="DJ85">
            <v>5305239540</v>
          </cell>
          <cell r="DK85">
            <v>-1298232499.99999</v>
          </cell>
          <cell r="DM85">
            <v>1702713400</v>
          </cell>
          <cell r="DN85" t="str">
            <v>NULL</v>
          </cell>
          <cell r="DO85" t="str">
            <v>NULL</v>
          </cell>
          <cell r="DP85">
            <v>14471260</v>
          </cell>
          <cell r="DQ85" t="str">
            <v>NULL</v>
          </cell>
          <cell r="DR85">
            <v>1688242140</v>
          </cell>
          <cell r="DS85">
            <v>3.1424636397240979</v>
          </cell>
          <cell r="DT85">
            <v>0.15456</v>
          </cell>
          <cell r="DU85">
            <v>0.11491999999999999</v>
          </cell>
          <cell r="DV85">
            <v>0.26467000000000002</v>
          </cell>
          <cell r="DW85">
            <v>0.14806</v>
          </cell>
          <cell r="DX85">
            <v>0.68220999999999998</v>
          </cell>
          <cell r="DY85">
            <v>8.9561865114847343</v>
          </cell>
          <cell r="DZ85">
            <v>3.8567640690799658</v>
          </cell>
          <cell r="EA85">
            <v>-122752670</v>
          </cell>
          <cell r="EB85">
            <v>-43.218933975122496</v>
          </cell>
          <cell r="EC85">
            <v>9.0587942129256405</v>
          </cell>
          <cell r="ED85">
            <v>1.3321444848710899</v>
          </cell>
          <cell r="EE85">
            <v>1.13058462397356</v>
          </cell>
          <cell r="EG85">
            <v>0.37532523057756906</v>
          </cell>
          <cell r="EH85">
            <v>3.6843141287349113E-2</v>
          </cell>
        </row>
        <row r="86">
          <cell r="A86" t="str">
            <v>YPFD</v>
          </cell>
          <cell r="B86" t="str">
            <v>YPFD.BA</v>
          </cell>
          <cell r="C86" t="str">
            <v>YPF SA</v>
          </cell>
          <cell r="D86">
            <v>43190</v>
          </cell>
          <cell r="E86">
            <v>124217000000</v>
          </cell>
          <cell r="F86">
            <v>102725000000</v>
          </cell>
          <cell r="G86">
            <v>1.20922</v>
          </cell>
          <cell r="H86">
            <v>0.92466999999999999</v>
          </cell>
          <cell r="I86">
            <v>1.05772</v>
          </cell>
          <cell r="J86">
            <v>0.79313</v>
          </cell>
          <cell r="K86">
            <v>467</v>
          </cell>
          <cell r="L86">
            <v>0</v>
          </cell>
          <cell r="M86">
            <v>1.82</v>
          </cell>
          <cell r="N86">
            <v>1.8204</v>
          </cell>
          <cell r="O86">
            <v>0</v>
          </cell>
          <cell r="P86">
            <v>3.6404000000000001</v>
          </cell>
          <cell r="Q86">
            <v>7.7952890792291219E-3</v>
          </cell>
          <cell r="S86">
            <v>118.026196192</v>
          </cell>
          <cell r="T86">
            <v>125.455858695</v>
          </cell>
          <cell r="U86">
            <v>43190</v>
          </cell>
          <cell r="V86">
            <v>552259000000</v>
          </cell>
          <cell r="W86">
            <v>505718000000</v>
          </cell>
          <cell r="X86">
            <v>461284000000</v>
          </cell>
          <cell r="Y86">
            <v>434335000000</v>
          </cell>
          <cell r="Z86">
            <v>171628000000</v>
          </cell>
          <cell r="AA86">
            <v>3.2177674971449881</v>
          </cell>
          <cell r="AC86">
            <v>75823000000</v>
          </cell>
          <cell r="AD86">
            <v>69614000000</v>
          </cell>
          <cell r="AE86">
            <v>66034000000</v>
          </cell>
          <cell r="AF86">
            <v>60162000000</v>
          </cell>
          <cell r="AG86">
            <v>0.69521281266636425</v>
          </cell>
          <cell r="AH86">
            <v>46720000000</v>
          </cell>
          <cell r="AI86">
            <v>44655000000</v>
          </cell>
          <cell r="AJ86">
            <v>41645000000</v>
          </cell>
          <cell r="AK86">
            <v>37054000000</v>
          </cell>
          <cell r="AL86">
            <v>46009000000</v>
          </cell>
          <cell r="AM86">
            <v>46605000000</v>
          </cell>
          <cell r="AN86">
            <v>48320000000</v>
          </cell>
          <cell r="AO86">
            <v>43084000000</v>
          </cell>
          <cell r="AP86">
            <v>84.335513373691711</v>
          </cell>
          <cell r="AQ86">
            <v>34192000000</v>
          </cell>
          <cell r="AR86">
            <v>40649000000</v>
          </cell>
          <cell r="AS86">
            <v>41988000000</v>
          </cell>
          <cell r="AT86">
            <v>32979000000</v>
          </cell>
          <cell r="AU86">
            <v>50.325181402848699</v>
          </cell>
          <cell r="AV86">
            <v>21032000000</v>
          </cell>
          <cell r="AW86">
            <v>21820000000</v>
          </cell>
          <cell r="AX86">
            <v>22703000000</v>
          </cell>
          <cell r="AY86">
            <v>22225000000</v>
          </cell>
          <cell r="AZ86">
            <v>43.527942918627524</v>
          </cell>
          <cell r="BA86">
            <v>9.5176109477845188</v>
          </cell>
          <cell r="BC86">
            <v>15.613519999999999</v>
          </cell>
          <cell r="BD86">
            <v>6.3576600000000001</v>
          </cell>
          <cell r="BE86">
            <v>4.8810799999999999</v>
          </cell>
          <cell r="BF86">
            <v>6067000000</v>
          </cell>
          <cell r="BG86">
            <v>12010000000</v>
          </cell>
          <cell r="BH86">
            <v>93000000</v>
          </cell>
          <cell r="BI86">
            <v>212000000</v>
          </cell>
          <cell r="BJ86">
            <v>6.7672190050546144E-2</v>
          </cell>
          <cell r="BK86">
            <v>-15794000000</v>
          </cell>
          <cell r="BL86">
            <v>-59618000000</v>
          </cell>
          <cell r="BM86">
            <v>-43951000000</v>
          </cell>
          <cell r="BN86">
            <v>-27678000000</v>
          </cell>
          <cell r="BO86">
            <v>-14574000000</v>
          </cell>
          <cell r="BP86">
            <v>-45171000000</v>
          </cell>
          <cell r="BQ86">
            <v>21426000000</v>
          </cell>
          <cell r="BR86">
            <v>71913000000</v>
          </cell>
          <cell r="BS86">
            <v>51185000000</v>
          </cell>
          <cell r="BT86">
            <v>37633000000</v>
          </cell>
          <cell r="BU86">
            <v>24650000000</v>
          </cell>
          <cell r="BV86">
            <v>47961000000</v>
          </cell>
          <cell r="BW86">
            <v>1.0271211524372959E-2</v>
          </cell>
          <cell r="BX86">
            <v>3.7637259699548932E-2</v>
          </cell>
          <cell r="BY86">
            <v>171628000000</v>
          </cell>
          <cell r="BZ86">
            <v>152295000000</v>
          </cell>
          <cell r="CA86">
            <v>130622000000</v>
          </cell>
          <cell r="CB86">
            <v>124195000000</v>
          </cell>
          <cell r="CC86" t="str">
            <v>NULL</v>
          </cell>
          <cell r="CD86" t="str">
            <v>NULL</v>
          </cell>
          <cell r="CE86" t="str">
            <v>NULL</v>
          </cell>
          <cell r="CF86" t="str">
            <v>NULL</v>
          </cell>
          <cell r="CG86" t="str">
            <v>NULL</v>
          </cell>
          <cell r="CH86" t="str">
            <v>NULL</v>
          </cell>
          <cell r="CI86" t="str">
            <v>NULL</v>
          </cell>
          <cell r="CJ86" t="str">
            <v>NULL</v>
          </cell>
          <cell r="CK86">
            <v>171628000000</v>
          </cell>
          <cell r="CL86">
            <v>152295000000</v>
          </cell>
          <cell r="CM86">
            <v>130622000000</v>
          </cell>
          <cell r="CN86">
            <v>124195000000</v>
          </cell>
          <cell r="CO86">
            <v>0.12704841552337837</v>
          </cell>
          <cell r="CP86">
            <v>6067000000</v>
          </cell>
          <cell r="CQ86">
            <v>25000000</v>
          </cell>
          <cell r="CR86">
            <v>12340000000</v>
          </cell>
          <cell r="CS86">
            <v>-28237000000</v>
          </cell>
          <cell r="CT86">
            <v>4579000000</v>
          </cell>
          <cell r="CU86">
            <v>9002000000</v>
          </cell>
          <cell r="CV86">
            <v>5125000000</v>
          </cell>
          <cell r="CW86">
            <v>3902000000</v>
          </cell>
          <cell r="CX86">
            <v>241.68</v>
          </cell>
          <cell r="CY86">
            <v>-1.0302066896292119</v>
          </cell>
          <cell r="CZ86">
            <v>1.4370152636611537</v>
          </cell>
          <cell r="DA86">
            <v>-7.1666302686176024</v>
          </cell>
          <cell r="DB86">
            <v>-0.49133525883137086</v>
          </cell>
          <cell r="DC86">
            <v>0.75648780487804879</v>
          </cell>
          <cell r="DD86">
            <v>0.31342901076371099</v>
          </cell>
          <cell r="DE86">
            <v>3.5011032203637495</v>
          </cell>
          <cell r="DG86">
            <v>3.6615023235350002</v>
          </cell>
          <cell r="DH86">
            <v>3932609830</v>
          </cell>
          <cell r="DI86">
            <v>459.85</v>
          </cell>
          <cell r="DJ86">
            <v>180864887861.04999</v>
          </cell>
          <cell r="DK86">
            <v>341219063032.54999</v>
          </cell>
          <cell r="DM86">
            <v>171628000000</v>
          </cell>
          <cell r="DN86" t="str">
            <v>NULL</v>
          </cell>
          <cell r="DO86" t="str">
            <v>NULL</v>
          </cell>
          <cell r="DP86">
            <v>10662000000</v>
          </cell>
          <cell r="DQ86" t="str">
            <v>NULL</v>
          </cell>
          <cell r="DR86">
            <v>160966000000</v>
          </cell>
          <cell r="DS86">
            <v>1.123621683219127</v>
          </cell>
          <cell r="DT86">
            <v>15.468870000000001</v>
          </cell>
          <cell r="DU86">
            <v>30.614280000000001</v>
          </cell>
          <cell r="DV86">
            <v>0.23707</v>
          </cell>
          <cell r="DW86">
            <v>0.54</v>
          </cell>
          <cell r="DX86">
            <v>46.860220000000005</v>
          </cell>
          <cell r="DY86">
            <v>9.9658089526681675</v>
          </cell>
          <cell r="DZ86">
            <v>0.66584283890782781</v>
          </cell>
          <cell r="EA86">
            <v>2790000000</v>
          </cell>
          <cell r="EB86">
            <v>64.826124681379923</v>
          </cell>
          <cell r="EC86">
            <v>0.98132275093885601</v>
          </cell>
          <cell r="ED86">
            <v>0.73139665377772201</v>
          </cell>
          <cell r="EE86">
            <v>0.78784110840840105</v>
          </cell>
          <cell r="EG86">
            <v>0.45429289898770986</v>
          </cell>
          <cell r="EH86">
            <v>-6.5606720635304705E-2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mgasparoli@invertironline.com" TargetMode="Externa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DZ424"/>
  <sheetViews>
    <sheetView tabSelected="1" view="pageBreakPreview" zoomScale="85" zoomScaleNormal="100" zoomScaleSheetLayoutView="85" workbookViewId="0">
      <pane ySplit="13" topLeftCell="A14" activePane="bottomLeft" state="frozen"/>
      <selection activeCell="AV9" sqref="AV9"/>
      <selection pane="bottomLeft" activeCell="AR10" sqref="AR10"/>
    </sheetView>
  </sheetViews>
  <sheetFormatPr baseColWidth="10" defaultRowHeight="12.75" x14ac:dyDescent="0.2"/>
  <cols>
    <col min="1" max="1" width="3.140625" style="154" customWidth="1"/>
    <col min="2" max="2" width="3.85546875" style="154" customWidth="1"/>
    <col min="3" max="3" width="3" style="154" customWidth="1"/>
    <col min="4" max="4" width="3.7109375" style="154" customWidth="1"/>
    <col min="5" max="5" width="4.7109375" style="154" customWidth="1"/>
    <col min="6" max="6" width="2.140625" style="154" customWidth="1"/>
    <col min="7" max="7" width="1.5703125" style="154" customWidth="1"/>
    <col min="8" max="8" width="2.28515625" style="154" customWidth="1"/>
    <col min="9" max="10" width="2.140625" style="154" customWidth="1"/>
    <col min="11" max="11" width="5.85546875" style="154" customWidth="1"/>
    <col min="12" max="12" width="2.140625" style="154" customWidth="1"/>
    <col min="13" max="13" width="1.85546875" style="154" customWidth="1"/>
    <col min="14" max="14" width="1.28515625" style="154" customWidth="1"/>
    <col min="15" max="16" width="2.140625" style="154" customWidth="1"/>
    <col min="17" max="17" width="1.5703125" style="154" customWidth="1"/>
    <col min="18" max="18" width="3" style="154" customWidth="1"/>
    <col min="19" max="19" width="1.5703125" style="157" customWidth="1"/>
    <col min="20" max="20" width="1" style="154" customWidth="1"/>
    <col min="21" max="21" width="2.140625" style="154" customWidth="1"/>
    <col min="22" max="22" width="0.5703125" style="154" customWidth="1"/>
    <col min="23" max="24" width="1.5703125" style="154" customWidth="1"/>
    <col min="25" max="25" width="1.85546875" style="154" customWidth="1"/>
    <col min="26" max="26" width="3.42578125" style="154" customWidth="1"/>
    <col min="27" max="27" width="2.140625" style="154" customWidth="1"/>
    <col min="28" max="28" width="1.7109375" style="154" customWidth="1"/>
    <col min="29" max="29" width="2.5703125" style="154" customWidth="1"/>
    <col min="30" max="30" width="2.140625" style="154" customWidth="1"/>
    <col min="31" max="31" width="1.5703125" style="154" customWidth="1"/>
    <col min="32" max="33" width="2.140625" style="154" customWidth="1"/>
    <col min="34" max="34" width="1.5703125" style="154" customWidth="1"/>
    <col min="35" max="35" width="3" style="154" customWidth="1"/>
    <col min="36" max="36" width="1.85546875" style="154" customWidth="1"/>
    <col min="37" max="37" width="2.85546875" style="154" customWidth="1"/>
    <col min="38" max="38" width="1.7109375" style="154" customWidth="1"/>
    <col min="39" max="40" width="1.42578125" style="154" customWidth="1"/>
    <col min="41" max="41" width="4.5703125" style="154" customWidth="1"/>
    <col min="42" max="42" width="1.85546875" style="154" customWidth="1"/>
    <col min="43" max="43" width="1.5703125" style="154" customWidth="1"/>
    <col min="44" max="44" width="3.42578125" style="154" customWidth="1"/>
    <col min="45" max="45" width="8.140625" style="154" customWidth="1"/>
    <col min="46" max="46" width="8.42578125" style="154" customWidth="1"/>
    <col min="47" max="47" width="6" style="157" bestFit="1" customWidth="1"/>
    <col min="48" max="48" width="9.85546875" style="157" customWidth="1"/>
    <col min="49" max="49" width="8.7109375" style="157" bestFit="1" customWidth="1"/>
    <col min="50" max="50" width="3.140625" style="154" customWidth="1"/>
    <col min="51" max="51" width="1.28515625" style="154" customWidth="1"/>
    <col min="52" max="52" width="3.140625" style="154" customWidth="1"/>
    <col min="53" max="54" width="2.140625" style="154" customWidth="1"/>
    <col min="55" max="55" width="2.42578125" style="154" customWidth="1"/>
    <col min="56" max="56" width="1.42578125" style="154" customWidth="1"/>
    <col min="57" max="57" width="2.140625" style="154" customWidth="1"/>
    <col min="58" max="58" width="3.42578125" style="154" customWidth="1"/>
    <col min="59" max="59" width="0.5703125" style="154" customWidth="1"/>
    <col min="60" max="60" width="1.28515625" style="154" customWidth="1"/>
    <col min="61" max="61" width="3.140625" style="154" customWidth="1"/>
    <col min="62" max="62" width="2.140625" style="154" customWidth="1"/>
    <col min="63" max="63" width="1.5703125" style="154" customWidth="1"/>
    <col min="64" max="64" width="2.42578125" style="154" customWidth="1"/>
    <col min="65" max="65" width="1.7109375" style="154" customWidth="1"/>
    <col min="66" max="66" width="1.28515625" style="154" customWidth="1"/>
    <col min="67" max="67" width="2.140625" style="154" customWidth="1"/>
    <col min="68" max="68" width="7.140625" style="154" customWidth="1"/>
    <col min="69" max="69" width="5.85546875" style="154" hidden="1" customWidth="1"/>
    <col min="70" max="70" width="4.5703125" style="154" hidden="1" customWidth="1"/>
    <col min="71" max="71" width="4.5703125" style="154" customWidth="1"/>
    <col min="72" max="72" width="6.42578125" style="154" customWidth="1"/>
    <col min="73" max="73" width="6.140625" style="154" customWidth="1"/>
    <col min="74" max="75" width="7.28515625" style="154" customWidth="1"/>
    <col min="76" max="77" width="11.42578125" style="4"/>
    <col min="78" max="78" width="11.42578125" style="4" customWidth="1"/>
    <col min="79" max="296" width="11.42578125" style="4"/>
    <col min="297" max="297" width="14.5703125" style="4" customWidth="1"/>
    <col min="298" max="298" width="12.7109375" style="4" customWidth="1"/>
    <col min="299" max="299" width="1.5703125" style="4" customWidth="1"/>
    <col min="300" max="300" width="18.28515625" style="4" customWidth="1"/>
    <col min="301" max="301" width="11" style="4" customWidth="1"/>
    <col min="302" max="302" width="13.28515625" style="4" bestFit="1" customWidth="1"/>
    <col min="303" max="303" width="18" style="4" customWidth="1"/>
    <col min="304" max="304" width="11.42578125" style="4"/>
    <col min="305" max="305" width="11.140625" style="4" customWidth="1"/>
    <col min="306" max="306" width="11.42578125" style="4"/>
    <col min="307" max="307" width="17.42578125" style="4" customWidth="1"/>
    <col min="308" max="552" width="11.42578125" style="4"/>
    <col min="553" max="553" width="14.5703125" style="4" customWidth="1"/>
    <col min="554" max="554" width="12.7109375" style="4" customWidth="1"/>
    <col min="555" max="555" width="1.5703125" style="4" customWidth="1"/>
    <col min="556" max="556" width="18.28515625" style="4" customWidth="1"/>
    <col min="557" max="557" width="11" style="4" customWidth="1"/>
    <col min="558" max="558" width="13.28515625" style="4" bestFit="1" customWidth="1"/>
    <col min="559" max="559" width="18" style="4" customWidth="1"/>
    <col min="560" max="560" width="11.42578125" style="4"/>
    <col min="561" max="561" width="11.140625" style="4" customWidth="1"/>
    <col min="562" max="562" width="11.42578125" style="4"/>
    <col min="563" max="563" width="17.42578125" style="4" customWidth="1"/>
    <col min="564" max="808" width="11.42578125" style="4"/>
    <col min="809" max="809" width="14.5703125" style="4" customWidth="1"/>
    <col min="810" max="810" width="12.7109375" style="4" customWidth="1"/>
    <col min="811" max="811" width="1.5703125" style="4" customWidth="1"/>
    <col min="812" max="812" width="18.28515625" style="4" customWidth="1"/>
    <col min="813" max="813" width="11" style="4" customWidth="1"/>
    <col min="814" max="814" width="13.28515625" style="4" bestFit="1" customWidth="1"/>
    <col min="815" max="815" width="18" style="4" customWidth="1"/>
    <col min="816" max="816" width="11.42578125" style="4"/>
    <col min="817" max="817" width="11.140625" style="4" customWidth="1"/>
    <col min="818" max="818" width="11.42578125" style="4"/>
    <col min="819" max="819" width="17.42578125" style="4" customWidth="1"/>
    <col min="820" max="1064" width="11.42578125" style="4"/>
    <col min="1065" max="1065" width="14.5703125" style="4" customWidth="1"/>
    <col min="1066" max="1066" width="12.7109375" style="4" customWidth="1"/>
    <col min="1067" max="1067" width="1.5703125" style="4" customWidth="1"/>
    <col min="1068" max="1068" width="18.28515625" style="4" customWidth="1"/>
    <col min="1069" max="1069" width="11" style="4" customWidth="1"/>
    <col min="1070" max="1070" width="13.28515625" style="4" bestFit="1" customWidth="1"/>
    <col min="1071" max="1071" width="18" style="4" customWidth="1"/>
    <col min="1072" max="1072" width="11.42578125" style="4"/>
    <col min="1073" max="1073" width="11.140625" style="4" customWidth="1"/>
    <col min="1074" max="1074" width="11.42578125" style="4"/>
    <col min="1075" max="1075" width="17.42578125" style="4" customWidth="1"/>
    <col min="1076" max="1320" width="11.42578125" style="4"/>
    <col min="1321" max="1321" width="14.5703125" style="4" customWidth="1"/>
    <col min="1322" max="1322" width="12.7109375" style="4" customWidth="1"/>
    <col min="1323" max="1323" width="1.5703125" style="4" customWidth="1"/>
    <col min="1324" max="1324" width="18.28515625" style="4" customWidth="1"/>
    <col min="1325" max="1325" width="11" style="4" customWidth="1"/>
    <col min="1326" max="1326" width="13.28515625" style="4" bestFit="1" customWidth="1"/>
    <col min="1327" max="1327" width="18" style="4" customWidth="1"/>
    <col min="1328" max="1328" width="11.42578125" style="4"/>
    <col min="1329" max="1329" width="11.140625" style="4" customWidth="1"/>
    <col min="1330" max="1330" width="11.42578125" style="4"/>
    <col min="1331" max="1331" width="17.42578125" style="4" customWidth="1"/>
    <col min="1332" max="1576" width="11.42578125" style="4"/>
    <col min="1577" max="1577" width="14.5703125" style="4" customWidth="1"/>
    <col min="1578" max="1578" width="12.7109375" style="4" customWidth="1"/>
    <col min="1579" max="1579" width="1.5703125" style="4" customWidth="1"/>
    <col min="1580" max="1580" width="18.28515625" style="4" customWidth="1"/>
    <col min="1581" max="1581" width="11" style="4" customWidth="1"/>
    <col min="1582" max="1582" width="13.28515625" style="4" bestFit="1" customWidth="1"/>
    <col min="1583" max="1583" width="18" style="4" customWidth="1"/>
    <col min="1584" max="1584" width="11.42578125" style="4"/>
    <col min="1585" max="1585" width="11.140625" style="4" customWidth="1"/>
    <col min="1586" max="1586" width="11.42578125" style="4"/>
    <col min="1587" max="1587" width="17.42578125" style="4" customWidth="1"/>
    <col min="1588" max="1832" width="11.42578125" style="4"/>
    <col min="1833" max="1833" width="14.5703125" style="4" customWidth="1"/>
    <col min="1834" max="1834" width="12.7109375" style="4" customWidth="1"/>
    <col min="1835" max="1835" width="1.5703125" style="4" customWidth="1"/>
    <col min="1836" max="1836" width="18.28515625" style="4" customWidth="1"/>
    <col min="1837" max="1837" width="11" style="4" customWidth="1"/>
    <col min="1838" max="1838" width="13.28515625" style="4" bestFit="1" customWidth="1"/>
    <col min="1839" max="1839" width="18" style="4" customWidth="1"/>
    <col min="1840" max="1840" width="11.42578125" style="4"/>
    <col min="1841" max="1841" width="11.140625" style="4" customWidth="1"/>
    <col min="1842" max="1842" width="11.42578125" style="4"/>
    <col min="1843" max="1843" width="17.42578125" style="4" customWidth="1"/>
    <col min="1844" max="2088" width="11.42578125" style="4"/>
    <col min="2089" max="2089" width="14.5703125" style="4" customWidth="1"/>
    <col min="2090" max="2090" width="12.7109375" style="4" customWidth="1"/>
    <col min="2091" max="2091" width="1.5703125" style="4" customWidth="1"/>
    <col min="2092" max="2092" width="18.28515625" style="4" customWidth="1"/>
    <col min="2093" max="2093" width="11" style="4" customWidth="1"/>
    <col min="2094" max="2094" width="13.28515625" style="4" bestFit="1" customWidth="1"/>
    <col min="2095" max="2095" width="18" style="4" customWidth="1"/>
    <col min="2096" max="2096" width="11.42578125" style="4"/>
    <col min="2097" max="2097" width="11.140625" style="4" customWidth="1"/>
    <col min="2098" max="2098" width="11.42578125" style="4"/>
    <col min="2099" max="2099" width="17.42578125" style="4" customWidth="1"/>
    <col min="2100" max="2344" width="11.42578125" style="4"/>
    <col min="2345" max="2345" width="14.5703125" style="4" customWidth="1"/>
    <col min="2346" max="2346" width="12.7109375" style="4" customWidth="1"/>
    <col min="2347" max="2347" width="1.5703125" style="4" customWidth="1"/>
    <col min="2348" max="2348" width="18.28515625" style="4" customWidth="1"/>
    <col min="2349" max="2349" width="11" style="4" customWidth="1"/>
    <col min="2350" max="2350" width="13.28515625" style="4" bestFit="1" customWidth="1"/>
    <col min="2351" max="2351" width="18" style="4" customWidth="1"/>
    <col min="2352" max="2352" width="11.42578125" style="4"/>
    <col min="2353" max="2353" width="11.140625" style="4" customWidth="1"/>
    <col min="2354" max="2354" width="11.42578125" style="4"/>
    <col min="2355" max="2355" width="17.42578125" style="4" customWidth="1"/>
    <col min="2356" max="2600" width="11.42578125" style="4"/>
    <col min="2601" max="2601" width="14.5703125" style="4" customWidth="1"/>
    <col min="2602" max="2602" width="12.7109375" style="4" customWidth="1"/>
    <col min="2603" max="2603" width="1.5703125" style="4" customWidth="1"/>
    <col min="2604" max="2604" width="18.28515625" style="4" customWidth="1"/>
    <col min="2605" max="2605" width="11" style="4" customWidth="1"/>
    <col min="2606" max="2606" width="13.28515625" style="4" bestFit="1" customWidth="1"/>
    <col min="2607" max="2607" width="18" style="4" customWidth="1"/>
    <col min="2608" max="2608" width="11.42578125" style="4"/>
    <col min="2609" max="2609" width="11.140625" style="4" customWidth="1"/>
    <col min="2610" max="2610" width="11.42578125" style="4"/>
    <col min="2611" max="2611" width="17.42578125" style="4" customWidth="1"/>
    <col min="2612" max="2856" width="11.42578125" style="4"/>
    <col min="2857" max="2857" width="14.5703125" style="4" customWidth="1"/>
    <col min="2858" max="2858" width="12.7109375" style="4" customWidth="1"/>
    <col min="2859" max="2859" width="1.5703125" style="4" customWidth="1"/>
    <col min="2860" max="2860" width="18.28515625" style="4" customWidth="1"/>
    <col min="2861" max="2861" width="11" style="4" customWidth="1"/>
    <col min="2862" max="2862" width="13.28515625" style="4" bestFit="1" customWidth="1"/>
    <col min="2863" max="2863" width="18" style="4" customWidth="1"/>
    <col min="2864" max="2864" width="11.42578125" style="4"/>
    <col min="2865" max="2865" width="11.140625" style="4" customWidth="1"/>
    <col min="2866" max="2866" width="11.42578125" style="4"/>
    <col min="2867" max="2867" width="17.42578125" style="4" customWidth="1"/>
    <col min="2868" max="3112" width="11.42578125" style="4"/>
    <col min="3113" max="3113" width="14.5703125" style="4" customWidth="1"/>
    <col min="3114" max="3114" width="12.7109375" style="4" customWidth="1"/>
    <col min="3115" max="3115" width="1.5703125" style="4" customWidth="1"/>
    <col min="3116" max="3116" width="18.28515625" style="4" customWidth="1"/>
    <col min="3117" max="3117" width="11" style="4" customWidth="1"/>
    <col min="3118" max="3118" width="13.28515625" style="4" bestFit="1" customWidth="1"/>
    <col min="3119" max="3119" width="18" style="4" customWidth="1"/>
    <col min="3120" max="3120" width="11.42578125" style="4"/>
    <col min="3121" max="3121" width="11.140625" style="4" customWidth="1"/>
    <col min="3122" max="3122" width="11.42578125" style="4"/>
    <col min="3123" max="3123" width="17.42578125" style="4" customWidth="1"/>
    <col min="3124" max="3368" width="11.42578125" style="4"/>
    <col min="3369" max="3369" width="14.5703125" style="4" customWidth="1"/>
    <col min="3370" max="3370" width="12.7109375" style="4" customWidth="1"/>
    <col min="3371" max="3371" width="1.5703125" style="4" customWidth="1"/>
    <col min="3372" max="3372" width="18.28515625" style="4" customWidth="1"/>
    <col min="3373" max="3373" width="11" style="4" customWidth="1"/>
    <col min="3374" max="3374" width="13.28515625" style="4" bestFit="1" customWidth="1"/>
    <col min="3375" max="3375" width="18" style="4" customWidth="1"/>
    <col min="3376" max="3376" width="11.42578125" style="4"/>
    <col min="3377" max="3377" width="11.140625" style="4" customWidth="1"/>
    <col min="3378" max="3378" width="11.42578125" style="4"/>
    <col min="3379" max="3379" width="17.42578125" style="4" customWidth="1"/>
    <col min="3380" max="3624" width="11.42578125" style="4"/>
    <col min="3625" max="3625" width="14.5703125" style="4" customWidth="1"/>
    <col min="3626" max="3626" width="12.7109375" style="4" customWidth="1"/>
    <col min="3627" max="3627" width="1.5703125" style="4" customWidth="1"/>
    <col min="3628" max="3628" width="18.28515625" style="4" customWidth="1"/>
    <col min="3629" max="3629" width="11" style="4" customWidth="1"/>
    <col min="3630" max="3630" width="13.28515625" style="4" bestFit="1" customWidth="1"/>
    <col min="3631" max="3631" width="18" style="4" customWidth="1"/>
    <col min="3632" max="3632" width="11.42578125" style="4"/>
    <col min="3633" max="3633" width="11.140625" style="4" customWidth="1"/>
    <col min="3634" max="3634" width="11.42578125" style="4"/>
    <col min="3635" max="3635" width="17.42578125" style="4" customWidth="1"/>
    <col min="3636" max="3880" width="11.42578125" style="4"/>
    <col min="3881" max="3881" width="14.5703125" style="4" customWidth="1"/>
    <col min="3882" max="3882" width="12.7109375" style="4" customWidth="1"/>
    <col min="3883" max="3883" width="1.5703125" style="4" customWidth="1"/>
    <col min="3884" max="3884" width="18.28515625" style="4" customWidth="1"/>
    <col min="3885" max="3885" width="11" style="4" customWidth="1"/>
    <col min="3886" max="3886" width="13.28515625" style="4" bestFit="1" customWidth="1"/>
    <col min="3887" max="3887" width="18" style="4" customWidth="1"/>
    <col min="3888" max="3888" width="11.42578125" style="4"/>
    <col min="3889" max="3889" width="11.140625" style="4" customWidth="1"/>
    <col min="3890" max="3890" width="11.42578125" style="4"/>
    <col min="3891" max="3891" width="17.42578125" style="4" customWidth="1"/>
    <col min="3892" max="4136" width="11.42578125" style="4"/>
    <col min="4137" max="4137" width="14.5703125" style="4" customWidth="1"/>
    <col min="4138" max="4138" width="12.7109375" style="4" customWidth="1"/>
    <col min="4139" max="4139" width="1.5703125" style="4" customWidth="1"/>
    <col min="4140" max="4140" width="18.28515625" style="4" customWidth="1"/>
    <col min="4141" max="4141" width="11" style="4" customWidth="1"/>
    <col min="4142" max="4142" width="13.28515625" style="4" bestFit="1" customWidth="1"/>
    <col min="4143" max="4143" width="18" style="4" customWidth="1"/>
    <col min="4144" max="4144" width="11.42578125" style="4"/>
    <col min="4145" max="4145" width="11.140625" style="4" customWidth="1"/>
    <col min="4146" max="4146" width="11.42578125" style="4"/>
    <col min="4147" max="4147" width="17.42578125" style="4" customWidth="1"/>
    <col min="4148" max="4392" width="11.42578125" style="4"/>
    <col min="4393" max="4393" width="14.5703125" style="4" customWidth="1"/>
    <col min="4394" max="4394" width="12.7109375" style="4" customWidth="1"/>
    <col min="4395" max="4395" width="1.5703125" style="4" customWidth="1"/>
    <col min="4396" max="4396" width="18.28515625" style="4" customWidth="1"/>
    <col min="4397" max="4397" width="11" style="4" customWidth="1"/>
    <col min="4398" max="4398" width="13.28515625" style="4" bestFit="1" customWidth="1"/>
    <col min="4399" max="4399" width="18" style="4" customWidth="1"/>
    <col min="4400" max="4400" width="11.42578125" style="4"/>
    <col min="4401" max="4401" width="11.140625" style="4" customWidth="1"/>
    <col min="4402" max="4402" width="11.42578125" style="4"/>
    <col min="4403" max="4403" width="17.42578125" style="4" customWidth="1"/>
    <col min="4404" max="4648" width="11.42578125" style="4"/>
    <col min="4649" max="4649" width="14.5703125" style="4" customWidth="1"/>
    <col min="4650" max="4650" width="12.7109375" style="4" customWidth="1"/>
    <col min="4651" max="4651" width="1.5703125" style="4" customWidth="1"/>
    <col min="4652" max="4652" width="18.28515625" style="4" customWidth="1"/>
    <col min="4653" max="4653" width="11" style="4" customWidth="1"/>
    <col min="4654" max="4654" width="13.28515625" style="4" bestFit="1" customWidth="1"/>
    <col min="4655" max="4655" width="18" style="4" customWidth="1"/>
    <col min="4656" max="4656" width="11.42578125" style="4"/>
    <col min="4657" max="4657" width="11.140625" style="4" customWidth="1"/>
    <col min="4658" max="4658" width="11.42578125" style="4"/>
    <col min="4659" max="4659" width="17.42578125" style="4" customWidth="1"/>
    <col min="4660" max="4904" width="11.42578125" style="4"/>
    <col min="4905" max="4905" width="14.5703125" style="4" customWidth="1"/>
    <col min="4906" max="4906" width="12.7109375" style="4" customWidth="1"/>
    <col min="4907" max="4907" width="1.5703125" style="4" customWidth="1"/>
    <col min="4908" max="4908" width="18.28515625" style="4" customWidth="1"/>
    <col min="4909" max="4909" width="11" style="4" customWidth="1"/>
    <col min="4910" max="4910" width="13.28515625" style="4" bestFit="1" customWidth="1"/>
    <col min="4911" max="4911" width="18" style="4" customWidth="1"/>
    <col min="4912" max="4912" width="11.42578125" style="4"/>
    <col min="4913" max="4913" width="11.140625" style="4" customWidth="1"/>
    <col min="4914" max="4914" width="11.42578125" style="4"/>
    <col min="4915" max="4915" width="17.42578125" style="4" customWidth="1"/>
    <col min="4916" max="5160" width="11.42578125" style="4"/>
    <col min="5161" max="5161" width="14.5703125" style="4" customWidth="1"/>
    <col min="5162" max="5162" width="12.7109375" style="4" customWidth="1"/>
    <col min="5163" max="5163" width="1.5703125" style="4" customWidth="1"/>
    <col min="5164" max="5164" width="18.28515625" style="4" customWidth="1"/>
    <col min="5165" max="5165" width="11" style="4" customWidth="1"/>
    <col min="5166" max="5166" width="13.28515625" style="4" bestFit="1" customWidth="1"/>
    <col min="5167" max="5167" width="18" style="4" customWidth="1"/>
    <col min="5168" max="5168" width="11.42578125" style="4"/>
    <col min="5169" max="5169" width="11.140625" style="4" customWidth="1"/>
    <col min="5170" max="5170" width="11.42578125" style="4"/>
    <col min="5171" max="5171" width="17.42578125" style="4" customWidth="1"/>
    <col min="5172" max="5416" width="11.42578125" style="4"/>
    <col min="5417" max="5417" width="14.5703125" style="4" customWidth="1"/>
    <col min="5418" max="5418" width="12.7109375" style="4" customWidth="1"/>
    <col min="5419" max="5419" width="1.5703125" style="4" customWidth="1"/>
    <col min="5420" max="5420" width="18.28515625" style="4" customWidth="1"/>
    <col min="5421" max="5421" width="11" style="4" customWidth="1"/>
    <col min="5422" max="5422" width="13.28515625" style="4" bestFit="1" customWidth="1"/>
    <col min="5423" max="5423" width="18" style="4" customWidth="1"/>
    <col min="5424" max="5424" width="11.42578125" style="4"/>
    <col min="5425" max="5425" width="11.140625" style="4" customWidth="1"/>
    <col min="5426" max="5426" width="11.42578125" style="4"/>
    <col min="5427" max="5427" width="17.42578125" style="4" customWidth="1"/>
    <col min="5428" max="5672" width="11.42578125" style="4"/>
    <col min="5673" max="5673" width="14.5703125" style="4" customWidth="1"/>
    <col min="5674" max="5674" width="12.7109375" style="4" customWidth="1"/>
    <col min="5675" max="5675" width="1.5703125" style="4" customWidth="1"/>
    <col min="5676" max="5676" width="18.28515625" style="4" customWidth="1"/>
    <col min="5677" max="5677" width="11" style="4" customWidth="1"/>
    <col min="5678" max="5678" width="13.28515625" style="4" bestFit="1" customWidth="1"/>
    <col min="5679" max="5679" width="18" style="4" customWidth="1"/>
    <col min="5680" max="5680" width="11.42578125" style="4"/>
    <col min="5681" max="5681" width="11.140625" style="4" customWidth="1"/>
    <col min="5682" max="5682" width="11.42578125" style="4"/>
    <col min="5683" max="5683" width="17.42578125" style="4" customWidth="1"/>
    <col min="5684" max="5928" width="11.42578125" style="4"/>
    <col min="5929" max="5929" width="14.5703125" style="4" customWidth="1"/>
    <col min="5930" max="5930" width="12.7109375" style="4" customWidth="1"/>
    <col min="5931" max="5931" width="1.5703125" style="4" customWidth="1"/>
    <col min="5932" max="5932" width="18.28515625" style="4" customWidth="1"/>
    <col min="5933" max="5933" width="11" style="4" customWidth="1"/>
    <col min="5934" max="5934" width="13.28515625" style="4" bestFit="1" customWidth="1"/>
    <col min="5935" max="5935" width="18" style="4" customWidth="1"/>
    <col min="5936" max="5936" width="11.42578125" style="4"/>
    <col min="5937" max="5937" width="11.140625" style="4" customWidth="1"/>
    <col min="5938" max="5938" width="11.42578125" style="4"/>
    <col min="5939" max="5939" width="17.42578125" style="4" customWidth="1"/>
    <col min="5940" max="6184" width="11.42578125" style="4"/>
    <col min="6185" max="6185" width="14.5703125" style="4" customWidth="1"/>
    <col min="6186" max="6186" width="12.7109375" style="4" customWidth="1"/>
    <col min="6187" max="6187" width="1.5703125" style="4" customWidth="1"/>
    <col min="6188" max="6188" width="18.28515625" style="4" customWidth="1"/>
    <col min="6189" max="6189" width="11" style="4" customWidth="1"/>
    <col min="6190" max="6190" width="13.28515625" style="4" bestFit="1" customWidth="1"/>
    <col min="6191" max="6191" width="18" style="4" customWidth="1"/>
    <col min="6192" max="6192" width="11.42578125" style="4"/>
    <col min="6193" max="6193" width="11.140625" style="4" customWidth="1"/>
    <col min="6194" max="6194" width="11.42578125" style="4"/>
    <col min="6195" max="6195" width="17.42578125" style="4" customWidth="1"/>
    <col min="6196" max="6440" width="11.42578125" style="4"/>
    <col min="6441" max="6441" width="14.5703125" style="4" customWidth="1"/>
    <col min="6442" max="6442" width="12.7109375" style="4" customWidth="1"/>
    <col min="6443" max="6443" width="1.5703125" style="4" customWidth="1"/>
    <col min="6444" max="6444" width="18.28515625" style="4" customWidth="1"/>
    <col min="6445" max="6445" width="11" style="4" customWidth="1"/>
    <col min="6446" max="6446" width="13.28515625" style="4" bestFit="1" customWidth="1"/>
    <col min="6447" max="6447" width="18" style="4" customWidth="1"/>
    <col min="6448" max="6448" width="11.42578125" style="4"/>
    <col min="6449" max="6449" width="11.140625" style="4" customWidth="1"/>
    <col min="6450" max="6450" width="11.42578125" style="4"/>
    <col min="6451" max="6451" width="17.42578125" style="4" customWidth="1"/>
    <col min="6452" max="6696" width="11.42578125" style="4"/>
    <col min="6697" max="6697" width="14.5703125" style="4" customWidth="1"/>
    <col min="6698" max="6698" width="12.7109375" style="4" customWidth="1"/>
    <col min="6699" max="6699" width="1.5703125" style="4" customWidth="1"/>
    <col min="6700" max="6700" width="18.28515625" style="4" customWidth="1"/>
    <col min="6701" max="6701" width="11" style="4" customWidth="1"/>
    <col min="6702" max="6702" width="13.28515625" style="4" bestFit="1" customWidth="1"/>
    <col min="6703" max="6703" width="18" style="4" customWidth="1"/>
    <col min="6704" max="6704" width="11.42578125" style="4"/>
    <col min="6705" max="6705" width="11.140625" style="4" customWidth="1"/>
    <col min="6706" max="6706" width="11.42578125" style="4"/>
    <col min="6707" max="6707" width="17.42578125" style="4" customWidth="1"/>
    <col min="6708" max="6952" width="11.42578125" style="4"/>
    <col min="6953" max="6953" width="14.5703125" style="4" customWidth="1"/>
    <col min="6954" max="6954" width="12.7109375" style="4" customWidth="1"/>
    <col min="6955" max="6955" width="1.5703125" style="4" customWidth="1"/>
    <col min="6956" max="6956" width="18.28515625" style="4" customWidth="1"/>
    <col min="6957" max="6957" width="11" style="4" customWidth="1"/>
    <col min="6958" max="6958" width="13.28515625" style="4" bestFit="1" customWidth="1"/>
    <col min="6959" max="6959" width="18" style="4" customWidth="1"/>
    <col min="6960" max="6960" width="11.42578125" style="4"/>
    <col min="6961" max="6961" width="11.140625" style="4" customWidth="1"/>
    <col min="6962" max="6962" width="11.42578125" style="4"/>
    <col min="6963" max="6963" width="17.42578125" style="4" customWidth="1"/>
    <col min="6964" max="7208" width="11.42578125" style="4"/>
    <col min="7209" max="7209" width="14.5703125" style="4" customWidth="1"/>
    <col min="7210" max="7210" width="12.7109375" style="4" customWidth="1"/>
    <col min="7211" max="7211" width="1.5703125" style="4" customWidth="1"/>
    <col min="7212" max="7212" width="18.28515625" style="4" customWidth="1"/>
    <col min="7213" max="7213" width="11" style="4" customWidth="1"/>
    <col min="7214" max="7214" width="13.28515625" style="4" bestFit="1" customWidth="1"/>
    <col min="7215" max="7215" width="18" style="4" customWidth="1"/>
    <col min="7216" max="7216" width="11.42578125" style="4"/>
    <col min="7217" max="7217" width="11.140625" style="4" customWidth="1"/>
    <col min="7218" max="7218" width="11.42578125" style="4"/>
    <col min="7219" max="7219" width="17.42578125" style="4" customWidth="1"/>
    <col min="7220" max="7464" width="11.42578125" style="4"/>
    <col min="7465" max="7465" width="14.5703125" style="4" customWidth="1"/>
    <col min="7466" max="7466" width="12.7109375" style="4" customWidth="1"/>
    <col min="7467" max="7467" width="1.5703125" style="4" customWidth="1"/>
    <col min="7468" max="7468" width="18.28515625" style="4" customWidth="1"/>
    <col min="7469" max="7469" width="11" style="4" customWidth="1"/>
    <col min="7470" max="7470" width="13.28515625" style="4" bestFit="1" customWidth="1"/>
    <col min="7471" max="7471" width="18" style="4" customWidth="1"/>
    <col min="7472" max="7472" width="11.42578125" style="4"/>
    <col min="7473" max="7473" width="11.140625" style="4" customWidth="1"/>
    <col min="7474" max="7474" width="11.42578125" style="4"/>
    <col min="7475" max="7475" width="17.42578125" style="4" customWidth="1"/>
    <col min="7476" max="7720" width="11.42578125" style="4"/>
    <col min="7721" max="7721" width="14.5703125" style="4" customWidth="1"/>
    <col min="7722" max="7722" width="12.7109375" style="4" customWidth="1"/>
    <col min="7723" max="7723" width="1.5703125" style="4" customWidth="1"/>
    <col min="7724" max="7724" width="18.28515625" style="4" customWidth="1"/>
    <col min="7725" max="7725" width="11" style="4" customWidth="1"/>
    <col min="7726" max="7726" width="13.28515625" style="4" bestFit="1" customWidth="1"/>
    <col min="7727" max="7727" width="18" style="4" customWidth="1"/>
    <col min="7728" max="7728" width="11.42578125" style="4"/>
    <col min="7729" max="7729" width="11.140625" style="4" customWidth="1"/>
    <col min="7730" max="7730" width="11.42578125" style="4"/>
    <col min="7731" max="7731" width="17.42578125" style="4" customWidth="1"/>
    <col min="7732" max="7976" width="11.42578125" style="4"/>
    <col min="7977" max="7977" width="14.5703125" style="4" customWidth="1"/>
    <col min="7978" max="7978" width="12.7109375" style="4" customWidth="1"/>
    <col min="7979" max="7979" width="1.5703125" style="4" customWidth="1"/>
    <col min="7980" max="7980" width="18.28515625" style="4" customWidth="1"/>
    <col min="7981" max="7981" width="11" style="4" customWidth="1"/>
    <col min="7982" max="7982" width="13.28515625" style="4" bestFit="1" customWidth="1"/>
    <col min="7983" max="7983" width="18" style="4" customWidth="1"/>
    <col min="7984" max="7984" width="11.42578125" style="4"/>
    <col min="7985" max="7985" width="11.140625" style="4" customWidth="1"/>
    <col min="7986" max="7986" width="11.42578125" style="4"/>
    <col min="7987" max="7987" width="17.42578125" style="4" customWidth="1"/>
    <col min="7988" max="8232" width="11.42578125" style="4"/>
    <col min="8233" max="8233" width="14.5703125" style="4" customWidth="1"/>
    <col min="8234" max="8234" width="12.7109375" style="4" customWidth="1"/>
    <col min="8235" max="8235" width="1.5703125" style="4" customWidth="1"/>
    <col min="8236" max="8236" width="18.28515625" style="4" customWidth="1"/>
    <col min="8237" max="8237" width="11" style="4" customWidth="1"/>
    <col min="8238" max="8238" width="13.28515625" style="4" bestFit="1" customWidth="1"/>
    <col min="8239" max="8239" width="18" style="4" customWidth="1"/>
    <col min="8240" max="8240" width="11.42578125" style="4"/>
    <col min="8241" max="8241" width="11.140625" style="4" customWidth="1"/>
    <col min="8242" max="8242" width="11.42578125" style="4"/>
    <col min="8243" max="8243" width="17.42578125" style="4" customWidth="1"/>
    <col min="8244" max="8488" width="11.42578125" style="4"/>
    <col min="8489" max="8489" width="14.5703125" style="4" customWidth="1"/>
    <col min="8490" max="8490" width="12.7109375" style="4" customWidth="1"/>
    <col min="8491" max="8491" width="1.5703125" style="4" customWidth="1"/>
    <col min="8492" max="8492" width="18.28515625" style="4" customWidth="1"/>
    <col min="8493" max="8493" width="11" style="4" customWidth="1"/>
    <col min="8494" max="8494" width="13.28515625" style="4" bestFit="1" customWidth="1"/>
    <col min="8495" max="8495" width="18" style="4" customWidth="1"/>
    <col min="8496" max="8496" width="11.42578125" style="4"/>
    <col min="8497" max="8497" width="11.140625" style="4" customWidth="1"/>
    <col min="8498" max="8498" width="11.42578125" style="4"/>
    <col min="8499" max="8499" width="17.42578125" style="4" customWidth="1"/>
    <col min="8500" max="8744" width="11.42578125" style="4"/>
    <col min="8745" max="8745" width="14.5703125" style="4" customWidth="1"/>
    <col min="8746" max="8746" width="12.7109375" style="4" customWidth="1"/>
    <col min="8747" max="8747" width="1.5703125" style="4" customWidth="1"/>
    <col min="8748" max="8748" width="18.28515625" style="4" customWidth="1"/>
    <col min="8749" max="8749" width="11" style="4" customWidth="1"/>
    <col min="8750" max="8750" width="13.28515625" style="4" bestFit="1" customWidth="1"/>
    <col min="8751" max="8751" width="18" style="4" customWidth="1"/>
    <col min="8752" max="8752" width="11.42578125" style="4"/>
    <col min="8753" max="8753" width="11.140625" style="4" customWidth="1"/>
    <col min="8754" max="8754" width="11.42578125" style="4"/>
    <col min="8755" max="8755" width="17.42578125" style="4" customWidth="1"/>
    <col min="8756" max="9000" width="11.42578125" style="4"/>
    <col min="9001" max="9001" width="14.5703125" style="4" customWidth="1"/>
    <col min="9002" max="9002" width="12.7109375" style="4" customWidth="1"/>
    <col min="9003" max="9003" width="1.5703125" style="4" customWidth="1"/>
    <col min="9004" max="9004" width="18.28515625" style="4" customWidth="1"/>
    <col min="9005" max="9005" width="11" style="4" customWidth="1"/>
    <col min="9006" max="9006" width="13.28515625" style="4" bestFit="1" customWidth="1"/>
    <col min="9007" max="9007" width="18" style="4" customWidth="1"/>
    <col min="9008" max="9008" width="11.42578125" style="4"/>
    <col min="9009" max="9009" width="11.140625" style="4" customWidth="1"/>
    <col min="9010" max="9010" width="11.42578125" style="4"/>
    <col min="9011" max="9011" width="17.42578125" style="4" customWidth="1"/>
    <col min="9012" max="9256" width="11.42578125" style="4"/>
    <col min="9257" max="9257" width="14.5703125" style="4" customWidth="1"/>
    <col min="9258" max="9258" width="12.7109375" style="4" customWidth="1"/>
    <col min="9259" max="9259" width="1.5703125" style="4" customWidth="1"/>
    <col min="9260" max="9260" width="18.28515625" style="4" customWidth="1"/>
    <col min="9261" max="9261" width="11" style="4" customWidth="1"/>
    <col min="9262" max="9262" width="13.28515625" style="4" bestFit="1" customWidth="1"/>
    <col min="9263" max="9263" width="18" style="4" customWidth="1"/>
    <col min="9264" max="9264" width="11.42578125" style="4"/>
    <col min="9265" max="9265" width="11.140625" style="4" customWidth="1"/>
    <col min="9266" max="9266" width="11.42578125" style="4"/>
    <col min="9267" max="9267" width="17.42578125" style="4" customWidth="1"/>
    <col min="9268" max="9512" width="11.42578125" style="4"/>
    <col min="9513" max="9513" width="14.5703125" style="4" customWidth="1"/>
    <col min="9514" max="9514" width="12.7109375" style="4" customWidth="1"/>
    <col min="9515" max="9515" width="1.5703125" style="4" customWidth="1"/>
    <col min="9516" max="9516" width="18.28515625" style="4" customWidth="1"/>
    <col min="9517" max="9517" width="11" style="4" customWidth="1"/>
    <col min="9518" max="9518" width="13.28515625" style="4" bestFit="1" customWidth="1"/>
    <col min="9519" max="9519" width="18" style="4" customWidth="1"/>
    <col min="9520" max="9520" width="11.42578125" style="4"/>
    <col min="9521" max="9521" width="11.140625" style="4" customWidth="1"/>
    <col min="9522" max="9522" width="11.42578125" style="4"/>
    <col min="9523" max="9523" width="17.42578125" style="4" customWidth="1"/>
    <col min="9524" max="9768" width="11.42578125" style="4"/>
    <col min="9769" max="9769" width="14.5703125" style="4" customWidth="1"/>
    <col min="9770" max="9770" width="12.7109375" style="4" customWidth="1"/>
    <col min="9771" max="9771" width="1.5703125" style="4" customWidth="1"/>
    <col min="9772" max="9772" width="18.28515625" style="4" customWidth="1"/>
    <col min="9773" max="9773" width="11" style="4" customWidth="1"/>
    <col min="9774" max="9774" width="13.28515625" style="4" bestFit="1" customWidth="1"/>
    <col min="9775" max="9775" width="18" style="4" customWidth="1"/>
    <col min="9776" max="9776" width="11.42578125" style="4"/>
    <col min="9777" max="9777" width="11.140625" style="4" customWidth="1"/>
    <col min="9778" max="9778" width="11.42578125" style="4"/>
    <col min="9779" max="9779" width="17.42578125" style="4" customWidth="1"/>
    <col min="9780" max="10024" width="11.42578125" style="4"/>
    <col min="10025" max="10025" width="14.5703125" style="4" customWidth="1"/>
    <col min="10026" max="10026" width="12.7109375" style="4" customWidth="1"/>
    <col min="10027" max="10027" width="1.5703125" style="4" customWidth="1"/>
    <col min="10028" max="10028" width="18.28515625" style="4" customWidth="1"/>
    <col min="10029" max="10029" width="11" style="4" customWidth="1"/>
    <col min="10030" max="10030" width="13.28515625" style="4" bestFit="1" customWidth="1"/>
    <col min="10031" max="10031" width="18" style="4" customWidth="1"/>
    <col min="10032" max="10032" width="11.42578125" style="4"/>
    <col min="10033" max="10033" width="11.140625" style="4" customWidth="1"/>
    <col min="10034" max="10034" width="11.42578125" style="4"/>
    <col min="10035" max="10035" width="17.42578125" style="4" customWidth="1"/>
    <col min="10036" max="10280" width="11.42578125" style="4"/>
    <col min="10281" max="10281" width="14.5703125" style="4" customWidth="1"/>
    <col min="10282" max="10282" width="12.7109375" style="4" customWidth="1"/>
    <col min="10283" max="10283" width="1.5703125" style="4" customWidth="1"/>
    <col min="10284" max="10284" width="18.28515625" style="4" customWidth="1"/>
    <col min="10285" max="10285" width="11" style="4" customWidth="1"/>
    <col min="10286" max="10286" width="13.28515625" style="4" bestFit="1" customWidth="1"/>
    <col min="10287" max="10287" width="18" style="4" customWidth="1"/>
    <col min="10288" max="10288" width="11.42578125" style="4"/>
    <col min="10289" max="10289" width="11.140625" style="4" customWidth="1"/>
    <col min="10290" max="10290" width="11.42578125" style="4"/>
    <col min="10291" max="10291" width="17.42578125" style="4" customWidth="1"/>
    <col min="10292" max="10536" width="11.42578125" style="4"/>
    <col min="10537" max="10537" width="14.5703125" style="4" customWidth="1"/>
    <col min="10538" max="10538" width="12.7109375" style="4" customWidth="1"/>
    <col min="10539" max="10539" width="1.5703125" style="4" customWidth="1"/>
    <col min="10540" max="10540" width="18.28515625" style="4" customWidth="1"/>
    <col min="10541" max="10541" width="11" style="4" customWidth="1"/>
    <col min="10542" max="10542" width="13.28515625" style="4" bestFit="1" customWidth="1"/>
    <col min="10543" max="10543" width="18" style="4" customWidth="1"/>
    <col min="10544" max="10544" width="11.42578125" style="4"/>
    <col min="10545" max="10545" width="11.140625" style="4" customWidth="1"/>
    <col min="10546" max="10546" width="11.42578125" style="4"/>
    <col min="10547" max="10547" width="17.42578125" style="4" customWidth="1"/>
    <col min="10548" max="10792" width="11.42578125" style="4"/>
    <col min="10793" max="10793" width="14.5703125" style="4" customWidth="1"/>
    <col min="10794" max="10794" width="12.7109375" style="4" customWidth="1"/>
    <col min="10795" max="10795" width="1.5703125" style="4" customWidth="1"/>
    <col min="10796" max="10796" width="18.28515625" style="4" customWidth="1"/>
    <col min="10797" max="10797" width="11" style="4" customWidth="1"/>
    <col min="10798" max="10798" width="13.28515625" style="4" bestFit="1" customWidth="1"/>
    <col min="10799" max="10799" width="18" style="4" customWidth="1"/>
    <col min="10800" max="10800" width="11.42578125" style="4"/>
    <col min="10801" max="10801" width="11.140625" style="4" customWidth="1"/>
    <col min="10802" max="10802" width="11.42578125" style="4"/>
    <col min="10803" max="10803" width="17.42578125" style="4" customWidth="1"/>
    <col min="10804" max="11048" width="11.42578125" style="4"/>
    <col min="11049" max="11049" width="14.5703125" style="4" customWidth="1"/>
    <col min="11050" max="11050" width="12.7109375" style="4" customWidth="1"/>
    <col min="11051" max="11051" width="1.5703125" style="4" customWidth="1"/>
    <col min="11052" max="11052" width="18.28515625" style="4" customWidth="1"/>
    <col min="11053" max="11053" width="11" style="4" customWidth="1"/>
    <col min="11054" max="11054" width="13.28515625" style="4" bestFit="1" customWidth="1"/>
    <col min="11055" max="11055" width="18" style="4" customWidth="1"/>
    <col min="11056" max="11056" width="11.42578125" style="4"/>
    <col min="11057" max="11057" width="11.140625" style="4" customWidth="1"/>
    <col min="11058" max="11058" width="11.42578125" style="4"/>
    <col min="11059" max="11059" width="17.42578125" style="4" customWidth="1"/>
    <col min="11060" max="11304" width="11.42578125" style="4"/>
    <col min="11305" max="11305" width="14.5703125" style="4" customWidth="1"/>
    <col min="11306" max="11306" width="12.7109375" style="4" customWidth="1"/>
    <col min="11307" max="11307" width="1.5703125" style="4" customWidth="1"/>
    <col min="11308" max="11308" width="18.28515625" style="4" customWidth="1"/>
    <col min="11309" max="11309" width="11" style="4" customWidth="1"/>
    <col min="11310" max="11310" width="13.28515625" style="4" bestFit="1" customWidth="1"/>
    <col min="11311" max="11311" width="18" style="4" customWidth="1"/>
    <col min="11312" max="11312" width="11.42578125" style="4"/>
    <col min="11313" max="11313" width="11.140625" style="4" customWidth="1"/>
    <col min="11314" max="11314" width="11.42578125" style="4"/>
    <col min="11315" max="11315" width="17.42578125" style="4" customWidth="1"/>
    <col min="11316" max="11560" width="11.42578125" style="4"/>
    <col min="11561" max="11561" width="14.5703125" style="4" customWidth="1"/>
    <col min="11562" max="11562" width="12.7109375" style="4" customWidth="1"/>
    <col min="11563" max="11563" width="1.5703125" style="4" customWidth="1"/>
    <col min="11564" max="11564" width="18.28515625" style="4" customWidth="1"/>
    <col min="11565" max="11565" width="11" style="4" customWidth="1"/>
    <col min="11566" max="11566" width="13.28515625" style="4" bestFit="1" customWidth="1"/>
    <col min="11567" max="11567" width="18" style="4" customWidth="1"/>
    <col min="11568" max="11568" width="11.42578125" style="4"/>
    <col min="11569" max="11569" width="11.140625" style="4" customWidth="1"/>
    <col min="11570" max="11570" width="11.42578125" style="4"/>
    <col min="11571" max="11571" width="17.42578125" style="4" customWidth="1"/>
    <col min="11572" max="11816" width="11.42578125" style="4"/>
    <col min="11817" max="11817" width="14.5703125" style="4" customWidth="1"/>
    <col min="11818" max="11818" width="12.7109375" style="4" customWidth="1"/>
    <col min="11819" max="11819" width="1.5703125" style="4" customWidth="1"/>
    <col min="11820" max="11820" width="18.28515625" style="4" customWidth="1"/>
    <col min="11821" max="11821" width="11" style="4" customWidth="1"/>
    <col min="11822" max="11822" width="13.28515625" style="4" bestFit="1" customWidth="1"/>
    <col min="11823" max="11823" width="18" style="4" customWidth="1"/>
    <col min="11824" max="11824" width="11.42578125" style="4"/>
    <col min="11825" max="11825" width="11.140625" style="4" customWidth="1"/>
    <col min="11826" max="11826" width="11.42578125" style="4"/>
    <col min="11827" max="11827" width="17.42578125" style="4" customWidth="1"/>
    <col min="11828" max="12072" width="11.42578125" style="4"/>
    <col min="12073" max="12073" width="14.5703125" style="4" customWidth="1"/>
    <col min="12074" max="12074" width="12.7109375" style="4" customWidth="1"/>
    <col min="12075" max="12075" width="1.5703125" style="4" customWidth="1"/>
    <col min="12076" max="12076" width="18.28515625" style="4" customWidth="1"/>
    <col min="12077" max="12077" width="11" style="4" customWidth="1"/>
    <col min="12078" max="12078" width="13.28515625" style="4" bestFit="1" customWidth="1"/>
    <col min="12079" max="12079" width="18" style="4" customWidth="1"/>
    <col min="12080" max="12080" width="11.42578125" style="4"/>
    <col min="12081" max="12081" width="11.140625" style="4" customWidth="1"/>
    <col min="12082" max="12082" width="11.42578125" style="4"/>
    <col min="12083" max="12083" width="17.42578125" style="4" customWidth="1"/>
    <col min="12084" max="12328" width="11.42578125" style="4"/>
    <col min="12329" max="12329" width="14.5703125" style="4" customWidth="1"/>
    <col min="12330" max="12330" width="12.7109375" style="4" customWidth="1"/>
    <col min="12331" max="12331" width="1.5703125" style="4" customWidth="1"/>
    <col min="12332" max="12332" width="18.28515625" style="4" customWidth="1"/>
    <col min="12333" max="12333" width="11" style="4" customWidth="1"/>
    <col min="12334" max="12334" width="13.28515625" style="4" bestFit="1" customWidth="1"/>
    <col min="12335" max="12335" width="18" style="4" customWidth="1"/>
    <col min="12336" max="12336" width="11.42578125" style="4"/>
    <col min="12337" max="12337" width="11.140625" style="4" customWidth="1"/>
    <col min="12338" max="12338" width="11.42578125" style="4"/>
    <col min="12339" max="12339" width="17.42578125" style="4" customWidth="1"/>
    <col min="12340" max="12584" width="11.42578125" style="4"/>
    <col min="12585" max="12585" width="14.5703125" style="4" customWidth="1"/>
    <col min="12586" max="12586" width="12.7109375" style="4" customWidth="1"/>
    <col min="12587" max="12587" width="1.5703125" style="4" customWidth="1"/>
    <col min="12588" max="12588" width="18.28515625" style="4" customWidth="1"/>
    <col min="12589" max="12589" width="11" style="4" customWidth="1"/>
    <col min="12590" max="12590" width="13.28515625" style="4" bestFit="1" customWidth="1"/>
    <col min="12591" max="12591" width="18" style="4" customWidth="1"/>
    <col min="12592" max="12592" width="11.42578125" style="4"/>
    <col min="12593" max="12593" width="11.140625" style="4" customWidth="1"/>
    <col min="12594" max="12594" width="11.42578125" style="4"/>
    <col min="12595" max="12595" width="17.42578125" style="4" customWidth="1"/>
    <col min="12596" max="12840" width="11.42578125" style="4"/>
    <col min="12841" max="12841" width="14.5703125" style="4" customWidth="1"/>
    <col min="12842" max="12842" width="12.7109375" style="4" customWidth="1"/>
    <col min="12843" max="12843" width="1.5703125" style="4" customWidth="1"/>
    <col min="12844" max="12844" width="18.28515625" style="4" customWidth="1"/>
    <col min="12845" max="12845" width="11" style="4" customWidth="1"/>
    <col min="12846" max="12846" width="13.28515625" style="4" bestFit="1" customWidth="1"/>
    <col min="12847" max="12847" width="18" style="4" customWidth="1"/>
    <col min="12848" max="12848" width="11.42578125" style="4"/>
    <col min="12849" max="12849" width="11.140625" style="4" customWidth="1"/>
    <col min="12850" max="12850" width="11.42578125" style="4"/>
    <col min="12851" max="12851" width="17.42578125" style="4" customWidth="1"/>
    <col min="12852" max="13096" width="11.42578125" style="4"/>
    <col min="13097" max="13097" width="14.5703125" style="4" customWidth="1"/>
    <col min="13098" max="13098" width="12.7109375" style="4" customWidth="1"/>
    <col min="13099" max="13099" width="1.5703125" style="4" customWidth="1"/>
    <col min="13100" max="13100" width="18.28515625" style="4" customWidth="1"/>
    <col min="13101" max="13101" width="11" style="4" customWidth="1"/>
    <col min="13102" max="13102" width="13.28515625" style="4" bestFit="1" customWidth="1"/>
    <col min="13103" max="13103" width="18" style="4" customWidth="1"/>
    <col min="13104" max="13104" width="11.42578125" style="4"/>
    <col min="13105" max="13105" width="11.140625" style="4" customWidth="1"/>
    <col min="13106" max="13106" width="11.42578125" style="4"/>
    <col min="13107" max="13107" width="17.42578125" style="4" customWidth="1"/>
    <col min="13108" max="13352" width="11.42578125" style="4"/>
    <col min="13353" max="13353" width="14.5703125" style="4" customWidth="1"/>
    <col min="13354" max="13354" width="12.7109375" style="4" customWidth="1"/>
    <col min="13355" max="13355" width="1.5703125" style="4" customWidth="1"/>
    <col min="13356" max="13356" width="18.28515625" style="4" customWidth="1"/>
    <col min="13357" max="13357" width="11" style="4" customWidth="1"/>
    <col min="13358" max="13358" width="13.28515625" style="4" bestFit="1" customWidth="1"/>
    <col min="13359" max="13359" width="18" style="4" customWidth="1"/>
    <col min="13360" max="13360" width="11.42578125" style="4"/>
    <col min="13361" max="13361" width="11.140625" style="4" customWidth="1"/>
    <col min="13362" max="13362" width="11.42578125" style="4"/>
    <col min="13363" max="13363" width="17.42578125" style="4" customWidth="1"/>
    <col min="13364" max="13608" width="11.42578125" style="4"/>
    <col min="13609" max="13609" width="14.5703125" style="4" customWidth="1"/>
    <col min="13610" max="13610" width="12.7109375" style="4" customWidth="1"/>
    <col min="13611" max="13611" width="1.5703125" style="4" customWidth="1"/>
    <col min="13612" max="13612" width="18.28515625" style="4" customWidth="1"/>
    <col min="13613" max="13613" width="11" style="4" customWidth="1"/>
    <col min="13614" max="13614" width="13.28515625" style="4" bestFit="1" customWidth="1"/>
    <col min="13615" max="13615" width="18" style="4" customWidth="1"/>
    <col min="13616" max="13616" width="11.42578125" style="4"/>
    <col min="13617" max="13617" width="11.140625" style="4" customWidth="1"/>
    <col min="13618" max="13618" width="11.42578125" style="4"/>
    <col min="13619" max="13619" width="17.42578125" style="4" customWidth="1"/>
    <col min="13620" max="13864" width="11.42578125" style="4"/>
    <col min="13865" max="13865" width="14.5703125" style="4" customWidth="1"/>
    <col min="13866" max="13866" width="12.7109375" style="4" customWidth="1"/>
    <col min="13867" max="13867" width="1.5703125" style="4" customWidth="1"/>
    <col min="13868" max="13868" width="18.28515625" style="4" customWidth="1"/>
    <col min="13869" max="13869" width="11" style="4" customWidth="1"/>
    <col min="13870" max="13870" width="13.28515625" style="4" bestFit="1" customWidth="1"/>
    <col min="13871" max="13871" width="18" style="4" customWidth="1"/>
    <col min="13872" max="13872" width="11.42578125" style="4"/>
    <col min="13873" max="13873" width="11.140625" style="4" customWidth="1"/>
    <col min="13874" max="13874" width="11.42578125" style="4"/>
    <col min="13875" max="13875" width="17.42578125" style="4" customWidth="1"/>
    <col min="13876" max="14120" width="11.42578125" style="4"/>
    <col min="14121" max="14121" width="14.5703125" style="4" customWidth="1"/>
    <col min="14122" max="14122" width="12.7109375" style="4" customWidth="1"/>
    <col min="14123" max="14123" width="1.5703125" style="4" customWidth="1"/>
    <col min="14124" max="14124" width="18.28515625" style="4" customWidth="1"/>
    <col min="14125" max="14125" width="11" style="4" customWidth="1"/>
    <col min="14126" max="14126" width="13.28515625" style="4" bestFit="1" customWidth="1"/>
    <col min="14127" max="14127" width="18" style="4" customWidth="1"/>
    <col min="14128" max="14128" width="11.42578125" style="4"/>
    <col min="14129" max="14129" width="11.140625" style="4" customWidth="1"/>
    <col min="14130" max="14130" width="11.42578125" style="4"/>
    <col min="14131" max="14131" width="17.42578125" style="4" customWidth="1"/>
    <col min="14132" max="14376" width="11.42578125" style="4"/>
    <col min="14377" max="14377" width="14.5703125" style="4" customWidth="1"/>
    <col min="14378" max="14378" width="12.7109375" style="4" customWidth="1"/>
    <col min="14379" max="14379" width="1.5703125" style="4" customWidth="1"/>
    <col min="14380" max="14380" width="18.28515625" style="4" customWidth="1"/>
    <col min="14381" max="14381" width="11" style="4" customWidth="1"/>
    <col min="14382" max="14382" width="13.28515625" style="4" bestFit="1" customWidth="1"/>
    <col min="14383" max="14383" width="18" style="4" customWidth="1"/>
    <col min="14384" max="14384" width="11.42578125" style="4"/>
    <col min="14385" max="14385" width="11.140625" style="4" customWidth="1"/>
    <col min="14386" max="14386" width="11.42578125" style="4"/>
    <col min="14387" max="14387" width="17.42578125" style="4" customWidth="1"/>
    <col min="14388" max="14632" width="11.42578125" style="4"/>
    <col min="14633" max="14633" width="14.5703125" style="4" customWidth="1"/>
    <col min="14634" max="14634" width="12.7109375" style="4" customWidth="1"/>
    <col min="14635" max="14635" width="1.5703125" style="4" customWidth="1"/>
    <col min="14636" max="14636" width="18.28515625" style="4" customWidth="1"/>
    <col min="14637" max="14637" width="11" style="4" customWidth="1"/>
    <col min="14638" max="14638" width="13.28515625" style="4" bestFit="1" customWidth="1"/>
    <col min="14639" max="14639" width="18" style="4" customWidth="1"/>
    <col min="14640" max="14640" width="11.42578125" style="4"/>
    <col min="14641" max="14641" width="11.140625" style="4" customWidth="1"/>
    <col min="14642" max="14642" width="11.42578125" style="4"/>
    <col min="14643" max="14643" width="17.42578125" style="4" customWidth="1"/>
    <col min="14644" max="14888" width="11.42578125" style="4"/>
    <col min="14889" max="14889" width="14.5703125" style="4" customWidth="1"/>
    <col min="14890" max="14890" width="12.7109375" style="4" customWidth="1"/>
    <col min="14891" max="14891" width="1.5703125" style="4" customWidth="1"/>
    <col min="14892" max="14892" width="18.28515625" style="4" customWidth="1"/>
    <col min="14893" max="14893" width="11" style="4" customWidth="1"/>
    <col min="14894" max="14894" width="13.28515625" style="4" bestFit="1" customWidth="1"/>
    <col min="14895" max="14895" width="18" style="4" customWidth="1"/>
    <col min="14896" max="14896" width="11.42578125" style="4"/>
    <col min="14897" max="14897" width="11.140625" style="4" customWidth="1"/>
    <col min="14898" max="14898" width="11.42578125" style="4"/>
    <col min="14899" max="14899" width="17.42578125" style="4" customWidth="1"/>
    <col min="14900" max="15144" width="11.42578125" style="4"/>
    <col min="15145" max="15145" width="14.5703125" style="4" customWidth="1"/>
    <col min="15146" max="15146" width="12.7109375" style="4" customWidth="1"/>
    <col min="15147" max="15147" width="1.5703125" style="4" customWidth="1"/>
    <col min="15148" max="15148" width="18.28515625" style="4" customWidth="1"/>
    <col min="15149" max="15149" width="11" style="4" customWidth="1"/>
    <col min="15150" max="15150" width="13.28515625" style="4" bestFit="1" customWidth="1"/>
    <col min="15151" max="15151" width="18" style="4" customWidth="1"/>
    <col min="15152" max="15152" width="11.42578125" style="4"/>
    <col min="15153" max="15153" width="11.140625" style="4" customWidth="1"/>
    <col min="15154" max="15154" width="11.42578125" style="4"/>
    <col min="15155" max="15155" width="17.42578125" style="4" customWidth="1"/>
    <col min="15156" max="15400" width="11.42578125" style="4"/>
    <col min="15401" max="15401" width="14.5703125" style="4" customWidth="1"/>
    <col min="15402" max="15402" width="12.7109375" style="4" customWidth="1"/>
    <col min="15403" max="15403" width="1.5703125" style="4" customWidth="1"/>
    <col min="15404" max="15404" width="18.28515625" style="4" customWidth="1"/>
    <col min="15405" max="15405" width="11" style="4" customWidth="1"/>
    <col min="15406" max="15406" width="13.28515625" style="4" bestFit="1" customWidth="1"/>
    <col min="15407" max="15407" width="18" style="4" customWidth="1"/>
    <col min="15408" max="15408" width="11.42578125" style="4"/>
    <col min="15409" max="15409" width="11.140625" style="4" customWidth="1"/>
    <col min="15410" max="15410" width="11.42578125" style="4"/>
    <col min="15411" max="15411" width="17.42578125" style="4" customWidth="1"/>
    <col min="15412" max="15656" width="11.42578125" style="4"/>
    <col min="15657" max="15657" width="14.5703125" style="4" customWidth="1"/>
    <col min="15658" max="15658" width="12.7109375" style="4" customWidth="1"/>
    <col min="15659" max="15659" width="1.5703125" style="4" customWidth="1"/>
    <col min="15660" max="15660" width="18.28515625" style="4" customWidth="1"/>
    <col min="15661" max="15661" width="11" style="4" customWidth="1"/>
    <col min="15662" max="15662" width="13.28515625" style="4" bestFit="1" customWidth="1"/>
    <col min="15663" max="15663" width="18" style="4" customWidth="1"/>
    <col min="15664" max="15664" width="11.42578125" style="4"/>
    <col min="15665" max="15665" width="11.140625" style="4" customWidth="1"/>
    <col min="15666" max="15666" width="11.42578125" style="4"/>
    <col min="15667" max="15667" width="17.42578125" style="4" customWidth="1"/>
    <col min="15668" max="15912" width="11.42578125" style="4"/>
    <col min="15913" max="15913" width="14.5703125" style="4" customWidth="1"/>
    <col min="15914" max="15914" width="12.7109375" style="4" customWidth="1"/>
    <col min="15915" max="15915" width="1.5703125" style="4" customWidth="1"/>
    <col min="15916" max="15916" width="18.28515625" style="4" customWidth="1"/>
    <col min="15917" max="15917" width="11" style="4" customWidth="1"/>
    <col min="15918" max="15918" width="13.28515625" style="4" bestFit="1" customWidth="1"/>
    <col min="15919" max="15919" width="18" style="4" customWidth="1"/>
    <col min="15920" max="15920" width="11.42578125" style="4"/>
    <col min="15921" max="15921" width="11.140625" style="4" customWidth="1"/>
    <col min="15922" max="15922" width="11.42578125" style="4"/>
    <col min="15923" max="15923" width="17.42578125" style="4" customWidth="1"/>
    <col min="15924" max="16168" width="11.42578125" style="4"/>
    <col min="16169" max="16169" width="14.5703125" style="4" customWidth="1"/>
    <col min="16170" max="16170" width="12.7109375" style="4" customWidth="1"/>
    <col min="16171" max="16171" width="1.5703125" style="4" customWidth="1"/>
    <col min="16172" max="16172" width="18.28515625" style="4" customWidth="1"/>
    <col min="16173" max="16173" width="11" style="4" customWidth="1"/>
    <col min="16174" max="16174" width="13.28515625" style="4" bestFit="1" customWidth="1"/>
    <col min="16175" max="16175" width="18" style="4" customWidth="1"/>
    <col min="16176" max="16176" width="11.42578125" style="4"/>
    <col min="16177" max="16177" width="11.140625" style="4" customWidth="1"/>
    <col min="16178" max="16178" width="11.42578125" style="4"/>
    <col min="16179" max="16179" width="17.42578125" style="4" customWidth="1"/>
    <col min="16180" max="16384" width="11.42578125" style="4"/>
  </cols>
  <sheetData>
    <row r="1" spans="1:82" ht="12.75" customHeight="1" x14ac:dyDescent="0.2">
      <c r="A1" s="497" t="s">
        <v>0</v>
      </c>
      <c r="B1" s="497"/>
      <c r="C1" s="497"/>
      <c r="D1" s="497"/>
      <c r="E1" s="497"/>
      <c r="F1" s="497"/>
      <c r="G1" s="497"/>
      <c r="H1" s="497"/>
      <c r="I1" s="497"/>
      <c r="J1" s="497"/>
      <c r="K1" s="497"/>
      <c r="L1" s="497"/>
      <c r="M1" s="497"/>
      <c r="N1" s="497"/>
      <c r="O1" s="497"/>
      <c r="P1" s="497"/>
      <c r="Q1" s="497"/>
      <c r="R1" s="497"/>
      <c r="S1" s="497"/>
      <c r="T1" s="497"/>
      <c r="U1" s="497"/>
      <c r="V1" s="497"/>
      <c r="W1" s="497"/>
      <c r="X1" s="497"/>
      <c r="Y1" s="497"/>
      <c r="Z1" s="497"/>
      <c r="AA1" s="497"/>
      <c r="AB1" s="497"/>
      <c r="AC1" s="497"/>
      <c r="AD1" s="497"/>
      <c r="AE1" s="497"/>
      <c r="AF1" s="497"/>
      <c r="AG1" s="497"/>
      <c r="AH1" s="497"/>
      <c r="AI1" s="497"/>
      <c r="AJ1" s="497"/>
      <c r="AK1" s="497"/>
      <c r="AL1" s="497"/>
      <c r="AM1" s="497"/>
      <c r="AN1" s="497"/>
      <c r="AO1" s="497"/>
      <c r="AP1" s="497"/>
      <c r="AQ1" s="497"/>
      <c r="AR1" s="497"/>
      <c r="AS1" s="497"/>
      <c r="AT1" s="1"/>
      <c r="AU1" s="1"/>
      <c r="AV1" s="1"/>
      <c r="AW1" s="1"/>
      <c r="AX1" s="498" t="s">
        <v>1</v>
      </c>
      <c r="AY1" s="498"/>
      <c r="AZ1" s="498"/>
      <c r="BA1" s="498"/>
      <c r="BB1" s="498"/>
      <c r="BC1" s="498"/>
      <c r="BD1" s="498"/>
      <c r="BE1" s="498"/>
      <c r="BF1" s="498"/>
      <c r="BG1" s="498"/>
      <c r="BH1" s="498"/>
      <c r="BI1" s="2"/>
      <c r="BJ1" s="2"/>
      <c r="BK1" s="498" t="s">
        <v>2</v>
      </c>
      <c r="BL1" s="498"/>
      <c r="BM1" s="498"/>
      <c r="BN1" s="498"/>
      <c r="BO1" s="498"/>
      <c r="BP1" s="498"/>
      <c r="BQ1" s="498"/>
      <c r="BR1" s="498"/>
      <c r="BS1" s="498"/>
      <c r="BT1" s="498"/>
      <c r="BU1" s="2"/>
      <c r="BV1" s="3"/>
      <c r="BW1" s="3"/>
      <c r="CD1" s="5"/>
    </row>
    <row r="2" spans="1:82" ht="12.75" customHeight="1" x14ac:dyDescent="0.2">
      <c r="A2" s="497"/>
      <c r="B2" s="497"/>
      <c r="C2" s="497"/>
      <c r="D2" s="497"/>
      <c r="E2" s="497"/>
      <c r="F2" s="497"/>
      <c r="G2" s="497"/>
      <c r="H2" s="497"/>
      <c r="I2" s="497"/>
      <c r="J2" s="497"/>
      <c r="K2" s="497"/>
      <c r="L2" s="497"/>
      <c r="M2" s="497"/>
      <c r="N2" s="497"/>
      <c r="O2" s="497"/>
      <c r="P2" s="497"/>
      <c r="Q2" s="497"/>
      <c r="R2" s="497"/>
      <c r="S2" s="497"/>
      <c r="T2" s="497"/>
      <c r="U2" s="497"/>
      <c r="V2" s="497"/>
      <c r="W2" s="497"/>
      <c r="X2" s="497"/>
      <c r="Y2" s="497"/>
      <c r="Z2" s="497"/>
      <c r="AA2" s="497"/>
      <c r="AB2" s="497"/>
      <c r="AC2" s="497"/>
      <c r="AD2" s="497"/>
      <c r="AE2" s="497"/>
      <c r="AF2" s="497"/>
      <c r="AG2" s="497"/>
      <c r="AH2" s="497"/>
      <c r="AI2" s="497"/>
      <c r="AJ2" s="497"/>
      <c r="AK2" s="497"/>
      <c r="AL2" s="497"/>
      <c r="AM2" s="497"/>
      <c r="AN2" s="497"/>
      <c r="AO2" s="497"/>
      <c r="AP2" s="497"/>
      <c r="AQ2" s="497"/>
      <c r="AR2" s="497"/>
      <c r="AS2" s="497"/>
      <c r="AT2" s="1"/>
      <c r="AU2" s="1"/>
      <c r="AV2" s="1"/>
      <c r="AW2" s="1"/>
      <c r="AX2" s="498"/>
      <c r="AY2" s="498"/>
      <c r="AZ2" s="498"/>
      <c r="BA2" s="498"/>
      <c r="BB2" s="498"/>
      <c r="BC2" s="498"/>
      <c r="BD2" s="498"/>
      <c r="BE2" s="498"/>
      <c r="BF2" s="498"/>
      <c r="BG2" s="498"/>
      <c r="BH2" s="498"/>
      <c r="BI2" s="2"/>
      <c r="BJ2" s="2"/>
      <c r="BK2" s="498"/>
      <c r="BL2" s="498"/>
      <c r="BM2" s="498"/>
      <c r="BN2" s="498"/>
      <c r="BO2" s="498"/>
      <c r="BP2" s="498"/>
      <c r="BQ2" s="498"/>
      <c r="BR2" s="498"/>
      <c r="BS2" s="498"/>
      <c r="BT2" s="498"/>
      <c r="BU2" s="2"/>
      <c r="BV2" s="3"/>
      <c r="BW2" s="3"/>
      <c r="CD2" s="5"/>
    </row>
    <row r="3" spans="1:82" ht="12.75" customHeight="1" x14ac:dyDescent="0.2">
      <c r="A3" s="497"/>
      <c r="B3" s="497"/>
      <c r="C3" s="497"/>
      <c r="D3" s="497"/>
      <c r="E3" s="497"/>
      <c r="F3" s="497"/>
      <c r="G3" s="497"/>
      <c r="H3" s="497"/>
      <c r="I3" s="497"/>
      <c r="J3" s="497"/>
      <c r="K3" s="497"/>
      <c r="L3" s="497"/>
      <c r="M3" s="497"/>
      <c r="N3" s="497"/>
      <c r="O3" s="497"/>
      <c r="P3" s="497"/>
      <c r="Q3" s="497"/>
      <c r="R3" s="497"/>
      <c r="S3" s="497"/>
      <c r="T3" s="497"/>
      <c r="U3" s="497"/>
      <c r="V3" s="497"/>
      <c r="W3" s="497"/>
      <c r="X3" s="497"/>
      <c r="Y3" s="497"/>
      <c r="Z3" s="497"/>
      <c r="AA3" s="497"/>
      <c r="AB3" s="497"/>
      <c r="AC3" s="497"/>
      <c r="AD3" s="497"/>
      <c r="AE3" s="497"/>
      <c r="AF3" s="497"/>
      <c r="AG3" s="497"/>
      <c r="AH3" s="497"/>
      <c r="AI3" s="497"/>
      <c r="AJ3" s="497"/>
      <c r="AK3" s="497"/>
      <c r="AL3" s="497"/>
      <c r="AM3" s="497"/>
      <c r="AN3" s="497"/>
      <c r="AO3" s="497"/>
      <c r="AP3" s="497"/>
      <c r="AQ3" s="497"/>
      <c r="AR3" s="497"/>
      <c r="AS3" s="497"/>
      <c r="AT3" s="1"/>
      <c r="AU3" s="1"/>
      <c r="AV3" s="1"/>
      <c r="AW3" s="1"/>
      <c r="AX3" s="498"/>
      <c r="AY3" s="498"/>
      <c r="AZ3" s="498"/>
      <c r="BA3" s="498"/>
      <c r="BB3" s="498"/>
      <c r="BC3" s="498"/>
      <c r="BD3" s="498"/>
      <c r="BE3" s="498"/>
      <c r="BF3" s="498"/>
      <c r="BG3" s="498"/>
      <c r="BH3" s="498"/>
      <c r="BI3" s="2"/>
      <c r="BJ3" s="2"/>
      <c r="BK3" s="498"/>
      <c r="BL3" s="498"/>
      <c r="BM3" s="498"/>
      <c r="BN3" s="498"/>
      <c r="BO3" s="498"/>
      <c r="BP3" s="498"/>
      <c r="BQ3" s="498"/>
      <c r="BR3" s="498"/>
      <c r="BS3" s="498"/>
      <c r="BT3" s="498"/>
      <c r="BU3" s="2"/>
      <c r="BV3" s="3"/>
      <c r="BW3" s="3"/>
      <c r="CD3" s="5"/>
    </row>
    <row r="4" spans="1:82" ht="12.75" customHeight="1" x14ac:dyDescent="0.25">
      <c r="A4" s="6" t="s">
        <v>273</v>
      </c>
      <c r="B4" s="7"/>
      <c r="C4" s="7"/>
      <c r="D4" s="7"/>
      <c r="E4" s="7"/>
      <c r="F4" s="7"/>
      <c r="G4" s="7"/>
      <c r="H4" s="7"/>
      <c r="I4" s="7"/>
      <c r="J4" s="7"/>
      <c r="K4" s="7"/>
      <c r="L4" s="7"/>
      <c r="M4" s="7"/>
      <c r="N4" s="7"/>
      <c r="O4" s="7"/>
      <c r="P4" s="7"/>
      <c r="Q4" s="7"/>
      <c r="R4" s="8"/>
      <c r="S4" s="8">
        <v>0</v>
      </c>
      <c r="T4" s="8">
        <v>0</v>
      </c>
      <c r="U4" s="9"/>
      <c r="V4" s="9"/>
      <c r="W4" s="9"/>
      <c r="X4" s="9"/>
      <c r="Y4" s="9"/>
      <c r="Z4" s="9"/>
      <c r="AA4" s="9"/>
      <c r="AB4" s="9"/>
      <c r="AC4" s="9"/>
      <c r="AD4" s="9"/>
      <c r="AE4" s="9"/>
      <c r="AF4" s="9"/>
      <c r="AG4" s="9"/>
      <c r="AH4" s="9"/>
      <c r="AI4" s="9"/>
      <c r="AJ4" s="9"/>
      <c r="AK4" s="9"/>
      <c r="AL4" s="9"/>
      <c r="AM4" s="9"/>
      <c r="AN4" s="9"/>
      <c r="AO4" s="9"/>
      <c r="AP4" s="9"/>
      <c r="AQ4" s="9"/>
      <c r="AR4" s="9"/>
      <c r="AS4" s="9"/>
      <c r="AT4" s="9"/>
      <c r="AU4" s="10"/>
      <c r="AV4" s="10"/>
      <c r="AW4" s="10"/>
      <c r="AX4" s="499"/>
      <c r="AY4" s="499"/>
      <c r="AZ4" s="499"/>
      <c r="BA4" s="499"/>
      <c r="BB4" s="499"/>
      <c r="BC4" s="499"/>
      <c r="BD4" s="499"/>
      <c r="BE4" s="499"/>
      <c r="BF4" s="499"/>
      <c r="BG4" s="499"/>
      <c r="BH4" s="499"/>
      <c r="BI4" s="11"/>
      <c r="BJ4" s="11"/>
      <c r="BK4" s="499"/>
      <c r="BL4" s="499"/>
      <c r="BM4" s="499"/>
      <c r="BN4" s="499"/>
      <c r="BO4" s="499"/>
      <c r="BP4" s="499"/>
      <c r="BQ4" s="499"/>
      <c r="BR4" s="499"/>
      <c r="BS4" s="499"/>
      <c r="BT4" s="499"/>
      <c r="BU4" s="11"/>
      <c r="BV4" s="12"/>
      <c r="BW4" s="12"/>
      <c r="CD4" s="5"/>
    </row>
    <row r="5" spans="1:82" x14ac:dyDescent="0.2">
      <c r="A5" s="13">
        <v>24</v>
      </c>
      <c r="B5" s="14">
        <v>2018</v>
      </c>
      <c r="C5" s="15"/>
      <c r="D5" s="15"/>
      <c r="E5" s="15"/>
      <c r="F5" s="15"/>
      <c r="G5" s="15"/>
      <c r="H5" s="15"/>
      <c r="I5" s="15"/>
      <c r="J5" s="15"/>
      <c r="K5" s="15"/>
      <c r="L5" s="15"/>
      <c r="M5" s="15"/>
      <c r="N5" s="15"/>
      <c r="O5" s="15"/>
      <c r="P5" s="15"/>
      <c r="Q5" s="15"/>
      <c r="R5" s="15"/>
      <c r="S5" s="16"/>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8"/>
      <c r="AV5" s="18"/>
      <c r="AW5" s="18"/>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CD5" s="5"/>
    </row>
    <row r="6" spans="1:82" ht="12.75" customHeight="1" x14ac:dyDescent="0.2">
      <c r="A6" s="500" t="s">
        <v>3</v>
      </c>
      <c r="B6" s="500"/>
      <c r="C6" s="500"/>
      <c r="D6" s="500"/>
      <c r="E6" s="500"/>
      <c r="F6" s="500"/>
      <c r="G6" s="500"/>
      <c r="H6" s="500"/>
      <c r="I6" s="500"/>
      <c r="J6" s="500"/>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500"/>
      <c r="AM6" s="500"/>
      <c r="AN6" s="500"/>
      <c r="AO6" s="500"/>
      <c r="AP6" s="500"/>
      <c r="AQ6" s="500"/>
      <c r="AR6" s="500"/>
      <c r="AS6" s="500"/>
      <c r="AT6" s="500"/>
      <c r="AU6" s="500"/>
      <c r="AV6" s="500"/>
      <c r="AW6" s="500"/>
      <c r="AX6" s="500"/>
      <c r="AY6" s="500"/>
      <c r="AZ6" s="500"/>
      <c r="BA6" s="500"/>
      <c r="BB6" s="500"/>
      <c r="BC6" s="500"/>
      <c r="BD6" s="500"/>
      <c r="BE6" s="500"/>
      <c r="BF6" s="500"/>
      <c r="BG6" s="500"/>
      <c r="BH6" s="500"/>
      <c r="BI6" s="500"/>
      <c r="BJ6" s="500"/>
      <c r="BK6" s="500"/>
      <c r="BL6" s="500"/>
      <c r="BM6" s="500"/>
      <c r="BN6" s="500"/>
      <c r="BO6" s="500"/>
      <c r="BP6" s="500"/>
      <c r="BQ6" s="500"/>
      <c r="BR6" s="500"/>
      <c r="BS6" s="500"/>
      <c r="BT6" s="500"/>
      <c r="BU6" s="500"/>
      <c r="BV6" s="500"/>
      <c r="BW6" s="19"/>
      <c r="CD6" s="5"/>
    </row>
    <row r="7" spans="1:82" ht="27" customHeight="1" x14ac:dyDescent="0.2">
      <c r="A7" s="500"/>
      <c r="B7" s="500"/>
      <c r="C7" s="500"/>
      <c r="D7" s="500"/>
      <c r="E7" s="500"/>
      <c r="F7" s="500"/>
      <c r="G7" s="500"/>
      <c r="H7" s="500"/>
      <c r="I7" s="500"/>
      <c r="J7" s="500"/>
      <c r="K7" s="500"/>
      <c r="L7" s="500"/>
      <c r="M7" s="500"/>
      <c r="N7" s="500"/>
      <c r="O7" s="500"/>
      <c r="P7" s="500"/>
      <c r="Q7" s="500"/>
      <c r="R7" s="500"/>
      <c r="S7" s="500"/>
      <c r="T7" s="500"/>
      <c r="U7" s="500"/>
      <c r="V7" s="500"/>
      <c r="W7" s="500"/>
      <c r="X7" s="500"/>
      <c r="Y7" s="500"/>
      <c r="Z7" s="500"/>
      <c r="AA7" s="500"/>
      <c r="AB7" s="500"/>
      <c r="AC7" s="500"/>
      <c r="AD7" s="500"/>
      <c r="AE7" s="500"/>
      <c r="AF7" s="500"/>
      <c r="AG7" s="500"/>
      <c r="AH7" s="500"/>
      <c r="AI7" s="500"/>
      <c r="AJ7" s="500"/>
      <c r="AK7" s="500"/>
      <c r="AL7" s="500"/>
      <c r="AM7" s="500"/>
      <c r="AN7" s="500"/>
      <c r="AO7" s="500"/>
      <c r="AP7" s="500"/>
      <c r="AQ7" s="500"/>
      <c r="AR7" s="500"/>
      <c r="AS7" s="500"/>
      <c r="AT7" s="500"/>
      <c r="AU7" s="500"/>
      <c r="AV7" s="500"/>
      <c r="AW7" s="500"/>
      <c r="AX7" s="500"/>
      <c r="AY7" s="500"/>
      <c r="AZ7" s="500"/>
      <c r="BA7" s="500"/>
      <c r="BB7" s="500"/>
      <c r="BC7" s="500"/>
      <c r="BD7" s="500"/>
      <c r="BE7" s="500"/>
      <c r="BF7" s="500"/>
      <c r="BG7" s="500"/>
      <c r="BH7" s="500"/>
      <c r="BI7" s="500"/>
      <c r="BJ7" s="500"/>
      <c r="BK7" s="500"/>
      <c r="BL7" s="500"/>
      <c r="BM7" s="500"/>
      <c r="BN7" s="500"/>
      <c r="BO7" s="500"/>
      <c r="BP7" s="500"/>
      <c r="BQ7" s="500"/>
      <c r="BR7" s="500"/>
      <c r="BS7" s="500"/>
      <c r="BT7" s="500"/>
      <c r="BU7" s="500"/>
      <c r="BV7" s="500"/>
      <c r="BW7" s="19"/>
      <c r="CD7" s="5"/>
    </row>
    <row r="8" spans="1:82" ht="9.75" customHeight="1"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1"/>
      <c r="AV8" s="21"/>
      <c r="AW8" s="21"/>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CD8" s="5"/>
    </row>
    <row r="9" spans="1:82" ht="15" x14ac:dyDescent="0.2">
      <c r="A9" s="22" t="s">
        <v>4</v>
      </c>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1"/>
      <c r="AV9" s="21"/>
      <c r="AW9" s="21"/>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CD9" s="5"/>
    </row>
    <row r="10" spans="1:82" ht="15" x14ac:dyDescent="0.2">
      <c r="A10" s="22" t="s">
        <v>5</v>
      </c>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1"/>
      <c r="AV10" s="21"/>
      <c r="AW10" s="21"/>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CD10" s="5"/>
    </row>
    <row r="11" spans="1:82" ht="8.25" customHeight="1" x14ac:dyDescent="0.2">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4"/>
      <c r="AV11" s="24"/>
      <c r="AW11" s="24"/>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CD11" s="5"/>
    </row>
    <row r="12" spans="1:82" ht="13.5" customHeight="1" x14ac:dyDescent="0.2">
      <c r="A12" s="484" t="s">
        <v>6</v>
      </c>
      <c r="B12" s="490"/>
      <c r="C12" s="484" t="s">
        <v>7</v>
      </c>
      <c r="D12" s="490"/>
      <c r="E12" s="502" t="s">
        <v>8</v>
      </c>
      <c r="F12" s="493" t="s">
        <v>9</v>
      </c>
      <c r="G12" s="491"/>
      <c r="H12" s="491"/>
      <c r="I12" s="491"/>
      <c r="J12" s="491"/>
      <c r="K12" s="492"/>
      <c r="L12" s="493" t="s">
        <v>10</v>
      </c>
      <c r="M12" s="491"/>
      <c r="N12" s="491"/>
      <c r="O12" s="491"/>
      <c r="P12" s="491"/>
      <c r="Q12" s="491"/>
      <c r="R12" s="491"/>
      <c r="S12" s="491"/>
      <c r="T12" s="492"/>
      <c r="U12" s="493" t="s">
        <v>11</v>
      </c>
      <c r="V12" s="491"/>
      <c r="W12" s="491"/>
      <c r="X12" s="491"/>
      <c r="Y12" s="491"/>
      <c r="Z12" s="492"/>
      <c r="AA12" s="484" t="s">
        <v>12</v>
      </c>
      <c r="AB12" s="489"/>
      <c r="AC12" s="489"/>
      <c r="AD12" s="489"/>
      <c r="AE12" s="489"/>
      <c r="AF12" s="489"/>
      <c r="AG12" s="489"/>
      <c r="AH12" s="489"/>
      <c r="AI12" s="489"/>
      <c r="AJ12" s="489"/>
      <c r="AK12" s="489"/>
      <c r="AL12" s="489"/>
      <c r="AM12" s="489"/>
      <c r="AN12" s="489"/>
      <c r="AO12" s="489"/>
      <c r="AP12" s="489"/>
      <c r="AQ12" s="489"/>
      <c r="AR12" s="489"/>
      <c r="AS12" s="489"/>
      <c r="AT12" s="489"/>
      <c r="AU12" s="489"/>
      <c r="AV12" s="489"/>
      <c r="AW12" s="490"/>
      <c r="AX12" s="491" t="s">
        <v>13</v>
      </c>
      <c r="AY12" s="491"/>
      <c r="AZ12" s="491"/>
      <c r="BA12" s="491"/>
      <c r="BB12" s="491"/>
      <c r="BC12" s="491"/>
      <c r="BD12" s="491"/>
      <c r="BE12" s="491"/>
      <c r="BF12" s="492"/>
      <c r="BG12" s="493" t="s">
        <v>14</v>
      </c>
      <c r="BH12" s="491"/>
      <c r="BI12" s="491"/>
      <c r="BJ12" s="491"/>
      <c r="BK12" s="491"/>
      <c r="BL12" s="491"/>
      <c r="BM12" s="491"/>
      <c r="BN12" s="491"/>
      <c r="BO12" s="491"/>
      <c r="BP12" s="491"/>
      <c r="BQ12" s="491"/>
      <c r="BR12" s="491"/>
      <c r="BS12" s="492"/>
      <c r="BT12" s="494" t="s">
        <v>15</v>
      </c>
      <c r="BU12" s="494" t="s">
        <v>16</v>
      </c>
      <c r="BV12" s="496" t="s">
        <v>17</v>
      </c>
      <c r="BW12" s="484" t="s">
        <v>6</v>
      </c>
      <c r="CD12" s="5"/>
    </row>
    <row r="13" spans="1:82" ht="60" customHeight="1" x14ac:dyDescent="0.2">
      <c r="A13" s="485"/>
      <c r="B13" s="501"/>
      <c r="C13" s="485"/>
      <c r="D13" s="501"/>
      <c r="E13" s="503"/>
      <c r="F13" s="486" t="s">
        <v>18</v>
      </c>
      <c r="G13" s="487"/>
      <c r="H13" s="488"/>
      <c r="I13" s="478" t="s">
        <v>19</v>
      </c>
      <c r="J13" s="479"/>
      <c r="K13" s="480"/>
      <c r="L13" s="478" t="s">
        <v>20</v>
      </c>
      <c r="M13" s="479"/>
      <c r="N13" s="480"/>
      <c r="O13" s="478" t="s">
        <v>21</v>
      </c>
      <c r="P13" s="479"/>
      <c r="Q13" s="480"/>
      <c r="R13" s="478" t="s">
        <v>22</v>
      </c>
      <c r="S13" s="479"/>
      <c r="T13" s="480"/>
      <c r="U13" s="478" t="s">
        <v>23</v>
      </c>
      <c r="V13" s="479"/>
      <c r="W13" s="480"/>
      <c r="X13" s="478" t="s">
        <v>24</v>
      </c>
      <c r="Y13" s="479"/>
      <c r="Z13" s="480"/>
      <c r="AA13" s="478" t="s">
        <v>25</v>
      </c>
      <c r="AB13" s="479"/>
      <c r="AC13" s="480"/>
      <c r="AD13" s="478" t="s">
        <v>26</v>
      </c>
      <c r="AE13" s="479"/>
      <c r="AF13" s="480"/>
      <c r="AG13" s="478" t="s">
        <v>27</v>
      </c>
      <c r="AH13" s="479"/>
      <c r="AI13" s="480"/>
      <c r="AJ13" s="478" t="s">
        <v>28</v>
      </c>
      <c r="AK13" s="479"/>
      <c r="AL13" s="480"/>
      <c r="AM13" s="478" t="s">
        <v>29</v>
      </c>
      <c r="AN13" s="479"/>
      <c r="AO13" s="480"/>
      <c r="AP13" s="478" t="s">
        <v>30</v>
      </c>
      <c r="AQ13" s="479"/>
      <c r="AR13" s="480"/>
      <c r="AS13" s="25" t="s">
        <v>31</v>
      </c>
      <c r="AT13" s="25" t="s">
        <v>32</v>
      </c>
      <c r="AU13" s="26" t="s">
        <v>33</v>
      </c>
      <c r="AV13" s="25" t="s">
        <v>34</v>
      </c>
      <c r="AW13" s="25" t="s">
        <v>35</v>
      </c>
      <c r="AX13" s="478" t="s">
        <v>36</v>
      </c>
      <c r="AY13" s="479"/>
      <c r="AZ13" s="480"/>
      <c r="BA13" s="478" t="s">
        <v>37</v>
      </c>
      <c r="BB13" s="479"/>
      <c r="BC13" s="480"/>
      <c r="BD13" s="478" t="s">
        <v>38</v>
      </c>
      <c r="BE13" s="479"/>
      <c r="BF13" s="480"/>
      <c r="BG13" s="478" t="s">
        <v>39</v>
      </c>
      <c r="BH13" s="479"/>
      <c r="BI13" s="480"/>
      <c r="BJ13" s="478" t="s">
        <v>40</v>
      </c>
      <c r="BK13" s="479"/>
      <c r="BL13" s="480"/>
      <c r="BM13" s="478" t="s">
        <v>41</v>
      </c>
      <c r="BN13" s="479"/>
      <c r="BO13" s="480"/>
      <c r="BP13" s="478" t="s">
        <v>42</v>
      </c>
      <c r="BQ13" s="479"/>
      <c r="BR13" s="480"/>
      <c r="BS13" s="27" t="s">
        <v>43</v>
      </c>
      <c r="BT13" s="495"/>
      <c r="BU13" s="495"/>
      <c r="BV13" s="496"/>
      <c r="BW13" s="485"/>
      <c r="CD13" s="5"/>
    </row>
    <row r="14" spans="1:82" s="29" customFormat="1" ht="12.75" customHeight="1" x14ac:dyDescent="0.2">
      <c r="A14" s="481" t="s">
        <v>44</v>
      </c>
      <c r="B14" s="481"/>
      <c r="C14" s="481"/>
      <c r="D14" s="481"/>
      <c r="E14" s="481"/>
      <c r="F14" s="481"/>
      <c r="G14" s="481"/>
      <c r="H14" s="481"/>
      <c r="I14" s="481"/>
      <c r="J14" s="481"/>
      <c r="K14" s="481"/>
      <c r="L14" s="481"/>
      <c r="M14" s="481"/>
      <c r="N14" s="481"/>
      <c r="O14" s="481"/>
      <c r="P14" s="481"/>
      <c r="Q14" s="481"/>
      <c r="R14" s="481"/>
      <c r="S14" s="481"/>
      <c r="T14" s="481"/>
      <c r="U14" s="481"/>
      <c r="V14" s="481"/>
      <c r="W14" s="481"/>
      <c r="X14" s="481"/>
      <c r="Y14" s="481"/>
      <c r="Z14" s="481"/>
      <c r="AA14" s="481"/>
      <c r="AB14" s="481"/>
      <c r="AC14" s="481"/>
      <c r="AD14" s="481"/>
      <c r="AE14" s="481"/>
      <c r="AF14" s="481"/>
      <c r="AG14" s="481"/>
      <c r="AH14" s="481"/>
      <c r="AI14" s="481"/>
      <c r="AJ14" s="481"/>
      <c r="AK14" s="481"/>
      <c r="AL14" s="481"/>
      <c r="AM14" s="481"/>
      <c r="AN14" s="481"/>
      <c r="AO14" s="481"/>
      <c r="AP14" s="481"/>
      <c r="AQ14" s="481"/>
      <c r="AR14" s="481"/>
      <c r="AS14" s="481"/>
      <c r="AT14" s="481"/>
      <c r="AU14" s="481"/>
      <c r="AV14" s="481"/>
      <c r="AW14" s="481"/>
      <c r="AX14" s="481"/>
      <c r="AY14" s="481"/>
      <c r="AZ14" s="481"/>
      <c r="BA14" s="481"/>
      <c r="BB14" s="481"/>
      <c r="BC14" s="481"/>
      <c r="BD14" s="481"/>
      <c r="BE14" s="481"/>
      <c r="BF14" s="481"/>
      <c r="BG14" s="481"/>
      <c r="BH14" s="481"/>
      <c r="BI14" s="481"/>
      <c r="BJ14" s="481"/>
      <c r="BK14" s="481"/>
      <c r="BL14" s="481"/>
      <c r="BM14" s="481"/>
      <c r="BN14" s="481"/>
      <c r="BO14" s="481"/>
      <c r="BP14" s="481"/>
      <c r="BQ14" s="481"/>
      <c r="BR14" s="481"/>
      <c r="BS14" s="481"/>
      <c r="BT14" s="481"/>
      <c r="BU14" s="481"/>
      <c r="BV14" s="482"/>
      <c r="BW14" s="28"/>
      <c r="CD14" s="30"/>
    </row>
    <row r="15" spans="1:82" s="40" customFormat="1" ht="11.25" customHeight="1" x14ac:dyDescent="0.2">
      <c r="A15" s="483" t="s">
        <v>45</v>
      </c>
      <c r="B15" s="455"/>
      <c r="C15" s="452">
        <v>11.85</v>
      </c>
      <c r="D15" s="453"/>
      <c r="E15" s="31">
        <v>1</v>
      </c>
      <c r="F15" s="292">
        <v>2.746061470666</v>
      </c>
      <c r="G15" s="293"/>
      <c r="H15" s="294"/>
      <c r="I15" s="284">
        <v>7.773264912962059</v>
      </c>
      <c r="J15" s="295"/>
      <c r="K15" s="296"/>
      <c r="L15" s="284">
        <v>0.80557999999999996</v>
      </c>
      <c r="M15" s="295"/>
      <c r="N15" s="296"/>
      <c r="O15" s="284">
        <v>0.54732999999999998</v>
      </c>
      <c r="P15" s="295"/>
      <c r="Q15" s="296"/>
      <c r="R15" s="297" t="s">
        <v>46</v>
      </c>
      <c r="S15" s="298"/>
      <c r="T15" s="299"/>
      <c r="U15" s="284">
        <v>2.1843930266090772</v>
      </c>
      <c r="V15" s="295"/>
      <c r="W15" s="296"/>
      <c r="X15" s="456">
        <v>24.503018184141119</v>
      </c>
      <c r="Y15" s="457"/>
      <c r="Z15" s="458"/>
      <c r="AA15" s="393">
        <v>0.11192669999999999</v>
      </c>
      <c r="AB15" s="394"/>
      <c r="AC15" s="395"/>
      <c r="AD15" s="393" t="s">
        <v>46</v>
      </c>
      <c r="AE15" s="394"/>
      <c r="AF15" s="395"/>
      <c r="AG15" s="393" t="s">
        <v>46</v>
      </c>
      <c r="AH15" s="394"/>
      <c r="AI15" s="395"/>
      <c r="AJ15" s="393">
        <v>-1.4185202782400399E-2</v>
      </c>
      <c r="AK15" s="394"/>
      <c r="AL15" s="395"/>
      <c r="AM15" s="393">
        <v>-2.0615400256885583</v>
      </c>
      <c r="AN15" s="394"/>
      <c r="AO15" s="395"/>
      <c r="AP15" s="393">
        <v>-0.21379503042065237</v>
      </c>
      <c r="AQ15" s="394"/>
      <c r="AR15" s="395"/>
      <c r="AS15" s="32">
        <v>0.58488339207240136</v>
      </c>
      <c r="AT15" s="32">
        <v>-2.0523902809524097</v>
      </c>
      <c r="AU15" s="33">
        <v>1.8078949896526433</v>
      </c>
      <c r="AV15" s="34">
        <v>1032.7100000000003</v>
      </c>
      <c r="AW15" s="32">
        <v>0.10761802382691135</v>
      </c>
      <c r="AX15" s="284">
        <v>2.9944556360000001</v>
      </c>
      <c r="AY15" s="295"/>
      <c r="AZ15" s="296"/>
      <c r="BA15" s="284">
        <v>1.7499426360000001</v>
      </c>
      <c r="BB15" s="295"/>
      <c r="BC15" s="296"/>
      <c r="BD15" s="284">
        <v>26.123703487864901</v>
      </c>
      <c r="BE15" s="295"/>
      <c r="BF15" s="296"/>
      <c r="BG15" s="284">
        <v>10.826240177184962</v>
      </c>
      <c r="BH15" s="295"/>
      <c r="BI15" s="296"/>
      <c r="BJ15" s="284" t="s">
        <v>46</v>
      </c>
      <c r="BK15" s="295"/>
      <c r="BL15" s="296"/>
      <c r="BM15" s="284">
        <v>0.28155813199523944</v>
      </c>
      <c r="BN15" s="295"/>
      <c r="BO15" s="296"/>
      <c r="BP15" s="284" t="s">
        <v>46</v>
      </c>
      <c r="BQ15" s="295"/>
      <c r="BR15" s="296"/>
      <c r="BS15" s="35">
        <v>0.63332327580562797</v>
      </c>
      <c r="BT15" s="32">
        <v>0.52439590311544837</v>
      </c>
      <c r="BU15" s="36">
        <v>-0.13942236912333716</v>
      </c>
      <c r="BV15" s="37">
        <v>43190</v>
      </c>
      <c r="BW15" s="38" t="s">
        <v>45</v>
      </c>
      <c r="CD15" s="41"/>
    </row>
    <row r="16" spans="1:82" s="50" customFormat="1" ht="11.25" customHeight="1" x14ac:dyDescent="0.2">
      <c r="A16" s="413" t="s">
        <v>47</v>
      </c>
      <c r="B16" s="414"/>
      <c r="C16" s="415">
        <v>216</v>
      </c>
      <c r="D16" s="416"/>
      <c r="E16" s="42">
        <v>1</v>
      </c>
      <c r="F16" s="384">
        <v>5.2175678400000003E-3</v>
      </c>
      <c r="G16" s="385"/>
      <c r="H16" s="386"/>
      <c r="I16" s="319">
        <v>6.2841975705488258</v>
      </c>
      <c r="J16" s="333"/>
      <c r="K16" s="334"/>
      <c r="L16" s="319">
        <v>0.93918000000000001</v>
      </c>
      <c r="M16" s="333"/>
      <c r="N16" s="334"/>
      <c r="O16" s="319">
        <v>0.73858000000000001</v>
      </c>
      <c r="P16" s="333"/>
      <c r="Q16" s="334"/>
      <c r="R16" s="335" t="s">
        <v>46</v>
      </c>
      <c r="S16" s="336"/>
      <c r="T16" s="337"/>
      <c r="U16" s="319">
        <v>4.8306664064463813</v>
      </c>
      <c r="V16" s="333"/>
      <c r="W16" s="334"/>
      <c r="X16" s="410">
        <v>18.344427547418395</v>
      </c>
      <c r="Y16" s="411"/>
      <c r="Z16" s="412"/>
      <c r="AA16" s="396">
        <v>0.15124589999999999</v>
      </c>
      <c r="AB16" s="397"/>
      <c r="AC16" s="398"/>
      <c r="AD16" s="396">
        <v>2.61582E-2</v>
      </c>
      <c r="AE16" s="397"/>
      <c r="AF16" s="398"/>
      <c r="AG16" s="396">
        <v>6.0289405972573261E-3</v>
      </c>
      <c r="AH16" s="397"/>
      <c r="AI16" s="398"/>
      <c r="AJ16" s="396">
        <v>-1.2278114811838402E-2</v>
      </c>
      <c r="AK16" s="397"/>
      <c r="AL16" s="398"/>
      <c r="AM16" s="399">
        <v>0.14645223668915794</v>
      </c>
      <c r="AN16" s="400"/>
      <c r="AO16" s="401"/>
      <c r="AP16" s="396">
        <v>2.3299075824951113E-2</v>
      </c>
      <c r="AQ16" s="397"/>
      <c r="AR16" s="398"/>
      <c r="AS16" s="43">
        <v>-0.76718973318423833</v>
      </c>
      <c r="AT16" s="43" t="s">
        <v>46</v>
      </c>
      <c r="AU16" s="44" t="s">
        <v>46</v>
      </c>
      <c r="AV16" s="45">
        <v>5625.8383999999996</v>
      </c>
      <c r="AW16" s="46">
        <v>0.14522781747308233</v>
      </c>
      <c r="AX16" s="319">
        <v>7.1402047273999898</v>
      </c>
      <c r="AY16" s="333"/>
      <c r="AZ16" s="334"/>
      <c r="BA16" s="319">
        <v>9.5759028823999994</v>
      </c>
      <c r="BB16" s="333"/>
      <c r="BC16" s="334"/>
      <c r="BD16" s="319">
        <v>3.0209841218411699</v>
      </c>
      <c r="BE16" s="333"/>
      <c r="BF16" s="334"/>
      <c r="BG16" s="319">
        <v>8.6591735020816216</v>
      </c>
      <c r="BH16" s="333"/>
      <c r="BI16" s="334"/>
      <c r="BJ16" s="319">
        <v>63.759508579491275</v>
      </c>
      <c r="BK16" s="333"/>
      <c r="BL16" s="334"/>
      <c r="BM16" s="319">
        <v>0.34720706798351431</v>
      </c>
      <c r="BN16" s="333"/>
      <c r="BO16" s="334"/>
      <c r="BP16" s="319" t="s">
        <v>46</v>
      </c>
      <c r="BQ16" s="333"/>
      <c r="BR16" s="334"/>
      <c r="BS16" s="47">
        <v>0.48415183285430502</v>
      </c>
      <c r="BT16" s="43" t="s">
        <v>46</v>
      </c>
      <c r="BU16" s="46" t="s">
        <v>46</v>
      </c>
      <c r="BV16" s="48">
        <v>43100</v>
      </c>
      <c r="BW16" s="49" t="s">
        <v>47</v>
      </c>
      <c r="CD16" s="51"/>
    </row>
    <row r="17" spans="1:82" s="40" customFormat="1" ht="11.25" customHeight="1" x14ac:dyDescent="0.2">
      <c r="A17" s="468" t="s">
        <v>48</v>
      </c>
      <c r="B17" s="469"/>
      <c r="C17" s="470">
        <v>26.5</v>
      </c>
      <c r="D17" s="471"/>
      <c r="E17" s="52">
        <v>1</v>
      </c>
      <c r="F17" s="472">
        <v>1.051520967506</v>
      </c>
      <c r="G17" s="473"/>
      <c r="H17" s="474"/>
      <c r="I17" s="459">
        <v>3.921734323171695</v>
      </c>
      <c r="J17" s="460"/>
      <c r="K17" s="461"/>
      <c r="L17" s="459">
        <v>1.23607</v>
      </c>
      <c r="M17" s="460"/>
      <c r="N17" s="461"/>
      <c r="O17" s="459">
        <v>0.62783999999999995</v>
      </c>
      <c r="P17" s="460"/>
      <c r="Q17" s="461"/>
      <c r="R17" s="475">
        <v>5.2075471698113194E-3</v>
      </c>
      <c r="S17" s="476"/>
      <c r="T17" s="477"/>
      <c r="U17" s="459">
        <v>4.4693086157545645</v>
      </c>
      <c r="V17" s="460"/>
      <c r="W17" s="461"/>
      <c r="X17" s="465">
        <v>29.907161170768966</v>
      </c>
      <c r="Y17" s="466"/>
      <c r="Z17" s="467"/>
      <c r="AA17" s="462">
        <v>0.31228590000000001</v>
      </c>
      <c r="AB17" s="463"/>
      <c r="AC17" s="464"/>
      <c r="AD17" s="462">
        <v>2.0658599999999999E-2</v>
      </c>
      <c r="AE17" s="463"/>
      <c r="AF17" s="464"/>
      <c r="AG17" s="462">
        <v>2.2735844877277284E-3</v>
      </c>
      <c r="AH17" s="463"/>
      <c r="AI17" s="464"/>
      <c r="AJ17" s="462">
        <v>1.5314689858229494E-2</v>
      </c>
      <c r="AK17" s="463"/>
      <c r="AL17" s="464"/>
      <c r="AM17" s="462">
        <v>3.0055052602224856E-2</v>
      </c>
      <c r="AN17" s="463"/>
      <c r="AO17" s="464"/>
      <c r="AP17" s="462">
        <v>8.1290896020686475E-3</v>
      </c>
      <c r="AQ17" s="463"/>
      <c r="AR17" s="464"/>
      <c r="AS17" s="53">
        <v>-0.32961814230135589</v>
      </c>
      <c r="AT17" s="53">
        <v>0.27063404161498239</v>
      </c>
      <c r="AU17" s="33">
        <v>0.6599680330045038</v>
      </c>
      <c r="AV17" s="34">
        <v>5141.8469045000002</v>
      </c>
      <c r="AW17" s="32">
        <v>7.4342478445905594E-2</v>
      </c>
      <c r="AX17" s="459">
        <v>15.887821000000001</v>
      </c>
      <c r="AY17" s="460"/>
      <c r="AZ17" s="461"/>
      <c r="BA17" s="459">
        <v>13.25</v>
      </c>
      <c r="BB17" s="460"/>
      <c r="BC17" s="461"/>
      <c r="BD17" s="459">
        <v>21.594400452335002</v>
      </c>
      <c r="BE17" s="460"/>
      <c r="BF17" s="461"/>
      <c r="BG17" s="459">
        <v>4.9813771684498747</v>
      </c>
      <c r="BH17" s="460"/>
      <c r="BI17" s="461"/>
      <c r="BJ17" s="459">
        <v>167.31910594772066</v>
      </c>
      <c r="BK17" s="460"/>
      <c r="BL17" s="461"/>
      <c r="BM17" s="459">
        <v>0.38041892765904861</v>
      </c>
      <c r="BN17" s="460"/>
      <c r="BO17" s="461"/>
      <c r="BP17" s="459" t="s">
        <v>46</v>
      </c>
      <c r="BQ17" s="460"/>
      <c r="BR17" s="461"/>
      <c r="BS17" s="54">
        <v>3.5405378931773E-2</v>
      </c>
      <c r="BT17" s="53">
        <v>0.3202665889875152</v>
      </c>
      <c r="BU17" s="55">
        <v>6.5189190805355235E-2</v>
      </c>
      <c r="BV17" s="37">
        <v>43190</v>
      </c>
      <c r="BW17" s="38" t="s">
        <v>48</v>
      </c>
      <c r="CD17" s="41"/>
    </row>
    <row r="18" spans="1:82" s="50" customFormat="1" ht="11.25" customHeight="1" x14ac:dyDescent="0.2">
      <c r="A18" s="413" t="s">
        <v>49</v>
      </c>
      <c r="B18" s="414"/>
      <c r="C18" s="415">
        <v>12.75</v>
      </c>
      <c r="D18" s="416"/>
      <c r="E18" s="42">
        <v>1</v>
      </c>
      <c r="F18" s="384">
        <v>7.7256219020100003</v>
      </c>
      <c r="G18" s="385"/>
      <c r="H18" s="386"/>
      <c r="I18" s="319">
        <v>11.852735446898436</v>
      </c>
      <c r="J18" s="333"/>
      <c r="K18" s="334"/>
      <c r="L18" s="319">
        <v>1.26261</v>
      </c>
      <c r="M18" s="333"/>
      <c r="N18" s="334"/>
      <c r="O18" s="319">
        <v>0.55701999999999996</v>
      </c>
      <c r="P18" s="333"/>
      <c r="Q18" s="334"/>
      <c r="R18" s="335">
        <v>7.4511999999999998E-3</v>
      </c>
      <c r="S18" s="336"/>
      <c r="T18" s="337"/>
      <c r="U18" s="319">
        <v>1.6633033902141394</v>
      </c>
      <c r="V18" s="333"/>
      <c r="W18" s="334"/>
      <c r="X18" s="410">
        <v>177.91738865563946</v>
      </c>
      <c r="Y18" s="411"/>
      <c r="Z18" s="412"/>
      <c r="AA18" s="396">
        <v>0.3817236</v>
      </c>
      <c r="AB18" s="397"/>
      <c r="AC18" s="398"/>
      <c r="AD18" s="396">
        <v>6.7893800000000004E-2</v>
      </c>
      <c r="AE18" s="397"/>
      <c r="AF18" s="398"/>
      <c r="AG18" s="396" t="s">
        <v>46</v>
      </c>
      <c r="AH18" s="397"/>
      <c r="AI18" s="398"/>
      <c r="AJ18" s="396">
        <v>-9.2360787693284624E-2</v>
      </c>
      <c r="AK18" s="397"/>
      <c r="AL18" s="398"/>
      <c r="AM18" s="399">
        <v>-0.39847459414023945</v>
      </c>
      <c r="AN18" s="400"/>
      <c r="AO18" s="401"/>
      <c r="AP18" s="396">
        <v>-4.5012168137956686E-2</v>
      </c>
      <c r="AQ18" s="397"/>
      <c r="AR18" s="398"/>
      <c r="AS18" s="43" t="s">
        <v>46</v>
      </c>
      <c r="AT18" s="43">
        <v>-0.88388584154294247</v>
      </c>
      <c r="AU18" s="44">
        <v>0.92409620673672288</v>
      </c>
      <c r="AV18" s="45">
        <v>1726.5605499999997</v>
      </c>
      <c r="AW18" s="46">
        <v>0.1836242449879773</v>
      </c>
      <c r="AX18" s="319">
        <v>12.092950999999999</v>
      </c>
      <c r="AY18" s="333"/>
      <c r="AZ18" s="334"/>
      <c r="BA18" s="319">
        <v>5.7640000000000002</v>
      </c>
      <c r="BB18" s="333"/>
      <c r="BC18" s="334"/>
      <c r="BD18" s="319">
        <v>10.2133391327115</v>
      </c>
      <c r="BE18" s="333"/>
      <c r="BF18" s="334"/>
      <c r="BG18" s="319">
        <v>7.2010304319743739</v>
      </c>
      <c r="BH18" s="333"/>
      <c r="BI18" s="334"/>
      <c r="BJ18" s="319" t="s">
        <v>46</v>
      </c>
      <c r="BK18" s="333"/>
      <c r="BL18" s="334"/>
      <c r="BM18" s="319">
        <v>0.46685560117378061</v>
      </c>
      <c r="BN18" s="333"/>
      <c r="BO18" s="334"/>
      <c r="BP18" s="319" t="s">
        <v>46</v>
      </c>
      <c r="BQ18" s="333"/>
      <c r="BR18" s="334"/>
      <c r="BS18" s="47">
        <v>0.56285233568842297</v>
      </c>
      <c r="BT18" s="43">
        <v>0.412398521593625</v>
      </c>
      <c r="BU18" s="46">
        <v>-8.0992922579262827E-2</v>
      </c>
      <c r="BV18" s="48">
        <v>43159</v>
      </c>
      <c r="BW18" s="49" t="s">
        <v>49</v>
      </c>
      <c r="CD18" s="51"/>
    </row>
    <row r="19" spans="1:82" s="40" customFormat="1" ht="11.25" customHeight="1" x14ac:dyDescent="0.2">
      <c r="A19" s="454" t="s">
        <v>50</v>
      </c>
      <c r="B19" s="455"/>
      <c r="C19" s="452">
        <v>44</v>
      </c>
      <c r="D19" s="453"/>
      <c r="E19" s="31">
        <v>1</v>
      </c>
      <c r="F19" s="292">
        <v>1.3947155965039999</v>
      </c>
      <c r="G19" s="293"/>
      <c r="H19" s="294"/>
      <c r="I19" s="284">
        <v>3.9434673842257881</v>
      </c>
      <c r="J19" s="295"/>
      <c r="K19" s="296"/>
      <c r="L19" s="284">
        <v>1.51888</v>
      </c>
      <c r="M19" s="295"/>
      <c r="N19" s="296"/>
      <c r="O19" s="284">
        <v>0.75802000000000003</v>
      </c>
      <c r="P19" s="295"/>
      <c r="Q19" s="296"/>
      <c r="R19" s="297" t="s">
        <v>46</v>
      </c>
      <c r="S19" s="298"/>
      <c r="T19" s="299"/>
      <c r="U19" s="284">
        <v>1.7974507742511243</v>
      </c>
      <c r="V19" s="295"/>
      <c r="W19" s="296"/>
      <c r="X19" s="456">
        <v>121.98278594856568</v>
      </c>
      <c r="Y19" s="457"/>
      <c r="Z19" s="458"/>
      <c r="AA19" s="393">
        <v>0.31808399999999998</v>
      </c>
      <c r="AB19" s="394"/>
      <c r="AC19" s="395"/>
      <c r="AD19" s="393">
        <v>4.3004999999999996E-3</v>
      </c>
      <c r="AE19" s="394"/>
      <c r="AF19" s="395"/>
      <c r="AG19" s="393" t="s">
        <v>46</v>
      </c>
      <c r="AH19" s="394"/>
      <c r="AI19" s="395"/>
      <c r="AJ19" s="393">
        <v>-8.0826573536709648E-2</v>
      </c>
      <c r="AK19" s="394"/>
      <c r="AL19" s="395"/>
      <c r="AM19" s="393">
        <v>-8.4477626352977134E-2</v>
      </c>
      <c r="AN19" s="394"/>
      <c r="AO19" s="395"/>
      <c r="AP19" s="393">
        <v>-2.4497566293458062E-2</v>
      </c>
      <c r="AQ19" s="394"/>
      <c r="AR19" s="395"/>
      <c r="AS19" s="32">
        <v>-0.82593709607927623</v>
      </c>
      <c r="AT19" s="32">
        <v>-15.603264832066372</v>
      </c>
      <c r="AU19" s="33">
        <v>33.395049769244906</v>
      </c>
      <c r="AV19" s="34">
        <v>4698.5466500000002</v>
      </c>
      <c r="AW19" s="32">
        <v>0.59957894814112844</v>
      </c>
      <c r="AX19" s="284">
        <v>11.822385151500001</v>
      </c>
      <c r="AY19" s="295"/>
      <c r="AZ19" s="296"/>
      <c r="BA19" s="284">
        <v>8.9629731515</v>
      </c>
      <c r="BB19" s="295"/>
      <c r="BC19" s="296"/>
      <c r="BD19" s="284">
        <v>32.7761363331403</v>
      </c>
      <c r="BE19" s="295"/>
      <c r="BF19" s="296"/>
      <c r="BG19" s="284">
        <v>3.7787329387356912</v>
      </c>
      <c r="BH19" s="295"/>
      <c r="BI19" s="296"/>
      <c r="BJ19" s="284" t="s">
        <v>46</v>
      </c>
      <c r="BK19" s="295"/>
      <c r="BL19" s="296"/>
      <c r="BM19" s="284">
        <v>0.69401256934629518</v>
      </c>
      <c r="BN19" s="295"/>
      <c r="BO19" s="296"/>
      <c r="BP19" s="284" t="s">
        <v>46</v>
      </c>
      <c r="BQ19" s="295"/>
      <c r="BR19" s="296"/>
      <c r="BS19" s="35">
        <v>0.71298386226696697</v>
      </c>
      <c r="BT19" s="32">
        <v>0.43940571479758167</v>
      </c>
      <c r="BU19" s="36">
        <v>-1.3988687793457966E-2</v>
      </c>
      <c r="BV19" s="37">
        <v>43190</v>
      </c>
      <c r="BW19" s="38" t="s">
        <v>50</v>
      </c>
      <c r="CD19" s="41"/>
    </row>
    <row r="20" spans="1:82" s="40" customFormat="1" ht="11.25" customHeight="1" x14ac:dyDescent="0.2">
      <c r="A20" s="413" t="s">
        <v>51</v>
      </c>
      <c r="B20" s="414"/>
      <c r="C20" s="415">
        <v>8.9500000000000011</v>
      </c>
      <c r="D20" s="416"/>
      <c r="E20" s="42">
        <v>1</v>
      </c>
      <c r="F20" s="384">
        <v>0.22467792707500001</v>
      </c>
      <c r="G20" s="385"/>
      <c r="H20" s="386"/>
      <c r="I20" s="319">
        <v>1.8182513364950386</v>
      </c>
      <c r="J20" s="333"/>
      <c r="K20" s="334"/>
      <c r="L20" s="319">
        <v>1.83928</v>
      </c>
      <c r="M20" s="333"/>
      <c r="N20" s="334"/>
      <c r="O20" s="319">
        <v>1.2865500000000001</v>
      </c>
      <c r="P20" s="333"/>
      <c r="Q20" s="334"/>
      <c r="R20" s="335">
        <v>1.1691045273742999E-2</v>
      </c>
      <c r="S20" s="336"/>
      <c r="T20" s="337"/>
      <c r="U20" s="319">
        <v>2.2965443678537656</v>
      </c>
      <c r="V20" s="333"/>
      <c r="W20" s="334"/>
      <c r="X20" s="410">
        <v>94.336035441809159</v>
      </c>
      <c r="Y20" s="411"/>
      <c r="Z20" s="412"/>
      <c r="AA20" s="396">
        <v>0.52823450000000005</v>
      </c>
      <c r="AB20" s="397"/>
      <c r="AC20" s="398"/>
      <c r="AD20" s="396">
        <v>0.14012370000000002</v>
      </c>
      <c r="AE20" s="397"/>
      <c r="AF20" s="398"/>
      <c r="AG20" s="396">
        <v>9.5124150235744123E-2</v>
      </c>
      <c r="AH20" s="397"/>
      <c r="AI20" s="398"/>
      <c r="AJ20" s="396">
        <v>-5.3326375812377112E-2</v>
      </c>
      <c r="AK20" s="397"/>
      <c r="AL20" s="398"/>
      <c r="AM20" s="399">
        <v>0.31325507253926083</v>
      </c>
      <c r="AN20" s="400"/>
      <c r="AO20" s="401"/>
      <c r="AP20" s="396">
        <v>0.17476881931511781</v>
      </c>
      <c r="AQ20" s="397"/>
      <c r="AR20" s="398"/>
      <c r="AS20" s="43">
        <v>0.22322187119819947</v>
      </c>
      <c r="AT20" s="43">
        <v>0.4932083904154535</v>
      </c>
      <c r="AU20" s="44">
        <v>0.29520911416038381</v>
      </c>
      <c r="AV20" s="45">
        <v>132.04361299999999</v>
      </c>
      <c r="AW20" s="46">
        <v>8.680963045417317E-2</v>
      </c>
      <c r="AX20" s="319">
        <v>0.78497656265000104</v>
      </c>
      <c r="AY20" s="333"/>
      <c r="AZ20" s="334"/>
      <c r="BA20" s="319">
        <v>0.77046797265</v>
      </c>
      <c r="BB20" s="333"/>
      <c r="BC20" s="334"/>
      <c r="BD20" s="319">
        <v>5.1568457966411803</v>
      </c>
      <c r="BE20" s="333"/>
      <c r="BF20" s="334"/>
      <c r="BG20" s="319">
        <v>2.3528255529797413</v>
      </c>
      <c r="BH20" s="333"/>
      <c r="BI20" s="334"/>
      <c r="BJ20" s="319">
        <v>7.83596137177478</v>
      </c>
      <c r="BK20" s="333"/>
      <c r="BL20" s="334"/>
      <c r="BM20" s="319">
        <v>0.74539004752922533</v>
      </c>
      <c r="BN20" s="333"/>
      <c r="BO20" s="334"/>
      <c r="BP20" s="319">
        <v>23.781585918099999</v>
      </c>
      <c r="BQ20" s="333"/>
      <c r="BR20" s="334"/>
      <c r="BS20" s="47">
        <v>0.420586115398284</v>
      </c>
      <c r="BT20" s="43">
        <v>0.4076103298257745</v>
      </c>
      <c r="BU20" s="46">
        <v>0.12659487241207712</v>
      </c>
      <c r="BV20" s="48">
        <v>43190</v>
      </c>
      <c r="BW20" s="49" t="s">
        <v>51</v>
      </c>
      <c r="CD20" s="41"/>
    </row>
    <row r="21" spans="1:82" s="56" customFormat="1" ht="11.25" customHeight="1" x14ac:dyDescent="0.2">
      <c r="A21" s="454" t="s">
        <v>52</v>
      </c>
      <c r="B21" s="455"/>
      <c r="C21" s="452">
        <v>3.22</v>
      </c>
      <c r="D21" s="453"/>
      <c r="E21" s="31">
        <v>1</v>
      </c>
      <c r="F21" s="292">
        <v>0.54060166314999991</v>
      </c>
      <c r="G21" s="293"/>
      <c r="H21" s="294"/>
      <c r="I21" s="284">
        <v>2.1018834402422946</v>
      </c>
      <c r="J21" s="295"/>
      <c r="K21" s="296"/>
      <c r="L21" s="284">
        <v>1.4980199999999999</v>
      </c>
      <c r="M21" s="295"/>
      <c r="N21" s="296"/>
      <c r="O21" s="284">
        <v>0.99875999999999998</v>
      </c>
      <c r="P21" s="295"/>
      <c r="Q21" s="296"/>
      <c r="R21" s="297">
        <v>7.9398021518987307E-3</v>
      </c>
      <c r="S21" s="298"/>
      <c r="T21" s="299"/>
      <c r="U21" s="284">
        <v>2.4508743475032384</v>
      </c>
      <c r="V21" s="295"/>
      <c r="W21" s="296"/>
      <c r="X21" s="456">
        <v>76.589342013529972</v>
      </c>
      <c r="Y21" s="457"/>
      <c r="Z21" s="458"/>
      <c r="AA21" s="393">
        <v>0.14601790000000001</v>
      </c>
      <c r="AB21" s="394"/>
      <c r="AC21" s="395"/>
      <c r="AD21" s="393">
        <v>4.5905100000000004E-2</v>
      </c>
      <c r="AE21" s="394"/>
      <c r="AF21" s="395"/>
      <c r="AG21" s="393">
        <v>2.3446780342474018E-2</v>
      </c>
      <c r="AH21" s="394"/>
      <c r="AI21" s="395"/>
      <c r="AJ21" s="393">
        <v>-6.3200230517452549E-2</v>
      </c>
      <c r="AK21" s="394"/>
      <c r="AL21" s="395"/>
      <c r="AM21" s="393">
        <v>8.9136989080096179E-2</v>
      </c>
      <c r="AN21" s="394"/>
      <c r="AO21" s="395"/>
      <c r="AP21" s="393">
        <v>4.5973494550629171E-2</v>
      </c>
      <c r="AQ21" s="394"/>
      <c r="AR21" s="395"/>
      <c r="AS21" s="32">
        <v>-0.5964645726807889</v>
      </c>
      <c r="AT21" s="32">
        <v>0.98459095209242187</v>
      </c>
      <c r="AU21" s="33">
        <v>2.958466105286393</v>
      </c>
      <c r="AV21" s="34">
        <v>104.55257950000002</v>
      </c>
      <c r="AW21" s="32">
        <v>0.36485326488593456</v>
      </c>
      <c r="AX21" s="284">
        <v>0.61044744000000095</v>
      </c>
      <c r="AY21" s="295"/>
      <c r="AZ21" s="296"/>
      <c r="BA21" s="284">
        <v>0.53056400000000004</v>
      </c>
      <c r="BB21" s="295"/>
      <c r="BC21" s="296"/>
      <c r="BD21" s="284">
        <v>12.060722520226401</v>
      </c>
      <c r="BE21" s="295"/>
      <c r="BF21" s="296"/>
      <c r="BG21" s="284">
        <v>2.9002460839374828</v>
      </c>
      <c r="BH21" s="295"/>
      <c r="BI21" s="296"/>
      <c r="BJ21" s="284">
        <v>33.364418195005705</v>
      </c>
      <c r="BK21" s="295"/>
      <c r="BL21" s="296"/>
      <c r="BM21" s="284">
        <v>0.76781842759305829</v>
      </c>
      <c r="BN21" s="295"/>
      <c r="BO21" s="296"/>
      <c r="BP21" s="284">
        <v>108.59217657560001</v>
      </c>
      <c r="BQ21" s="295"/>
      <c r="BR21" s="296"/>
      <c r="BS21" s="35">
        <v>0.65346622171403701</v>
      </c>
      <c r="BT21" s="32">
        <v>0.49072762288044341</v>
      </c>
      <c r="BU21" s="36">
        <v>-6.7770730480263386E-2</v>
      </c>
      <c r="BV21" s="37">
        <v>43069</v>
      </c>
      <c r="BW21" s="38" t="s">
        <v>52</v>
      </c>
      <c r="CD21" s="57"/>
    </row>
    <row r="22" spans="1:82" s="40" customFormat="1" ht="11.25" customHeight="1" x14ac:dyDescent="0.2">
      <c r="A22" s="330" t="s">
        <v>53</v>
      </c>
      <c r="B22" s="330"/>
      <c r="C22" s="331">
        <v>3.8000000000000003</v>
      </c>
      <c r="D22" s="331"/>
      <c r="E22" s="58">
        <v>1</v>
      </c>
      <c r="F22" s="384">
        <v>3.2662685377999998</v>
      </c>
      <c r="G22" s="385"/>
      <c r="H22" s="386"/>
      <c r="I22" s="318">
        <v>9.6299067451335443</v>
      </c>
      <c r="J22" s="318"/>
      <c r="K22" s="318"/>
      <c r="L22" s="319">
        <v>2.3401100000000001</v>
      </c>
      <c r="M22" s="333"/>
      <c r="N22" s="334"/>
      <c r="O22" s="319">
        <v>1.60504</v>
      </c>
      <c r="P22" s="333"/>
      <c r="Q22" s="334"/>
      <c r="R22" s="335" t="s">
        <v>46</v>
      </c>
      <c r="S22" s="336"/>
      <c r="T22" s="337"/>
      <c r="U22" s="318">
        <v>1.041317800665442</v>
      </c>
      <c r="V22" s="318"/>
      <c r="W22" s="318"/>
      <c r="X22" s="329">
        <v>-1.9869873694246678</v>
      </c>
      <c r="Y22" s="329"/>
      <c r="Z22" s="329"/>
      <c r="AA22" s="396">
        <v>2.4386E-3</v>
      </c>
      <c r="AB22" s="397"/>
      <c r="AC22" s="398"/>
      <c r="AD22" s="328" t="s">
        <v>46</v>
      </c>
      <c r="AE22" s="328"/>
      <c r="AF22" s="328"/>
      <c r="AG22" s="328" t="s">
        <v>46</v>
      </c>
      <c r="AH22" s="328"/>
      <c r="AI22" s="328"/>
      <c r="AJ22" s="328">
        <v>-0.66398814855510402</v>
      </c>
      <c r="AK22" s="328"/>
      <c r="AL22" s="328"/>
      <c r="AM22" s="339">
        <v>-2.6701486530281708</v>
      </c>
      <c r="AN22" s="339"/>
      <c r="AO22" s="339"/>
      <c r="AP22" s="328">
        <v>-0.28696919047073643</v>
      </c>
      <c r="AQ22" s="328"/>
      <c r="AR22" s="328"/>
      <c r="AS22" s="43">
        <v>-0.10060681087361845</v>
      </c>
      <c r="AT22" s="43">
        <v>-0.29184590814734845</v>
      </c>
      <c r="AU22" s="44">
        <v>0.38017710148331113</v>
      </c>
      <c r="AV22" s="45">
        <v>41.458547499999995</v>
      </c>
      <c r="AW22" s="46">
        <v>0.33181201389225518</v>
      </c>
      <c r="AX22" s="318">
        <v>0.23410371839999999</v>
      </c>
      <c r="AY22" s="318"/>
      <c r="AZ22" s="318"/>
      <c r="BA22" s="318">
        <v>0.17822766840000001</v>
      </c>
      <c r="BB22" s="318"/>
      <c r="BC22" s="318"/>
      <c r="BD22" s="318" t="s">
        <v>46</v>
      </c>
      <c r="BE22" s="318"/>
      <c r="BF22" s="318"/>
      <c r="BG22" s="318">
        <v>4.4191859199120866</v>
      </c>
      <c r="BH22" s="318"/>
      <c r="BI22" s="318"/>
      <c r="BJ22" s="319" t="s">
        <v>46</v>
      </c>
      <c r="BK22" s="333"/>
      <c r="BL22" s="334"/>
      <c r="BM22" s="318">
        <v>0.80101912466605796</v>
      </c>
      <c r="BN22" s="318"/>
      <c r="BO22" s="318"/>
      <c r="BP22" s="319" t="s">
        <v>46</v>
      </c>
      <c r="BQ22" s="333"/>
      <c r="BR22" s="334"/>
      <c r="BS22" s="47">
        <v>0.67508573705742503</v>
      </c>
      <c r="BT22" s="43">
        <v>0.54834777053938144</v>
      </c>
      <c r="BU22" s="46">
        <v>-0.11422701924290102</v>
      </c>
      <c r="BV22" s="48">
        <v>43159</v>
      </c>
      <c r="BW22" s="49" t="s">
        <v>53</v>
      </c>
      <c r="CD22" s="41"/>
    </row>
    <row r="23" spans="1:82" s="50" customFormat="1" ht="11.25" customHeight="1" x14ac:dyDescent="0.2">
      <c r="A23" s="454" t="s">
        <v>54</v>
      </c>
      <c r="B23" s="455"/>
      <c r="C23" s="291">
        <v>103.5</v>
      </c>
      <c r="D23" s="291"/>
      <c r="E23" s="59">
        <v>0.1</v>
      </c>
      <c r="F23" s="292">
        <v>1.679038743447</v>
      </c>
      <c r="G23" s="293"/>
      <c r="H23" s="294"/>
      <c r="I23" s="283">
        <v>3.0771401162255758</v>
      </c>
      <c r="J23" s="283"/>
      <c r="K23" s="283"/>
      <c r="L23" s="284">
        <v>0.90781000000000001</v>
      </c>
      <c r="M23" s="295"/>
      <c r="N23" s="296"/>
      <c r="O23" s="284">
        <v>0.39406999999999998</v>
      </c>
      <c r="P23" s="295"/>
      <c r="Q23" s="296"/>
      <c r="R23" s="297" t="s">
        <v>46</v>
      </c>
      <c r="S23" s="298"/>
      <c r="T23" s="299"/>
      <c r="U23" s="283">
        <v>0.64506861987031328</v>
      </c>
      <c r="V23" s="283"/>
      <c r="W23" s="283"/>
      <c r="X23" s="286">
        <v>141.22232974025121</v>
      </c>
      <c r="Y23" s="286"/>
      <c r="Z23" s="286"/>
      <c r="AA23" s="393">
        <v>0.1901322</v>
      </c>
      <c r="AB23" s="394"/>
      <c r="AC23" s="395"/>
      <c r="AD23" s="285" t="s">
        <v>46</v>
      </c>
      <c r="AE23" s="285"/>
      <c r="AF23" s="285"/>
      <c r="AG23" s="285">
        <v>8.4020285667913627E-2</v>
      </c>
      <c r="AH23" s="285"/>
      <c r="AI23" s="285"/>
      <c r="AJ23" s="285">
        <v>-0.69721085625696355</v>
      </c>
      <c r="AK23" s="285"/>
      <c r="AL23" s="285"/>
      <c r="AM23" s="285">
        <v>0.14464173819051765</v>
      </c>
      <c r="AN23" s="285"/>
      <c r="AO23" s="285"/>
      <c r="AP23" s="285">
        <v>4.3359140440173013E-2</v>
      </c>
      <c r="AQ23" s="285"/>
      <c r="AR23" s="285"/>
      <c r="AS23" s="32">
        <v>1.962001138898116</v>
      </c>
      <c r="AT23" s="32">
        <v>1.7688485366016586</v>
      </c>
      <c r="AU23" s="33">
        <v>2.463542187214224</v>
      </c>
      <c r="AV23" s="34">
        <v>736.26556700000015</v>
      </c>
      <c r="AW23" s="32">
        <v>3.4936847206320758</v>
      </c>
      <c r="AX23" s="283">
        <v>8.4730383835000005</v>
      </c>
      <c r="AY23" s="283"/>
      <c r="AZ23" s="283"/>
      <c r="BA23" s="283">
        <v>7.2538432266000008</v>
      </c>
      <c r="BB23" s="283"/>
      <c r="BC23" s="283"/>
      <c r="BD23" s="283">
        <v>234.38796976621899</v>
      </c>
      <c r="BE23" s="283"/>
      <c r="BF23" s="283"/>
      <c r="BG23" s="283">
        <v>2.6668119682666784</v>
      </c>
      <c r="BH23" s="283"/>
      <c r="BI23" s="283"/>
      <c r="BJ23" s="284">
        <v>224.31243362735961</v>
      </c>
      <c r="BK23" s="295"/>
      <c r="BL23" s="296"/>
      <c r="BM23" s="283">
        <v>1.8214546428556471</v>
      </c>
      <c r="BN23" s="283"/>
      <c r="BO23" s="283"/>
      <c r="BP23" s="284" t="s">
        <v>46</v>
      </c>
      <c r="BQ23" s="295"/>
      <c r="BR23" s="296"/>
      <c r="BS23" s="35">
        <v>0.83664165804153001</v>
      </c>
      <c r="BT23" s="32">
        <v>0.61207070394539698</v>
      </c>
      <c r="BU23" s="36">
        <v>0.25395819455079693</v>
      </c>
      <c r="BV23" s="37">
        <v>43190</v>
      </c>
      <c r="BW23" s="38" t="s">
        <v>54</v>
      </c>
      <c r="CD23" s="51"/>
    </row>
    <row r="24" spans="1:82" s="40" customFormat="1" ht="11.25" customHeight="1" x14ac:dyDescent="0.2">
      <c r="A24" s="330" t="s">
        <v>55</v>
      </c>
      <c r="B24" s="330"/>
      <c r="C24" s="331">
        <v>97</v>
      </c>
      <c r="D24" s="331"/>
      <c r="E24" s="60">
        <v>0.01</v>
      </c>
      <c r="F24" s="384">
        <v>7.863789316E-2</v>
      </c>
      <c r="G24" s="385"/>
      <c r="H24" s="386"/>
      <c r="I24" s="318">
        <v>1.8978539223970532</v>
      </c>
      <c r="J24" s="318"/>
      <c r="K24" s="318"/>
      <c r="L24" s="319">
        <v>2.3041800000000001</v>
      </c>
      <c r="M24" s="333"/>
      <c r="N24" s="334"/>
      <c r="O24" s="319">
        <v>1.43418</v>
      </c>
      <c r="P24" s="333"/>
      <c r="Q24" s="334"/>
      <c r="R24" s="335">
        <v>5.86483390618557E-3</v>
      </c>
      <c r="S24" s="336"/>
      <c r="T24" s="337"/>
      <c r="U24" s="318">
        <v>1.3034111973884042</v>
      </c>
      <c r="V24" s="318"/>
      <c r="W24" s="318"/>
      <c r="X24" s="329">
        <v>166.99657461210552</v>
      </c>
      <c r="Y24" s="329"/>
      <c r="Z24" s="329"/>
      <c r="AA24" s="396">
        <v>0.41666350000000002</v>
      </c>
      <c r="AB24" s="397"/>
      <c r="AC24" s="398"/>
      <c r="AD24" s="328">
        <v>0.16901070000000001</v>
      </c>
      <c r="AE24" s="328"/>
      <c r="AF24" s="328"/>
      <c r="AG24" s="328">
        <v>0.11234125772961055</v>
      </c>
      <c r="AH24" s="328"/>
      <c r="AI24" s="328"/>
      <c r="AJ24" s="328">
        <v>5.7673184658676838E-2</v>
      </c>
      <c r="AK24" s="328"/>
      <c r="AL24" s="328"/>
      <c r="AM24" s="339">
        <v>0.2188754469933962</v>
      </c>
      <c r="AN24" s="339"/>
      <c r="AO24" s="339"/>
      <c r="AP24" s="328">
        <v>0.11714191856373388</v>
      </c>
      <c r="AQ24" s="328"/>
      <c r="AR24" s="328"/>
      <c r="AS24" s="43">
        <v>0.35878516937175542</v>
      </c>
      <c r="AT24" s="43">
        <v>0.47035630194950384</v>
      </c>
      <c r="AU24" s="44">
        <v>0.39440583686483288</v>
      </c>
      <c r="AV24" s="45">
        <v>414.933964</v>
      </c>
      <c r="AW24" s="46">
        <v>0.36181101210990824</v>
      </c>
      <c r="AX24" s="318">
        <v>5.2907512680000002</v>
      </c>
      <c r="AY24" s="318"/>
      <c r="AZ24" s="318"/>
      <c r="BA24" s="318">
        <v>5.7168796879999997</v>
      </c>
      <c r="BB24" s="318"/>
      <c r="BC24" s="318"/>
      <c r="BD24" s="318">
        <v>10.864294917850099</v>
      </c>
      <c r="BE24" s="318"/>
      <c r="BF24" s="318"/>
      <c r="BG24" s="318">
        <v>3.3010575582245303</v>
      </c>
      <c r="BH24" s="318"/>
      <c r="BI24" s="318"/>
      <c r="BJ24" s="319" t="s">
        <v>46</v>
      </c>
      <c r="BK24" s="333"/>
      <c r="BL24" s="334"/>
      <c r="BM24" s="318">
        <v>1.8936756890138418</v>
      </c>
      <c r="BN24" s="318"/>
      <c r="BO24" s="318"/>
      <c r="BP24" s="319">
        <v>17.635653211400001</v>
      </c>
      <c r="BQ24" s="333"/>
      <c r="BR24" s="334"/>
      <c r="BS24" s="47">
        <v>0.392253814431338</v>
      </c>
      <c r="BT24" s="43">
        <v>0.33972700265022832</v>
      </c>
      <c r="BU24" s="46">
        <v>4.1776948127252744E-2</v>
      </c>
      <c r="BV24" s="48">
        <v>43100</v>
      </c>
      <c r="BW24" s="49" t="s">
        <v>55</v>
      </c>
      <c r="BX24" s="39"/>
      <c r="CD24" s="41"/>
    </row>
    <row r="25" spans="1:82" s="40" customFormat="1" ht="11.25" customHeight="1" x14ac:dyDescent="0.2">
      <c r="A25" s="454" t="s">
        <v>56</v>
      </c>
      <c r="B25" s="455"/>
      <c r="C25" s="291">
        <v>10.5</v>
      </c>
      <c r="D25" s="291"/>
      <c r="E25" s="59">
        <v>1</v>
      </c>
      <c r="F25" s="292">
        <v>0.28304467550700002</v>
      </c>
      <c r="G25" s="293"/>
      <c r="H25" s="294"/>
      <c r="I25" s="283">
        <v>1.6127690433225286</v>
      </c>
      <c r="J25" s="283"/>
      <c r="K25" s="283"/>
      <c r="L25" s="284" t="s">
        <v>46</v>
      </c>
      <c r="M25" s="295"/>
      <c r="N25" s="296"/>
      <c r="O25" s="284" t="s">
        <v>46</v>
      </c>
      <c r="P25" s="295"/>
      <c r="Q25" s="296"/>
      <c r="R25" s="297" t="s">
        <v>46</v>
      </c>
      <c r="S25" s="298"/>
      <c r="T25" s="299"/>
      <c r="U25" s="283">
        <v>0.62361128536726529</v>
      </c>
      <c r="V25" s="283"/>
      <c r="W25" s="283"/>
      <c r="X25" s="286">
        <v>213.58587946573198</v>
      </c>
      <c r="Y25" s="286"/>
      <c r="Z25" s="286"/>
      <c r="AA25" s="393">
        <v>0.24398069999999999</v>
      </c>
      <c r="AB25" s="394"/>
      <c r="AC25" s="395"/>
      <c r="AD25" s="285">
        <v>6.7732700000000007E-2</v>
      </c>
      <c r="AE25" s="285"/>
      <c r="AF25" s="285"/>
      <c r="AG25" s="285">
        <v>5.2428434842711653E-2</v>
      </c>
      <c r="AH25" s="285"/>
      <c r="AI25" s="285"/>
      <c r="AJ25" s="285">
        <v>-0.16117331663835954</v>
      </c>
      <c r="AK25" s="285"/>
      <c r="AL25" s="285"/>
      <c r="AM25" s="285">
        <v>4.7418593364324212E-2</v>
      </c>
      <c r="AN25" s="285"/>
      <c r="AO25" s="285"/>
      <c r="AP25" s="285">
        <v>2.6156025627462737E-2</v>
      </c>
      <c r="AQ25" s="285"/>
      <c r="AR25" s="285"/>
      <c r="AS25" s="32">
        <v>0.84291955489344939</v>
      </c>
      <c r="AT25" s="32">
        <v>-7.3303017147781002</v>
      </c>
      <c r="AU25" s="33">
        <v>22.519596894554695</v>
      </c>
      <c r="AV25" s="34">
        <v>339.9219195</v>
      </c>
      <c r="AW25" s="32">
        <v>0.4246477548922859</v>
      </c>
      <c r="AX25" s="283">
        <v>5.0314122700000095</v>
      </c>
      <c r="AY25" s="283"/>
      <c r="AZ25" s="283"/>
      <c r="BA25" s="283">
        <v>5.46924644</v>
      </c>
      <c r="BB25" s="283"/>
      <c r="BC25" s="283"/>
      <c r="BD25" s="283">
        <v>10.883031382978899</v>
      </c>
      <c r="BE25" s="283"/>
      <c r="BF25" s="283"/>
      <c r="BG25" s="283">
        <v>1.599483778100562</v>
      </c>
      <c r="BH25" s="283"/>
      <c r="BI25" s="283"/>
      <c r="BJ25" s="284">
        <v>39.551001958716277</v>
      </c>
      <c r="BK25" s="295"/>
      <c r="BL25" s="296"/>
      <c r="BM25" s="283">
        <v>2.123858531843414</v>
      </c>
      <c r="BN25" s="283"/>
      <c r="BO25" s="283"/>
      <c r="BP25" s="284" t="s">
        <v>46</v>
      </c>
      <c r="BQ25" s="295"/>
      <c r="BR25" s="296"/>
      <c r="BS25" s="35">
        <v>0.604093601746724</v>
      </c>
      <c r="BT25" s="32" t="s">
        <v>46</v>
      </c>
      <c r="BU25" s="36" t="s">
        <v>46</v>
      </c>
      <c r="BV25" s="37">
        <v>43190</v>
      </c>
      <c r="BW25" s="38" t="s">
        <v>56</v>
      </c>
      <c r="BX25" s="39"/>
      <c r="CD25" s="41"/>
    </row>
    <row r="26" spans="1:82" s="40" customFormat="1" ht="11.25" customHeight="1" x14ac:dyDescent="0.2">
      <c r="A26" s="308" t="s">
        <v>57</v>
      </c>
      <c r="B26" s="309"/>
      <c r="C26" s="310"/>
      <c r="D26" s="311"/>
      <c r="E26" s="61"/>
      <c r="F26" s="303">
        <v>1.7268551767877269</v>
      </c>
      <c r="G26" s="304"/>
      <c r="H26" s="305"/>
      <c r="I26" s="303">
        <v>4.9012003856020776</v>
      </c>
      <c r="J26" s="304"/>
      <c r="K26" s="305"/>
      <c r="L26" s="303">
        <v>1.4651720000000001</v>
      </c>
      <c r="M26" s="304"/>
      <c r="N26" s="305"/>
      <c r="O26" s="303">
        <v>0.89473900000000006</v>
      </c>
      <c r="P26" s="304"/>
      <c r="Q26" s="305"/>
      <c r="R26" s="312">
        <v>7.6308857003277251E-3</v>
      </c>
      <c r="S26" s="313"/>
      <c r="T26" s="314"/>
      <c r="U26" s="303">
        <v>2.1187227119930649</v>
      </c>
      <c r="V26" s="304"/>
      <c r="W26" s="305"/>
      <c r="X26" s="303">
        <v>96.672541400957883</v>
      </c>
      <c r="Y26" s="304"/>
      <c r="Z26" s="305"/>
      <c r="AA26" s="300">
        <v>0.2547939545454545</v>
      </c>
      <c r="AB26" s="301"/>
      <c r="AC26" s="302"/>
      <c r="AD26" s="300">
        <v>6.772291250000001E-2</v>
      </c>
      <c r="AE26" s="301"/>
      <c r="AF26" s="302"/>
      <c r="AG26" s="300">
        <v>5.3666204843348435E-2</v>
      </c>
      <c r="AH26" s="301"/>
      <c r="AI26" s="302"/>
      <c r="AJ26" s="300">
        <v>-0.16050561200796212</v>
      </c>
      <c r="AK26" s="301"/>
      <c r="AL26" s="302"/>
      <c r="AM26" s="300">
        <v>-0.38407325179554258</v>
      </c>
      <c r="AN26" s="301"/>
      <c r="AO26" s="302"/>
      <c r="AP26" s="300">
        <v>-1.1949671945333378E-2</v>
      </c>
      <c r="AQ26" s="301"/>
      <c r="AR26" s="302"/>
      <c r="AS26" s="62">
        <v>0.13519947713146438</v>
      </c>
      <c r="AT26" s="62">
        <v>-2.2174050354813155</v>
      </c>
      <c r="AU26" s="63">
        <v>6.579840623820262</v>
      </c>
      <c r="AV26" s="64">
        <v>1817.698063181818</v>
      </c>
      <c r="AW26" s="62">
        <v>0.56127362815833071</v>
      </c>
      <c r="AX26" s="287">
        <v>6.3965951961318179</v>
      </c>
      <c r="AY26" s="288"/>
      <c r="AZ26" s="289"/>
      <c r="BA26" s="287">
        <v>5.3838225150499994</v>
      </c>
      <c r="BB26" s="288"/>
      <c r="BC26" s="289"/>
      <c r="BD26" s="287">
        <v>36.708142791180848</v>
      </c>
      <c r="BE26" s="288"/>
      <c r="BF26" s="289"/>
      <c r="BG26" s="287">
        <v>4.7896513708952364</v>
      </c>
      <c r="BH26" s="288"/>
      <c r="BI26" s="289"/>
      <c r="BJ26" s="287">
        <v>89.357071613344715</v>
      </c>
      <c r="BK26" s="288"/>
      <c r="BL26" s="289"/>
      <c r="BM26" s="287">
        <v>0.93847897833264748</v>
      </c>
      <c r="BN26" s="288"/>
      <c r="BO26" s="289"/>
      <c r="BP26" s="287">
        <v>50.003138568366673</v>
      </c>
      <c r="BQ26" s="288"/>
      <c r="BR26" s="289"/>
      <c r="BS26" s="65">
        <v>0.54644034853967582</v>
      </c>
      <c r="BT26" s="62">
        <v>0.45499446203726607</v>
      </c>
      <c r="BU26" s="62">
        <v>7.9019418529177408E-3</v>
      </c>
      <c r="BV26" s="66"/>
      <c r="BW26" s="66"/>
      <c r="BX26" s="39"/>
      <c r="CD26" s="41"/>
    </row>
    <row r="27" spans="1:82" s="72" customFormat="1" ht="11.25" customHeight="1" x14ac:dyDescent="0.25">
      <c r="A27" s="67" t="s">
        <v>58</v>
      </c>
      <c r="B27" s="67"/>
      <c r="C27" s="67"/>
      <c r="D27" s="67"/>
      <c r="E27" s="67"/>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67"/>
      <c r="AT27" s="67"/>
      <c r="AU27" s="67"/>
      <c r="AV27" s="68"/>
      <c r="AW27" s="69"/>
      <c r="AX27" s="67"/>
      <c r="AY27" s="67"/>
      <c r="AZ27" s="67"/>
      <c r="BA27" s="67"/>
      <c r="BB27" s="67"/>
      <c r="BC27" s="67"/>
      <c r="BD27" s="67"/>
      <c r="BE27" s="67"/>
      <c r="BF27" s="67"/>
      <c r="BG27" s="67"/>
      <c r="BH27" s="67"/>
      <c r="BI27" s="67"/>
      <c r="BJ27" s="67"/>
      <c r="BK27" s="67"/>
      <c r="BL27" s="67"/>
      <c r="BM27" s="67"/>
      <c r="BN27" s="67"/>
      <c r="BO27" s="67"/>
      <c r="BP27" s="67"/>
      <c r="BQ27" s="67"/>
      <c r="BR27" s="67"/>
      <c r="BS27" s="67"/>
      <c r="BT27" s="67"/>
      <c r="BU27" s="67"/>
      <c r="BV27" s="70"/>
      <c r="BW27" s="71"/>
      <c r="CD27" s="73"/>
    </row>
    <row r="28" spans="1:82" s="40" customFormat="1" ht="11.25" customHeight="1" x14ac:dyDescent="0.2">
      <c r="A28" s="330" t="s">
        <v>59</v>
      </c>
      <c r="B28" s="330"/>
      <c r="C28" s="415">
        <v>51.1</v>
      </c>
      <c r="D28" s="416"/>
      <c r="E28" s="74">
        <v>1</v>
      </c>
      <c r="F28" s="384">
        <v>0.278695324124</v>
      </c>
      <c r="G28" s="385"/>
      <c r="H28" s="386"/>
      <c r="I28" s="319">
        <v>2.4325649084530956</v>
      </c>
      <c r="J28" s="333"/>
      <c r="K28" s="334"/>
      <c r="L28" s="319">
        <v>1.4601999999999999</v>
      </c>
      <c r="M28" s="333"/>
      <c r="N28" s="334"/>
      <c r="O28" s="319">
        <v>1.2993699999999999</v>
      </c>
      <c r="P28" s="333"/>
      <c r="Q28" s="334"/>
      <c r="R28" s="335">
        <v>8.6449845944230802E-2</v>
      </c>
      <c r="S28" s="336"/>
      <c r="T28" s="337"/>
      <c r="U28" s="318">
        <v>1.8720232438978408</v>
      </c>
      <c r="V28" s="318"/>
      <c r="W28" s="318"/>
      <c r="X28" s="329" t="s">
        <v>46</v>
      </c>
      <c r="Y28" s="329"/>
      <c r="Z28" s="329"/>
      <c r="AA28" s="328">
        <v>0.3812103</v>
      </c>
      <c r="AB28" s="328"/>
      <c r="AC28" s="328"/>
      <c r="AD28" s="328">
        <v>8.1906300000000001E-2</v>
      </c>
      <c r="AE28" s="328"/>
      <c r="AF28" s="328"/>
      <c r="AG28" s="328">
        <v>1.3269292192835208E-2</v>
      </c>
      <c r="AH28" s="328"/>
      <c r="AI28" s="328"/>
      <c r="AJ28" s="328">
        <v>-9.8240931409757801E-2</v>
      </c>
      <c r="AK28" s="328"/>
      <c r="AL28" s="328"/>
      <c r="AM28" s="328">
        <v>4.6554477970851126E-2</v>
      </c>
      <c r="AN28" s="328"/>
      <c r="AO28" s="328"/>
      <c r="AP28" s="328">
        <v>1.9872360809657943E-2</v>
      </c>
      <c r="AQ28" s="328"/>
      <c r="AR28" s="328"/>
      <c r="AS28" s="43">
        <v>1.0212655151695924</v>
      </c>
      <c r="AT28" s="43">
        <v>4.8967934992707898</v>
      </c>
      <c r="AU28" s="44">
        <v>12.414269386851881</v>
      </c>
      <c r="AV28" s="45">
        <v>3866.0683859999999</v>
      </c>
      <c r="AW28" s="46">
        <v>0.28494728715035827</v>
      </c>
      <c r="AX28" s="318">
        <v>3.4335715580000001</v>
      </c>
      <c r="AY28" s="318"/>
      <c r="AZ28" s="318"/>
      <c r="BA28" s="318">
        <v>5.5523522080000003</v>
      </c>
      <c r="BB28" s="318"/>
      <c r="BC28" s="318"/>
      <c r="BD28" s="319">
        <v>2.1781499177005101</v>
      </c>
      <c r="BE28" s="333"/>
      <c r="BF28" s="334"/>
      <c r="BG28" s="318">
        <v>1.5012753035737201</v>
      </c>
      <c r="BH28" s="318"/>
      <c r="BI28" s="318"/>
      <c r="BJ28" s="318">
        <v>28.250305446061819</v>
      </c>
      <c r="BK28" s="318"/>
      <c r="BL28" s="318"/>
      <c r="BM28" s="318">
        <v>0.38146541431096859</v>
      </c>
      <c r="BN28" s="318"/>
      <c r="BO28" s="318"/>
      <c r="BP28" s="318">
        <v>28.404755626899998</v>
      </c>
      <c r="BQ28" s="318"/>
      <c r="BR28" s="319"/>
      <c r="BS28" s="47">
        <v>0.60542968967542998</v>
      </c>
      <c r="BT28" s="43">
        <v>0.49910767947689805</v>
      </c>
      <c r="BU28" s="46">
        <v>6.9479943931429533E-2</v>
      </c>
      <c r="BV28" s="48">
        <v>43190</v>
      </c>
      <c r="BW28" s="49" t="s">
        <v>59</v>
      </c>
      <c r="CD28" s="41"/>
    </row>
    <row r="29" spans="1:82" s="40" customFormat="1" ht="11.25" customHeight="1" x14ac:dyDescent="0.2">
      <c r="A29" s="290" t="s">
        <v>60</v>
      </c>
      <c r="B29" s="290"/>
      <c r="C29" s="452">
        <v>487</v>
      </c>
      <c r="D29" s="453"/>
      <c r="E29" s="31">
        <v>0.1</v>
      </c>
      <c r="F29" s="292">
        <v>0.19967708383499999</v>
      </c>
      <c r="G29" s="293"/>
      <c r="H29" s="294"/>
      <c r="I29" s="284">
        <v>4.2461042216382374</v>
      </c>
      <c r="J29" s="295"/>
      <c r="K29" s="296"/>
      <c r="L29" s="284">
        <v>1.1515500000000001</v>
      </c>
      <c r="M29" s="295"/>
      <c r="N29" s="296"/>
      <c r="O29" s="284">
        <v>0.64027000000000001</v>
      </c>
      <c r="P29" s="295"/>
      <c r="Q29" s="296"/>
      <c r="R29" s="297">
        <v>1.7529486265444399E-3</v>
      </c>
      <c r="S29" s="298"/>
      <c r="T29" s="299"/>
      <c r="U29" s="283">
        <v>2.9010044124384295</v>
      </c>
      <c r="V29" s="283"/>
      <c r="W29" s="283"/>
      <c r="X29" s="286">
        <v>17.760663775517713</v>
      </c>
      <c r="Y29" s="286"/>
      <c r="Z29" s="286"/>
      <c r="AA29" s="285">
        <v>0.154138</v>
      </c>
      <c r="AB29" s="285"/>
      <c r="AC29" s="285"/>
      <c r="AD29" s="285">
        <v>5.4199299999999999E-2</v>
      </c>
      <c r="AE29" s="285"/>
      <c r="AF29" s="285"/>
      <c r="AG29" s="285">
        <v>4.4962704235755567E-2</v>
      </c>
      <c r="AH29" s="285"/>
      <c r="AI29" s="285"/>
      <c r="AJ29" s="285">
        <v>-3.1518410152231264E-3</v>
      </c>
      <c r="AK29" s="285"/>
      <c r="AL29" s="285"/>
      <c r="AM29" s="285">
        <v>0.43483822229000391</v>
      </c>
      <c r="AN29" s="285"/>
      <c r="AO29" s="285"/>
      <c r="AP29" s="285">
        <v>0.10434971552620143</v>
      </c>
      <c r="AQ29" s="285"/>
      <c r="AR29" s="285"/>
      <c r="AS29" s="32">
        <v>1.3394230353358418</v>
      </c>
      <c r="AT29" s="32">
        <v>0.76612237755700574</v>
      </c>
      <c r="AU29" s="33">
        <v>1.2858351316725649</v>
      </c>
      <c r="AV29" s="34">
        <v>3079.5625499999996</v>
      </c>
      <c r="AW29" s="32">
        <v>0.49779954734195309</v>
      </c>
      <c r="AX29" s="283">
        <v>8.9322980000000101</v>
      </c>
      <c r="AY29" s="283"/>
      <c r="AZ29" s="283"/>
      <c r="BA29" s="283">
        <v>9.0324000000000009</v>
      </c>
      <c r="BB29" s="283"/>
      <c r="BC29" s="283"/>
      <c r="BD29" s="284">
        <v>3.9786189770943099</v>
      </c>
      <c r="BE29" s="295"/>
      <c r="BF29" s="296"/>
      <c r="BG29" s="283">
        <v>3.2531440504171778</v>
      </c>
      <c r="BH29" s="283"/>
      <c r="BI29" s="283"/>
      <c r="BJ29" s="283">
        <v>84.116491841391181</v>
      </c>
      <c r="BK29" s="283"/>
      <c r="BL29" s="283"/>
      <c r="BM29" s="283">
        <v>0.38970444047940322</v>
      </c>
      <c r="BN29" s="283"/>
      <c r="BO29" s="283"/>
      <c r="BP29" s="283">
        <v>8.5737636604999992</v>
      </c>
      <c r="BQ29" s="283"/>
      <c r="BR29" s="284"/>
      <c r="BS29" s="35">
        <v>0.94464076815523201</v>
      </c>
      <c r="BT29" s="53">
        <v>0.49339536891094243</v>
      </c>
      <c r="BU29" s="55">
        <v>0.10689472987636583</v>
      </c>
      <c r="BV29" s="37">
        <v>43190</v>
      </c>
      <c r="BW29" s="38" t="s">
        <v>60</v>
      </c>
      <c r="CD29" s="41"/>
    </row>
    <row r="30" spans="1:82" s="40" customFormat="1" ht="11.25" customHeight="1" x14ac:dyDescent="0.2">
      <c r="A30" s="330" t="s">
        <v>61</v>
      </c>
      <c r="B30" s="330"/>
      <c r="C30" s="415">
        <v>37</v>
      </c>
      <c r="D30" s="416"/>
      <c r="E30" s="74">
        <v>1</v>
      </c>
      <c r="F30" s="384">
        <v>1.2524189567220001</v>
      </c>
      <c r="G30" s="385"/>
      <c r="H30" s="386"/>
      <c r="I30" s="319">
        <v>3.4380318267116636</v>
      </c>
      <c r="J30" s="333"/>
      <c r="K30" s="334"/>
      <c r="L30" s="319">
        <v>1.6096200000000001</v>
      </c>
      <c r="M30" s="333"/>
      <c r="N30" s="334"/>
      <c r="O30" s="319">
        <v>1.12408</v>
      </c>
      <c r="P30" s="333"/>
      <c r="Q30" s="334"/>
      <c r="R30" s="335">
        <v>6.5332865236842098E-3</v>
      </c>
      <c r="S30" s="336"/>
      <c r="T30" s="337"/>
      <c r="U30" s="318">
        <v>2.4526222977798335</v>
      </c>
      <c r="V30" s="318"/>
      <c r="W30" s="318"/>
      <c r="X30" s="329">
        <v>108.28413107764774</v>
      </c>
      <c r="Y30" s="329"/>
      <c r="Z30" s="329"/>
      <c r="AA30" s="328">
        <v>0.43465760000000003</v>
      </c>
      <c r="AB30" s="328"/>
      <c r="AC30" s="328"/>
      <c r="AD30" s="328">
        <v>0.1198888</v>
      </c>
      <c r="AE30" s="328"/>
      <c r="AF30" s="328"/>
      <c r="AG30" s="328">
        <v>2.7370439670195437E-2</v>
      </c>
      <c r="AH30" s="328"/>
      <c r="AI30" s="328"/>
      <c r="AJ30" s="328">
        <v>-5.6287048487209904E-2</v>
      </c>
      <c r="AK30" s="328"/>
      <c r="AL30" s="328"/>
      <c r="AM30" s="328">
        <v>0.18497176155129919</v>
      </c>
      <c r="AN30" s="328"/>
      <c r="AO30" s="328"/>
      <c r="AP30" s="328">
        <v>5.3703772459428895E-2</v>
      </c>
      <c r="AQ30" s="328"/>
      <c r="AR30" s="328"/>
      <c r="AS30" s="43">
        <v>1.8847484746329211</v>
      </c>
      <c r="AT30" s="43">
        <v>0.57700525861304119</v>
      </c>
      <c r="AU30" s="44">
        <v>0.83222623753229019</v>
      </c>
      <c r="AV30" s="45">
        <v>656.75433850000002</v>
      </c>
      <c r="AW30" s="46">
        <v>0.13108319367653756</v>
      </c>
      <c r="AX30" s="318">
        <v>1.9529692219999999</v>
      </c>
      <c r="AY30" s="318"/>
      <c r="AZ30" s="318"/>
      <c r="BA30" s="318">
        <v>1.6836855319999999</v>
      </c>
      <c r="BB30" s="318"/>
      <c r="BC30" s="318"/>
      <c r="BD30" s="319">
        <v>3.49624840547167</v>
      </c>
      <c r="BE30" s="333"/>
      <c r="BF30" s="334"/>
      <c r="BG30" s="318">
        <v>2.6760196271522596</v>
      </c>
      <c r="BH30" s="318"/>
      <c r="BI30" s="318"/>
      <c r="BJ30" s="318">
        <v>15.369469587142817</v>
      </c>
      <c r="BK30" s="318"/>
      <c r="BL30" s="318"/>
      <c r="BM30" s="318">
        <v>0.43203877875041408</v>
      </c>
      <c r="BN30" s="318"/>
      <c r="BO30" s="318"/>
      <c r="BP30" s="318">
        <v>18.907866029600001</v>
      </c>
      <c r="BQ30" s="318"/>
      <c r="BR30" s="319"/>
      <c r="BS30" s="47">
        <v>0.50297536233068296</v>
      </c>
      <c r="BT30" s="43">
        <v>0.48089105067881138</v>
      </c>
      <c r="BU30" s="46">
        <v>0.15419658462507879</v>
      </c>
      <c r="BV30" s="48">
        <v>43190</v>
      </c>
      <c r="BW30" s="49" t="s">
        <v>61</v>
      </c>
      <c r="CD30" s="41"/>
    </row>
    <row r="31" spans="1:82" s="40" customFormat="1" ht="11.25" customHeight="1" x14ac:dyDescent="0.2">
      <c r="A31" s="290" t="s">
        <v>62</v>
      </c>
      <c r="B31" s="290"/>
      <c r="C31" s="452">
        <v>3.75</v>
      </c>
      <c r="D31" s="453"/>
      <c r="E31" s="31">
        <v>1</v>
      </c>
      <c r="F31" s="292">
        <v>1.2194061530860001</v>
      </c>
      <c r="G31" s="293"/>
      <c r="H31" s="294"/>
      <c r="I31" s="284">
        <v>3.1410313780636674</v>
      </c>
      <c r="J31" s="295"/>
      <c r="K31" s="296"/>
      <c r="L31" s="284">
        <v>1.6694800000000001</v>
      </c>
      <c r="M31" s="295"/>
      <c r="N31" s="296"/>
      <c r="O31" s="284">
        <v>0.76624000000000003</v>
      </c>
      <c r="P31" s="295"/>
      <c r="Q31" s="296"/>
      <c r="R31" s="297" t="s">
        <v>46</v>
      </c>
      <c r="S31" s="298"/>
      <c r="T31" s="299"/>
      <c r="U31" s="283">
        <v>1.8169549749390363</v>
      </c>
      <c r="V31" s="283"/>
      <c r="W31" s="283"/>
      <c r="X31" s="286">
        <v>158.31142153060154</v>
      </c>
      <c r="Y31" s="286"/>
      <c r="Z31" s="286"/>
      <c r="AA31" s="285">
        <v>0.19927869999999998</v>
      </c>
      <c r="AB31" s="285"/>
      <c r="AC31" s="285"/>
      <c r="AD31" s="285">
        <v>1.6721200000000002E-2</v>
      </c>
      <c r="AE31" s="285"/>
      <c r="AF31" s="285"/>
      <c r="AG31" s="285" t="s">
        <v>46</v>
      </c>
      <c r="AH31" s="285"/>
      <c r="AI31" s="285"/>
      <c r="AJ31" s="285">
        <v>-6.5826942047511897E-2</v>
      </c>
      <c r="AK31" s="285"/>
      <c r="AL31" s="285"/>
      <c r="AM31" s="285">
        <v>-2.5756465733982169E-2</v>
      </c>
      <c r="AN31" s="285"/>
      <c r="AO31" s="285"/>
      <c r="AP31" s="285">
        <v>-9.3027596479524181E-3</v>
      </c>
      <c r="AQ31" s="285"/>
      <c r="AR31" s="285"/>
      <c r="AS31" s="32">
        <v>-1.4957629558848309</v>
      </c>
      <c r="AT31" s="32">
        <v>0.28875420822772396</v>
      </c>
      <c r="AU31" s="33">
        <v>1.2958212047448447</v>
      </c>
      <c r="AV31" s="34">
        <v>228.56167199999999</v>
      </c>
      <c r="AW31" s="32">
        <v>0.44819152938631424</v>
      </c>
      <c r="AX31" s="283">
        <v>0.89857880504999998</v>
      </c>
      <c r="AY31" s="283"/>
      <c r="AZ31" s="283"/>
      <c r="BA31" s="283">
        <v>0.59151982505</v>
      </c>
      <c r="BB31" s="283"/>
      <c r="BC31" s="283"/>
      <c r="BD31" s="284">
        <v>19.5426954690803</v>
      </c>
      <c r="BE31" s="295"/>
      <c r="BF31" s="296"/>
      <c r="BG31" s="283">
        <v>2.002903333880854</v>
      </c>
      <c r="BH31" s="283"/>
      <c r="BI31" s="283"/>
      <c r="BJ31" s="283" t="s">
        <v>46</v>
      </c>
      <c r="BK31" s="283"/>
      <c r="BL31" s="283"/>
      <c r="BM31" s="283">
        <v>0.47406483810719457</v>
      </c>
      <c r="BN31" s="283"/>
      <c r="BO31" s="283"/>
      <c r="BP31" s="283" t="s">
        <v>46</v>
      </c>
      <c r="BQ31" s="283"/>
      <c r="BR31" s="284"/>
      <c r="BS31" s="35">
        <v>0.767772415562054</v>
      </c>
      <c r="BT31" s="53">
        <v>0.44282668445459777</v>
      </c>
      <c r="BU31" s="55">
        <v>-1.1853737291684929E-2</v>
      </c>
      <c r="BV31" s="37">
        <v>43190</v>
      </c>
      <c r="BW31" s="38" t="s">
        <v>62</v>
      </c>
      <c r="CD31" s="41"/>
    </row>
    <row r="32" spans="1:82" s="40" customFormat="1" ht="11.25" customHeight="1" x14ac:dyDescent="0.2">
      <c r="A32" s="330" t="s">
        <v>63</v>
      </c>
      <c r="B32" s="330"/>
      <c r="C32" s="415">
        <v>9.5</v>
      </c>
      <c r="D32" s="416"/>
      <c r="E32" s="74">
        <v>1</v>
      </c>
      <c r="F32" s="384">
        <v>0.10304168155999999</v>
      </c>
      <c r="G32" s="385"/>
      <c r="H32" s="386"/>
      <c r="I32" s="319">
        <v>2.2639340080590706</v>
      </c>
      <c r="J32" s="333"/>
      <c r="K32" s="334"/>
      <c r="L32" s="319">
        <v>1.7481599999999999</v>
      </c>
      <c r="M32" s="333"/>
      <c r="N32" s="334"/>
      <c r="O32" s="319">
        <v>1.02756</v>
      </c>
      <c r="P32" s="333"/>
      <c r="Q32" s="334"/>
      <c r="R32" s="335" t="s">
        <v>46</v>
      </c>
      <c r="S32" s="336"/>
      <c r="T32" s="337"/>
      <c r="U32" s="318">
        <v>2.2825386973153474</v>
      </c>
      <c r="V32" s="318"/>
      <c r="W32" s="318"/>
      <c r="X32" s="329">
        <v>200.05228571064788</v>
      </c>
      <c r="Y32" s="329"/>
      <c r="Z32" s="329"/>
      <c r="AA32" s="328">
        <v>0.25213830000000004</v>
      </c>
      <c r="AB32" s="328"/>
      <c r="AC32" s="328"/>
      <c r="AD32" s="328">
        <v>6.6638599999999992E-2</v>
      </c>
      <c r="AE32" s="328"/>
      <c r="AF32" s="328"/>
      <c r="AG32" s="328">
        <v>3.9977049781149188E-2</v>
      </c>
      <c r="AH32" s="328"/>
      <c r="AI32" s="328"/>
      <c r="AJ32" s="328" t="s">
        <v>46</v>
      </c>
      <c r="AK32" s="328"/>
      <c r="AL32" s="328"/>
      <c r="AM32" s="328">
        <v>0.1726261580926671</v>
      </c>
      <c r="AN32" s="328"/>
      <c r="AO32" s="328"/>
      <c r="AP32" s="328">
        <v>7.3003698058945604E-2</v>
      </c>
      <c r="AQ32" s="328"/>
      <c r="AR32" s="328"/>
      <c r="AS32" s="43">
        <v>1.4970370715398431</v>
      </c>
      <c r="AT32" s="43">
        <v>9.9656440448035163E-2</v>
      </c>
      <c r="AU32" s="44">
        <v>0.53256479039687343</v>
      </c>
      <c r="AV32" s="45">
        <v>43.725413000000003</v>
      </c>
      <c r="AW32" s="46">
        <v>0.45306800498934552</v>
      </c>
      <c r="AX32" s="318">
        <v>0.18644611999999999</v>
      </c>
      <c r="AY32" s="318"/>
      <c r="AZ32" s="318"/>
      <c r="BA32" s="318">
        <v>0.18049999999999999</v>
      </c>
      <c r="BB32" s="318"/>
      <c r="BC32" s="318"/>
      <c r="BD32" s="319">
        <v>5.2251563796157301</v>
      </c>
      <c r="BE32" s="333"/>
      <c r="BF32" s="334"/>
      <c r="BG32" s="318">
        <v>2.2318301514194747</v>
      </c>
      <c r="BH32" s="318"/>
      <c r="BI32" s="318"/>
      <c r="BJ32" s="318">
        <v>13.718807763401109</v>
      </c>
      <c r="BK32" s="318"/>
      <c r="BL32" s="318"/>
      <c r="BM32" s="318">
        <v>0.54844496406439713</v>
      </c>
      <c r="BN32" s="318"/>
      <c r="BO32" s="318"/>
      <c r="BP32" s="318">
        <v>13.116293197499999</v>
      </c>
      <c r="BQ32" s="318"/>
      <c r="BR32" s="319"/>
      <c r="BS32" s="47" t="s">
        <v>46</v>
      </c>
      <c r="BT32" s="43">
        <v>0.40196358706086388</v>
      </c>
      <c r="BU32" s="46">
        <v>-6.9346430681692994E-2</v>
      </c>
      <c r="BV32" s="48">
        <v>43131</v>
      </c>
      <c r="BW32" s="49" t="s">
        <v>63</v>
      </c>
      <c r="CD32" s="41"/>
    </row>
    <row r="33" spans="1:130" s="40" customFormat="1" ht="11.25" customHeight="1" x14ac:dyDescent="0.2">
      <c r="A33" s="374" t="s">
        <v>64</v>
      </c>
      <c r="B33" s="374"/>
      <c r="C33" s="450">
        <v>51</v>
      </c>
      <c r="D33" s="451"/>
      <c r="E33" s="75">
        <v>1</v>
      </c>
      <c r="F33" s="376">
        <v>0.28709486742199997</v>
      </c>
      <c r="G33" s="377"/>
      <c r="H33" s="378"/>
      <c r="I33" s="360">
        <v>2.0368711504291559</v>
      </c>
      <c r="J33" s="379"/>
      <c r="K33" s="380"/>
      <c r="L33" s="360">
        <v>1.53264</v>
      </c>
      <c r="M33" s="379"/>
      <c r="N33" s="380"/>
      <c r="O33" s="360">
        <v>1.14927</v>
      </c>
      <c r="P33" s="379"/>
      <c r="Q33" s="380"/>
      <c r="R33" s="381">
        <v>3.7698390603921599E-2</v>
      </c>
      <c r="S33" s="382"/>
      <c r="T33" s="383"/>
      <c r="U33" s="359">
        <v>2.6679153482582185</v>
      </c>
      <c r="V33" s="359"/>
      <c r="W33" s="359"/>
      <c r="X33" s="372">
        <v>83.618242777730316</v>
      </c>
      <c r="Y33" s="372"/>
      <c r="Z33" s="372"/>
      <c r="AA33" s="371">
        <v>0.55305000000000004</v>
      </c>
      <c r="AB33" s="371"/>
      <c r="AC33" s="371"/>
      <c r="AD33" s="371">
        <v>0.12756040000000002</v>
      </c>
      <c r="AE33" s="371"/>
      <c r="AF33" s="371"/>
      <c r="AG33" s="371">
        <v>8.6186953011233622E-2</v>
      </c>
      <c r="AH33" s="371"/>
      <c r="AI33" s="371"/>
      <c r="AJ33" s="371">
        <v>9.1721470309972977E-2</v>
      </c>
      <c r="AK33" s="371"/>
      <c r="AL33" s="371"/>
      <c r="AM33" s="371">
        <v>0.38628292995592106</v>
      </c>
      <c r="AN33" s="371"/>
      <c r="AO33" s="371"/>
      <c r="AP33" s="371">
        <v>0.18395466412633682</v>
      </c>
      <c r="AQ33" s="371"/>
      <c r="AR33" s="371"/>
      <c r="AS33" s="76">
        <v>0.62949257090538491</v>
      </c>
      <c r="AT33" s="76">
        <v>0.36894921459719798</v>
      </c>
      <c r="AU33" s="77">
        <v>0.20946250230719551</v>
      </c>
      <c r="AV33" s="78">
        <v>261.39280230769231</v>
      </c>
      <c r="AW33" s="79">
        <v>0.36532170826505894</v>
      </c>
      <c r="AX33" s="359" t="s">
        <v>46</v>
      </c>
      <c r="AY33" s="359"/>
      <c r="AZ33" s="359"/>
      <c r="BA33" s="359">
        <v>2.395782885</v>
      </c>
      <c r="BB33" s="359"/>
      <c r="BC33" s="359"/>
      <c r="BD33" s="360" t="s">
        <v>46</v>
      </c>
      <c r="BE33" s="379"/>
      <c r="BF33" s="380"/>
      <c r="BG33" s="359">
        <v>7.5543851030926472</v>
      </c>
      <c r="BH33" s="359"/>
      <c r="BI33" s="359"/>
      <c r="BJ33" s="359">
        <v>20.139793863286339</v>
      </c>
      <c r="BK33" s="359"/>
      <c r="BL33" s="359"/>
      <c r="BM33" s="359">
        <v>1.7340116835788659</v>
      </c>
      <c r="BN33" s="359"/>
      <c r="BO33" s="359"/>
      <c r="BP33" s="359" t="s">
        <v>46</v>
      </c>
      <c r="BQ33" s="359"/>
      <c r="BR33" s="360"/>
      <c r="BS33" s="80">
        <v>0.13068039944847101</v>
      </c>
      <c r="BT33" s="76" t="s">
        <v>46</v>
      </c>
      <c r="BU33" s="79" t="s">
        <v>46</v>
      </c>
      <c r="BV33" s="81">
        <v>43190</v>
      </c>
      <c r="BW33" s="82" t="s">
        <v>64</v>
      </c>
      <c r="CD33" s="41"/>
    </row>
    <row r="34" spans="1:130" s="40" customFormat="1" ht="11.25" customHeight="1" x14ac:dyDescent="0.2">
      <c r="A34" s="361" t="s">
        <v>57</v>
      </c>
      <c r="B34" s="361"/>
      <c r="C34" s="448"/>
      <c r="D34" s="449"/>
      <c r="E34" s="83"/>
      <c r="F34" s="363">
        <v>0.55672234445816671</v>
      </c>
      <c r="G34" s="364"/>
      <c r="H34" s="365"/>
      <c r="I34" s="356">
        <v>2.9264229155591486</v>
      </c>
      <c r="J34" s="366"/>
      <c r="K34" s="367"/>
      <c r="L34" s="356">
        <v>1.5286083333333336</v>
      </c>
      <c r="M34" s="366"/>
      <c r="N34" s="367"/>
      <c r="O34" s="356">
        <v>1.0011316666666668</v>
      </c>
      <c r="P34" s="366"/>
      <c r="Q34" s="367"/>
      <c r="R34" s="368">
        <v>3.3108617924595261E-2</v>
      </c>
      <c r="S34" s="369"/>
      <c r="T34" s="370"/>
      <c r="U34" s="355">
        <v>2.332176495771451</v>
      </c>
      <c r="V34" s="355"/>
      <c r="W34" s="355"/>
      <c r="X34" s="358">
        <v>113.60534897442903</v>
      </c>
      <c r="Y34" s="358"/>
      <c r="Z34" s="358"/>
      <c r="AA34" s="357">
        <v>0.32907881666666666</v>
      </c>
      <c r="AB34" s="357"/>
      <c r="AC34" s="357"/>
      <c r="AD34" s="357">
        <v>7.7819100000000002E-2</v>
      </c>
      <c r="AE34" s="357"/>
      <c r="AF34" s="357"/>
      <c r="AG34" s="357">
        <v>4.2353287778233807E-2</v>
      </c>
      <c r="AH34" s="357"/>
      <c r="AI34" s="357"/>
      <c r="AJ34" s="357">
        <v>-2.6357058529945954E-2</v>
      </c>
      <c r="AK34" s="357"/>
      <c r="AL34" s="357"/>
      <c r="AM34" s="357">
        <v>0.19991951402112673</v>
      </c>
      <c r="AN34" s="357"/>
      <c r="AO34" s="357"/>
      <c r="AP34" s="357">
        <v>7.0930241888769716E-2</v>
      </c>
      <c r="AQ34" s="357"/>
      <c r="AR34" s="357"/>
      <c r="AS34" s="84">
        <v>0.81270061861645881</v>
      </c>
      <c r="AT34" s="84">
        <v>1.1662134997856322</v>
      </c>
      <c r="AU34" s="85">
        <v>2.7616965422509421</v>
      </c>
      <c r="AV34" s="86">
        <v>1356.010860301282</v>
      </c>
      <c r="AW34" s="84">
        <v>0.36340187846826127</v>
      </c>
      <c r="AX34" s="355">
        <v>3.0807727410100023</v>
      </c>
      <c r="AY34" s="355"/>
      <c r="AZ34" s="355"/>
      <c r="BA34" s="355">
        <v>3.2393734083416663</v>
      </c>
      <c r="BB34" s="355"/>
      <c r="BC34" s="355"/>
      <c r="BD34" s="356">
        <v>6.8841738297925046</v>
      </c>
      <c r="BE34" s="366"/>
      <c r="BF34" s="367"/>
      <c r="BG34" s="355">
        <v>3.2032595949226885</v>
      </c>
      <c r="BH34" s="355"/>
      <c r="BI34" s="355"/>
      <c r="BJ34" s="355">
        <v>32.318973700256649</v>
      </c>
      <c r="BK34" s="355"/>
      <c r="BL34" s="355"/>
      <c r="BM34" s="355">
        <v>0.65995501988187399</v>
      </c>
      <c r="BN34" s="355"/>
      <c r="BO34" s="355"/>
      <c r="BP34" s="355">
        <v>17.250669628624998</v>
      </c>
      <c r="BQ34" s="355"/>
      <c r="BR34" s="356"/>
      <c r="BS34" s="87">
        <v>0.59029972703437406</v>
      </c>
      <c r="BT34" s="88">
        <v>0.46363687411642268</v>
      </c>
      <c r="BU34" s="89">
        <v>4.987421809189925E-2</v>
      </c>
      <c r="BV34" s="90"/>
      <c r="BW34" s="91"/>
      <c r="CD34" s="41"/>
    </row>
    <row r="35" spans="1:130" s="92" customFormat="1" ht="11.25" customHeight="1" x14ac:dyDescent="0.2">
      <c r="A35" s="67" t="s">
        <v>65</v>
      </c>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67"/>
      <c r="AL35" s="67"/>
      <c r="AM35" s="67"/>
      <c r="AN35" s="67"/>
      <c r="AO35" s="67"/>
      <c r="AP35" s="67"/>
      <c r="AQ35" s="67"/>
      <c r="AR35" s="67"/>
      <c r="AS35" s="67"/>
      <c r="AT35" s="67"/>
      <c r="AU35" s="67"/>
      <c r="AV35" s="68"/>
      <c r="AW35" s="69"/>
      <c r="AX35" s="67"/>
      <c r="AY35" s="67"/>
      <c r="AZ35" s="67"/>
      <c r="BA35" s="67"/>
      <c r="BB35" s="67"/>
      <c r="BC35" s="67"/>
      <c r="BD35" s="67"/>
      <c r="BE35" s="67"/>
      <c r="BF35" s="67"/>
      <c r="BG35" s="67"/>
      <c r="BH35" s="67"/>
      <c r="BI35" s="67"/>
      <c r="BJ35" s="67"/>
      <c r="BK35" s="67"/>
      <c r="BL35" s="67"/>
      <c r="BM35" s="67"/>
      <c r="BN35" s="67"/>
      <c r="BO35" s="67"/>
      <c r="BP35" s="67"/>
      <c r="BQ35" s="67"/>
      <c r="BR35" s="67"/>
      <c r="BS35" s="67"/>
      <c r="BT35" s="67"/>
      <c r="BU35" s="67"/>
      <c r="BV35" s="70"/>
      <c r="BW35" s="71"/>
      <c r="CD35" s="93"/>
    </row>
    <row r="36" spans="1:130" s="94" customFormat="1" ht="11.25" customHeight="1" x14ac:dyDescent="0.2">
      <c r="A36" s="330" t="s">
        <v>66</v>
      </c>
      <c r="B36" s="330"/>
      <c r="C36" s="415">
        <v>7.9</v>
      </c>
      <c r="D36" s="416"/>
      <c r="E36" s="74">
        <v>1</v>
      </c>
      <c r="F36" s="384">
        <v>0.718104299891</v>
      </c>
      <c r="G36" s="385"/>
      <c r="H36" s="386"/>
      <c r="I36" s="319">
        <v>3.1303252418986212</v>
      </c>
      <c r="J36" s="333"/>
      <c r="K36" s="334"/>
      <c r="L36" s="319">
        <v>1.47719</v>
      </c>
      <c r="M36" s="333"/>
      <c r="N36" s="334"/>
      <c r="O36" s="319">
        <v>0.93306999999999995</v>
      </c>
      <c r="P36" s="333"/>
      <c r="Q36" s="334"/>
      <c r="R36" s="335" t="s">
        <v>46</v>
      </c>
      <c r="S36" s="336"/>
      <c r="T36" s="337"/>
      <c r="U36" s="318">
        <v>0.96373443102195344</v>
      </c>
      <c r="V36" s="318"/>
      <c r="W36" s="318"/>
      <c r="X36" s="329">
        <v>294.71839857683273</v>
      </c>
      <c r="Y36" s="329"/>
      <c r="Z36" s="329"/>
      <c r="AA36" s="328">
        <v>0.33270710000000003</v>
      </c>
      <c r="AB36" s="328"/>
      <c r="AC36" s="328"/>
      <c r="AD36" s="328">
        <v>4.2233000000000001E-3</v>
      </c>
      <c r="AE36" s="328"/>
      <c r="AF36" s="328"/>
      <c r="AG36" s="328" t="s">
        <v>46</v>
      </c>
      <c r="AH36" s="328"/>
      <c r="AI36" s="328"/>
      <c r="AJ36" s="328">
        <v>-0.11256068581084132</v>
      </c>
      <c r="AK36" s="328"/>
      <c r="AL36" s="328"/>
      <c r="AM36" s="328">
        <v>-5.2432361532053502E-2</v>
      </c>
      <c r="AN36" s="328"/>
      <c r="AO36" s="328"/>
      <c r="AP36" s="328">
        <v>-1.8901740515560882E-2</v>
      </c>
      <c r="AQ36" s="328"/>
      <c r="AR36" s="328"/>
      <c r="AS36" s="43">
        <v>-2.0236701450750827</v>
      </c>
      <c r="AT36" s="43">
        <v>2.5617208176944217</v>
      </c>
      <c r="AU36" s="44">
        <v>7.0902392727767003</v>
      </c>
      <c r="AV36" s="45">
        <v>34.007844999999996</v>
      </c>
      <c r="AW36" s="46">
        <v>0.48355480869800138</v>
      </c>
      <c r="AX36" s="318">
        <v>0.39374781349999999</v>
      </c>
      <c r="AY36" s="318"/>
      <c r="AZ36" s="318"/>
      <c r="BA36" s="318">
        <v>0.33645677349999997</v>
      </c>
      <c r="BB36" s="318"/>
      <c r="BC36" s="318"/>
      <c r="BD36" s="319">
        <v>29.4314091874345</v>
      </c>
      <c r="BE36" s="333"/>
      <c r="BF36" s="334"/>
      <c r="BG36" s="318">
        <v>4.3878435705594603</v>
      </c>
      <c r="BH36" s="318"/>
      <c r="BI36" s="318"/>
      <c r="BJ36" s="318" t="s">
        <v>46</v>
      </c>
      <c r="BK36" s="318"/>
      <c r="BL36" s="318"/>
      <c r="BM36" s="318">
        <v>1.9984488707936898</v>
      </c>
      <c r="BN36" s="318"/>
      <c r="BO36" s="318"/>
      <c r="BP36" s="318">
        <v>580.07788265919999</v>
      </c>
      <c r="BQ36" s="318"/>
      <c r="BR36" s="319"/>
      <c r="BS36" s="47">
        <v>0.365697913399192</v>
      </c>
      <c r="BT36" s="43">
        <v>0.41492525226715876</v>
      </c>
      <c r="BU36" s="46">
        <v>-6.8926640995659261E-2</v>
      </c>
      <c r="BV36" s="48">
        <v>43190</v>
      </c>
      <c r="BW36" s="49" t="s">
        <v>66</v>
      </c>
      <c r="CD36" s="95"/>
    </row>
    <row r="37" spans="1:130" s="94" customFormat="1" ht="11.25" customHeight="1" x14ac:dyDescent="0.2">
      <c r="A37" s="439" t="s">
        <v>67</v>
      </c>
      <c r="B37" s="439"/>
      <c r="C37" s="440">
        <v>28.8</v>
      </c>
      <c r="D37" s="441"/>
      <c r="E37" s="96">
        <v>1</v>
      </c>
      <c r="F37" s="442">
        <v>1.3323284293500002</v>
      </c>
      <c r="G37" s="443"/>
      <c r="H37" s="444"/>
      <c r="I37" s="425">
        <v>5.3709958833511573</v>
      </c>
      <c r="J37" s="436"/>
      <c r="K37" s="437"/>
      <c r="L37" s="425">
        <v>1.1874899999999999</v>
      </c>
      <c r="M37" s="436"/>
      <c r="N37" s="437"/>
      <c r="O37" s="425">
        <v>0.69504999999999995</v>
      </c>
      <c r="P37" s="436"/>
      <c r="Q37" s="437"/>
      <c r="R37" s="445">
        <v>0</v>
      </c>
      <c r="S37" s="446"/>
      <c r="T37" s="447"/>
      <c r="U37" s="424">
        <v>1.5978763600818435</v>
      </c>
      <c r="V37" s="424"/>
      <c r="W37" s="424"/>
      <c r="X37" s="438" t="s">
        <v>46</v>
      </c>
      <c r="Y37" s="438"/>
      <c r="Z37" s="438"/>
      <c r="AA37" s="435">
        <v>0.55327389999999999</v>
      </c>
      <c r="AB37" s="435"/>
      <c r="AC37" s="435"/>
      <c r="AD37" s="435">
        <v>0.28097759999999999</v>
      </c>
      <c r="AE37" s="435"/>
      <c r="AF37" s="435"/>
      <c r="AG37" s="435">
        <v>9.5681457884069815E-2</v>
      </c>
      <c r="AH37" s="435"/>
      <c r="AI37" s="435"/>
      <c r="AJ37" s="435">
        <v>0.12796937877280082</v>
      </c>
      <c r="AK37" s="435"/>
      <c r="AL37" s="435"/>
      <c r="AM37" s="435">
        <v>0.61672253312624481</v>
      </c>
      <c r="AN37" s="435"/>
      <c r="AO37" s="435"/>
      <c r="AP37" s="435">
        <v>0.12231131599562117</v>
      </c>
      <c r="AQ37" s="435"/>
      <c r="AR37" s="435"/>
      <c r="AS37" s="97">
        <v>-0.13124633321389623</v>
      </c>
      <c r="AT37" s="97">
        <v>18.534964102686569</v>
      </c>
      <c r="AU37" s="98">
        <v>28.595483936070764</v>
      </c>
      <c r="AV37" s="99">
        <v>209.80065800000003</v>
      </c>
      <c r="AW37" s="97">
        <v>0.1606250035903812</v>
      </c>
      <c r="AX37" s="424">
        <v>0.73877917900000101</v>
      </c>
      <c r="AY37" s="424"/>
      <c r="AZ37" s="424"/>
      <c r="BA37" s="424">
        <v>2.341793123</v>
      </c>
      <c r="BB37" s="424"/>
      <c r="BC37" s="424"/>
      <c r="BD37" s="425">
        <v>2.8635301406863198</v>
      </c>
      <c r="BE37" s="436"/>
      <c r="BF37" s="437"/>
      <c r="BG37" s="424">
        <v>22.879029419442681</v>
      </c>
      <c r="BH37" s="424"/>
      <c r="BI37" s="424"/>
      <c r="BJ37" s="424">
        <v>19.12617297232682</v>
      </c>
      <c r="BK37" s="424"/>
      <c r="BL37" s="424"/>
      <c r="BM37" s="424">
        <v>2.2347976915726018</v>
      </c>
      <c r="BN37" s="424"/>
      <c r="BO37" s="424"/>
      <c r="BP37" s="424">
        <v>0</v>
      </c>
      <c r="BQ37" s="424"/>
      <c r="BR37" s="425"/>
      <c r="BS37" s="100" t="s">
        <v>46</v>
      </c>
      <c r="BT37" s="101" t="s">
        <v>46</v>
      </c>
      <c r="BU37" s="102" t="s">
        <v>46</v>
      </c>
      <c r="BV37" s="103">
        <v>43008</v>
      </c>
      <c r="BW37" s="104" t="s">
        <v>67</v>
      </c>
      <c r="CD37" s="95"/>
    </row>
    <row r="38" spans="1:130" s="40" customFormat="1" ht="11.25" customHeight="1" x14ac:dyDescent="0.2">
      <c r="A38" s="426" t="s">
        <v>57</v>
      </c>
      <c r="B38" s="426"/>
      <c r="C38" s="427"/>
      <c r="D38" s="428"/>
      <c r="E38" s="105"/>
      <c r="F38" s="429">
        <v>1.0252163646205001</v>
      </c>
      <c r="G38" s="430"/>
      <c r="H38" s="431"/>
      <c r="I38" s="419">
        <v>4.2506605626248888</v>
      </c>
      <c r="J38" s="421"/>
      <c r="K38" s="422"/>
      <c r="L38" s="419">
        <v>1.3323399999999999</v>
      </c>
      <c r="M38" s="421"/>
      <c r="N38" s="422"/>
      <c r="O38" s="419">
        <v>0.81406000000000001</v>
      </c>
      <c r="P38" s="421"/>
      <c r="Q38" s="422"/>
      <c r="R38" s="432">
        <v>0</v>
      </c>
      <c r="S38" s="433"/>
      <c r="T38" s="434"/>
      <c r="U38" s="418">
        <v>1.2808053955518985</v>
      </c>
      <c r="V38" s="418"/>
      <c r="W38" s="418"/>
      <c r="X38" s="423">
        <v>294.71839857683273</v>
      </c>
      <c r="Y38" s="423"/>
      <c r="Z38" s="423"/>
      <c r="AA38" s="420">
        <v>0.44299050000000001</v>
      </c>
      <c r="AB38" s="420"/>
      <c r="AC38" s="420"/>
      <c r="AD38" s="420">
        <v>0.14260044999999999</v>
      </c>
      <c r="AE38" s="420"/>
      <c r="AF38" s="420"/>
      <c r="AG38" s="420">
        <v>9.5681457884069815E-2</v>
      </c>
      <c r="AH38" s="420"/>
      <c r="AI38" s="420"/>
      <c r="AJ38" s="420">
        <v>7.7043464809797499E-3</v>
      </c>
      <c r="AK38" s="420"/>
      <c r="AL38" s="420"/>
      <c r="AM38" s="420">
        <v>0.28214508579709563</v>
      </c>
      <c r="AN38" s="420"/>
      <c r="AO38" s="420"/>
      <c r="AP38" s="420">
        <v>5.1704787740030143E-2</v>
      </c>
      <c r="AQ38" s="420"/>
      <c r="AR38" s="420"/>
      <c r="AS38" s="106">
        <v>-1.0774582391444896</v>
      </c>
      <c r="AT38" s="106">
        <v>10.548342460190495</v>
      </c>
      <c r="AU38" s="107">
        <v>17.842861604423732</v>
      </c>
      <c r="AV38" s="108">
        <v>121.90425150000002</v>
      </c>
      <c r="AW38" s="109">
        <v>0.32208990614419131</v>
      </c>
      <c r="AX38" s="418">
        <v>0.5662634962500005</v>
      </c>
      <c r="AY38" s="418"/>
      <c r="AZ38" s="418"/>
      <c r="BA38" s="418">
        <v>1.3391249482500001</v>
      </c>
      <c r="BB38" s="418"/>
      <c r="BC38" s="418"/>
      <c r="BD38" s="419">
        <v>16.147469664060409</v>
      </c>
      <c r="BE38" s="421"/>
      <c r="BF38" s="422"/>
      <c r="BG38" s="418">
        <v>13.633436495001071</v>
      </c>
      <c r="BH38" s="418"/>
      <c r="BI38" s="418"/>
      <c r="BJ38" s="418">
        <v>19.12617297232682</v>
      </c>
      <c r="BK38" s="418"/>
      <c r="BL38" s="418"/>
      <c r="BM38" s="418">
        <v>2.1166232811831458</v>
      </c>
      <c r="BN38" s="418"/>
      <c r="BO38" s="418"/>
      <c r="BP38" s="418">
        <v>290.03894132959999</v>
      </c>
      <c r="BQ38" s="418"/>
      <c r="BR38" s="419"/>
      <c r="BS38" s="110">
        <v>0.365697913399192</v>
      </c>
      <c r="BT38" s="106">
        <v>0.41492525226715876</v>
      </c>
      <c r="BU38" s="109">
        <v>-6.8926640995659261E-2</v>
      </c>
      <c r="BV38" s="111"/>
      <c r="BW38" s="49"/>
      <c r="CD38" s="41"/>
    </row>
    <row r="39" spans="1:130" s="92" customFormat="1" ht="11.25" customHeight="1" x14ac:dyDescent="0.2">
      <c r="A39" s="67" t="s">
        <v>68</v>
      </c>
      <c r="B39" s="67"/>
      <c r="C39" s="67"/>
      <c r="D39" s="67"/>
      <c r="E39" s="67"/>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67"/>
      <c r="AL39" s="67"/>
      <c r="AM39" s="67"/>
      <c r="AN39" s="67"/>
      <c r="AO39" s="67"/>
      <c r="AP39" s="67"/>
      <c r="AQ39" s="67"/>
      <c r="AR39" s="67"/>
      <c r="AS39" s="67"/>
      <c r="AT39" s="67"/>
      <c r="AU39" s="67"/>
      <c r="AV39" s="68"/>
      <c r="AW39" s="69"/>
      <c r="AX39" s="67"/>
      <c r="AY39" s="67"/>
      <c r="AZ39" s="67"/>
      <c r="BA39" s="67"/>
      <c r="BB39" s="67"/>
      <c r="BC39" s="67"/>
      <c r="BD39" s="67"/>
      <c r="BE39" s="67"/>
      <c r="BF39" s="67"/>
      <c r="BG39" s="67"/>
      <c r="BH39" s="67"/>
      <c r="BI39" s="67"/>
      <c r="BJ39" s="67"/>
      <c r="BK39" s="67"/>
      <c r="BL39" s="67"/>
      <c r="BM39" s="67"/>
      <c r="BN39" s="67"/>
      <c r="BO39" s="67"/>
      <c r="BP39" s="67"/>
      <c r="BQ39" s="67"/>
      <c r="BR39" s="67"/>
      <c r="BS39" s="67"/>
      <c r="BT39" s="67"/>
      <c r="BU39" s="67"/>
      <c r="BV39" s="70"/>
      <c r="BW39" s="71"/>
      <c r="BX39" s="113"/>
      <c r="BY39" s="114"/>
      <c r="BZ39" s="112"/>
      <c r="CA39" s="112"/>
      <c r="CB39" s="112"/>
      <c r="CC39" s="112"/>
      <c r="CD39" s="112"/>
      <c r="CE39" s="112"/>
      <c r="CF39" s="112"/>
      <c r="CG39" s="115"/>
      <c r="CH39" s="115"/>
      <c r="CI39" s="115"/>
      <c r="CJ39" s="115"/>
      <c r="CK39" s="115"/>
      <c r="CL39" s="115"/>
      <c r="CM39" s="114"/>
      <c r="CN39" s="112"/>
      <c r="CO39" s="112"/>
      <c r="CP39" s="112"/>
      <c r="CQ39" s="112"/>
      <c r="CR39" s="112"/>
      <c r="CS39" s="112"/>
      <c r="CT39" s="112"/>
      <c r="CU39" s="115"/>
      <c r="CV39" s="115"/>
      <c r="CW39" s="115"/>
      <c r="CX39" s="115"/>
      <c r="CY39" s="115"/>
      <c r="CZ39" s="115"/>
      <c r="DA39" s="114"/>
      <c r="DB39" s="112"/>
      <c r="DC39" s="112"/>
      <c r="DD39" s="112"/>
      <c r="DE39" s="112"/>
      <c r="DF39" s="112"/>
      <c r="DG39" s="112"/>
      <c r="DH39" s="112"/>
      <c r="DI39" s="115"/>
      <c r="DJ39" s="115"/>
      <c r="DK39" s="115"/>
      <c r="DL39" s="115"/>
      <c r="DM39" s="115"/>
      <c r="DN39" s="115"/>
      <c r="DO39" s="114"/>
      <c r="DP39" s="112"/>
      <c r="DQ39" s="112"/>
      <c r="DR39" s="112"/>
      <c r="DS39" s="112"/>
      <c r="DT39" s="112"/>
      <c r="DU39" s="112"/>
      <c r="DV39" s="112"/>
      <c r="DW39" s="115"/>
      <c r="DX39" s="115"/>
      <c r="DY39" s="115"/>
      <c r="DZ39" s="115"/>
    </row>
    <row r="40" spans="1:130" s="94" customFormat="1" ht="11.25" customHeight="1" x14ac:dyDescent="0.2">
      <c r="A40" s="290" t="s">
        <v>69</v>
      </c>
      <c r="B40" s="290"/>
      <c r="C40" s="291">
        <v>104.15</v>
      </c>
      <c r="D40" s="291"/>
      <c r="E40" s="116">
        <v>1</v>
      </c>
      <c r="F40" s="292" t="s">
        <v>46</v>
      </c>
      <c r="G40" s="293"/>
      <c r="H40" s="294"/>
      <c r="I40" s="283">
        <v>5.1942621320604614</v>
      </c>
      <c r="J40" s="283"/>
      <c r="K40" s="283"/>
      <c r="L40" s="284">
        <v>0.87694000000000005</v>
      </c>
      <c r="M40" s="295"/>
      <c r="N40" s="296"/>
      <c r="O40" s="284">
        <v>0.87434000000000001</v>
      </c>
      <c r="P40" s="295"/>
      <c r="Q40" s="296"/>
      <c r="R40" s="297" t="s">
        <v>46</v>
      </c>
      <c r="S40" s="298"/>
      <c r="T40" s="299"/>
      <c r="U40" s="283">
        <v>2.0519946732799017</v>
      </c>
      <c r="V40" s="283"/>
      <c r="W40" s="283"/>
      <c r="X40" s="286" t="s">
        <v>46</v>
      </c>
      <c r="Y40" s="286"/>
      <c r="Z40" s="286"/>
      <c r="AA40" s="285" t="s">
        <v>46</v>
      </c>
      <c r="AB40" s="285"/>
      <c r="AC40" s="285"/>
      <c r="AD40" s="393" t="s">
        <v>46</v>
      </c>
      <c r="AE40" s="394"/>
      <c r="AF40" s="395"/>
      <c r="AG40" s="285">
        <v>1.7195774922041034E-2</v>
      </c>
      <c r="AH40" s="285"/>
      <c r="AI40" s="285"/>
      <c r="AJ40" s="285" t="s">
        <v>46</v>
      </c>
      <c r="AK40" s="285"/>
      <c r="AL40" s="285"/>
      <c r="AM40" s="285">
        <v>0.13796410669112449</v>
      </c>
      <c r="AN40" s="285"/>
      <c r="AO40" s="285"/>
      <c r="AP40" s="285">
        <v>2.8228520751762947E-2</v>
      </c>
      <c r="AQ40" s="285"/>
      <c r="AR40" s="285"/>
      <c r="AS40" s="32" t="s">
        <v>46</v>
      </c>
      <c r="AT40" s="32" t="s">
        <v>46</v>
      </c>
      <c r="AU40" s="33" t="s">
        <v>46</v>
      </c>
      <c r="AV40" s="34">
        <v>2783.4162900000001</v>
      </c>
      <c r="AW40" s="32">
        <v>0.61732187768726743</v>
      </c>
      <c r="AX40" s="283">
        <v>14.91828059</v>
      </c>
      <c r="AY40" s="283"/>
      <c r="AZ40" s="283"/>
      <c r="BA40" s="283">
        <v>12.716100000000001</v>
      </c>
      <c r="BB40" s="283"/>
      <c r="BC40" s="283"/>
      <c r="BD40" s="284">
        <v>5.3884520615308702</v>
      </c>
      <c r="BE40" s="295"/>
      <c r="BF40" s="296"/>
      <c r="BG40" s="283">
        <v>0.63226431980906916</v>
      </c>
      <c r="BH40" s="283"/>
      <c r="BI40" s="283"/>
      <c r="BJ40" s="283">
        <v>14.363773776424379</v>
      </c>
      <c r="BK40" s="283"/>
      <c r="BL40" s="283"/>
      <c r="BM40" s="283">
        <v>0.25256916996047429</v>
      </c>
      <c r="BN40" s="283"/>
      <c r="BO40" s="283"/>
      <c r="BP40" s="283">
        <v>14.6967353775</v>
      </c>
      <c r="BQ40" s="283"/>
      <c r="BR40" s="284"/>
      <c r="BS40" s="35">
        <v>0.97935719636926599</v>
      </c>
      <c r="BT40" s="32" t="s">
        <v>46</v>
      </c>
      <c r="BU40" s="36" t="s">
        <v>46</v>
      </c>
      <c r="BV40" s="37">
        <v>43100</v>
      </c>
      <c r="BW40" s="38" t="s">
        <v>69</v>
      </c>
      <c r="CD40" s="95"/>
    </row>
    <row r="41" spans="1:130" s="94" customFormat="1" ht="11.25" customHeight="1" x14ac:dyDescent="0.2">
      <c r="A41" s="330" t="s">
        <v>70</v>
      </c>
      <c r="B41" s="330"/>
      <c r="C41" s="331">
        <v>466</v>
      </c>
      <c r="D41" s="331"/>
      <c r="E41" s="60">
        <v>10</v>
      </c>
      <c r="F41" s="384">
        <v>1.1802619619200001</v>
      </c>
      <c r="G41" s="385"/>
      <c r="H41" s="386"/>
      <c r="I41" s="318">
        <v>3.2177674971449881</v>
      </c>
      <c r="J41" s="318"/>
      <c r="K41" s="318"/>
      <c r="L41" s="319">
        <v>1.20922</v>
      </c>
      <c r="M41" s="333"/>
      <c r="N41" s="334"/>
      <c r="O41" s="319">
        <v>0.92466999999999999</v>
      </c>
      <c r="P41" s="333"/>
      <c r="Q41" s="334"/>
      <c r="R41" s="335">
        <v>5.3228070175438602E-3</v>
      </c>
      <c r="S41" s="336"/>
      <c r="T41" s="337"/>
      <c r="U41" s="318">
        <v>0.69521281266636425</v>
      </c>
      <c r="V41" s="318"/>
      <c r="W41" s="318"/>
      <c r="X41" s="329">
        <v>9.5176109477845188</v>
      </c>
      <c r="Y41" s="329"/>
      <c r="Z41" s="329"/>
      <c r="AA41" s="328">
        <v>0.1561352</v>
      </c>
      <c r="AB41" s="328"/>
      <c r="AC41" s="328"/>
      <c r="AD41" s="396">
        <v>6.3576599999999997E-2</v>
      </c>
      <c r="AE41" s="397"/>
      <c r="AF41" s="398"/>
      <c r="AG41" s="328">
        <v>6.7672190050546144E-2</v>
      </c>
      <c r="AH41" s="328"/>
      <c r="AI41" s="328"/>
      <c r="AJ41" s="328">
        <v>1.0271211524372959E-2</v>
      </c>
      <c r="AK41" s="328"/>
      <c r="AL41" s="328"/>
      <c r="AM41" s="339">
        <v>0.12704841552337837</v>
      </c>
      <c r="AN41" s="339"/>
      <c r="AO41" s="339"/>
      <c r="AP41" s="328">
        <v>3.7637259699548932E-2</v>
      </c>
      <c r="AQ41" s="328"/>
      <c r="AR41" s="328"/>
      <c r="AS41" s="43">
        <v>241.68</v>
      </c>
      <c r="AT41" s="43">
        <v>-1.0302066896292119</v>
      </c>
      <c r="AU41" s="44">
        <v>3.5011032203637495</v>
      </c>
      <c r="AV41" s="45">
        <v>44902.9</v>
      </c>
      <c r="AW41" s="46">
        <v>0.10073215117123295</v>
      </c>
      <c r="AX41" s="318">
        <v>341.21906303254997</v>
      </c>
      <c r="AY41" s="318"/>
      <c r="AZ41" s="318"/>
      <c r="BA41" s="318">
        <v>180.86488786104999</v>
      </c>
      <c r="BB41" s="318"/>
      <c r="BC41" s="318"/>
      <c r="BD41" s="319">
        <v>3.6615023235350002</v>
      </c>
      <c r="BE41" s="333"/>
      <c r="BF41" s="334"/>
      <c r="BG41" s="318">
        <v>1.123621683219127</v>
      </c>
      <c r="BH41" s="318"/>
      <c r="BI41" s="318"/>
      <c r="BJ41" s="318">
        <v>9.9444688906710201</v>
      </c>
      <c r="BK41" s="318"/>
      <c r="BL41" s="318"/>
      <c r="BM41" s="318">
        <v>0.66584283890782781</v>
      </c>
      <c r="BN41" s="318"/>
      <c r="BO41" s="318"/>
      <c r="BP41" s="318" t="s">
        <v>46</v>
      </c>
      <c r="BQ41" s="318"/>
      <c r="BR41" s="319"/>
      <c r="BS41" s="47">
        <v>0.78784110840840105</v>
      </c>
      <c r="BT41" s="43">
        <v>0.45429289898770986</v>
      </c>
      <c r="BU41" s="46">
        <v>-6.5606720635304705E-2</v>
      </c>
      <c r="BV41" s="48">
        <v>43190</v>
      </c>
      <c r="BW41" s="49" t="s">
        <v>70</v>
      </c>
      <c r="CD41" s="95"/>
    </row>
    <row r="42" spans="1:130" s="94" customFormat="1" ht="11.25" customHeight="1" x14ac:dyDescent="0.2">
      <c r="A42" s="290" t="s">
        <v>71</v>
      </c>
      <c r="B42" s="290"/>
      <c r="C42" s="291">
        <v>131.30000000000001</v>
      </c>
      <c r="D42" s="291"/>
      <c r="E42" s="116">
        <v>1</v>
      </c>
      <c r="F42" s="292">
        <v>1.25376981428</v>
      </c>
      <c r="G42" s="293"/>
      <c r="H42" s="294"/>
      <c r="I42" s="283">
        <v>3.0303864863970462</v>
      </c>
      <c r="J42" s="283"/>
      <c r="K42" s="283"/>
      <c r="L42" s="284">
        <v>1.8614900000000001</v>
      </c>
      <c r="M42" s="295"/>
      <c r="N42" s="296"/>
      <c r="O42" s="284">
        <v>1.4856199999999999</v>
      </c>
      <c r="P42" s="295"/>
      <c r="Q42" s="296"/>
      <c r="R42" s="297">
        <v>2.6224152953047901E-3</v>
      </c>
      <c r="S42" s="298"/>
      <c r="T42" s="299"/>
      <c r="U42" s="283">
        <v>0.44434983714652992</v>
      </c>
      <c r="V42" s="283"/>
      <c r="W42" s="283"/>
      <c r="X42" s="286">
        <v>37.148214367223687</v>
      </c>
      <c r="Y42" s="286"/>
      <c r="Z42" s="286"/>
      <c r="AA42" s="285">
        <v>0.32286430000000005</v>
      </c>
      <c r="AB42" s="285"/>
      <c r="AC42" s="285"/>
      <c r="AD42" s="393">
        <v>0.1331465</v>
      </c>
      <c r="AE42" s="394"/>
      <c r="AF42" s="395"/>
      <c r="AG42" s="285">
        <v>9.0915792535833581E-3</v>
      </c>
      <c r="AH42" s="285"/>
      <c r="AI42" s="285"/>
      <c r="AJ42" s="285">
        <v>0.1309411425733204</v>
      </c>
      <c r="AK42" s="285"/>
      <c r="AL42" s="285"/>
      <c r="AM42" s="285">
        <v>9.9905467084601945E-3</v>
      </c>
      <c r="AN42" s="285"/>
      <c r="AO42" s="285"/>
      <c r="AP42" s="285">
        <v>3.2318734162832836E-3</v>
      </c>
      <c r="AQ42" s="285"/>
      <c r="AR42" s="285"/>
      <c r="AS42" s="32">
        <v>0.93501926429496551</v>
      </c>
      <c r="AT42" s="32">
        <v>-0.21950270120323673</v>
      </c>
      <c r="AU42" s="33">
        <v>1.1815479446340222</v>
      </c>
      <c r="AV42" s="34">
        <v>293504.79711371672</v>
      </c>
      <c r="AW42" s="32">
        <v>0.20000275071675638</v>
      </c>
      <c r="AX42" s="283">
        <v>3462.7619886603102</v>
      </c>
      <c r="AY42" s="283"/>
      <c r="AZ42" s="283"/>
      <c r="BA42" s="283">
        <v>1493.4476238438001</v>
      </c>
      <c r="BB42" s="283"/>
      <c r="BC42" s="283"/>
      <c r="BD42" s="284">
        <v>6.1444114399114396</v>
      </c>
      <c r="BE42" s="295"/>
      <c r="BF42" s="296"/>
      <c r="BG42" s="283">
        <v>0.92904061481779676</v>
      </c>
      <c r="BH42" s="283"/>
      <c r="BI42" s="283"/>
      <c r="BJ42" s="283">
        <v>112.96039283772566</v>
      </c>
      <c r="BK42" s="283"/>
      <c r="BL42" s="283"/>
      <c r="BM42" s="283">
        <v>0.92649493028151431</v>
      </c>
      <c r="BN42" s="283"/>
      <c r="BO42" s="283"/>
      <c r="BP42" s="283">
        <v>113.5821168181</v>
      </c>
      <c r="BQ42" s="283"/>
      <c r="BR42" s="284"/>
      <c r="BS42" s="35">
        <v>0.93133180801963</v>
      </c>
      <c r="BT42" s="32">
        <v>0.54587557215520854</v>
      </c>
      <c r="BU42" s="36">
        <v>-0.14760394673461208</v>
      </c>
      <c r="BV42" s="37">
        <v>43190</v>
      </c>
      <c r="BW42" s="38" t="s">
        <v>71</v>
      </c>
      <c r="CD42" s="95"/>
    </row>
    <row r="43" spans="1:130" s="94" customFormat="1" ht="11.25" customHeight="1" x14ac:dyDescent="0.2">
      <c r="A43" s="330" t="s">
        <v>72</v>
      </c>
      <c r="B43" s="330"/>
      <c r="C43" s="331">
        <v>38.75</v>
      </c>
      <c r="D43" s="331"/>
      <c r="E43" s="60">
        <v>1</v>
      </c>
      <c r="F43" s="384">
        <v>0.38860355775599997</v>
      </c>
      <c r="G43" s="385"/>
      <c r="H43" s="386"/>
      <c r="I43" s="318">
        <v>1.9178282691067925</v>
      </c>
      <c r="J43" s="318"/>
      <c r="K43" s="318"/>
      <c r="L43" s="319">
        <v>1.2975000000000001</v>
      </c>
      <c r="M43" s="333"/>
      <c r="N43" s="334"/>
      <c r="O43" s="319">
        <v>1.27399</v>
      </c>
      <c r="P43" s="333"/>
      <c r="Q43" s="334"/>
      <c r="R43" s="335" t="s">
        <v>46</v>
      </c>
      <c r="S43" s="336"/>
      <c r="T43" s="337"/>
      <c r="U43" s="318">
        <v>0.42856840928713752</v>
      </c>
      <c r="V43" s="318"/>
      <c r="W43" s="318"/>
      <c r="X43" s="329">
        <v>29.575892738397371</v>
      </c>
      <c r="Y43" s="329"/>
      <c r="Z43" s="329"/>
      <c r="AA43" s="328" t="s">
        <v>46</v>
      </c>
      <c r="AB43" s="328"/>
      <c r="AC43" s="328"/>
      <c r="AD43" s="396">
        <v>0.52232250000000002</v>
      </c>
      <c r="AE43" s="397"/>
      <c r="AF43" s="398"/>
      <c r="AG43" s="328">
        <v>1.5428799145175467</v>
      </c>
      <c r="AH43" s="328"/>
      <c r="AI43" s="328"/>
      <c r="AJ43" s="328">
        <v>0.37341277183553473</v>
      </c>
      <c r="AK43" s="328"/>
      <c r="AL43" s="328"/>
      <c r="AM43" s="328">
        <v>1.134360742489481</v>
      </c>
      <c r="AN43" s="328"/>
      <c r="AO43" s="328"/>
      <c r="AP43" s="328">
        <v>0.52898399094301363</v>
      </c>
      <c r="AQ43" s="328"/>
      <c r="AR43" s="328"/>
      <c r="AS43" s="43">
        <v>16.038113893396094</v>
      </c>
      <c r="AT43" s="43">
        <v>2.0342461465099708</v>
      </c>
      <c r="AU43" s="44">
        <v>1.3859569620848144</v>
      </c>
      <c r="AV43" s="45">
        <v>1028.7339999999999</v>
      </c>
      <c r="AW43" s="46">
        <v>0.84190232047729996</v>
      </c>
      <c r="AX43" s="318">
        <v>60.141152066400004</v>
      </c>
      <c r="AY43" s="318"/>
      <c r="AZ43" s="318"/>
      <c r="BA43" s="318">
        <v>7.6201633276999994</v>
      </c>
      <c r="BB43" s="318"/>
      <c r="BC43" s="318"/>
      <c r="BD43" s="319">
        <v>5.0401851161005498</v>
      </c>
      <c r="BE43" s="333"/>
      <c r="BF43" s="334"/>
      <c r="BG43" s="318">
        <v>0.52920366054549028</v>
      </c>
      <c r="BH43" s="318"/>
      <c r="BI43" s="318"/>
      <c r="BJ43" s="318">
        <v>6.1824615929531106</v>
      </c>
      <c r="BK43" s="318"/>
      <c r="BL43" s="318"/>
      <c r="BM43" s="318">
        <v>1.2389498170555835</v>
      </c>
      <c r="BN43" s="318"/>
      <c r="BO43" s="318"/>
      <c r="BP43" s="318">
        <v>9.1791574247999996</v>
      </c>
      <c r="BQ43" s="318"/>
      <c r="BR43" s="319"/>
      <c r="BS43" s="47">
        <v>1.10742558607439</v>
      </c>
      <c r="BT43" s="43">
        <v>0.42562333681440057</v>
      </c>
      <c r="BU43" s="46">
        <v>0.22879357713392912</v>
      </c>
      <c r="BV43" s="48">
        <v>43190</v>
      </c>
      <c r="BW43" s="49" t="s">
        <v>72</v>
      </c>
      <c r="CD43" s="95"/>
    </row>
    <row r="44" spans="1:130" s="94" customFormat="1" ht="11.25" customHeight="1" x14ac:dyDescent="0.2">
      <c r="A44" s="290" t="s">
        <v>73</v>
      </c>
      <c r="B44" s="290"/>
      <c r="C44" s="291">
        <v>520</v>
      </c>
      <c r="D44" s="291"/>
      <c r="E44" s="116">
        <v>1</v>
      </c>
      <c r="F44" s="292">
        <v>0.43452483540699999</v>
      </c>
      <c r="G44" s="293"/>
      <c r="H44" s="294"/>
      <c r="I44" s="283">
        <v>2.0057909068973898</v>
      </c>
      <c r="J44" s="283"/>
      <c r="K44" s="283"/>
      <c r="L44" s="284">
        <v>1.40191</v>
      </c>
      <c r="M44" s="295"/>
      <c r="N44" s="296"/>
      <c r="O44" s="284">
        <v>1.0501</v>
      </c>
      <c r="P44" s="295"/>
      <c r="Q44" s="296"/>
      <c r="R44" s="297">
        <v>4.1941018759805805E-2</v>
      </c>
      <c r="S44" s="298"/>
      <c r="T44" s="299"/>
      <c r="U44" s="283">
        <v>0.53473638637323828</v>
      </c>
      <c r="V44" s="283"/>
      <c r="W44" s="283"/>
      <c r="X44" s="286">
        <v>93.399133231419341</v>
      </c>
      <c r="Y44" s="286"/>
      <c r="Z44" s="286"/>
      <c r="AA44" s="285">
        <v>0.2789431</v>
      </c>
      <c r="AB44" s="285"/>
      <c r="AC44" s="285"/>
      <c r="AD44" s="393">
        <v>6.6597900000000002E-2</v>
      </c>
      <c r="AE44" s="394"/>
      <c r="AF44" s="395"/>
      <c r="AG44" s="285">
        <v>5.0603756844411742E-2</v>
      </c>
      <c r="AH44" s="285"/>
      <c r="AI44" s="285"/>
      <c r="AJ44" s="285">
        <v>8.3603891270743622E-2</v>
      </c>
      <c r="AK44" s="285"/>
      <c r="AL44" s="285"/>
      <c r="AM44" s="285" t="s">
        <v>46</v>
      </c>
      <c r="AN44" s="285"/>
      <c r="AO44" s="285"/>
      <c r="AP44" s="285">
        <v>1.8039780338429397E-2</v>
      </c>
      <c r="AQ44" s="285"/>
      <c r="AR44" s="285"/>
      <c r="AS44" s="32">
        <v>0.19108744091003027</v>
      </c>
      <c r="AT44" s="32">
        <v>0.11567511873306144</v>
      </c>
      <c r="AU44" s="33">
        <v>1.8828170218616374</v>
      </c>
      <c r="AV44" s="34">
        <v>141109.92823613269</v>
      </c>
      <c r="AW44" s="32" t="s">
        <v>46</v>
      </c>
      <c r="AX44" s="283">
        <v>1082.1985487586201</v>
      </c>
      <c r="AY44" s="283"/>
      <c r="AZ44" s="283"/>
      <c r="BA44" s="283">
        <v>754.80671150000001</v>
      </c>
      <c r="BB44" s="283"/>
      <c r="BC44" s="283"/>
      <c r="BD44" s="284">
        <v>6.8676770381735102</v>
      </c>
      <c r="BE44" s="295"/>
      <c r="BF44" s="296"/>
      <c r="BG44" s="283">
        <v>1.2462470631532103</v>
      </c>
      <c r="BH44" s="283"/>
      <c r="BI44" s="283"/>
      <c r="BJ44" s="283">
        <v>33.607410257049779</v>
      </c>
      <c r="BK44" s="283"/>
      <c r="BL44" s="283"/>
      <c r="BM44" s="283">
        <v>1.578891501471839</v>
      </c>
      <c r="BN44" s="283"/>
      <c r="BO44" s="283"/>
      <c r="BP44" s="283">
        <v>17.574654075000002</v>
      </c>
      <c r="BQ44" s="283"/>
      <c r="BR44" s="284"/>
      <c r="BS44" s="35">
        <v>0.32900107869061601</v>
      </c>
      <c r="BT44" s="32">
        <v>0.37910144124659184</v>
      </c>
      <c r="BU44" s="36">
        <v>-5.743285098757589E-2</v>
      </c>
      <c r="BV44" s="37">
        <v>43190</v>
      </c>
      <c r="BW44" s="38" t="s">
        <v>73</v>
      </c>
      <c r="CD44" s="95"/>
    </row>
    <row r="45" spans="1:130" s="94" customFormat="1" ht="11.25" customHeight="1" x14ac:dyDescent="0.2">
      <c r="A45" s="330" t="s">
        <v>74</v>
      </c>
      <c r="B45" s="330"/>
      <c r="C45" s="331">
        <v>3.85</v>
      </c>
      <c r="D45" s="331"/>
      <c r="E45" s="60">
        <v>10</v>
      </c>
      <c r="F45" s="384">
        <v>0.39500769041</v>
      </c>
      <c r="G45" s="385"/>
      <c r="H45" s="386"/>
      <c r="I45" s="318">
        <v>3.1119283813829441</v>
      </c>
      <c r="J45" s="318"/>
      <c r="K45" s="318"/>
      <c r="L45" s="319">
        <v>0.88904000000000005</v>
      </c>
      <c r="M45" s="333"/>
      <c r="N45" s="334"/>
      <c r="O45" s="319">
        <v>0.74836000000000003</v>
      </c>
      <c r="P45" s="333"/>
      <c r="Q45" s="334"/>
      <c r="R45" s="335" t="s">
        <v>46</v>
      </c>
      <c r="S45" s="336"/>
      <c r="T45" s="337"/>
      <c r="U45" s="318">
        <v>0.63108333607086875</v>
      </c>
      <c r="V45" s="318"/>
      <c r="W45" s="318"/>
      <c r="X45" s="329">
        <v>55.130932120989897</v>
      </c>
      <c r="Y45" s="329"/>
      <c r="Z45" s="329"/>
      <c r="AA45" s="328">
        <v>0.13844670000000001</v>
      </c>
      <c r="AB45" s="328"/>
      <c r="AC45" s="328"/>
      <c r="AD45" s="396" t="s">
        <v>46</v>
      </c>
      <c r="AE45" s="397"/>
      <c r="AF45" s="398"/>
      <c r="AG45" s="328" t="s">
        <v>46</v>
      </c>
      <c r="AH45" s="328"/>
      <c r="AI45" s="328"/>
      <c r="AJ45" s="328">
        <v>-0.16967475291039497</v>
      </c>
      <c r="AK45" s="328"/>
      <c r="AL45" s="328"/>
      <c r="AM45" s="339">
        <v>-0.14353217763711332</v>
      </c>
      <c r="AN45" s="339"/>
      <c r="AO45" s="339"/>
      <c r="AP45" s="328">
        <v>-5.2581348917473354E-2</v>
      </c>
      <c r="AQ45" s="328"/>
      <c r="AR45" s="328"/>
      <c r="AS45" s="43">
        <v>-0.31515672782874615</v>
      </c>
      <c r="AT45" s="43">
        <v>-1.9262301378201621</v>
      </c>
      <c r="AU45" s="44">
        <v>4.4756371942476294</v>
      </c>
      <c r="AV45" s="45">
        <v>487.31484210526304</v>
      </c>
      <c r="AW45" s="46">
        <v>73.544385951630872</v>
      </c>
      <c r="AX45" s="318">
        <v>12.199726080640801</v>
      </c>
      <c r="AY45" s="318"/>
      <c r="AZ45" s="318"/>
      <c r="BA45" s="318">
        <v>6.1740957329999997</v>
      </c>
      <c r="BB45" s="318"/>
      <c r="BC45" s="318"/>
      <c r="BD45" s="319" t="s">
        <v>46</v>
      </c>
      <c r="BE45" s="333"/>
      <c r="BF45" s="334"/>
      <c r="BG45" s="318">
        <v>3.9500839287050975</v>
      </c>
      <c r="BH45" s="318"/>
      <c r="BI45" s="318"/>
      <c r="BJ45" s="318" t="s">
        <v>46</v>
      </c>
      <c r="BK45" s="318"/>
      <c r="BL45" s="318"/>
      <c r="BM45" s="318">
        <v>2.760435856405909</v>
      </c>
      <c r="BN45" s="318"/>
      <c r="BO45" s="318"/>
      <c r="BP45" s="318" t="s">
        <v>46</v>
      </c>
      <c r="BQ45" s="318"/>
      <c r="BR45" s="319"/>
      <c r="BS45" s="47">
        <v>0.92663706291998504</v>
      </c>
      <c r="BT45" s="43">
        <v>0.51554701758921895</v>
      </c>
      <c r="BU45" s="46">
        <v>7.5715890601106839E-3</v>
      </c>
      <c r="BV45" s="48">
        <v>43190</v>
      </c>
      <c r="BW45" s="49" t="s">
        <v>74</v>
      </c>
      <c r="CD45" s="95"/>
    </row>
    <row r="46" spans="1:130" s="94" customFormat="1" ht="11.25" customHeight="1" x14ac:dyDescent="0.2">
      <c r="A46" s="290" t="s">
        <v>75</v>
      </c>
      <c r="B46" s="290"/>
      <c r="C46" s="291">
        <v>86</v>
      </c>
      <c r="D46" s="291"/>
      <c r="E46" s="116">
        <v>1</v>
      </c>
      <c r="F46" s="292">
        <v>0.68024272644299999</v>
      </c>
      <c r="G46" s="293"/>
      <c r="H46" s="294"/>
      <c r="I46" s="283">
        <v>2.3298108193236513</v>
      </c>
      <c r="J46" s="283"/>
      <c r="K46" s="283"/>
      <c r="L46" s="284">
        <v>1.7096100000000001</v>
      </c>
      <c r="M46" s="295"/>
      <c r="N46" s="296"/>
      <c r="O46" s="284">
        <v>1.6792800000000001</v>
      </c>
      <c r="P46" s="295"/>
      <c r="Q46" s="296"/>
      <c r="R46" s="297">
        <v>0</v>
      </c>
      <c r="S46" s="298"/>
      <c r="T46" s="299"/>
      <c r="U46" s="283">
        <v>1.4080275010762069</v>
      </c>
      <c r="V46" s="283"/>
      <c r="W46" s="283"/>
      <c r="X46" s="286" t="s">
        <v>46</v>
      </c>
      <c r="Y46" s="286"/>
      <c r="Z46" s="286"/>
      <c r="AA46" s="285">
        <v>0.46730240000000001</v>
      </c>
      <c r="AB46" s="285"/>
      <c r="AC46" s="285"/>
      <c r="AD46" s="393">
        <v>0.38508980000000004</v>
      </c>
      <c r="AE46" s="394"/>
      <c r="AF46" s="395"/>
      <c r="AG46" s="285">
        <v>0.26391159209226506</v>
      </c>
      <c r="AH46" s="285"/>
      <c r="AI46" s="285"/>
      <c r="AJ46" s="285">
        <v>0.15338620066793812</v>
      </c>
      <c r="AK46" s="285"/>
      <c r="AL46" s="285"/>
      <c r="AM46" s="285">
        <v>0.75213901515357995</v>
      </c>
      <c r="AN46" s="285"/>
      <c r="AO46" s="285"/>
      <c r="AP46" s="285">
        <v>0.29727607060497507</v>
      </c>
      <c r="AQ46" s="285"/>
      <c r="AR46" s="285"/>
      <c r="AS46" s="32">
        <v>1.6095891338191826</v>
      </c>
      <c r="AT46" s="32">
        <v>1.0415695195696408</v>
      </c>
      <c r="AU46" s="33">
        <v>3.4239323333003608</v>
      </c>
      <c r="AV46" s="34">
        <v>1642.22405</v>
      </c>
      <c r="AW46" s="32">
        <v>0.45472977757540434</v>
      </c>
      <c r="AX46" s="283">
        <v>31.764237178400101</v>
      </c>
      <c r="AY46" s="283"/>
      <c r="AZ46" s="283"/>
      <c r="BA46" s="283">
        <v>68.008796224800008</v>
      </c>
      <c r="BB46" s="283"/>
      <c r="BC46" s="283"/>
      <c r="BD46" s="284">
        <v>4.7646953736869504</v>
      </c>
      <c r="BE46" s="295"/>
      <c r="BF46" s="296"/>
      <c r="BG46" s="283">
        <v>9.6404487310416034</v>
      </c>
      <c r="BH46" s="283"/>
      <c r="BI46" s="283"/>
      <c r="BJ46" s="283">
        <v>17.685902484869299</v>
      </c>
      <c r="BK46" s="283"/>
      <c r="BL46" s="283"/>
      <c r="BM46" s="283">
        <v>4.6457964105617808</v>
      </c>
      <c r="BN46" s="283"/>
      <c r="BO46" s="283"/>
      <c r="BP46" s="283">
        <v>0</v>
      </c>
      <c r="BQ46" s="283"/>
      <c r="BR46" s="284"/>
      <c r="BS46" s="35">
        <v>1.03300879252495</v>
      </c>
      <c r="BT46" s="32">
        <v>0.49083453390120008</v>
      </c>
      <c r="BU46" s="36">
        <v>0.23688861948809592</v>
      </c>
      <c r="BV46" s="37">
        <v>43190</v>
      </c>
      <c r="BW46" s="38" t="s">
        <v>75</v>
      </c>
      <c r="CD46" s="95"/>
    </row>
    <row r="47" spans="1:130" s="94" customFormat="1" ht="11.25" customHeight="1" x14ac:dyDescent="0.2">
      <c r="A47" s="330" t="s">
        <v>76</v>
      </c>
      <c r="B47" s="330"/>
      <c r="C47" s="331">
        <v>505.90000000000003</v>
      </c>
      <c r="D47" s="331"/>
      <c r="E47" s="60">
        <v>1</v>
      </c>
      <c r="F47" s="384">
        <v>8.557803030000001E-2</v>
      </c>
      <c r="G47" s="385"/>
      <c r="H47" s="386"/>
      <c r="I47" s="318">
        <v>1.2530484133561963</v>
      </c>
      <c r="J47" s="318"/>
      <c r="K47" s="318"/>
      <c r="L47" s="319">
        <v>2.57681</v>
      </c>
      <c r="M47" s="333"/>
      <c r="N47" s="334"/>
      <c r="O47" s="319">
        <v>1.4765200000000001</v>
      </c>
      <c r="P47" s="333"/>
      <c r="Q47" s="334"/>
      <c r="R47" s="335">
        <v>2.6465348512083101E-2</v>
      </c>
      <c r="S47" s="336"/>
      <c r="T47" s="337"/>
      <c r="U47" s="318">
        <v>0.5257786461164633</v>
      </c>
      <c r="V47" s="318"/>
      <c r="W47" s="318"/>
      <c r="X47" s="329">
        <v>170.34418449383247</v>
      </c>
      <c r="Y47" s="329"/>
      <c r="Z47" s="329"/>
      <c r="AA47" s="328">
        <v>0.30319479999999999</v>
      </c>
      <c r="AB47" s="328"/>
      <c r="AC47" s="328"/>
      <c r="AD47" s="396">
        <v>6.3267000000000004E-2</v>
      </c>
      <c r="AE47" s="397"/>
      <c r="AF47" s="398"/>
      <c r="AG47" s="328">
        <v>9.7563226814706625E-2</v>
      </c>
      <c r="AH47" s="328"/>
      <c r="AI47" s="328"/>
      <c r="AJ47" s="328">
        <v>-7.6553701811501645E-2</v>
      </c>
      <c r="AK47" s="328"/>
      <c r="AL47" s="328"/>
      <c r="AM47" s="328">
        <v>5.1405962403036888E-2</v>
      </c>
      <c r="AN47" s="328"/>
      <c r="AO47" s="328"/>
      <c r="AP47" s="328">
        <v>4.1037330734993285E-2</v>
      </c>
      <c r="AQ47" s="328"/>
      <c r="AR47" s="328"/>
      <c r="AS47" s="43">
        <v>1.7073128278033209</v>
      </c>
      <c r="AT47" s="43">
        <v>7.2419529614979368</v>
      </c>
      <c r="AU47" s="44">
        <v>16.092011594817361</v>
      </c>
      <c r="AV47" s="45">
        <v>18664.437942875</v>
      </c>
      <c r="AW47" s="46">
        <v>0.17151411632426447</v>
      </c>
      <c r="AX47" s="318">
        <v>555.41983285977096</v>
      </c>
      <c r="AY47" s="318"/>
      <c r="AZ47" s="318"/>
      <c r="BA47" s="318">
        <v>565.47714156999996</v>
      </c>
      <c r="BB47" s="318"/>
      <c r="BC47" s="318"/>
      <c r="BD47" s="319">
        <v>19.438033170157599</v>
      </c>
      <c r="BE47" s="333"/>
      <c r="BF47" s="334"/>
      <c r="BG47" s="318">
        <v>2.7799957874168926</v>
      </c>
      <c r="BH47" s="318"/>
      <c r="BI47" s="318"/>
      <c r="BJ47" s="318">
        <v>55.528695038742597</v>
      </c>
      <c r="BK47" s="318"/>
      <c r="BL47" s="318"/>
      <c r="BM47" s="318">
        <v>5.1295772757404698</v>
      </c>
      <c r="BN47" s="318"/>
      <c r="BO47" s="318"/>
      <c r="BP47" s="318">
        <v>274.39504363050003</v>
      </c>
      <c r="BQ47" s="318"/>
      <c r="BR47" s="319"/>
      <c r="BS47" s="47">
        <v>0.45781201904282898</v>
      </c>
      <c r="BT47" s="43">
        <v>0.41323392831986516</v>
      </c>
      <c r="BU47" s="46">
        <v>-4.4245457124454601E-2</v>
      </c>
      <c r="BV47" s="48">
        <v>43190</v>
      </c>
      <c r="BW47" s="49" t="s">
        <v>76</v>
      </c>
      <c r="CD47" s="95"/>
    </row>
    <row r="48" spans="1:130" s="94" customFormat="1" ht="11.25" customHeight="1" x14ac:dyDescent="0.2">
      <c r="A48" s="290" t="s">
        <v>77</v>
      </c>
      <c r="B48" s="290"/>
      <c r="C48" s="291">
        <v>58.5</v>
      </c>
      <c r="D48" s="291"/>
      <c r="E48" s="116">
        <v>1</v>
      </c>
      <c r="F48" s="292">
        <v>0.29473781335499999</v>
      </c>
      <c r="G48" s="293"/>
      <c r="H48" s="294"/>
      <c r="I48" s="283">
        <v>1.7038067127505221</v>
      </c>
      <c r="J48" s="283"/>
      <c r="K48" s="283"/>
      <c r="L48" s="284">
        <v>2.3898100000000002</v>
      </c>
      <c r="M48" s="295"/>
      <c r="N48" s="296"/>
      <c r="O48" s="284">
        <v>2.3467899999999999</v>
      </c>
      <c r="P48" s="295"/>
      <c r="Q48" s="296"/>
      <c r="R48" s="297">
        <v>1.3808580858085799E-2</v>
      </c>
      <c r="S48" s="298"/>
      <c r="T48" s="299"/>
      <c r="U48" s="283">
        <v>0.39136188487443563</v>
      </c>
      <c r="V48" s="283"/>
      <c r="W48" s="283"/>
      <c r="X48" s="286">
        <v>1.1488075380138412</v>
      </c>
      <c r="Y48" s="286"/>
      <c r="Z48" s="286"/>
      <c r="AA48" s="285">
        <v>0.56158710000000001</v>
      </c>
      <c r="AB48" s="285"/>
      <c r="AC48" s="285"/>
      <c r="AD48" s="393">
        <v>0.40717100000000001</v>
      </c>
      <c r="AE48" s="394"/>
      <c r="AF48" s="395"/>
      <c r="AG48" s="285">
        <v>0.16154376085597383</v>
      </c>
      <c r="AH48" s="285"/>
      <c r="AI48" s="285"/>
      <c r="AJ48" s="285">
        <v>0.23599572870844646</v>
      </c>
      <c r="AK48" s="285"/>
      <c r="AL48" s="285"/>
      <c r="AM48" s="285">
        <v>9.9390485031246534E-2</v>
      </c>
      <c r="AN48" s="285"/>
      <c r="AO48" s="285"/>
      <c r="AP48" s="285">
        <v>5.0577692187955874E-2</v>
      </c>
      <c r="AQ48" s="285"/>
      <c r="AR48" s="285"/>
      <c r="AS48" s="32">
        <v>-0.32575813728251579</v>
      </c>
      <c r="AT48" s="32">
        <v>-1.4034360417807368</v>
      </c>
      <c r="AU48" s="33">
        <v>5.1967682172970537</v>
      </c>
      <c r="AV48" s="34">
        <v>421.36475000000002</v>
      </c>
      <c r="AW48" s="32">
        <v>0.78840473433859648</v>
      </c>
      <c r="AX48" s="283">
        <v>8.3523270924000101</v>
      </c>
      <c r="AY48" s="283"/>
      <c r="AZ48" s="283"/>
      <c r="BA48" s="283">
        <v>26.6260607034</v>
      </c>
      <c r="BB48" s="283"/>
      <c r="BC48" s="283"/>
      <c r="BD48" s="284">
        <v>3.4029655375228298</v>
      </c>
      <c r="BE48" s="295"/>
      <c r="BF48" s="296"/>
      <c r="BG48" s="283">
        <v>1.7548241376017306</v>
      </c>
      <c r="BH48" s="283"/>
      <c r="BI48" s="283"/>
      <c r="BJ48" s="283">
        <v>33.125707814269532</v>
      </c>
      <c r="BK48" s="283"/>
      <c r="BL48" s="283"/>
      <c r="BM48" s="283">
        <v>5.543364602576891</v>
      </c>
      <c r="BN48" s="283"/>
      <c r="BO48" s="283"/>
      <c r="BP48" s="283">
        <v>10.8122141575</v>
      </c>
      <c r="BQ48" s="283"/>
      <c r="BR48" s="284"/>
      <c r="BS48" s="35">
        <v>1.1922562335604201</v>
      </c>
      <c r="BT48" s="32">
        <v>0.51623476291562664</v>
      </c>
      <c r="BU48" s="36">
        <v>0.19896241396316494</v>
      </c>
      <c r="BV48" s="37">
        <v>43190</v>
      </c>
      <c r="BW48" s="38" t="s">
        <v>77</v>
      </c>
      <c r="CD48" s="95"/>
    </row>
    <row r="49" spans="1:82" s="94" customFormat="1" ht="11.25" customHeight="1" x14ac:dyDescent="0.2">
      <c r="A49" s="330" t="s">
        <v>78</v>
      </c>
      <c r="B49" s="330"/>
      <c r="C49" s="331">
        <v>1.18</v>
      </c>
      <c r="D49" s="331"/>
      <c r="E49" s="60">
        <v>1</v>
      </c>
      <c r="F49" s="384" t="s">
        <v>46</v>
      </c>
      <c r="G49" s="385"/>
      <c r="H49" s="386"/>
      <c r="I49" s="318">
        <v>-0.66528020034580715</v>
      </c>
      <c r="J49" s="318"/>
      <c r="K49" s="318"/>
      <c r="L49" s="319">
        <v>0.15590999999999999</v>
      </c>
      <c r="M49" s="333"/>
      <c r="N49" s="334"/>
      <c r="O49" s="319">
        <v>0.11867999999999999</v>
      </c>
      <c r="P49" s="333"/>
      <c r="Q49" s="334"/>
      <c r="R49" s="335">
        <v>0</v>
      </c>
      <c r="S49" s="336"/>
      <c r="T49" s="337"/>
      <c r="U49" s="318">
        <v>0.53394487622952469</v>
      </c>
      <c r="V49" s="318"/>
      <c r="W49" s="318"/>
      <c r="X49" s="329">
        <v>93.439852947748605</v>
      </c>
      <c r="Y49" s="329"/>
      <c r="Z49" s="329"/>
      <c r="AA49" s="328">
        <v>0.28224749999999998</v>
      </c>
      <c r="AB49" s="328"/>
      <c r="AC49" s="328"/>
      <c r="AD49" s="396" t="s">
        <v>46</v>
      </c>
      <c r="AE49" s="397"/>
      <c r="AF49" s="398"/>
      <c r="AG49" s="328" t="s">
        <v>46</v>
      </c>
      <c r="AH49" s="328"/>
      <c r="AI49" s="328"/>
      <c r="AJ49" s="328">
        <v>-2.97207262443197</v>
      </c>
      <c r="AK49" s="328"/>
      <c r="AL49" s="328"/>
      <c r="AM49" s="328" t="s">
        <v>46</v>
      </c>
      <c r="AN49" s="328"/>
      <c r="AO49" s="328"/>
      <c r="AP49" s="328">
        <v>-0.23378467498773015</v>
      </c>
      <c r="AQ49" s="328"/>
      <c r="AR49" s="328"/>
      <c r="AS49" s="43" t="s">
        <v>46</v>
      </c>
      <c r="AT49" s="43">
        <v>-0.75821799053027006</v>
      </c>
      <c r="AU49" s="44">
        <v>1.3698024788125729</v>
      </c>
      <c r="AV49" s="45">
        <v>143.74499250000002</v>
      </c>
      <c r="AW49" s="46">
        <v>0.36899586081182806</v>
      </c>
      <c r="AX49" s="318">
        <v>0.51143856383000097</v>
      </c>
      <c r="AY49" s="318"/>
      <c r="AZ49" s="318"/>
      <c r="BA49" s="318">
        <v>0.54520142383000003</v>
      </c>
      <c r="BB49" s="318"/>
      <c r="BC49" s="318"/>
      <c r="BD49" s="319" t="s">
        <v>46</v>
      </c>
      <c r="BE49" s="333"/>
      <c r="BF49" s="334"/>
      <c r="BG49" s="318" t="s">
        <v>46</v>
      </c>
      <c r="BH49" s="318"/>
      <c r="BI49" s="318"/>
      <c r="BJ49" s="318" t="s">
        <v>46</v>
      </c>
      <c r="BK49" s="318"/>
      <c r="BL49" s="318"/>
      <c r="BM49" s="318">
        <v>5.7722952344491212</v>
      </c>
      <c r="BN49" s="318"/>
      <c r="BO49" s="318"/>
      <c r="BP49" s="318" t="s">
        <v>46</v>
      </c>
      <c r="BQ49" s="318"/>
      <c r="BR49" s="319"/>
      <c r="BS49" s="47">
        <v>0.75189998497426702</v>
      </c>
      <c r="BT49" s="43">
        <v>0.5294609054485705</v>
      </c>
      <c r="BU49" s="46">
        <v>-0.15934738417259076</v>
      </c>
      <c r="BV49" s="48">
        <v>43190</v>
      </c>
      <c r="BW49" s="49" t="s">
        <v>78</v>
      </c>
      <c r="CD49" s="95"/>
    </row>
    <row r="50" spans="1:82" s="94" customFormat="1" ht="11.25" customHeight="1" x14ac:dyDescent="0.2">
      <c r="A50" s="290" t="s">
        <v>79</v>
      </c>
      <c r="B50" s="290"/>
      <c r="C50" s="291" t="s">
        <v>274</v>
      </c>
      <c r="D50" s="291"/>
      <c r="E50" s="116">
        <v>1</v>
      </c>
      <c r="F50" s="292" t="s">
        <v>46</v>
      </c>
      <c r="G50" s="293"/>
      <c r="H50" s="294"/>
      <c r="I50" s="283" t="s">
        <v>46</v>
      </c>
      <c r="J50" s="283"/>
      <c r="K50" s="283"/>
      <c r="L50" s="284" t="s">
        <v>275</v>
      </c>
      <c r="M50" s="295"/>
      <c r="N50" s="296"/>
      <c r="O50" s="284" t="s">
        <v>276</v>
      </c>
      <c r="P50" s="295"/>
      <c r="Q50" s="296"/>
      <c r="R50" s="297" t="s">
        <v>46</v>
      </c>
      <c r="S50" s="298"/>
      <c r="T50" s="299"/>
      <c r="U50" s="283" t="s">
        <v>46</v>
      </c>
      <c r="V50" s="283"/>
      <c r="W50" s="283"/>
      <c r="X50" s="286" t="s">
        <v>46</v>
      </c>
      <c r="Y50" s="286"/>
      <c r="Z50" s="286"/>
      <c r="AA50" s="285" t="s">
        <v>46</v>
      </c>
      <c r="AB50" s="285"/>
      <c r="AC50" s="285"/>
      <c r="AD50" s="393" t="s">
        <v>46</v>
      </c>
      <c r="AE50" s="394"/>
      <c r="AF50" s="395"/>
      <c r="AG50" s="285" t="s">
        <v>46</v>
      </c>
      <c r="AH50" s="285"/>
      <c r="AI50" s="285"/>
      <c r="AJ50" s="285" t="s">
        <v>46</v>
      </c>
      <c r="AK50" s="285"/>
      <c r="AL50" s="285"/>
      <c r="AM50" s="285" t="s">
        <v>46</v>
      </c>
      <c r="AN50" s="285"/>
      <c r="AO50" s="285"/>
      <c r="AP50" s="285" t="s">
        <v>46</v>
      </c>
      <c r="AQ50" s="285"/>
      <c r="AR50" s="285"/>
      <c r="AS50" s="32" t="s">
        <v>46</v>
      </c>
      <c r="AT50" s="32" t="s">
        <v>46</v>
      </c>
      <c r="AU50" s="33" t="s">
        <v>46</v>
      </c>
      <c r="AV50" s="34" t="s">
        <v>46</v>
      </c>
      <c r="AW50" s="32" t="s">
        <v>46</v>
      </c>
      <c r="AX50" s="283" t="s">
        <v>46</v>
      </c>
      <c r="AY50" s="283"/>
      <c r="AZ50" s="283"/>
      <c r="BA50" s="283">
        <v>54.721317822000003</v>
      </c>
      <c r="BB50" s="283"/>
      <c r="BC50" s="283"/>
      <c r="BD50" s="284" t="s">
        <v>46</v>
      </c>
      <c r="BE50" s="295"/>
      <c r="BF50" s="296"/>
      <c r="BG50" s="283" t="s">
        <v>46</v>
      </c>
      <c r="BH50" s="283"/>
      <c r="BI50" s="283"/>
      <c r="BJ50" s="283" t="s">
        <v>46</v>
      </c>
      <c r="BK50" s="283"/>
      <c r="BL50" s="283"/>
      <c r="BM50" s="283" t="s">
        <v>46</v>
      </c>
      <c r="BN50" s="283"/>
      <c r="BO50" s="283"/>
      <c r="BP50" s="283" t="s">
        <v>277</v>
      </c>
      <c r="BQ50" s="283"/>
      <c r="BR50" s="284"/>
      <c r="BS50" s="35">
        <v>0.99651264484237401</v>
      </c>
      <c r="BT50" s="32">
        <v>0.40869174902616329</v>
      </c>
      <c r="BU50" s="36">
        <v>-2.5183536797491635E-2</v>
      </c>
      <c r="BV50" s="37" t="s">
        <v>46</v>
      </c>
      <c r="BW50" s="38" t="s">
        <v>79</v>
      </c>
      <c r="CD50" s="95"/>
    </row>
    <row r="51" spans="1:82" s="94" customFormat="1" ht="11.25" customHeight="1" x14ac:dyDescent="0.2">
      <c r="A51" s="330" t="s">
        <v>80</v>
      </c>
      <c r="B51" s="330"/>
      <c r="C51" s="331">
        <v>7.2</v>
      </c>
      <c r="D51" s="331"/>
      <c r="E51" s="60">
        <v>0.1</v>
      </c>
      <c r="F51" s="384" t="s">
        <v>46</v>
      </c>
      <c r="G51" s="385"/>
      <c r="H51" s="386"/>
      <c r="I51" s="318" t="s">
        <v>46</v>
      </c>
      <c r="J51" s="318"/>
      <c r="K51" s="318"/>
      <c r="L51" s="319" t="s">
        <v>46</v>
      </c>
      <c r="M51" s="333"/>
      <c r="N51" s="334"/>
      <c r="O51" s="319" t="s">
        <v>46</v>
      </c>
      <c r="P51" s="333"/>
      <c r="Q51" s="334"/>
      <c r="R51" s="335">
        <v>0</v>
      </c>
      <c r="S51" s="336"/>
      <c r="T51" s="337"/>
      <c r="U51" s="318" t="s">
        <v>46</v>
      </c>
      <c r="V51" s="318"/>
      <c r="W51" s="318"/>
      <c r="X51" s="329" t="s">
        <v>46</v>
      </c>
      <c r="Y51" s="329"/>
      <c r="Z51" s="329"/>
      <c r="AA51" s="328">
        <v>5.9323399999999998E-2</v>
      </c>
      <c r="AB51" s="328"/>
      <c r="AC51" s="328"/>
      <c r="AD51" s="396" t="s">
        <v>46</v>
      </c>
      <c r="AE51" s="397"/>
      <c r="AF51" s="398"/>
      <c r="AG51" s="328" t="s">
        <v>46</v>
      </c>
      <c r="AH51" s="328"/>
      <c r="AI51" s="328"/>
      <c r="AJ51" s="328" t="s">
        <v>46</v>
      </c>
      <c r="AK51" s="328"/>
      <c r="AL51" s="328"/>
      <c r="AM51" s="328">
        <v>0</v>
      </c>
      <c r="AN51" s="328"/>
      <c r="AO51" s="328"/>
      <c r="AP51" s="328" t="s">
        <v>46</v>
      </c>
      <c r="AQ51" s="328"/>
      <c r="AR51" s="328"/>
      <c r="AS51" s="43" t="s">
        <v>46</v>
      </c>
      <c r="AT51" s="43">
        <v>-20.292672490260671</v>
      </c>
      <c r="AU51" s="44">
        <v>31.312855668987751</v>
      </c>
      <c r="AV51" s="45" t="s">
        <v>46</v>
      </c>
      <c r="AW51" s="46" t="s">
        <v>46</v>
      </c>
      <c r="AX51" s="318">
        <v>23.9677497809875</v>
      </c>
      <c r="AY51" s="318"/>
      <c r="AZ51" s="318"/>
      <c r="BA51" s="318">
        <v>4.3235368360799997</v>
      </c>
      <c r="BB51" s="318"/>
      <c r="BC51" s="318"/>
      <c r="BD51" s="319">
        <v>4.8560138333385003</v>
      </c>
      <c r="BE51" s="333"/>
      <c r="BF51" s="334"/>
      <c r="BG51" s="318" t="s">
        <v>46</v>
      </c>
      <c r="BH51" s="318"/>
      <c r="BI51" s="318"/>
      <c r="BJ51" s="318" t="s">
        <v>46</v>
      </c>
      <c r="BK51" s="318"/>
      <c r="BL51" s="318"/>
      <c r="BM51" s="318" t="s">
        <v>46</v>
      </c>
      <c r="BN51" s="318"/>
      <c r="BO51" s="318"/>
      <c r="BP51" s="318" t="s">
        <v>46</v>
      </c>
      <c r="BQ51" s="318"/>
      <c r="BR51" s="319"/>
      <c r="BS51" s="47">
        <v>1.0219212599859999</v>
      </c>
      <c r="BT51" s="43" t="s">
        <v>46</v>
      </c>
      <c r="BU51" s="46" t="s">
        <v>46</v>
      </c>
      <c r="BV51" s="48" t="s">
        <v>46</v>
      </c>
      <c r="BW51" s="49" t="s">
        <v>80</v>
      </c>
      <c r="CD51" s="95"/>
    </row>
    <row r="52" spans="1:82" s="40" customFormat="1" ht="11.25" customHeight="1" x14ac:dyDescent="0.2">
      <c r="A52" s="308" t="s">
        <v>57</v>
      </c>
      <c r="B52" s="309"/>
      <c r="C52" s="310"/>
      <c r="D52" s="311"/>
      <c r="E52" s="61"/>
      <c r="F52" s="303">
        <v>0.58909080373387501</v>
      </c>
      <c r="G52" s="304"/>
      <c r="H52" s="305"/>
      <c r="I52" s="303">
        <v>2.3099349418074184</v>
      </c>
      <c r="J52" s="304"/>
      <c r="K52" s="305"/>
      <c r="L52" s="303">
        <v>1.4368240000000001</v>
      </c>
      <c r="M52" s="304"/>
      <c r="N52" s="305"/>
      <c r="O52" s="303">
        <v>1.197835</v>
      </c>
      <c r="P52" s="304"/>
      <c r="Q52" s="305"/>
      <c r="R52" s="312">
        <v>1.127002130535292E-2</v>
      </c>
      <c r="S52" s="313"/>
      <c r="T52" s="314"/>
      <c r="U52" s="303">
        <v>0.76450583631206703</v>
      </c>
      <c r="V52" s="304"/>
      <c r="W52" s="305"/>
      <c r="X52" s="303">
        <v>61.213078548176213</v>
      </c>
      <c r="Y52" s="304"/>
      <c r="Z52" s="305"/>
      <c r="AA52" s="300">
        <v>0.28556049999999999</v>
      </c>
      <c r="AB52" s="301"/>
      <c r="AC52" s="302"/>
      <c r="AD52" s="300">
        <v>0.23445304285714288</v>
      </c>
      <c r="AE52" s="301"/>
      <c r="AF52" s="302"/>
      <c r="AG52" s="300">
        <v>0.27630772441888429</v>
      </c>
      <c r="AH52" s="301"/>
      <c r="AI52" s="302"/>
      <c r="AJ52" s="300">
        <v>-0.24785445917483451</v>
      </c>
      <c r="AK52" s="301"/>
      <c r="AL52" s="302"/>
      <c r="AM52" s="300">
        <v>0.24097412181813263</v>
      </c>
      <c r="AN52" s="301"/>
      <c r="AO52" s="302"/>
      <c r="AP52" s="300">
        <v>7.1864649477175885E-2</v>
      </c>
      <c r="AQ52" s="301"/>
      <c r="AR52" s="302"/>
      <c r="AS52" s="62">
        <v>32.690025961889042</v>
      </c>
      <c r="AT52" s="62">
        <v>-1.5196822304913677</v>
      </c>
      <c r="AU52" s="63">
        <v>6.9822432636406946</v>
      </c>
      <c r="AV52" s="64">
        <v>50468.886221732966</v>
      </c>
      <c r="AW52" s="62">
        <v>8.5653321711926136</v>
      </c>
      <c r="AX52" s="287">
        <v>508.4958495149009</v>
      </c>
      <c r="AY52" s="288"/>
      <c r="AZ52" s="289"/>
      <c r="BA52" s="287">
        <v>264.6109697371383</v>
      </c>
      <c r="BB52" s="288"/>
      <c r="BC52" s="289"/>
      <c r="BD52" s="287">
        <v>6.6182150993285838</v>
      </c>
      <c r="BE52" s="288"/>
      <c r="BF52" s="289"/>
      <c r="BG52" s="287">
        <v>2.5095255473677796</v>
      </c>
      <c r="BH52" s="288"/>
      <c r="BI52" s="289"/>
      <c r="BJ52" s="287">
        <v>35.424851586588176</v>
      </c>
      <c r="BK52" s="288"/>
      <c r="BL52" s="289"/>
      <c r="BM52" s="287">
        <v>2.8514217637411408</v>
      </c>
      <c r="BN52" s="288"/>
      <c r="BO52" s="289"/>
      <c r="BP52" s="287">
        <v>62.891417354771434</v>
      </c>
      <c r="BQ52" s="288"/>
      <c r="BR52" s="289"/>
      <c r="BS52" s="65">
        <v>0.87625039795109405</v>
      </c>
      <c r="BT52" s="62">
        <v>0.46788961464045553</v>
      </c>
      <c r="BU52" s="62">
        <v>1.72796303193271E-2</v>
      </c>
      <c r="BV52" s="66"/>
      <c r="BW52" s="66"/>
      <c r="CD52" s="41"/>
    </row>
    <row r="53" spans="1:82" s="92" customFormat="1" ht="11.25" customHeight="1" x14ac:dyDescent="0.2">
      <c r="A53" s="67" t="s">
        <v>81</v>
      </c>
      <c r="B53" s="67"/>
      <c r="C53" s="67"/>
      <c r="D53" s="67"/>
      <c r="E53" s="67"/>
      <c r="F53" s="67"/>
      <c r="G53" s="67"/>
      <c r="H53" s="67"/>
      <c r="I53" s="67"/>
      <c r="J53" s="67"/>
      <c r="K53" s="67"/>
      <c r="L53" s="67"/>
      <c r="M53" s="67"/>
      <c r="N53" s="67"/>
      <c r="O53" s="67"/>
      <c r="P53" s="67"/>
      <c r="Q53" s="67"/>
      <c r="R53" s="67"/>
      <c r="S53" s="67"/>
      <c r="T53" s="67"/>
      <c r="U53" s="67"/>
      <c r="V53" s="67"/>
      <c r="W53" s="67"/>
      <c r="X53" s="67"/>
      <c r="Y53" s="67"/>
      <c r="Z53" s="67"/>
      <c r="AA53" s="67"/>
      <c r="AB53" s="67"/>
      <c r="AC53" s="67"/>
      <c r="AD53" s="67"/>
      <c r="AE53" s="67"/>
      <c r="AF53" s="67"/>
      <c r="AG53" s="67"/>
      <c r="AH53" s="67"/>
      <c r="AI53" s="67"/>
      <c r="AJ53" s="67"/>
      <c r="AK53" s="67"/>
      <c r="AL53" s="67"/>
      <c r="AM53" s="67"/>
      <c r="AN53" s="67"/>
      <c r="AO53" s="67"/>
      <c r="AP53" s="67"/>
      <c r="AQ53" s="67"/>
      <c r="AR53" s="67"/>
      <c r="AS53" s="67"/>
      <c r="AT53" s="67"/>
      <c r="AU53" s="67"/>
      <c r="AV53" s="67"/>
      <c r="AW53" s="69"/>
      <c r="AX53" s="67"/>
      <c r="AY53" s="67"/>
      <c r="AZ53" s="67"/>
      <c r="BA53" s="67"/>
      <c r="BB53" s="67"/>
      <c r="BC53" s="67"/>
      <c r="BD53" s="67"/>
      <c r="BE53" s="67"/>
      <c r="BF53" s="67"/>
      <c r="BG53" s="67"/>
      <c r="BH53" s="67"/>
      <c r="BI53" s="67"/>
      <c r="BJ53" s="67"/>
      <c r="BK53" s="67"/>
      <c r="BL53" s="67"/>
      <c r="BM53" s="67"/>
      <c r="BN53" s="67"/>
      <c r="BO53" s="67"/>
      <c r="BP53" s="67"/>
      <c r="BQ53" s="67"/>
      <c r="BR53" s="67"/>
      <c r="BS53" s="67"/>
      <c r="BT53" s="67"/>
      <c r="BU53" s="67"/>
      <c r="BV53" s="70"/>
      <c r="BW53" s="71"/>
      <c r="CD53" s="93"/>
    </row>
    <row r="54" spans="1:82" s="94" customFormat="1" ht="11.25" customHeight="1" x14ac:dyDescent="0.2">
      <c r="A54" s="417" t="s">
        <v>82</v>
      </c>
      <c r="B54" s="290"/>
      <c r="C54" s="291">
        <v>152.5</v>
      </c>
      <c r="D54" s="291"/>
      <c r="E54" s="117">
        <v>0.5</v>
      </c>
      <c r="F54" s="338">
        <v>2.3585312947500001</v>
      </c>
      <c r="G54" s="338"/>
      <c r="H54" s="338"/>
      <c r="I54" s="283">
        <v>15.1468915845337</v>
      </c>
      <c r="J54" s="283"/>
      <c r="K54" s="283"/>
      <c r="L54" s="284" t="s">
        <v>46</v>
      </c>
      <c r="M54" s="295"/>
      <c r="N54" s="296"/>
      <c r="O54" s="284" t="s">
        <v>46</v>
      </c>
      <c r="P54" s="295"/>
      <c r="Q54" s="296"/>
      <c r="R54" s="297">
        <v>3.5831838722785399E-2</v>
      </c>
      <c r="S54" s="298"/>
      <c r="T54" s="299"/>
      <c r="U54" s="283" t="s">
        <v>46</v>
      </c>
      <c r="V54" s="283"/>
      <c r="W54" s="283"/>
      <c r="X54" s="286" t="s">
        <v>46</v>
      </c>
      <c r="Y54" s="286"/>
      <c r="Z54" s="286"/>
      <c r="AA54" s="285" t="s">
        <v>46</v>
      </c>
      <c r="AB54" s="285"/>
      <c r="AC54" s="285"/>
      <c r="AD54" s="393" t="s">
        <v>46</v>
      </c>
      <c r="AE54" s="394"/>
      <c r="AF54" s="395"/>
      <c r="AG54" s="285" t="s">
        <v>46</v>
      </c>
      <c r="AH54" s="285"/>
      <c r="AI54" s="285"/>
      <c r="AJ54" s="285" t="s">
        <v>46</v>
      </c>
      <c r="AK54" s="285"/>
      <c r="AL54" s="285"/>
      <c r="AM54" s="285" t="s">
        <v>46</v>
      </c>
      <c r="AN54" s="285"/>
      <c r="AO54" s="285"/>
      <c r="AP54" s="285">
        <v>2.781615444055115E-3</v>
      </c>
      <c r="AQ54" s="285"/>
      <c r="AR54" s="285"/>
      <c r="AS54" s="32">
        <v>0.66578789590865717</v>
      </c>
      <c r="AT54" s="32">
        <v>0.65471904538243175</v>
      </c>
      <c r="AU54" s="33">
        <v>0.55326285764565264</v>
      </c>
      <c r="AV54" s="34" t="s">
        <v>46</v>
      </c>
      <c r="AW54" s="32" t="s">
        <v>46</v>
      </c>
      <c r="AX54" s="283">
        <v>4921.7937367948207</v>
      </c>
      <c r="AY54" s="283"/>
      <c r="AZ54" s="283"/>
      <c r="BA54" s="283">
        <v>2446.1874505149999</v>
      </c>
      <c r="BB54" s="283"/>
      <c r="BC54" s="283"/>
      <c r="BD54" s="284">
        <v>9.7340883040089103</v>
      </c>
      <c r="BE54" s="295"/>
      <c r="BF54" s="296"/>
      <c r="BG54" s="283">
        <v>1.4858264933691538</v>
      </c>
      <c r="BH54" s="283"/>
      <c r="BI54" s="283"/>
      <c r="BJ54" s="283">
        <v>31.714393225560119</v>
      </c>
      <c r="BK54" s="283"/>
      <c r="BL54" s="283"/>
      <c r="BM54" s="283" t="s">
        <v>46</v>
      </c>
      <c r="BN54" s="283"/>
      <c r="BO54" s="283"/>
      <c r="BP54" s="283" t="s">
        <v>46</v>
      </c>
      <c r="BQ54" s="283"/>
      <c r="BR54" s="284"/>
      <c r="BS54" s="35">
        <v>0.199971289296516</v>
      </c>
      <c r="BT54" s="32">
        <v>0.471818546072648</v>
      </c>
      <c r="BU54" s="36">
        <v>-8.7565407018131203E-2</v>
      </c>
      <c r="BV54" s="37">
        <v>43190</v>
      </c>
      <c r="BW54" s="38" t="s">
        <v>82</v>
      </c>
      <c r="CD54" s="95"/>
    </row>
    <row r="55" spans="1:82" s="94" customFormat="1" ht="11.25" customHeight="1" x14ac:dyDescent="0.2">
      <c r="A55" s="330" t="s">
        <v>83</v>
      </c>
      <c r="B55" s="330"/>
      <c r="C55" s="331">
        <v>87</v>
      </c>
      <c r="D55" s="331"/>
      <c r="E55" s="118">
        <v>1</v>
      </c>
      <c r="F55" s="332">
        <v>0.81900458494000006</v>
      </c>
      <c r="G55" s="332"/>
      <c r="H55" s="332"/>
      <c r="I55" s="318">
        <v>6.2048551588472822</v>
      </c>
      <c r="J55" s="318"/>
      <c r="K55" s="318"/>
      <c r="L55" s="319" t="s">
        <v>46</v>
      </c>
      <c r="M55" s="333"/>
      <c r="N55" s="334"/>
      <c r="O55" s="319" t="s">
        <v>46</v>
      </c>
      <c r="P55" s="333"/>
      <c r="Q55" s="334"/>
      <c r="R55" s="335">
        <v>6.0022210776152999E-3</v>
      </c>
      <c r="S55" s="336"/>
      <c r="T55" s="337"/>
      <c r="U55" s="318" t="s">
        <v>46</v>
      </c>
      <c r="V55" s="318"/>
      <c r="W55" s="318"/>
      <c r="X55" s="329" t="s">
        <v>46</v>
      </c>
      <c r="Y55" s="329"/>
      <c r="Z55" s="329"/>
      <c r="AA55" s="328" t="s">
        <v>46</v>
      </c>
      <c r="AB55" s="328"/>
      <c r="AC55" s="328"/>
      <c r="AD55" s="396" t="s">
        <v>46</v>
      </c>
      <c r="AE55" s="397"/>
      <c r="AF55" s="398"/>
      <c r="AG55" s="328" t="s">
        <v>46</v>
      </c>
      <c r="AH55" s="328"/>
      <c r="AI55" s="328"/>
      <c r="AJ55" s="328" t="s">
        <v>46</v>
      </c>
      <c r="AK55" s="328"/>
      <c r="AL55" s="328"/>
      <c r="AM55" s="339">
        <v>0.21863913130325641</v>
      </c>
      <c r="AN55" s="339"/>
      <c r="AO55" s="339"/>
      <c r="AP55" s="328">
        <v>3.2000118070617777E-2</v>
      </c>
      <c r="AQ55" s="328"/>
      <c r="AR55" s="328"/>
      <c r="AS55" s="43">
        <v>0.59953030473828584</v>
      </c>
      <c r="AT55" s="43">
        <v>0.65855040114497643</v>
      </c>
      <c r="AU55" s="44">
        <v>0.45887993371235269</v>
      </c>
      <c r="AV55" s="45" t="s">
        <v>46</v>
      </c>
      <c r="AW55" s="46" t="s">
        <v>46</v>
      </c>
      <c r="AX55" s="318">
        <v>17.556896512599998</v>
      </c>
      <c r="AY55" s="318"/>
      <c r="AZ55" s="318"/>
      <c r="BA55" s="318">
        <v>40.602614425800006</v>
      </c>
      <c r="BB55" s="318"/>
      <c r="BC55" s="318"/>
      <c r="BD55" s="319">
        <v>4.2402892679739903</v>
      </c>
      <c r="BE55" s="333"/>
      <c r="BF55" s="334"/>
      <c r="BG55" s="318">
        <v>2.7396626684202081</v>
      </c>
      <c r="BH55" s="318"/>
      <c r="BI55" s="318"/>
      <c r="BJ55" s="318">
        <v>14.811258599467815</v>
      </c>
      <c r="BK55" s="318"/>
      <c r="BL55" s="318"/>
      <c r="BM55" s="318" t="s">
        <v>46</v>
      </c>
      <c r="BN55" s="318"/>
      <c r="BO55" s="318"/>
      <c r="BP55" s="318">
        <v>12.3054395421</v>
      </c>
      <c r="BQ55" s="318"/>
      <c r="BR55" s="319"/>
      <c r="BS55" s="47">
        <v>1.0924852576952899</v>
      </c>
      <c r="BT55" s="43" t="s">
        <v>46</v>
      </c>
      <c r="BU55" s="46" t="s">
        <v>46</v>
      </c>
      <c r="BV55" s="48">
        <v>43100</v>
      </c>
      <c r="BW55" s="49" t="s">
        <v>83</v>
      </c>
      <c r="CD55" s="95"/>
    </row>
    <row r="56" spans="1:82" s="94" customFormat="1" ht="11.25" customHeight="1" x14ac:dyDescent="0.2">
      <c r="A56" s="290" t="s">
        <v>84</v>
      </c>
      <c r="B56" s="290"/>
      <c r="C56" s="291">
        <v>192</v>
      </c>
      <c r="D56" s="291"/>
      <c r="E56" s="117">
        <v>1</v>
      </c>
      <c r="F56" s="338">
        <v>0.27287297930900001</v>
      </c>
      <c r="G56" s="338"/>
      <c r="H56" s="338"/>
      <c r="I56" s="283">
        <v>4.6253950377946094</v>
      </c>
      <c r="J56" s="283"/>
      <c r="K56" s="283"/>
      <c r="L56" s="284" t="s">
        <v>46</v>
      </c>
      <c r="M56" s="295"/>
      <c r="N56" s="296"/>
      <c r="O56" s="284" t="s">
        <v>46</v>
      </c>
      <c r="P56" s="295"/>
      <c r="Q56" s="296"/>
      <c r="R56" s="297">
        <v>2.54220456802383E-2</v>
      </c>
      <c r="S56" s="298"/>
      <c r="T56" s="299"/>
      <c r="U56" s="283" t="s">
        <v>46</v>
      </c>
      <c r="V56" s="283"/>
      <c r="W56" s="283"/>
      <c r="X56" s="286" t="s">
        <v>46</v>
      </c>
      <c r="Y56" s="286"/>
      <c r="Z56" s="286"/>
      <c r="AA56" s="285" t="s">
        <v>46</v>
      </c>
      <c r="AB56" s="285"/>
      <c r="AC56" s="285"/>
      <c r="AD56" s="393" t="s">
        <v>46</v>
      </c>
      <c r="AE56" s="394"/>
      <c r="AF56" s="395"/>
      <c r="AG56" s="285" t="s">
        <v>46</v>
      </c>
      <c r="AH56" s="285"/>
      <c r="AI56" s="285"/>
      <c r="AJ56" s="285" t="s">
        <v>46</v>
      </c>
      <c r="AK56" s="285"/>
      <c r="AL56" s="285"/>
      <c r="AM56" s="285">
        <v>0.26425925176483056</v>
      </c>
      <c r="AN56" s="285"/>
      <c r="AO56" s="285"/>
      <c r="AP56" s="285">
        <v>5.2590180511972985E-2</v>
      </c>
      <c r="AQ56" s="285"/>
      <c r="AR56" s="285"/>
      <c r="AS56" s="32">
        <v>0.7639004380226293</v>
      </c>
      <c r="AT56" s="32">
        <v>0.44815433500241814</v>
      </c>
      <c r="AU56" s="33">
        <v>0.11877595403933269</v>
      </c>
      <c r="AV56" s="34" t="s">
        <v>46</v>
      </c>
      <c r="AW56" s="32" t="s">
        <v>46</v>
      </c>
      <c r="AX56" s="283">
        <v>121.2677384294</v>
      </c>
      <c r="AY56" s="283"/>
      <c r="AZ56" s="283"/>
      <c r="BA56" s="283">
        <v>134.8701324294</v>
      </c>
      <c r="BB56" s="283"/>
      <c r="BC56" s="283"/>
      <c r="BD56" s="284">
        <v>5.7226713717400397</v>
      </c>
      <c r="BE56" s="295"/>
      <c r="BF56" s="296"/>
      <c r="BG56" s="283">
        <v>2.7446973520707365</v>
      </c>
      <c r="BH56" s="283"/>
      <c r="BI56" s="283"/>
      <c r="BJ56" s="283">
        <v>11.775045122340879</v>
      </c>
      <c r="BK56" s="283"/>
      <c r="BL56" s="283"/>
      <c r="BM56" s="283" t="s">
        <v>46</v>
      </c>
      <c r="BN56" s="283"/>
      <c r="BO56" s="283"/>
      <c r="BP56" s="283">
        <v>10.884983952900001</v>
      </c>
      <c r="BQ56" s="283"/>
      <c r="BR56" s="284"/>
      <c r="BS56" s="35">
        <v>1.0509965702417099</v>
      </c>
      <c r="BT56" s="32">
        <v>0.47457275552732103</v>
      </c>
      <c r="BU56" s="36">
        <v>0.16351309135796543</v>
      </c>
      <c r="BV56" s="37">
        <v>43190</v>
      </c>
      <c r="BW56" s="38" t="s">
        <v>84</v>
      </c>
      <c r="CD56" s="95"/>
    </row>
    <row r="57" spans="1:82" s="94" customFormat="1" ht="11.25" customHeight="1" x14ac:dyDescent="0.2">
      <c r="A57" s="330" t="s">
        <v>85</v>
      </c>
      <c r="B57" s="330"/>
      <c r="C57" s="331">
        <v>49</v>
      </c>
      <c r="D57" s="331"/>
      <c r="E57" s="118">
        <v>1</v>
      </c>
      <c r="F57" s="332">
        <v>0.53839289414500002</v>
      </c>
      <c r="G57" s="332"/>
      <c r="H57" s="332"/>
      <c r="I57" s="318">
        <v>7.1227000840535268</v>
      </c>
      <c r="J57" s="318"/>
      <c r="K57" s="318"/>
      <c r="L57" s="319" t="s">
        <v>46</v>
      </c>
      <c r="M57" s="333"/>
      <c r="N57" s="334"/>
      <c r="O57" s="319" t="s">
        <v>46</v>
      </c>
      <c r="P57" s="333"/>
      <c r="Q57" s="334"/>
      <c r="R57" s="335">
        <v>4.8467279058823504E-2</v>
      </c>
      <c r="S57" s="336"/>
      <c r="T57" s="337"/>
      <c r="U57" s="318" t="s">
        <v>46</v>
      </c>
      <c r="V57" s="318"/>
      <c r="W57" s="318"/>
      <c r="X57" s="329" t="s">
        <v>46</v>
      </c>
      <c r="Y57" s="329"/>
      <c r="Z57" s="329"/>
      <c r="AA57" s="328" t="s">
        <v>46</v>
      </c>
      <c r="AB57" s="328"/>
      <c r="AC57" s="328"/>
      <c r="AD57" s="396" t="s">
        <v>46</v>
      </c>
      <c r="AE57" s="397"/>
      <c r="AF57" s="398"/>
      <c r="AG57" s="328" t="s">
        <v>46</v>
      </c>
      <c r="AH57" s="328"/>
      <c r="AI57" s="328"/>
      <c r="AJ57" s="328" t="s">
        <v>46</v>
      </c>
      <c r="AK57" s="328"/>
      <c r="AL57" s="328"/>
      <c r="AM57" s="339">
        <v>0.31975177962536505</v>
      </c>
      <c r="AN57" s="339"/>
      <c r="AO57" s="339"/>
      <c r="AP57" s="328">
        <v>3.9348461421712853E-2</v>
      </c>
      <c r="AQ57" s="328"/>
      <c r="AR57" s="328"/>
      <c r="AS57" s="43">
        <v>9.292933589808694E-2</v>
      </c>
      <c r="AT57" s="43">
        <v>0.34231445897457558</v>
      </c>
      <c r="AU57" s="44">
        <v>0.27661379060006563</v>
      </c>
      <c r="AV57" s="45" t="s">
        <v>46</v>
      </c>
      <c r="AW57" s="46" t="s">
        <v>46</v>
      </c>
      <c r="AX57" s="318">
        <v>30.018001369</v>
      </c>
      <c r="AY57" s="318"/>
      <c r="AZ57" s="318"/>
      <c r="BA57" s="318">
        <v>36.676407087000001</v>
      </c>
      <c r="BB57" s="318"/>
      <c r="BC57" s="318"/>
      <c r="BD57" s="319">
        <v>3.95966954067414</v>
      </c>
      <c r="BE57" s="333"/>
      <c r="BF57" s="334"/>
      <c r="BG57" s="318">
        <v>2.7930573606860447</v>
      </c>
      <c r="BH57" s="318"/>
      <c r="BI57" s="318"/>
      <c r="BJ57" s="318">
        <v>9.7394595196260045</v>
      </c>
      <c r="BK57" s="318"/>
      <c r="BL57" s="318"/>
      <c r="BM57" s="318" t="s">
        <v>46</v>
      </c>
      <c r="BN57" s="318"/>
      <c r="BO57" s="318"/>
      <c r="BP57" s="318">
        <v>9.9826789941000005</v>
      </c>
      <c r="BQ57" s="318"/>
      <c r="BR57" s="319"/>
      <c r="BS57" s="47">
        <v>0.88241195809808703</v>
      </c>
      <c r="BT57" s="43">
        <v>0.44588919957244738</v>
      </c>
      <c r="BU57" s="46">
        <v>0.1759946839310409</v>
      </c>
      <c r="BV57" s="48">
        <v>43190</v>
      </c>
      <c r="BW57" s="49" t="s">
        <v>85</v>
      </c>
      <c r="CD57" s="95"/>
    </row>
    <row r="58" spans="1:82" s="94" customFormat="1" ht="11.25" customHeight="1" x14ac:dyDescent="0.2">
      <c r="A58" s="290" t="s">
        <v>86</v>
      </c>
      <c r="B58" s="290"/>
      <c r="C58" s="291">
        <v>15.450000000000001</v>
      </c>
      <c r="D58" s="291"/>
      <c r="E58" s="117">
        <v>1</v>
      </c>
      <c r="F58" s="338">
        <v>8.5195824515999996E-2</v>
      </c>
      <c r="G58" s="338"/>
      <c r="H58" s="338"/>
      <c r="I58" s="283">
        <v>8.7161014668074088</v>
      </c>
      <c r="J58" s="283"/>
      <c r="K58" s="283"/>
      <c r="L58" s="284" t="s">
        <v>46</v>
      </c>
      <c r="M58" s="295"/>
      <c r="N58" s="296"/>
      <c r="O58" s="284" t="s">
        <v>46</v>
      </c>
      <c r="P58" s="295"/>
      <c r="Q58" s="296"/>
      <c r="R58" s="297">
        <v>8.2815734968944097E-3</v>
      </c>
      <c r="S58" s="298"/>
      <c r="T58" s="299"/>
      <c r="U58" s="283" t="s">
        <v>46</v>
      </c>
      <c r="V58" s="283"/>
      <c r="W58" s="283"/>
      <c r="X58" s="286" t="s">
        <v>46</v>
      </c>
      <c r="Y58" s="286"/>
      <c r="Z58" s="286"/>
      <c r="AA58" s="285" t="s">
        <v>46</v>
      </c>
      <c r="AB58" s="285"/>
      <c r="AC58" s="285"/>
      <c r="AD58" s="393" t="s">
        <v>46</v>
      </c>
      <c r="AE58" s="394"/>
      <c r="AF58" s="395"/>
      <c r="AG58" s="285" t="s">
        <v>46</v>
      </c>
      <c r="AH58" s="285"/>
      <c r="AI58" s="285"/>
      <c r="AJ58" s="285" t="s">
        <v>46</v>
      </c>
      <c r="AK58" s="285"/>
      <c r="AL58" s="285"/>
      <c r="AM58" s="285">
        <v>0.24799267515527013</v>
      </c>
      <c r="AN58" s="285"/>
      <c r="AO58" s="285"/>
      <c r="AP58" s="285">
        <v>2.9754190813071232E-2</v>
      </c>
      <c r="AQ58" s="285"/>
      <c r="AR58" s="285"/>
      <c r="AS58" s="32">
        <v>1.3976383637298873</v>
      </c>
      <c r="AT58" s="32">
        <v>0.532435048414029</v>
      </c>
      <c r="AU58" s="33">
        <v>0.77313562929157897</v>
      </c>
      <c r="AV58" s="34" t="s">
        <v>46</v>
      </c>
      <c r="AW58" s="32" t="s">
        <v>46</v>
      </c>
      <c r="AX58" s="283">
        <v>6.7673347065000096</v>
      </c>
      <c r="AY58" s="283"/>
      <c r="AZ58" s="283"/>
      <c r="BA58" s="283">
        <v>24.15</v>
      </c>
      <c r="BB58" s="283"/>
      <c r="BC58" s="283"/>
      <c r="BD58" s="284">
        <v>1.8082902833052901</v>
      </c>
      <c r="BE58" s="295"/>
      <c r="BF58" s="296"/>
      <c r="BG58" s="283">
        <v>2.9098254140898447</v>
      </c>
      <c r="BH58" s="283"/>
      <c r="BI58" s="283"/>
      <c r="BJ58" s="283">
        <v>12.076917064019385</v>
      </c>
      <c r="BK58" s="283"/>
      <c r="BL58" s="283"/>
      <c r="BM58" s="283" t="s">
        <v>46</v>
      </c>
      <c r="BN58" s="283"/>
      <c r="BO58" s="283"/>
      <c r="BP58" s="283" t="s">
        <v>46</v>
      </c>
      <c r="BQ58" s="283"/>
      <c r="BR58" s="284"/>
      <c r="BS58" s="35">
        <v>1.19061000415874</v>
      </c>
      <c r="BT58" s="32">
        <v>0.5395205459956367</v>
      </c>
      <c r="BU58" s="36">
        <v>8.3308926586410204E-2</v>
      </c>
      <c r="BV58" s="37">
        <v>43190</v>
      </c>
      <c r="BW58" s="38" t="s">
        <v>86</v>
      </c>
      <c r="CD58" s="95"/>
    </row>
    <row r="59" spans="1:82" s="94" customFormat="1" ht="11.25" customHeight="1" x14ac:dyDescent="0.2">
      <c r="A59" s="330" t="s">
        <v>87</v>
      </c>
      <c r="B59" s="330"/>
      <c r="C59" s="331">
        <v>6.12</v>
      </c>
      <c r="D59" s="331"/>
      <c r="E59" s="118">
        <v>1</v>
      </c>
      <c r="F59" s="332">
        <v>0.18023470068400002</v>
      </c>
      <c r="G59" s="332"/>
      <c r="H59" s="332"/>
      <c r="I59" s="318">
        <v>4.7885282690557318</v>
      </c>
      <c r="J59" s="318"/>
      <c r="K59" s="318"/>
      <c r="L59" s="319">
        <v>1.15276</v>
      </c>
      <c r="M59" s="333"/>
      <c r="N59" s="334"/>
      <c r="O59" s="319">
        <v>1.15276</v>
      </c>
      <c r="P59" s="333"/>
      <c r="Q59" s="334"/>
      <c r="R59" s="335">
        <v>0</v>
      </c>
      <c r="S59" s="336"/>
      <c r="T59" s="337"/>
      <c r="U59" s="318">
        <v>0.21397802932536067</v>
      </c>
      <c r="V59" s="318"/>
      <c r="W59" s="318"/>
      <c r="X59" s="329" t="s">
        <v>46</v>
      </c>
      <c r="Y59" s="329"/>
      <c r="Z59" s="329"/>
      <c r="AA59" s="328">
        <v>0.97767939999999998</v>
      </c>
      <c r="AB59" s="328"/>
      <c r="AC59" s="328"/>
      <c r="AD59" s="396">
        <v>0.57028120000000004</v>
      </c>
      <c r="AE59" s="397"/>
      <c r="AF59" s="398"/>
      <c r="AG59" s="328">
        <v>0.42750274657538451</v>
      </c>
      <c r="AH59" s="328"/>
      <c r="AI59" s="328"/>
      <c r="AJ59" s="328">
        <v>-8.9237834308916089E-2</v>
      </c>
      <c r="AK59" s="328"/>
      <c r="AL59" s="328"/>
      <c r="AM59" s="339">
        <v>0.39466386433282707</v>
      </c>
      <c r="AN59" s="339"/>
      <c r="AO59" s="339"/>
      <c r="AP59" s="328">
        <v>7.3181054527665879E-2</v>
      </c>
      <c r="AQ59" s="328"/>
      <c r="AR59" s="328"/>
      <c r="AS59" s="43">
        <v>1.2481938261323409</v>
      </c>
      <c r="AT59" s="43">
        <v>0.68194314701275671</v>
      </c>
      <c r="AU59" s="44">
        <v>0.92532448485427288</v>
      </c>
      <c r="AV59" s="45">
        <v>222.51037649999998</v>
      </c>
      <c r="AW59" s="46">
        <v>0.44053134944996375</v>
      </c>
      <c r="AX59" s="318">
        <v>-1.2982324999999899</v>
      </c>
      <c r="AY59" s="318"/>
      <c r="AZ59" s="318"/>
      <c r="BA59" s="318">
        <v>5.3052395399999996</v>
      </c>
      <c r="BB59" s="318"/>
      <c r="BC59" s="318"/>
      <c r="BD59" s="319">
        <v>-1.92820796938612</v>
      </c>
      <c r="BE59" s="333"/>
      <c r="BF59" s="334"/>
      <c r="BG59" s="318">
        <v>3.1424636397240979</v>
      </c>
      <c r="BH59" s="318"/>
      <c r="BI59" s="318"/>
      <c r="BJ59" s="318">
        <v>8.9708447545477199</v>
      </c>
      <c r="BK59" s="318"/>
      <c r="BL59" s="318"/>
      <c r="BM59" s="318">
        <v>3.8567640690799658</v>
      </c>
      <c r="BN59" s="318"/>
      <c r="BO59" s="318"/>
      <c r="BP59" s="318">
        <v>0</v>
      </c>
      <c r="BQ59" s="318"/>
      <c r="BR59" s="319"/>
      <c r="BS59" s="47">
        <v>1.13058462397356</v>
      </c>
      <c r="BT59" s="43">
        <v>0.37532523057756906</v>
      </c>
      <c r="BU59" s="46">
        <v>3.6843141287349113E-2</v>
      </c>
      <c r="BV59" s="48">
        <v>43190</v>
      </c>
      <c r="BW59" s="49" t="s">
        <v>87</v>
      </c>
      <c r="CD59" s="95"/>
    </row>
    <row r="60" spans="1:82" s="94" customFormat="1" ht="11.25" customHeight="1" x14ac:dyDescent="0.2">
      <c r="A60" s="290" t="s">
        <v>88</v>
      </c>
      <c r="B60" s="290"/>
      <c r="C60" s="291">
        <v>142</v>
      </c>
      <c r="D60" s="291"/>
      <c r="E60" s="117">
        <v>1</v>
      </c>
      <c r="F60" s="338">
        <v>0.18213283662999999</v>
      </c>
      <c r="G60" s="338"/>
      <c r="H60" s="338"/>
      <c r="I60" s="283">
        <v>8.6597345895549935</v>
      </c>
      <c r="J60" s="283"/>
      <c r="K60" s="283"/>
      <c r="L60" s="284" t="s">
        <v>46</v>
      </c>
      <c r="M60" s="295"/>
      <c r="N60" s="296"/>
      <c r="O60" s="284" t="s">
        <v>46</v>
      </c>
      <c r="P60" s="295"/>
      <c r="Q60" s="296"/>
      <c r="R60" s="297">
        <v>1.09341216850829E-2</v>
      </c>
      <c r="S60" s="298"/>
      <c r="T60" s="299"/>
      <c r="U60" s="283" t="s">
        <v>46</v>
      </c>
      <c r="V60" s="283"/>
      <c r="W60" s="283"/>
      <c r="X60" s="286" t="s">
        <v>46</v>
      </c>
      <c r="Y60" s="286"/>
      <c r="Z60" s="286"/>
      <c r="AA60" s="285" t="s">
        <v>46</v>
      </c>
      <c r="AB60" s="285"/>
      <c r="AC60" s="285"/>
      <c r="AD60" s="393" t="s">
        <v>46</v>
      </c>
      <c r="AE60" s="394"/>
      <c r="AF60" s="395"/>
      <c r="AG60" s="285" t="s">
        <v>46</v>
      </c>
      <c r="AH60" s="285"/>
      <c r="AI60" s="285"/>
      <c r="AJ60" s="285" t="s">
        <v>46</v>
      </c>
      <c r="AK60" s="285"/>
      <c r="AL60" s="285"/>
      <c r="AM60" s="285">
        <v>0.18310550479966975</v>
      </c>
      <c r="AN60" s="285"/>
      <c r="AO60" s="285"/>
      <c r="AP60" s="285">
        <v>1.9824699700634645E-2</v>
      </c>
      <c r="AQ60" s="285"/>
      <c r="AR60" s="285"/>
      <c r="AS60" s="32">
        <v>1.4397283677166235</v>
      </c>
      <c r="AT60" s="32">
        <v>0.27861838481145823</v>
      </c>
      <c r="AU60" s="33">
        <v>0.2967938002163697</v>
      </c>
      <c r="AV60" s="34" t="s">
        <v>46</v>
      </c>
      <c r="AW60" s="32" t="s">
        <v>46</v>
      </c>
      <c r="AX60" s="283">
        <v>57.967147582399903</v>
      </c>
      <c r="AY60" s="283"/>
      <c r="AZ60" s="283"/>
      <c r="BA60" s="283">
        <v>88.713115582399993</v>
      </c>
      <c r="BB60" s="283"/>
      <c r="BC60" s="283"/>
      <c r="BD60" s="284">
        <v>6.2788113087421804</v>
      </c>
      <c r="BE60" s="295"/>
      <c r="BF60" s="296"/>
      <c r="BG60" s="283">
        <v>3.4625583032772149</v>
      </c>
      <c r="BH60" s="283"/>
      <c r="BI60" s="283"/>
      <c r="BJ60" s="283">
        <v>21.401754642447518</v>
      </c>
      <c r="BK60" s="283"/>
      <c r="BL60" s="283"/>
      <c r="BM60" s="283" t="s">
        <v>46</v>
      </c>
      <c r="BN60" s="283"/>
      <c r="BO60" s="283"/>
      <c r="BP60" s="283">
        <v>33.043170864300002</v>
      </c>
      <c r="BQ60" s="283"/>
      <c r="BR60" s="284"/>
      <c r="BS60" s="35">
        <v>1.0731341355292601</v>
      </c>
      <c r="BT60" s="32">
        <v>0.480266866843509</v>
      </c>
      <c r="BU60" s="36">
        <v>0.14353219385800187</v>
      </c>
      <c r="BV60" s="37">
        <v>43100</v>
      </c>
      <c r="BW60" s="38" t="s">
        <v>88</v>
      </c>
      <c r="CD60" s="95"/>
    </row>
    <row r="61" spans="1:82" s="94" customFormat="1" ht="11.25" customHeight="1" x14ac:dyDescent="0.2">
      <c r="A61" s="413" t="s">
        <v>89</v>
      </c>
      <c r="B61" s="414"/>
      <c r="C61" s="415">
        <v>46</v>
      </c>
      <c r="D61" s="416"/>
      <c r="E61" s="118">
        <v>1</v>
      </c>
      <c r="F61" s="384">
        <v>0.10555993513600001</v>
      </c>
      <c r="G61" s="385"/>
      <c r="H61" s="386"/>
      <c r="I61" s="319">
        <v>10.812434787947762</v>
      </c>
      <c r="J61" s="333"/>
      <c r="K61" s="334"/>
      <c r="L61" s="319" t="s">
        <v>46</v>
      </c>
      <c r="M61" s="333"/>
      <c r="N61" s="334"/>
      <c r="O61" s="319" t="s">
        <v>46</v>
      </c>
      <c r="P61" s="333"/>
      <c r="Q61" s="334"/>
      <c r="R61" s="335">
        <v>1.5717391304347801E-2</v>
      </c>
      <c r="S61" s="336"/>
      <c r="T61" s="337"/>
      <c r="U61" s="319" t="s">
        <v>46</v>
      </c>
      <c r="V61" s="333"/>
      <c r="W61" s="334"/>
      <c r="X61" s="410" t="s">
        <v>46</v>
      </c>
      <c r="Y61" s="411"/>
      <c r="Z61" s="412"/>
      <c r="AA61" s="396" t="s">
        <v>46</v>
      </c>
      <c r="AB61" s="397"/>
      <c r="AC61" s="398"/>
      <c r="AD61" s="396" t="s">
        <v>46</v>
      </c>
      <c r="AE61" s="397"/>
      <c r="AF61" s="398"/>
      <c r="AG61" s="396" t="s">
        <v>46</v>
      </c>
      <c r="AH61" s="397"/>
      <c r="AI61" s="398"/>
      <c r="AJ61" s="396" t="s">
        <v>46</v>
      </c>
      <c r="AK61" s="397"/>
      <c r="AL61" s="398"/>
      <c r="AM61" s="399">
        <v>0.21099827088887008</v>
      </c>
      <c r="AN61" s="400"/>
      <c r="AO61" s="401"/>
      <c r="AP61" s="396">
        <v>1.8910204129741998E-2</v>
      </c>
      <c r="AQ61" s="397"/>
      <c r="AR61" s="398"/>
      <c r="AS61" s="43">
        <v>2.6907947732453197E-2</v>
      </c>
      <c r="AT61" s="43">
        <v>0.2395332461183631</v>
      </c>
      <c r="AU61" s="44">
        <v>0.12621584070722022</v>
      </c>
      <c r="AV61" s="45" t="s">
        <v>46</v>
      </c>
      <c r="AW61" s="46" t="s">
        <v>46</v>
      </c>
      <c r="AX61" s="319">
        <v>3.0785869610001702</v>
      </c>
      <c r="AY61" s="333"/>
      <c r="AZ61" s="334"/>
      <c r="BA61" s="319">
        <v>98.627779329000006</v>
      </c>
      <c r="BB61" s="333"/>
      <c r="BC61" s="334"/>
      <c r="BD61" s="319">
        <v>0.25361843691757702</v>
      </c>
      <c r="BE61" s="333"/>
      <c r="BF61" s="334"/>
      <c r="BG61" s="319">
        <v>3.6204782401899092</v>
      </c>
      <c r="BH61" s="333"/>
      <c r="BI61" s="334"/>
      <c r="BJ61" s="319">
        <v>17.579528257180854</v>
      </c>
      <c r="BK61" s="333"/>
      <c r="BL61" s="334"/>
      <c r="BM61" s="319" t="s">
        <v>46</v>
      </c>
      <c r="BN61" s="333"/>
      <c r="BO61" s="334"/>
      <c r="BP61" s="319">
        <v>21.563685976199999</v>
      </c>
      <c r="BQ61" s="333"/>
      <c r="BR61" s="334"/>
      <c r="BS61" s="47">
        <v>0.67671792095790895</v>
      </c>
      <c r="BT61" s="43">
        <v>0.4448107979407479</v>
      </c>
      <c r="BU61" s="46">
        <v>0.13770406900123011</v>
      </c>
      <c r="BV61" s="48">
        <v>43190</v>
      </c>
      <c r="BW61" s="49" t="s">
        <v>89</v>
      </c>
      <c r="CD61" s="95"/>
    </row>
    <row r="62" spans="1:82" s="94" customFormat="1" ht="11.25" customHeight="1" x14ac:dyDescent="0.2">
      <c r="A62" s="290" t="s">
        <v>90</v>
      </c>
      <c r="B62" s="290"/>
      <c r="C62" s="291">
        <v>115.75</v>
      </c>
      <c r="D62" s="291"/>
      <c r="E62" s="117">
        <v>1</v>
      </c>
      <c r="F62" s="338">
        <v>0.41152477803699999</v>
      </c>
      <c r="G62" s="338"/>
      <c r="H62" s="338"/>
      <c r="I62" s="283">
        <v>7.332962434016304</v>
      </c>
      <c r="J62" s="283"/>
      <c r="K62" s="283"/>
      <c r="L62" s="284" t="s">
        <v>46</v>
      </c>
      <c r="M62" s="295"/>
      <c r="N62" s="296"/>
      <c r="O62" s="284" t="s">
        <v>46</v>
      </c>
      <c r="P62" s="295"/>
      <c r="Q62" s="296"/>
      <c r="R62" s="297">
        <v>7.1337045156912608E-3</v>
      </c>
      <c r="S62" s="298"/>
      <c r="T62" s="299"/>
      <c r="U62" s="283" t="s">
        <v>46</v>
      </c>
      <c r="V62" s="283"/>
      <c r="W62" s="283"/>
      <c r="X62" s="286" t="s">
        <v>46</v>
      </c>
      <c r="Y62" s="286"/>
      <c r="Z62" s="286"/>
      <c r="AA62" s="285" t="s">
        <v>46</v>
      </c>
      <c r="AB62" s="285"/>
      <c r="AC62" s="285"/>
      <c r="AD62" s="393" t="s">
        <v>46</v>
      </c>
      <c r="AE62" s="394"/>
      <c r="AF62" s="395"/>
      <c r="AG62" s="285" t="s">
        <v>46</v>
      </c>
      <c r="AH62" s="285"/>
      <c r="AI62" s="285"/>
      <c r="AJ62" s="285" t="s">
        <v>46</v>
      </c>
      <c r="AK62" s="285"/>
      <c r="AL62" s="285"/>
      <c r="AM62" s="285">
        <v>0.26765331739691228</v>
      </c>
      <c r="AN62" s="285"/>
      <c r="AO62" s="285"/>
      <c r="AP62" s="285">
        <v>3.28152022028858E-2</v>
      </c>
      <c r="AQ62" s="285"/>
      <c r="AR62" s="285"/>
      <c r="AS62" s="32">
        <v>0.82720729991259456</v>
      </c>
      <c r="AT62" s="32">
        <v>0.45321782008758882</v>
      </c>
      <c r="AU62" s="33">
        <v>0.21370488875665247</v>
      </c>
      <c r="AV62" s="34" t="s">
        <v>46</v>
      </c>
      <c r="AW62" s="32" t="s">
        <v>46</v>
      </c>
      <c r="AX62" s="283">
        <v>109.10070345130001</v>
      </c>
      <c r="AY62" s="283"/>
      <c r="AZ62" s="283"/>
      <c r="BA62" s="283">
        <v>168.21554598629999</v>
      </c>
      <c r="BB62" s="283"/>
      <c r="BC62" s="283"/>
      <c r="BD62" s="284">
        <v>4.7556902360947504</v>
      </c>
      <c r="BE62" s="295"/>
      <c r="BF62" s="296"/>
      <c r="BG62" s="283">
        <v>3.8580626087872534</v>
      </c>
      <c r="BH62" s="283"/>
      <c r="BI62" s="283"/>
      <c r="BJ62" s="283">
        <v>16.407920028577422</v>
      </c>
      <c r="BK62" s="283"/>
      <c r="BL62" s="283"/>
      <c r="BM62" s="283" t="s">
        <v>46</v>
      </c>
      <c r="BN62" s="283"/>
      <c r="BO62" s="283"/>
      <c r="BP62" s="283">
        <v>12.4898311408</v>
      </c>
      <c r="BQ62" s="283"/>
      <c r="BR62" s="284"/>
      <c r="BS62" s="35">
        <v>1.1479445720483901</v>
      </c>
      <c r="BT62" s="32">
        <v>0.47610953236762704</v>
      </c>
      <c r="BU62" s="36">
        <v>0.23100733528223016</v>
      </c>
      <c r="BV62" s="37">
        <v>43190</v>
      </c>
      <c r="BW62" s="38" t="s">
        <v>90</v>
      </c>
      <c r="CD62" s="95"/>
    </row>
    <row r="63" spans="1:82" s="94" customFormat="1" ht="11.25" customHeight="1" x14ac:dyDescent="0.2">
      <c r="A63" s="374" t="s">
        <v>91</v>
      </c>
      <c r="B63" s="374"/>
      <c r="C63" s="375">
        <v>357</v>
      </c>
      <c r="D63" s="375"/>
      <c r="E63" s="119">
        <v>1</v>
      </c>
      <c r="F63" s="409">
        <v>0.94890164593999993</v>
      </c>
      <c r="G63" s="409"/>
      <c r="H63" s="409"/>
      <c r="I63" s="359">
        <v>3.5750432781025854</v>
      </c>
      <c r="J63" s="359"/>
      <c r="K63" s="359"/>
      <c r="L63" s="360">
        <v>1.2455400000000001</v>
      </c>
      <c r="M63" s="379"/>
      <c r="N63" s="380"/>
      <c r="O63" s="360">
        <v>1.2455400000000001</v>
      </c>
      <c r="P63" s="379"/>
      <c r="Q63" s="380"/>
      <c r="R63" s="381">
        <v>4.4293478260869603E-3</v>
      </c>
      <c r="S63" s="382"/>
      <c r="T63" s="383"/>
      <c r="U63" s="359">
        <v>7.1890731855288464E-2</v>
      </c>
      <c r="V63" s="359"/>
      <c r="W63" s="359"/>
      <c r="X63" s="372" t="s">
        <v>46</v>
      </c>
      <c r="Y63" s="372"/>
      <c r="Z63" s="372"/>
      <c r="AA63" s="371">
        <v>0.99055809999999989</v>
      </c>
      <c r="AB63" s="371"/>
      <c r="AC63" s="371"/>
      <c r="AD63" s="406">
        <v>1.5872769</v>
      </c>
      <c r="AE63" s="407"/>
      <c r="AF63" s="408"/>
      <c r="AG63" s="371">
        <v>1.4227586276892679</v>
      </c>
      <c r="AH63" s="371"/>
      <c r="AI63" s="371"/>
      <c r="AJ63" s="371">
        <v>-1.2477747698385302</v>
      </c>
      <c r="AK63" s="371"/>
      <c r="AL63" s="371"/>
      <c r="AM63" s="373">
        <v>0.32226998284008662</v>
      </c>
      <c r="AN63" s="373"/>
      <c r="AO63" s="373"/>
      <c r="AP63" s="371">
        <v>8.1826576835568543E-2</v>
      </c>
      <c r="AQ63" s="371"/>
      <c r="AR63" s="371"/>
      <c r="AS63" s="76">
        <v>2.4971063487519478</v>
      </c>
      <c r="AT63" s="76" t="s">
        <v>46</v>
      </c>
      <c r="AU63" s="77" t="s">
        <v>46</v>
      </c>
      <c r="AV63" s="78">
        <v>233.79484799999994</v>
      </c>
      <c r="AW63" s="79">
        <v>6.6304850146375799E-2</v>
      </c>
      <c r="AX63" s="359">
        <v>21.583444510000099</v>
      </c>
      <c r="AY63" s="359"/>
      <c r="AZ63" s="359"/>
      <c r="BA63" s="359">
        <v>28.06</v>
      </c>
      <c r="BB63" s="359"/>
      <c r="BC63" s="359"/>
      <c r="BD63" s="360">
        <v>38.7790663580912</v>
      </c>
      <c r="BE63" s="379"/>
      <c r="BF63" s="380"/>
      <c r="BG63" s="359">
        <v>7.1082081745108372</v>
      </c>
      <c r="BH63" s="359"/>
      <c r="BI63" s="359"/>
      <c r="BJ63" s="359">
        <v>19.40516905870254</v>
      </c>
      <c r="BK63" s="359"/>
      <c r="BL63" s="359"/>
      <c r="BM63" s="359">
        <v>27.410321384846021</v>
      </c>
      <c r="BN63" s="359"/>
      <c r="BO63" s="359"/>
      <c r="BP63" s="359">
        <v>19.253469434399999</v>
      </c>
      <c r="BQ63" s="359"/>
      <c r="BR63" s="360"/>
      <c r="BS63" s="80">
        <v>0.94413392608997904</v>
      </c>
      <c r="BT63" s="76" t="s">
        <v>46</v>
      </c>
      <c r="BU63" s="79" t="s">
        <v>46</v>
      </c>
      <c r="BV63" s="81">
        <v>43190</v>
      </c>
      <c r="BW63" s="82" t="s">
        <v>91</v>
      </c>
      <c r="CD63" s="95"/>
    </row>
    <row r="64" spans="1:82" s="94" customFormat="1" ht="11.25" customHeight="1" x14ac:dyDescent="0.2">
      <c r="A64" s="361" t="s">
        <v>57</v>
      </c>
      <c r="B64" s="361"/>
      <c r="C64" s="362"/>
      <c r="D64" s="362"/>
      <c r="E64" s="120"/>
      <c r="F64" s="405">
        <v>0.59023514740869998</v>
      </c>
      <c r="G64" s="405"/>
      <c r="H64" s="405"/>
      <c r="I64" s="355">
        <v>7.6984646690713898</v>
      </c>
      <c r="J64" s="355"/>
      <c r="K64" s="355"/>
      <c r="L64" s="356"/>
      <c r="M64" s="366"/>
      <c r="N64" s="367"/>
      <c r="O64" s="356"/>
      <c r="P64" s="366"/>
      <c r="Q64" s="367"/>
      <c r="R64" s="368">
        <v>1.6221952336756582E-2</v>
      </c>
      <c r="S64" s="369"/>
      <c r="T64" s="370"/>
      <c r="U64" s="355"/>
      <c r="V64" s="355"/>
      <c r="W64" s="355"/>
      <c r="X64" s="358"/>
      <c r="Y64" s="358"/>
      <c r="Z64" s="358"/>
      <c r="AA64" s="357"/>
      <c r="AB64" s="357"/>
      <c r="AC64" s="357"/>
      <c r="AD64" s="402"/>
      <c r="AE64" s="403"/>
      <c r="AF64" s="404"/>
      <c r="AG64" s="357"/>
      <c r="AH64" s="357"/>
      <c r="AI64" s="357"/>
      <c r="AJ64" s="357"/>
      <c r="AK64" s="357"/>
      <c r="AL64" s="357"/>
      <c r="AM64" s="357">
        <v>0.26992597534523199</v>
      </c>
      <c r="AN64" s="357"/>
      <c r="AO64" s="357"/>
      <c r="AP64" s="357">
        <v>3.8303230365792681E-2</v>
      </c>
      <c r="AQ64" s="357"/>
      <c r="AR64" s="357"/>
      <c r="AS64" s="84">
        <v>0.9558930128543508</v>
      </c>
      <c r="AT64" s="84">
        <v>0.47660954299428859</v>
      </c>
      <c r="AU64" s="85">
        <v>0.41585635331372195</v>
      </c>
      <c r="AV64" s="86">
        <v>228.15261224999995</v>
      </c>
      <c r="AW64" s="84">
        <v>0.25341809979816976</v>
      </c>
      <c r="AX64" s="355">
        <v>528.78353578170208</v>
      </c>
      <c r="AY64" s="355"/>
      <c r="AZ64" s="355"/>
      <c r="BA64" s="355">
        <v>307.14082848948999</v>
      </c>
      <c r="BB64" s="355"/>
      <c r="BC64" s="355"/>
      <c r="BD64" s="356">
        <v>7.3603987138161955</v>
      </c>
      <c r="BE64" s="366"/>
      <c r="BF64" s="367"/>
      <c r="BG64" s="355">
        <v>3.3864840255125301</v>
      </c>
      <c r="BH64" s="355"/>
      <c r="BI64" s="355"/>
      <c r="BJ64" s="355">
        <v>16.388229027247029</v>
      </c>
      <c r="BK64" s="355"/>
      <c r="BL64" s="355"/>
      <c r="BM64" s="355"/>
      <c r="BN64" s="355"/>
      <c r="BO64" s="355"/>
      <c r="BP64" s="355">
        <v>14.940407488099998</v>
      </c>
      <c r="BQ64" s="355"/>
      <c r="BR64" s="356"/>
      <c r="BS64" s="87">
        <v>0.93889902580894413</v>
      </c>
      <c r="BT64" s="84">
        <v>0.46353918436218827</v>
      </c>
      <c r="BU64" s="121">
        <v>0.11054225428576207</v>
      </c>
      <c r="BV64" s="90"/>
      <c r="BW64" s="38"/>
      <c r="CD64" s="95"/>
    </row>
    <row r="65" spans="1:82" s="92" customFormat="1" ht="11.25" customHeight="1" x14ac:dyDescent="0.2">
      <c r="A65" s="67" t="s">
        <v>92</v>
      </c>
      <c r="B65" s="67"/>
      <c r="C65" s="67"/>
      <c r="D65" s="67"/>
      <c r="E65" s="67"/>
      <c r="F65" s="67"/>
      <c r="G65" s="67"/>
      <c r="H65" s="67"/>
      <c r="I65" s="67"/>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c r="AR65" s="67"/>
      <c r="AS65" s="67"/>
      <c r="AT65" s="67"/>
      <c r="AU65" s="67"/>
      <c r="AV65" s="67"/>
      <c r="AW65" s="69"/>
      <c r="AX65" s="67"/>
      <c r="AY65" s="67"/>
      <c r="AZ65" s="67"/>
      <c r="BA65" s="67"/>
      <c r="BB65" s="67"/>
      <c r="BC65" s="67"/>
      <c r="BD65" s="67"/>
      <c r="BE65" s="67"/>
      <c r="BF65" s="67"/>
      <c r="BG65" s="67"/>
      <c r="BH65" s="67"/>
      <c r="BI65" s="67"/>
      <c r="BJ65" s="67"/>
      <c r="BK65" s="67"/>
      <c r="BL65" s="67"/>
      <c r="BM65" s="67"/>
      <c r="BN65" s="67"/>
      <c r="BO65" s="67"/>
      <c r="BP65" s="67"/>
      <c r="BQ65" s="67"/>
      <c r="BR65" s="67"/>
      <c r="BS65" s="67"/>
      <c r="BT65" s="67"/>
      <c r="BU65" s="67"/>
      <c r="BV65" s="70"/>
      <c r="BW65" s="71"/>
      <c r="CD65" s="93"/>
    </row>
    <row r="66" spans="1:82" s="94" customFormat="1" ht="11.25" customHeight="1" x14ac:dyDescent="0.2">
      <c r="A66" s="290" t="s">
        <v>93</v>
      </c>
      <c r="B66" s="290"/>
      <c r="C66" s="291">
        <v>9.0500000000000007</v>
      </c>
      <c r="D66" s="291"/>
      <c r="E66" s="116">
        <v>1</v>
      </c>
      <c r="F66" s="292">
        <v>1.58521239E-4</v>
      </c>
      <c r="G66" s="293"/>
      <c r="H66" s="294"/>
      <c r="I66" s="283">
        <v>1.2034123300305601</v>
      </c>
      <c r="J66" s="283"/>
      <c r="K66" s="283"/>
      <c r="L66" s="284">
        <v>1.56084</v>
      </c>
      <c r="M66" s="295"/>
      <c r="N66" s="296"/>
      <c r="O66" s="284">
        <v>0.83933000000000002</v>
      </c>
      <c r="P66" s="295"/>
      <c r="Q66" s="296"/>
      <c r="R66" s="297">
        <v>1.81808339236364E-2</v>
      </c>
      <c r="S66" s="298"/>
      <c r="T66" s="299"/>
      <c r="U66" s="283">
        <v>0.14740343805245901</v>
      </c>
      <c r="V66" s="283"/>
      <c r="W66" s="283"/>
      <c r="X66" s="286">
        <v>59.96283327785855</v>
      </c>
      <c r="Y66" s="286"/>
      <c r="Z66" s="286"/>
      <c r="AA66" s="285">
        <v>0</v>
      </c>
      <c r="AB66" s="285"/>
      <c r="AC66" s="285"/>
      <c r="AD66" s="285">
        <v>0.1153238</v>
      </c>
      <c r="AE66" s="285"/>
      <c r="AF66" s="285"/>
      <c r="AG66" s="285">
        <v>3.6467904786393386</v>
      </c>
      <c r="AH66" s="285"/>
      <c r="AI66" s="285"/>
      <c r="AJ66" s="393" t="s">
        <v>46</v>
      </c>
      <c r="AK66" s="394"/>
      <c r="AL66" s="395"/>
      <c r="AM66" s="393">
        <v>0.50630923755925505</v>
      </c>
      <c r="AN66" s="394"/>
      <c r="AO66" s="395"/>
      <c r="AP66" s="393">
        <v>0.43004524305299413</v>
      </c>
      <c r="AQ66" s="394"/>
      <c r="AR66" s="395"/>
      <c r="AS66" s="32">
        <v>425.64737909386372</v>
      </c>
      <c r="AT66" s="32">
        <v>-0.1172932603730715</v>
      </c>
      <c r="AU66" s="33">
        <v>0.31071918403161647</v>
      </c>
      <c r="AV66" s="34">
        <v>13.764454999999998</v>
      </c>
      <c r="AW66" s="32">
        <v>37.404046662620459</v>
      </c>
      <c r="AX66" s="284">
        <v>1.0667689600000001</v>
      </c>
      <c r="AY66" s="295"/>
      <c r="AZ66" s="296"/>
      <c r="BA66" s="284">
        <v>1.08416</v>
      </c>
      <c r="BB66" s="295"/>
      <c r="BC66" s="296"/>
      <c r="BD66" s="284">
        <v>84.744979937226105</v>
      </c>
      <c r="BE66" s="295"/>
      <c r="BF66" s="296"/>
      <c r="BG66" s="284">
        <v>1.3991890160255125</v>
      </c>
      <c r="BH66" s="295"/>
      <c r="BI66" s="296"/>
      <c r="BJ66" s="284">
        <v>3.1943807137058342</v>
      </c>
      <c r="BK66" s="295"/>
      <c r="BL66" s="296"/>
      <c r="BM66" s="284">
        <v>11.24528667463194</v>
      </c>
      <c r="BN66" s="295"/>
      <c r="BO66" s="296"/>
      <c r="BP66" s="284" t="s">
        <v>46</v>
      </c>
      <c r="BQ66" s="295"/>
      <c r="BR66" s="296"/>
      <c r="BS66" s="35">
        <v>0.51919304723276005</v>
      </c>
      <c r="BT66" s="32">
        <v>0.33763903672395412</v>
      </c>
      <c r="BU66" s="36">
        <v>-4.6261288644840803E-2</v>
      </c>
      <c r="BV66" s="37">
        <v>43190</v>
      </c>
      <c r="BW66" s="38" t="s">
        <v>93</v>
      </c>
      <c r="CD66" s="95"/>
    </row>
    <row r="67" spans="1:82" s="94" customFormat="1" ht="11.25" customHeight="1" x14ac:dyDescent="0.2">
      <c r="A67" s="330" t="s">
        <v>94</v>
      </c>
      <c r="B67" s="330"/>
      <c r="C67" s="331">
        <v>30.5</v>
      </c>
      <c r="D67" s="331"/>
      <c r="E67" s="60">
        <v>1</v>
      </c>
      <c r="F67" s="384">
        <v>0</v>
      </c>
      <c r="G67" s="385"/>
      <c r="H67" s="386"/>
      <c r="I67" s="318">
        <v>2.0213333383883234</v>
      </c>
      <c r="J67" s="318"/>
      <c r="K67" s="318"/>
      <c r="L67" s="319">
        <v>2.1321500000000002</v>
      </c>
      <c r="M67" s="333"/>
      <c r="N67" s="334"/>
      <c r="O67" s="319">
        <v>2.1009199999999999</v>
      </c>
      <c r="P67" s="333"/>
      <c r="Q67" s="334"/>
      <c r="R67" s="335">
        <v>7.7358623809523797E-2</v>
      </c>
      <c r="S67" s="336"/>
      <c r="T67" s="337"/>
      <c r="U67" s="318">
        <v>2.5015648309124563</v>
      </c>
      <c r="V67" s="318"/>
      <c r="W67" s="318"/>
      <c r="X67" s="329">
        <v>-3.0011881653056811</v>
      </c>
      <c r="Y67" s="329"/>
      <c r="Z67" s="329"/>
      <c r="AA67" s="328">
        <v>0.41534329999999997</v>
      </c>
      <c r="AB67" s="328"/>
      <c r="AC67" s="328"/>
      <c r="AD67" s="328">
        <v>0.26131319999999997</v>
      </c>
      <c r="AE67" s="328"/>
      <c r="AF67" s="328"/>
      <c r="AG67" s="328">
        <v>0.25050700950321253</v>
      </c>
      <c r="AH67" s="328"/>
      <c r="AI67" s="328"/>
      <c r="AJ67" s="396">
        <v>0.22808390903996231</v>
      </c>
      <c r="AK67" s="397"/>
      <c r="AL67" s="398"/>
      <c r="AM67" s="399">
        <v>1.1875956193176163</v>
      </c>
      <c r="AN67" s="400"/>
      <c r="AO67" s="401"/>
      <c r="AP67" s="396">
        <v>0.50133286967631119</v>
      </c>
      <c r="AQ67" s="397"/>
      <c r="AR67" s="398"/>
      <c r="AS67" s="43">
        <v>1.6979649204970007</v>
      </c>
      <c r="AT67" s="43">
        <v>0.71918961421436234</v>
      </c>
      <c r="AU67" s="44">
        <v>0.89166425532497628</v>
      </c>
      <c r="AV67" s="45">
        <v>270.535641</v>
      </c>
      <c r="AW67" s="46">
        <v>8.8907636987192021E-2</v>
      </c>
      <c r="AX67" s="319">
        <v>4.0989914899999897</v>
      </c>
      <c r="AY67" s="333"/>
      <c r="AZ67" s="334"/>
      <c r="BA67" s="319">
        <v>5.04</v>
      </c>
      <c r="BB67" s="333"/>
      <c r="BC67" s="334"/>
      <c r="BD67" s="319">
        <v>5.3718872476400303</v>
      </c>
      <c r="BE67" s="333"/>
      <c r="BF67" s="334"/>
      <c r="BG67" s="319">
        <v>9.2690161452468072</v>
      </c>
      <c r="BH67" s="333"/>
      <c r="BI67" s="334"/>
      <c r="BJ67" s="319">
        <v>9.4404155020908203</v>
      </c>
      <c r="BK67" s="333"/>
      <c r="BL67" s="334"/>
      <c r="BM67" s="319">
        <v>2.4424208847416691</v>
      </c>
      <c r="BN67" s="333"/>
      <c r="BO67" s="334"/>
      <c r="BP67" s="319">
        <v>7.9692783055999996</v>
      </c>
      <c r="BQ67" s="333"/>
      <c r="BR67" s="334"/>
      <c r="BS67" s="47">
        <v>1.3027755134965899</v>
      </c>
      <c r="BT67" s="43">
        <v>0.42044312793528493</v>
      </c>
      <c r="BU67" s="46">
        <v>0.22407859499995197</v>
      </c>
      <c r="BV67" s="48">
        <v>43190</v>
      </c>
      <c r="BW67" s="49" t="s">
        <v>94</v>
      </c>
      <c r="CD67" s="95"/>
    </row>
    <row r="68" spans="1:82" s="94" customFormat="1" ht="11.25" customHeight="1" x14ac:dyDescent="0.2">
      <c r="A68" s="290" t="s">
        <v>95</v>
      </c>
      <c r="B68" s="290"/>
      <c r="C68" s="291">
        <v>18.600000000000001</v>
      </c>
      <c r="D68" s="291"/>
      <c r="E68" s="122">
        <v>1</v>
      </c>
      <c r="F68" s="292">
        <v>9.2893893871E-2</v>
      </c>
      <c r="G68" s="293"/>
      <c r="H68" s="294"/>
      <c r="I68" s="283">
        <v>2.171389035419677</v>
      </c>
      <c r="J68" s="283"/>
      <c r="K68" s="283"/>
      <c r="L68" s="284">
        <v>1.45289</v>
      </c>
      <c r="M68" s="295"/>
      <c r="N68" s="296"/>
      <c r="O68" s="284">
        <v>1.4470799999999999</v>
      </c>
      <c r="P68" s="295"/>
      <c r="Q68" s="296"/>
      <c r="R68" s="297">
        <v>9.9784879888268202E-3</v>
      </c>
      <c r="S68" s="298"/>
      <c r="T68" s="299"/>
      <c r="U68" s="283">
        <v>2.0969942513176782</v>
      </c>
      <c r="V68" s="283"/>
      <c r="W68" s="283"/>
      <c r="X68" s="286">
        <v>66.1820324987861</v>
      </c>
      <c r="Y68" s="286"/>
      <c r="Z68" s="286"/>
      <c r="AA68" s="285">
        <v>0.14262169999999999</v>
      </c>
      <c r="AB68" s="285"/>
      <c r="AC68" s="285"/>
      <c r="AD68" s="285">
        <v>0.13281109999999999</v>
      </c>
      <c r="AE68" s="285"/>
      <c r="AF68" s="285"/>
      <c r="AG68" s="285">
        <v>0.13387143626541276</v>
      </c>
      <c r="AH68" s="285"/>
      <c r="AI68" s="285"/>
      <c r="AJ68" s="393">
        <v>3.4252635890772452E-2</v>
      </c>
      <c r="AK68" s="394"/>
      <c r="AL68" s="395"/>
      <c r="AM68" s="393">
        <v>0.55152540986356491</v>
      </c>
      <c r="AN68" s="394"/>
      <c r="AO68" s="395"/>
      <c r="AP68" s="393">
        <v>0.22458392103927058</v>
      </c>
      <c r="AQ68" s="394"/>
      <c r="AR68" s="395"/>
      <c r="AS68" s="32">
        <v>1.4324550397323295</v>
      </c>
      <c r="AT68" s="32">
        <v>0.66524122316770185</v>
      </c>
      <c r="AU68" s="33">
        <v>0.64403721214950937</v>
      </c>
      <c r="AV68" s="34">
        <v>331.01160700000003</v>
      </c>
      <c r="AW68" s="32">
        <v>0.34719988880318742</v>
      </c>
      <c r="AX68" s="284">
        <v>2.9317455319999999</v>
      </c>
      <c r="AY68" s="295"/>
      <c r="AZ68" s="296"/>
      <c r="BA68" s="284">
        <v>3.0064675319999998</v>
      </c>
      <c r="BB68" s="295"/>
      <c r="BC68" s="296"/>
      <c r="BD68" s="284">
        <v>18.453390645358301</v>
      </c>
      <c r="BE68" s="295"/>
      <c r="BF68" s="296"/>
      <c r="BG68" s="284">
        <v>4.6045222241621717</v>
      </c>
      <c r="BH68" s="295"/>
      <c r="BI68" s="296"/>
      <c r="BJ68" s="284">
        <v>10.412876137158854</v>
      </c>
      <c r="BK68" s="295"/>
      <c r="BL68" s="296"/>
      <c r="BM68" s="284">
        <v>1.3415244022644408</v>
      </c>
      <c r="BN68" s="295"/>
      <c r="BO68" s="296"/>
      <c r="BP68" s="284">
        <v>10.130802257699999</v>
      </c>
      <c r="BQ68" s="295"/>
      <c r="BR68" s="296"/>
      <c r="BS68" s="35">
        <v>0.50535663676063602</v>
      </c>
      <c r="BT68" s="32">
        <v>0.5457824840507054</v>
      </c>
      <c r="BU68" s="36">
        <v>0.20677668527649806</v>
      </c>
      <c r="BV68" s="37">
        <v>43190</v>
      </c>
      <c r="BW68" s="38" t="s">
        <v>95</v>
      </c>
      <c r="CD68" s="95"/>
    </row>
    <row r="69" spans="1:82" s="94" customFormat="1" ht="11.25" customHeight="1" x14ac:dyDescent="0.2">
      <c r="A69" s="330" t="s">
        <v>96</v>
      </c>
      <c r="B69" s="330"/>
      <c r="C69" s="331">
        <v>34.5</v>
      </c>
      <c r="D69" s="331"/>
      <c r="E69" s="60">
        <v>1</v>
      </c>
      <c r="F69" s="384">
        <v>0.40522728451399997</v>
      </c>
      <c r="G69" s="385"/>
      <c r="H69" s="386"/>
      <c r="I69" s="318">
        <v>3.9961454043660827</v>
      </c>
      <c r="J69" s="318"/>
      <c r="K69" s="318"/>
      <c r="L69" s="319">
        <v>1.3877900000000001</v>
      </c>
      <c r="M69" s="333"/>
      <c r="N69" s="334"/>
      <c r="O69" s="319">
        <v>1.3409800000000001</v>
      </c>
      <c r="P69" s="333"/>
      <c r="Q69" s="334"/>
      <c r="R69" s="335" t="s">
        <v>46</v>
      </c>
      <c r="S69" s="336"/>
      <c r="T69" s="337"/>
      <c r="U69" s="318">
        <v>1.9607892122004393</v>
      </c>
      <c r="V69" s="318"/>
      <c r="W69" s="318"/>
      <c r="X69" s="329">
        <v>31.564080230032872</v>
      </c>
      <c r="Y69" s="329"/>
      <c r="Z69" s="329"/>
      <c r="AA69" s="328">
        <v>0.16300930000000002</v>
      </c>
      <c r="AB69" s="328"/>
      <c r="AC69" s="328"/>
      <c r="AD69" s="328">
        <v>6.8524599999999991E-2</v>
      </c>
      <c r="AE69" s="328"/>
      <c r="AF69" s="328"/>
      <c r="AG69" s="328">
        <v>3.5987268871116321E-2</v>
      </c>
      <c r="AH69" s="328"/>
      <c r="AI69" s="328"/>
      <c r="AJ69" s="396">
        <v>2.2580008493743042E-2</v>
      </c>
      <c r="AK69" s="397"/>
      <c r="AL69" s="398"/>
      <c r="AM69" s="399">
        <v>0.23908847069989558</v>
      </c>
      <c r="AN69" s="400"/>
      <c r="AO69" s="401"/>
      <c r="AP69" s="396">
        <v>5.6451150805485295E-2</v>
      </c>
      <c r="AQ69" s="397"/>
      <c r="AR69" s="398"/>
      <c r="AS69" s="43">
        <v>1.5194062729466067</v>
      </c>
      <c r="AT69" s="43">
        <v>1.9898820182631709</v>
      </c>
      <c r="AU69" s="44">
        <v>2.3225377473468987</v>
      </c>
      <c r="AV69" s="45">
        <v>349.75329399999998</v>
      </c>
      <c r="AW69" s="46">
        <v>0.41802089217284494</v>
      </c>
      <c r="AX69" s="319">
        <v>0.7849298000000009</v>
      </c>
      <c r="AY69" s="333"/>
      <c r="AZ69" s="334"/>
      <c r="BA69" s="319">
        <v>1.0109999999999999</v>
      </c>
      <c r="BB69" s="333"/>
      <c r="BC69" s="334"/>
      <c r="BD69" s="319">
        <v>5.70691187012961</v>
      </c>
      <c r="BE69" s="333"/>
      <c r="BF69" s="334"/>
      <c r="BG69" s="319">
        <v>2.39644080895498</v>
      </c>
      <c r="BH69" s="333"/>
      <c r="BI69" s="334"/>
      <c r="BJ69" s="319">
        <v>11.789551381940456</v>
      </c>
      <c r="BK69" s="333"/>
      <c r="BL69" s="334"/>
      <c r="BM69" s="319">
        <v>0.41443490974056535</v>
      </c>
      <c r="BN69" s="333"/>
      <c r="BO69" s="334"/>
      <c r="BP69" s="319">
        <v>16.643457466699999</v>
      </c>
      <c r="BQ69" s="333"/>
      <c r="BR69" s="334"/>
      <c r="BS69" s="47">
        <v>0.67356853080191104</v>
      </c>
      <c r="BT69" s="43">
        <v>0.43477069143461544</v>
      </c>
      <c r="BU69" s="46">
        <v>1.7224928332371992E-2</v>
      </c>
      <c r="BV69" s="48">
        <v>43190</v>
      </c>
      <c r="BW69" s="49" t="s">
        <v>96</v>
      </c>
      <c r="CD69" s="95"/>
    </row>
    <row r="70" spans="1:82" s="94" customFormat="1" ht="11.25" customHeight="1" x14ac:dyDescent="0.2">
      <c r="A70" s="290" t="s">
        <v>97</v>
      </c>
      <c r="B70" s="290"/>
      <c r="C70" s="291">
        <v>99.95</v>
      </c>
      <c r="D70" s="291"/>
      <c r="E70" s="116">
        <v>1</v>
      </c>
      <c r="F70" s="292">
        <v>0</v>
      </c>
      <c r="G70" s="293"/>
      <c r="H70" s="294"/>
      <c r="I70" s="283">
        <v>2.8348210660599644</v>
      </c>
      <c r="J70" s="283"/>
      <c r="K70" s="283"/>
      <c r="L70" s="284">
        <v>1.6543000000000001</v>
      </c>
      <c r="M70" s="295"/>
      <c r="N70" s="296"/>
      <c r="O70" s="284">
        <v>1.6543000000000001</v>
      </c>
      <c r="P70" s="295"/>
      <c r="Q70" s="296"/>
      <c r="R70" s="297">
        <v>5.5203817014705898E-2</v>
      </c>
      <c r="S70" s="298"/>
      <c r="T70" s="299"/>
      <c r="U70" s="283">
        <v>2.7532750746487822</v>
      </c>
      <c r="V70" s="283"/>
      <c r="W70" s="283"/>
      <c r="X70" s="286" t="s">
        <v>46</v>
      </c>
      <c r="Y70" s="286"/>
      <c r="Z70" s="286"/>
      <c r="AA70" s="285">
        <v>0.34793080000000004</v>
      </c>
      <c r="AB70" s="285"/>
      <c r="AC70" s="285"/>
      <c r="AD70" s="285">
        <v>0.23664380000000002</v>
      </c>
      <c r="AE70" s="285"/>
      <c r="AF70" s="285"/>
      <c r="AG70" s="285">
        <v>0.20048838077797146</v>
      </c>
      <c r="AH70" s="285"/>
      <c r="AI70" s="285"/>
      <c r="AJ70" s="393">
        <v>6.8793186886789107E-2</v>
      </c>
      <c r="AK70" s="394"/>
      <c r="AL70" s="395"/>
      <c r="AM70" s="393">
        <v>1.5001309676170629</v>
      </c>
      <c r="AN70" s="394"/>
      <c r="AO70" s="395"/>
      <c r="AP70" s="393">
        <v>0.4416037186368964</v>
      </c>
      <c r="AQ70" s="394"/>
      <c r="AR70" s="395"/>
      <c r="AS70" s="32">
        <v>0.80622721135906716</v>
      </c>
      <c r="AT70" s="32">
        <v>0.685599449190474</v>
      </c>
      <c r="AU70" s="33">
        <v>3.4543744603406297</v>
      </c>
      <c r="AV70" s="34">
        <v>397.40938850000009</v>
      </c>
      <c r="AW70" s="32">
        <v>0.11277245833346541</v>
      </c>
      <c r="AX70" s="284">
        <v>2.63154025</v>
      </c>
      <c r="AY70" s="295"/>
      <c r="AZ70" s="296"/>
      <c r="BA70" s="284">
        <v>9.4144837199999998</v>
      </c>
      <c r="BB70" s="295"/>
      <c r="BC70" s="296"/>
      <c r="BD70" s="284">
        <v>3.2484368209316998</v>
      </c>
      <c r="BE70" s="295"/>
      <c r="BF70" s="296"/>
      <c r="BG70" s="284">
        <v>89.514162173756944</v>
      </c>
      <c r="BH70" s="295"/>
      <c r="BI70" s="296"/>
      <c r="BJ70" s="284">
        <v>16.737053273898237</v>
      </c>
      <c r="BK70" s="295"/>
      <c r="BL70" s="296"/>
      <c r="BM70" s="284">
        <v>3.5760863416611066</v>
      </c>
      <c r="BN70" s="295"/>
      <c r="BO70" s="296"/>
      <c r="BP70" s="284">
        <v>8.0776043940999998</v>
      </c>
      <c r="BQ70" s="295"/>
      <c r="BR70" s="296"/>
      <c r="BS70" s="35">
        <v>0.71058758813425604</v>
      </c>
      <c r="BT70" s="32">
        <v>0.63974954376843063</v>
      </c>
      <c r="BU70" s="36">
        <v>0.25653513006749162</v>
      </c>
      <c r="BV70" s="37">
        <v>43190</v>
      </c>
      <c r="BW70" s="38" t="s">
        <v>97</v>
      </c>
      <c r="CD70" s="95"/>
    </row>
    <row r="71" spans="1:82" s="94" customFormat="1" ht="11.25" customHeight="1" x14ac:dyDescent="0.2">
      <c r="A71" s="330" t="s">
        <v>98</v>
      </c>
      <c r="B71" s="330"/>
      <c r="C71" s="331">
        <v>17.55</v>
      </c>
      <c r="D71" s="331"/>
      <c r="E71" s="60">
        <v>1</v>
      </c>
      <c r="F71" s="384">
        <v>1.4763116806580001</v>
      </c>
      <c r="G71" s="385"/>
      <c r="H71" s="386"/>
      <c r="I71" s="318">
        <v>3.5822236717717022</v>
      </c>
      <c r="J71" s="318"/>
      <c r="K71" s="318"/>
      <c r="L71" s="319">
        <v>1.30884</v>
      </c>
      <c r="M71" s="333"/>
      <c r="N71" s="334"/>
      <c r="O71" s="319">
        <v>0.82201999999999997</v>
      </c>
      <c r="P71" s="333"/>
      <c r="Q71" s="334"/>
      <c r="R71" s="335">
        <v>0</v>
      </c>
      <c r="S71" s="336"/>
      <c r="T71" s="337"/>
      <c r="U71" s="318">
        <v>1.5579709395242545</v>
      </c>
      <c r="V71" s="318"/>
      <c r="W71" s="318"/>
      <c r="X71" s="329">
        <v>93.936002315267871</v>
      </c>
      <c r="Y71" s="329"/>
      <c r="Z71" s="329"/>
      <c r="AA71" s="328">
        <v>0.27405809999999997</v>
      </c>
      <c r="AB71" s="328"/>
      <c r="AC71" s="328"/>
      <c r="AD71" s="328">
        <v>0.15059229999999998</v>
      </c>
      <c r="AE71" s="328"/>
      <c r="AF71" s="328"/>
      <c r="AG71" s="328">
        <v>5.810048382731875E-2</v>
      </c>
      <c r="AH71" s="328"/>
      <c r="AI71" s="328"/>
      <c r="AJ71" s="396">
        <v>-0.13539301671757112</v>
      </c>
      <c r="AK71" s="397"/>
      <c r="AL71" s="398"/>
      <c r="AM71" s="399">
        <v>0.24108231679987696</v>
      </c>
      <c r="AN71" s="400"/>
      <c r="AO71" s="401"/>
      <c r="AP71" s="396">
        <v>7.2416299676498777E-2</v>
      </c>
      <c r="AQ71" s="397"/>
      <c r="AR71" s="398"/>
      <c r="AS71" s="43">
        <v>-2.0802693217764396</v>
      </c>
      <c r="AT71" s="43">
        <v>1.3108677764900258</v>
      </c>
      <c r="AU71" s="44">
        <v>5.5780301997533481</v>
      </c>
      <c r="AV71" s="45">
        <v>121.89477600000001</v>
      </c>
      <c r="AW71" s="46">
        <v>5.6081367109538798</v>
      </c>
      <c r="AX71" s="319">
        <v>1.5729940899999999</v>
      </c>
      <c r="AY71" s="333"/>
      <c r="AZ71" s="334"/>
      <c r="BA71" s="319">
        <v>1.32375</v>
      </c>
      <c r="BB71" s="333"/>
      <c r="BC71" s="334"/>
      <c r="BD71" s="319">
        <v>14.106288729104699</v>
      </c>
      <c r="BE71" s="333"/>
      <c r="BF71" s="334"/>
      <c r="BG71" s="319">
        <v>7.15543364035977</v>
      </c>
      <c r="BH71" s="333"/>
      <c r="BI71" s="334"/>
      <c r="BJ71" s="319">
        <v>28.3050820121607</v>
      </c>
      <c r="BK71" s="333"/>
      <c r="BL71" s="334"/>
      <c r="BM71" s="319">
        <v>1.6399844652742535</v>
      </c>
      <c r="BN71" s="333"/>
      <c r="BO71" s="334"/>
      <c r="BP71" s="319">
        <v>30.150427572400002</v>
      </c>
      <c r="BQ71" s="333"/>
      <c r="BR71" s="334"/>
      <c r="BS71" s="47">
        <v>1.22839764313591</v>
      </c>
      <c r="BT71" s="43">
        <v>0.49279943323213993</v>
      </c>
      <c r="BU71" s="46">
        <v>7.3906962044565372E-2</v>
      </c>
      <c r="BV71" s="48">
        <v>43190</v>
      </c>
      <c r="BW71" s="49" t="s">
        <v>98</v>
      </c>
      <c r="CD71" s="95"/>
    </row>
    <row r="72" spans="1:82" s="94" customFormat="1" ht="11.25" customHeight="1" x14ac:dyDescent="0.2">
      <c r="A72" s="290" t="s">
        <v>99</v>
      </c>
      <c r="B72" s="290"/>
      <c r="C72" s="291">
        <v>22</v>
      </c>
      <c r="D72" s="291"/>
      <c r="E72" s="116">
        <v>0.1</v>
      </c>
      <c r="F72" s="292">
        <v>4.3015786959999996E-2</v>
      </c>
      <c r="G72" s="293"/>
      <c r="H72" s="294"/>
      <c r="I72" s="283">
        <v>13.275185772288255</v>
      </c>
      <c r="J72" s="283"/>
      <c r="K72" s="283"/>
      <c r="L72" s="284">
        <v>1.21167</v>
      </c>
      <c r="M72" s="295"/>
      <c r="N72" s="296"/>
      <c r="O72" s="284">
        <v>0.68615999999999999</v>
      </c>
      <c r="P72" s="295"/>
      <c r="Q72" s="296"/>
      <c r="R72" s="297">
        <v>6.8181818181818196E-3</v>
      </c>
      <c r="S72" s="298"/>
      <c r="T72" s="299"/>
      <c r="U72" s="283">
        <v>1.1467850240318271</v>
      </c>
      <c r="V72" s="283"/>
      <c r="W72" s="283"/>
      <c r="X72" s="286">
        <v>416.49481637443091</v>
      </c>
      <c r="Y72" s="286"/>
      <c r="Z72" s="286"/>
      <c r="AA72" s="285">
        <v>0.2136448</v>
      </c>
      <c r="AB72" s="285"/>
      <c r="AC72" s="285"/>
      <c r="AD72" s="285">
        <v>5.0478599999999998E-2</v>
      </c>
      <c r="AE72" s="285"/>
      <c r="AF72" s="285"/>
      <c r="AG72" s="285">
        <v>2.9679413762041779E-2</v>
      </c>
      <c r="AH72" s="285"/>
      <c r="AI72" s="285"/>
      <c r="AJ72" s="393">
        <v>1.4559978819488344E-3</v>
      </c>
      <c r="AK72" s="394"/>
      <c r="AL72" s="395"/>
      <c r="AM72" s="393">
        <v>0.33253768254078897</v>
      </c>
      <c r="AN72" s="394"/>
      <c r="AO72" s="395"/>
      <c r="AP72" s="393">
        <v>2.722945230799247E-2</v>
      </c>
      <c r="AQ72" s="394"/>
      <c r="AR72" s="395"/>
      <c r="AS72" s="32">
        <v>-8.9642374834493888E-2</v>
      </c>
      <c r="AT72" s="32">
        <v>0.34270439253761231</v>
      </c>
      <c r="AU72" s="33">
        <v>0.77316789712304979</v>
      </c>
      <c r="AV72" s="34">
        <v>65.194990499999989</v>
      </c>
      <c r="AW72" s="32">
        <v>0.66975552617381484</v>
      </c>
      <c r="AX72" s="284">
        <v>4.7420260000000096E-2</v>
      </c>
      <c r="AY72" s="295"/>
      <c r="AZ72" s="296"/>
      <c r="BA72" s="284">
        <v>4.8399999999999999E-2</v>
      </c>
      <c r="BB72" s="295"/>
      <c r="BC72" s="296"/>
      <c r="BD72" s="284">
        <v>1.30157511134143</v>
      </c>
      <c r="BE72" s="295"/>
      <c r="BF72" s="296"/>
      <c r="BG72" s="284">
        <v>1.4785908296208179</v>
      </c>
      <c r="BH72" s="295"/>
      <c r="BI72" s="296"/>
      <c r="BJ72" s="284">
        <v>44.110275689223059</v>
      </c>
      <c r="BK72" s="295"/>
      <c r="BL72" s="296"/>
      <c r="BM72" s="284">
        <v>0.13091754753348364</v>
      </c>
      <c r="BN72" s="295"/>
      <c r="BO72" s="296"/>
      <c r="BP72" s="284">
        <v>4.6942847083999997</v>
      </c>
      <c r="BQ72" s="295"/>
      <c r="BR72" s="296"/>
      <c r="BS72" s="35" t="s">
        <v>46</v>
      </c>
      <c r="BT72" s="32">
        <v>0.35329195089524335</v>
      </c>
      <c r="BU72" s="36">
        <v>-1.0535379005556456E-2</v>
      </c>
      <c r="BV72" s="37">
        <v>43008</v>
      </c>
      <c r="BW72" s="38" t="s">
        <v>99</v>
      </c>
      <c r="CD72" s="95"/>
    </row>
    <row r="73" spans="1:82" s="94" customFormat="1" ht="11.25" customHeight="1" x14ac:dyDescent="0.2">
      <c r="A73" s="330" t="s">
        <v>100</v>
      </c>
      <c r="B73" s="330"/>
      <c r="C73" s="331">
        <v>9.75</v>
      </c>
      <c r="D73" s="331"/>
      <c r="E73" s="60">
        <v>1</v>
      </c>
      <c r="F73" s="384">
        <v>0.40474791915300001</v>
      </c>
      <c r="G73" s="385"/>
      <c r="H73" s="386"/>
      <c r="I73" s="318">
        <v>3.9539649917970054</v>
      </c>
      <c r="J73" s="318"/>
      <c r="K73" s="318"/>
      <c r="L73" s="319">
        <v>1.1969399999999999</v>
      </c>
      <c r="M73" s="333"/>
      <c r="N73" s="334"/>
      <c r="O73" s="319">
        <v>0.80694999999999995</v>
      </c>
      <c r="P73" s="333"/>
      <c r="Q73" s="334"/>
      <c r="R73" s="335" t="s">
        <v>46</v>
      </c>
      <c r="S73" s="336"/>
      <c r="T73" s="337"/>
      <c r="U73" s="318">
        <v>2.3917108640229623</v>
      </c>
      <c r="V73" s="318"/>
      <c r="W73" s="318"/>
      <c r="X73" s="329">
        <v>56.950170626666377</v>
      </c>
      <c r="Y73" s="329"/>
      <c r="Z73" s="329"/>
      <c r="AA73" s="328">
        <v>0.35204979999999997</v>
      </c>
      <c r="AB73" s="328"/>
      <c r="AC73" s="328"/>
      <c r="AD73" s="328">
        <v>0.12574439999999998</v>
      </c>
      <c r="AE73" s="328"/>
      <c r="AF73" s="328"/>
      <c r="AG73" s="328">
        <v>6.9453188066954177E-3</v>
      </c>
      <c r="AH73" s="328"/>
      <c r="AI73" s="328"/>
      <c r="AJ73" s="396">
        <v>-7.5571621427338606E-4</v>
      </c>
      <c r="AK73" s="397"/>
      <c r="AL73" s="398"/>
      <c r="AM73" s="399">
        <v>4.7578084252708673E-2</v>
      </c>
      <c r="AN73" s="400"/>
      <c r="AO73" s="401"/>
      <c r="AP73" s="396">
        <v>1.3289192225176062E-2</v>
      </c>
      <c r="AQ73" s="397"/>
      <c r="AR73" s="398"/>
      <c r="AS73" s="43">
        <v>1.3361796925538152</v>
      </c>
      <c r="AT73" s="43">
        <v>0.45792441166253794</v>
      </c>
      <c r="AU73" s="44">
        <v>2.2392683078560869</v>
      </c>
      <c r="AV73" s="45">
        <v>202.90613100000002</v>
      </c>
      <c r="AW73" s="46">
        <v>0.35057173116570495</v>
      </c>
      <c r="AX73" s="319">
        <v>0.55245896999999999</v>
      </c>
      <c r="AY73" s="333"/>
      <c r="AZ73" s="334"/>
      <c r="BA73" s="319">
        <v>0.42899999999999999</v>
      </c>
      <c r="BB73" s="333"/>
      <c r="BC73" s="334"/>
      <c r="BD73" s="319">
        <v>3.1180058428714301</v>
      </c>
      <c r="BE73" s="333"/>
      <c r="BF73" s="334"/>
      <c r="BG73" s="319">
        <v>3.2354205088856411</v>
      </c>
      <c r="BH73" s="333"/>
      <c r="BI73" s="334"/>
      <c r="BJ73" s="319">
        <v>53.246682322101471</v>
      </c>
      <c r="BK73" s="333"/>
      <c r="BL73" s="334"/>
      <c r="BM73" s="319">
        <v>0.36981105310240181</v>
      </c>
      <c r="BN73" s="333"/>
      <c r="BO73" s="334"/>
      <c r="BP73" s="319">
        <v>30.061236631</v>
      </c>
      <c r="BQ73" s="333"/>
      <c r="BR73" s="334"/>
      <c r="BS73" s="47">
        <v>0.669977419444439</v>
      </c>
      <c r="BT73" s="43">
        <v>0.45706759962811744</v>
      </c>
      <c r="BU73" s="46">
        <v>6.0765358839525829E-2</v>
      </c>
      <c r="BV73" s="48">
        <v>43190</v>
      </c>
      <c r="BW73" s="49" t="s">
        <v>100</v>
      </c>
      <c r="CD73" s="95"/>
    </row>
    <row r="74" spans="1:82" s="94" customFormat="1" ht="11.25" customHeight="1" x14ac:dyDescent="0.2">
      <c r="A74" s="290" t="s">
        <v>101</v>
      </c>
      <c r="B74" s="290"/>
      <c r="C74" s="291">
        <v>5.8</v>
      </c>
      <c r="D74" s="291"/>
      <c r="E74" s="116">
        <v>0.1</v>
      </c>
      <c r="F74" s="292">
        <v>0.27684448726200001</v>
      </c>
      <c r="G74" s="293"/>
      <c r="H74" s="294"/>
      <c r="I74" s="283">
        <v>1.71831800812219</v>
      </c>
      <c r="J74" s="283"/>
      <c r="K74" s="283"/>
      <c r="L74" s="284">
        <v>1.94964</v>
      </c>
      <c r="M74" s="295"/>
      <c r="N74" s="296"/>
      <c r="O74" s="284">
        <v>0.80186999999999997</v>
      </c>
      <c r="P74" s="295"/>
      <c r="Q74" s="296"/>
      <c r="R74" s="297">
        <v>1.23716511864407E-3</v>
      </c>
      <c r="S74" s="298"/>
      <c r="T74" s="299"/>
      <c r="U74" s="283">
        <v>1.9412102398305415</v>
      </c>
      <c r="V74" s="283"/>
      <c r="W74" s="283"/>
      <c r="X74" s="286">
        <v>156.96445541884214</v>
      </c>
      <c r="Y74" s="286"/>
      <c r="Z74" s="286"/>
      <c r="AA74" s="285">
        <v>0.35846299999999998</v>
      </c>
      <c r="AB74" s="285"/>
      <c r="AC74" s="285"/>
      <c r="AD74" s="285">
        <v>7.0296799999999993E-2</v>
      </c>
      <c r="AE74" s="285"/>
      <c r="AF74" s="285"/>
      <c r="AG74" s="285">
        <v>4.0382748516628993E-2</v>
      </c>
      <c r="AH74" s="285"/>
      <c r="AI74" s="285"/>
      <c r="AJ74" s="393">
        <v>3.2467382546454662E-2</v>
      </c>
      <c r="AK74" s="394"/>
      <c r="AL74" s="395"/>
      <c r="AM74" s="393">
        <v>0.10869023154742907</v>
      </c>
      <c r="AN74" s="394"/>
      <c r="AO74" s="395"/>
      <c r="AP74" s="393">
        <v>6.2713528798469836E-2</v>
      </c>
      <c r="AQ74" s="394"/>
      <c r="AR74" s="395"/>
      <c r="AS74" s="32">
        <v>2.5258769307021374</v>
      </c>
      <c r="AT74" s="32">
        <v>0.3359834213615101</v>
      </c>
      <c r="AU74" s="33">
        <v>0.59165128585079774</v>
      </c>
      <c r="AV74" s="34">
        <v>412.5187315</v>
      </c>
      <c r="AW74" s="32">
        <v>0.14174893657330317</v>
      </c>
      <c r="AX74" s="284">
        <v>2.5193403641000001</v>
      </c>
      <c r="AY74" s="295"/>
      <c r="AZ74" s="296"/>
      <c r="BA74" s="284">
        <v>2.4249000000000001</v>
      </c>
      <c r="BB74" s="295"/>
      <c r="BC74" s="296"/>
      <c r="BD74" s="284">
        <v>12.386431615362399</v>
      </c>
      <c r="BE74" s="295"/>
      <c r="BF74" s="296"/>
      <c r="BG74" s="284">
        <v>2.4133455771135419</v>
      </c>
      <c r="BH74" s="295"/>
      <c r="BI74" s="296"/>
      <c r="BJ74" s="284">
        <v>227.27272727272725</v>
      </c>
      <c r="BK74" s="295"/>
      <c r="BL74" s="296"/>
      <c r="BM74" s="284">
        <v>0.93356207638234823</v>
      </c>
      <c r="BN74" s="295"/>
      <c r="BO74" s="296"/>
      <c r="BP74" s="284">
        <v>24.5841856449</v>
      </c>
      <c r="BQ74" s="295"/>
      <c r="BR74" s="296"/>
      <c r="BS74" s="35">
        <v>0.81089569919681403</v>
      </c>
      <c r="BT74" s="32">
        <v>0.44691417604026434</v>
      </c>
      <c r="BU74" s="36">
        <v>2.178882368528412E-2</v>
      </c>
      <c r="BV74" s="37">
        <v>43190</v>
      </c>
      <c r="BW74" s="38" t="s">
        <v>101</v>
      </c>
      <c r="CD74" s="95"/>
    </row>
    <row r="75" spans="1:82" s="94" customFormat="1" ht="11.25" customHeight="1" x14ac:dyDescent="0.2">
      <c r="A75" s="345" t="s">
        <v>102</v>
      </c>
      <c r="B75" s="345"/>
      <c r="C75" s="346">
        <v>10.5</v>
      </c>
      <c r="D75" s="346"/>
      <c r="E75" s="123">
        <v>1</v>
      </c>
      <c r="F75" s="347" t="s">
        <v>46</v>
      </c>
      <c r="G75" s="348"/>
      <c r="H75" s="349"/>
      <c r="I75" s="340">
        <v>-7.5436830520525938E-2</v>
      </c>
      <c r="J75" s="340"/>
      <c r="K75" s="340"/>
      <c r="L75" s="341">
        <v>2.4309999999999998E-2</v>
      </c>
      <c r="M75" s="350"/>
      <c r="N75" s="351"/>
      <c r="O75" s="341">
        <v>2.4309999999999998E-2</v>
      </c>
      <c r="P75" s="350"/>
      <c r="Q75" s="351"/>
      <c r="R75" s="352" t="s">
        <v>46</v>
      </c>
      <c r="S75" s="353"/>
      <c r="T75" s="354"/>
      <c r="U75" s="340" t="s">
        <v>46</v>
      </c>
      <c r="V75" s="340"/>
      <c r="W75" s="340"/>
      <c r="X75" s="343" t="s">
        <v>46</v>
      </c>
      <c r="Y75" s="343"/>
      <c r="Z75" s="343"/>
      <c r="AA75" s="342" t="s">
        <v>46</v>
      </c>
      <c r="AB75" s="342"/>
      <c r="AC75" s="342"/>
      <c r="AD75" s="342" t="s">
        <v>46</v>
      </c>
      <c r="AE75" s="342"/>
      <c r="AF75" s="342"/>
      <c r="AG75" s="342" t="s">
        <v>46</v>
      </c>
      <c r="AH75" s="342"/>
      <c r="AI75" s="342"/>
      <c r="AJ75" s="387" t="s">
        <v>46</v>
      </c>
      <c r="AK75" s="388"/>
      <c r="AL75" s="389"/>
      <c r="AM75" s="390" t="s">
        <v>46</v>
      </c>
      <c r="AN75" s="391"/>
      <c r="AO75" s="392"/>
      <c r="AP75" s="387">
        <v>-1.5617487275140822</v>
      </c>
      <c r="AQ75" s="388"/>
      <c r="AR75" s="389"/>
      <c r="AS75" s="124">
        <v>0.62014237036154363</v>
      </c>
      <c r="AT75" s="124">
        <v>-115.49278425185574</v>
      </c>
      <c r="AU75" s="125">
        <v>260.86414056878345</v>
      </c>
      <c r="AV75" s="126">
        <v>0</v>
      </c>
      <c r="AW75" s="127" t="s">
        <v>46</v>
      </c>
      <c r="AX75" s="341">
        <v>6.7158476999999994E-2</v>
      </c>
      <c r="AY75" s="350"/>
      <c r="AZ75" s="351"/>
      <c r="BA75" s="341">
        <v>6.7414136999999999E-2</v>
      </c>
      <c r="BB75" s="350"/>
      <c r="BC75" s="351"/>
      <c r="BD75" s="341" t="s">
        <v>46</v>
      </c>
      <c r="BE75" s="350"/>
      <c r="BF75" s="351"/>
      <c r="BG75" s="341" t="s">
        <v>46</v>
      </c>
      <c r="BH75" s="350"/>
      <c r="BI75" s="351"/>
      <c r="BJ75" s="341" t="s">
        <v>46</v>
      </c>
      <c r="BK75" s="350"/>
      <c r="BL75" s="351"/>
      <c r="BM75" s="341" t="s">
        <v>46</v>
      </c>
      <c r="BN75" s="350"/>
      <c r="BO75" s="351"/>
      <c r="BP75" s="341" t="s">
        <v>46</v>
      </c>
      <c r="BQ75" s="350"/>
      <c r="BR75" s="351"/>
      <c r="BS75" s="128">
        <v>0.22032804118097099</v>
      </c>
      <c r="BT75" s="124">
        <v>0.63076012005901871</v>
      </c>
      <c r="BU75" s="127">
        <v>-0.21901862052994159</v>
      </c>
      <c r="BV75" s="129">
        <v>43190</v>
      </c>
      <c r="BW75" s="49" t="s">
        <v>102</v>
      </c>
      <c r="CD75" s="95"/>
    </row>
    <row r="76" spans="1:82" s="94" customFormat="1" ht="11.25" customHeight="1" x14ac:dyDescent="0.2">
      <c r="A76" s="308" t="s">
        <v>57</v>
      </c>
      <c r="B76" s="309"/>
      <c r="C76" s="310"/>
      <c r="D76" s="311"/>
      <c r="E76" s="61"/>
      <c r="F76" s="303">
        <v>0.29991106373966669</v>
      </c>
      <c r="G76" s="304"/>
      <c r="H76" s="305"/>
      <c r="I76" s="303">
        <v>3.4681356787723239</v>
      </c>
      <c r="J76" s="304"/>
      <c r="K76" s="305"/>
      <c r="L76" s="303">
        <v>1.387937</v>
      </c>
      <c r="M76" s="304"/>
      <c r="N76" s="305"/>
      <c r="O76" s="303">
        <v>1.0523919999999998</v>
      </c>
      <c r="P76" s="304"/>
      <c r="Q76" s="305"/>
      <c r="R76" s="312">
        <v>2.4111015667645543E-2</v>
      </c>
      <c r="S76" s="313"/>
      <c r="T76" s="314"/>
      <c r="U76" s="303">
        <v>1.8330782082823778</v>
      </c>
      <c r="V76" s="304"/>
      <c r="W76" s="305"/>
      <c r="X76" s="303">
        <v>109.88165032207239</v>
      </c>
      <c r="Y76" s="304"/>
      <c r="Z76" s="305"/>
      <c r="AA76" s="300">
        <v>0.25190231111111111</v>
      </c>
      <c r="AB76" s="301"/>
      <c r="AC76" s="302"/>
      <c r="AD76" s="300">
        <v>0.13463651111111108</v>
      </c>
      <c r="AE76" s="301"/>
      <c r="AF76" s="302"/>
      <c r="AG76" s="300">
        <v>0.4891947265521932</v>
      </c>
      <c r="AH76" s="301"/>
      <c r="AI76" s="302"/>
      <c r="AJ76" s="300">
        <v>3.1435548475978237E-2</v>
      </c>
      <c r="AK76" s="301"/>
      <c r="AL76" s="302"/>
      <c r="AM76" s="300">
        <v>0.52383755779979979</v>
      </c>
      <c r="AN76" s="301"/>
      <c r="AO76" s="302"/>
      <c r="AP76" s="300">
        <v>2.6791664870501265E-2</v>
      </c>
      <c r="AQ76" s="301"/>
      <c r="AR76" s="302"/>
      <c r="AS76" s="62">
        <v>43.341571983540511</v>
      </c>
      <c r="AT76" s="62">
        <v>-10.910268520534142</v>
      </c>
      <c r="AU76" s="63">
        <v>27.766959111856039</v>
      </c>
      <c r="AV76" s="64">
        <v>216.49890145000001</v>
      </c>
      <c r="AW76" s="62">
        <v>5.0156844937537626</v>
      </c>
      <c r="AX76" s="287">
        <v>1.6273348193099992</v>
      </c>
      <c r="AY76" s="288"/>
      <c r="AZ76" s="289"/>
      <c r="BA76" s="287">
        <v>2.3849575389000002</v>
      </c>
      <c r="BB76" s="288"/>
      <c r="BC76" s="289"/>
      <c r="BD76" s="287">
        <v>16.49310086888508</v>
      </c>
      <c r="BE76" s="288"/>
      <c r="BF76" s="289"/>
      <c r="BG76" s="287">
        <v>13.496235658236243</v>
      </c>
      <c r="BH76" s="288"/>
      <c r="BI76" s="289"/>
      <c r="BJ76" s="287">
        <v>44.945449367222963</v>
      </c>
      <c r="BK76" s="288"/>
      <c r="BL76" s="289"/>
      <c r="BM76" s="287">
        <v>2.4548920394813565</v>
      </c>
      <c r="BN76" s="288"/>
      <c r="BO76" s="289"/>
      <c r="BP76" s="287">
        <v>16.538909622599999</v>
      </c>
      <c r="BQ76" s="288"/>
      <c r="BR76" s="289"/>
      <c r="BS76" s="65">
        <v>0.7378977910426987</v>
      </c>
      <c r="BT76" s="62">
        <v>0.47592181637677733</v>
      </c>
      <c r="BU76" s="62">
        <v>5.852611950653501E-2</v>
      </c>
      <c r="BV76" s="66"/>
      <c r="BW76" s="66"/>
      <c r="CD76" s="95"/>
    </row>
    <row r="77" spans="1:82" s="92" customFormat="1" ht="11.25" customHeight="1" x14ac:dyDescent="0.2">
      <c r="A77" s="67" t="s">
        <v>103</v>
      </c>
      <c r="B77" s="67"/>
      <c r="C77" s="67"/>
      <c r="D77" s="67"/>
      <c r="E77" s="67"/>
      <c r="F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9"/>
      <c r="AX77" s="67"/>
      <c r="AY77" s="67"/>
      <c r="AZ77" s="67"/>
      <c r="BA77" s="67"/>
      <c r="BB77" s="67"/>
      <c r="BC77" s="67"/>
      <c r="BD77" s="67"/>
      <c r="BE77" s="67"/>
      <c r="BF77" s="67"/>
      <c r="BG77" s="67"/>
      <c r="BH77" s="67"/>
      <c r="BI77" s="67"/>
      <c r="BJ77" s="67"/>
      <c r="BK77" s="67"/>
      <c r="BL77" s="67"/>
      <c r="BM77" s="67"/>
      <c r="BN77" s="67"/>
      <c r="BO77" s="67"/>
      <c r="BP77" s="67"/>
      <c r="BQ77" s="67"/>
      <c r="BR77" s="67"/>
      <c r="BS77" s="67"/>
      <c r="BT77" s="67"/>
      <c r="BU77" s="67"/>
      <c r="BV77" s="70"/>
      <c r="BW77" s="71"/>
      <c r="CD77" s="93"/>
    </row>
    <row r="78" spans="1:82" s="92" customFormat="1" ht="11.25" customHeight="1" x14ac:dyDescent="0.2">
      <c r="A78" s="330" t="s">
        <v>104</v>
      </c>
      <c r="B78" s="330"/>
      <c r="C78" s="331">
        <v>10.4</v>
      </c>
      <c r="D78" s="331"/>
      <c r="E78" s="60">
        <v>0.01</v>
      </c>
      <c r="F78" s="384">
        <v>3.62962767473</v>
      </c>
      <c r="G78" s="385"/>
      <c r="H78" s="386"/>
      <c r="I78" s="318">
        <v>7.2688669784332145</v>
      </c>
      <c r="J78" s="318"/>
      <c r="K78" s="318"/>
      <c r="L78" s="319">
        <v>0.75831999999999999</v>
      </c>
      <c r="M78" s="333"/>
      <c r="N78" s="334"/>
      <c r="O78" s="319">
        <v>0.50422999999999996</v>
      </c>
      <c r="P78" s="333"/>
      <c r="Q78" s="334"/>
      <c r="R78" s="335" t="s">
        <v>46</v>
      </c>
      <c r="S78" s="336"/>
      <c r="T78" s="337"/>
      <c r="U78" s="318">
        <v>0.88262487824145297</v>
      </c>
      <c r="V78" s="318"/>
      <c r="W78" s="318"/>
      <c r="X78" s="329">
        <v>122.86760099740961</v>
      </c>
      <c r="Y78" s="329"/>
      <c r="Z78" s="329"/>
      <c r="AA78" s="328">
        <v>9.8205899999999999E-2</v>
      </c>
      <c r="AB78" s="328"/>
      <c r="AC78" s="328"/>
      <c r="AD78" s="328" t="s">
        <v>46</v>
      </c>
      <c r="AE78" s="328"/>
      <c r="AF78" s="328"/>
      <c r="AG78" s="328" t="s">
        <v>46</v>
      </c>
      <c r="AH78" s="328"/>
      <c r="AI78" s="328"/>
      <c r="AJ78" s="328">
        <v>3.2999396279755677E-2</v>
      </c>
      <c r="AK78" s="328"/>
      <c r="AL78" s="328"/>
      <c r="AM78" s="339">
        <v>-1.2036913623476522</v>
      </c>
      <c r="AN78" s="339"/>
      <c r="AO78" s="339"/>
      <c r="AP78" s="328">
        <v>-0.23260271539629709</v>
      </c>
      <c r="AQ78" s="328"/>
      <c r="AR78" s="328"/>
      <c r="AS78" s="43">
        <v>-5.3833959012862334</v>
      </c>
      <c r="AT78" s="43">
        <v>-3.4979689407344141</v>
      </c>
      <c r="AU78" s="44">
        <v>4.8375015280321598</v>
      </c>
      <c r="AV78" s="45">
        <v>822.81060000000002</v>
      </c>
      <c r="AW78" s="46">
        <v>0.14525446041613468</v>
      </c>
      <c r="AX78" s="318">
        <v>4.4875421529999997</v>
      </c>
      <c r="AY78" s="318"/>
      <c r="AZ78" s="318"/>
      <c r="BA78" s="318">
        <v>1.0800774854100001</v>
      </c>
      <c r="BB78" s="318"/>
      <c r="BC78" s="318"/>
      <c r="BD78" s="318">
        <v>10.134101191013899</v>
      </c>
      <c r="BE78" s="318"/>
      <c r="BF78" s="318"/>
      <c r="BG78" s="318">
        <v>1.1484285047257634</v>
      </c>
      <c r="BH78" s="318"/>
      <c r="BI78" s="318"/>
      <c r="BJ78" s="318" t="s">
        <v>46</v>
      </c>
      <c r="BK78" s="318"/>
      <c r="BL78" s="318"/>
      <c r="BM78" s="318">
        <v>0.23430278238672764</v>
      </c>
      <c r="BN78" s="318"/>
      <c r="BO78" s="318"/>
      <c r="BP78" s="318" t="s">
        <v>46</v>
      </c>
      <c r="BQ78" s="318"/>
      <c r="BR78" s="319"/>
      <c r="BS78" s="47">
        <v>0.98144980211834898</v>
      </c>
      <c r="BT78" s="43">
        <v>0.47095047231686937</v>
      </c>
      <c r="BU78" s="46">
        <v>-0.10891072935788537</v>
      </c>
      <c r="BV78" s="48">
        <v>43159</v>
      </c>
      <c r="BW78" s="49" t="s">
        <v>104</v>
      </c>
      <c r="CD78" s="93"/>
    </row>
    <row r="79" spans="1:82" s="94" customFormat="1" ht="11.25" customHeight="1" x14ac:dyDescent="0.2">
      <c r="A79" s="290" t="s">
        <v>105</v>
      </c>
      <c r="B79" s="290"/>
      <c r="C79" s="291">
        <v>12.5</v>
      </c>
      <c r="D79" s="291"/>
      <c r="E79" s="59">
        <v>0</v>
      </c>
      <c r="F79" s="292">
        <v>0.39695435535199997</v>
      </c>
      <c r="G79" s="293"/>
      <c r="H79" s="294"/>
      <c r="I79" s="283">
        <v>7.8297680747603708</v>
      </c>
      <c r="J79" s="283"/>
      <c r="K79" s="283"/>
      <c r="L79" s="284">
        <v>1.0841799999999999</v>
      </c>
      <c r="M79" s="295"/>
      <c r="N79" s="296"/>
      <c r="O79" s="284">
        <v>0.78703000000000001</v>
      </c>
      <c r="P79" s="295"/>
      <c r="Q79" s="296"/>
      <c r="R79" s="297" t="s">
        <v>46</v>
      </c>
      <c r="S79" s="298"/>
      <c r="T79" s="299"/>
      <c r="U79" s="283">
        <v>2.1564991478146553</v>
      </c>
      <c r="V79" s="283"/>
      <c r="W79" s="283"/>
      <c r="X79" s="286">
        <v>212.46501288087529</v>
      </c>
      <c r="Y79" s="286"/>
      <c r="Z79" s="286"/>
      <c r="AA79" s="285">
        <v>0.32077019999999995</v>
      </c>
      <c r="AB79" s="285"/>
      <c r="AC79" s="285"/>
      <c r="AD79" s="285" t="s">
        <v>46</v>
      </c>
      <c r="AE79" s="285"/>
      <c r="AF79" s="285"/>
      <c r="AG79" s="285" t="s">
        <v>46</v>
      </c>
      <c r="AH79" s="285"/>
      <c r="AI79" s="285"/>
      <c r="AJ79" s="285">
        <v>-0.14919326619034592</v>
      </c>
      <c r="AK79" s="285"/>
      <c r="AL79" s="285"/>
      <c r="AM79" s="285">
        <v>0</v>
      </c>
      <c r="AN79" s="285"/>
      <c r="AO79" s="285"/>
      <c r="AP79" s="285">
        <v>-0.2389442820077631</v>
      </c>
      <c r="AQ79" s="285"/>
      <c r="AR79" s="285"/>
      <c r="AS79" s="32">
        <v>0.34689104392470049</v>
      </c>
      <c r="AT79" s="32">
        <v>-5.6919863196042471</v>
      </c>
      <c r="AU79" s="33">
        <v>14.009411934822859</v>
      </c>
      <c r="AV79" s="34">
        <v>129.489</v>
      </c>
      <c r="AW79" s="32">
        <v>0.34619711211476384</v>
      </c>
      <c r="AX79" s="283">
        <v>0.20146583540000002</v>
      </c>
      <c r="AY79" s="283"/>
      <c r="AZ79" s="283"/>
      <c r="BA79" s="283">
        <v>0.18492183540000001</v>
      </c>
      <c r="BB79" s="283"/>
      <c r="BC79" s="283"/>
      <c r="BD79" s="283" t="s">
        <v>46</v>
      </c>
      <c r="BE79" s="283"/>
      <c r="BF79" s="283"/>
      <c r="BG79" s="283">
        <v>3.8092084909158324</v>
      </c>
      <c r="BH79" s="283"/>
      <c r="BI79" s="283"/>
      <c r="BJ79" s="283" t="s">
        <v>46</v>
      </c>
      <c r="BK79" s="283"/>
      <c r="BL79" s="283"/>
      <c r="BM79" s="283">
        <v>0.29412992263499116</v>
      </c>
      <c r="BN79" s="283"/>
      <c r="BO79" s="283"/>
      <c r="BP79" s="283" t="s">
        <v>46</v>
      </c>
      <c r="BQ79" s="283"/>
      <c r="BR79" s="284"/>
      <c r="BS79" s="35">
        <v>-1.3485522574872E-2</v>
      </c>
      <c r="BT79" s="32">
        <v>0.56401218093639338</v>
      </c>
      <c r="BU79" s="36">
        <v>-0.22801272960708086</v>
      </c>
      <c r="BV79" s="37">
        <v>43190</v>
      </c>
      <c r="BW79" s="38" t="s">
        <v>105</v>
      </c>
      <c r="CD79" s="95"/>
    </row>
    <row r="80" spans="1:82" s="94" customFormat="1" ht="11.25" customHeight="1" x14ac:dyDescent="0.2">
      <c r="A80" s="330" t="s">
        <v>106</v>
      </c>
      <c r="B80" s="330"/>
      <c r="C80" s="331">
        <v>6.05</v>
      </c>
      <c r="D80" s="331"/>
      <c r="E80" s="60">
        <v>1</v>
      </c>
      <c r="F80" s="384">
        <v>1.479795586409</v>
      </c>
      <c r="G80" s="385"/>
      <c r="H80" s="386"/>
      <c r="I80" s="318">
        <v>3.7379375273761331</v>
      </c>
      <c r="J80" s="318"/>
      <c r="K80" s="318"/>
      <c r="L80" s="319">
        <v>1.00163</v>
      </c>
      <c r="M80" s="333"/>
      <c r="N80" s="334"/>
      <c r="O80" s="319">
        <v>0.68852999999999998</v>
      </c>
      <c r="P80" s="333"/>
      <c r="Q80" s="334"/>
      <c r="R80" s="335">
        <v>4.6461255645161301E-3</v>
      </c>
      <c r="S80" s="336"/>
      <c r="T80" s="337"/>
      <c r="U80" s="318">
        <v>1.6441332516149225</v>
      </c>
      <c r="V80" s="318"/>
      <c r="W80" s="318"/>
      <c r="X80" s="329">
        <v>74.186406292594569</v>
      </c>
      <c r="Y80" s="329"/>
      <c r="Z80" s="329"/>
      <c r="AA80" s="328">
        <v>0.18921779999999999</v>
      </c>
      <c r="AB80" s="328"/>
      <c r="AC80" s="328"/>
      <c r="AD80" s="328">
        <v>6.8310300000000004E-2</v>
      </c>
      <c r="AE80" s="328"/>
      <c r="AF80" s="328"/>
      <c r="AG80" s="328" t="s">
        <v>46</v>
      </c>
      <c r="AH80" s="328"/>
      <c r="AI80" s="328"/>
      <c r="AJ80" s="328">
        <v>9.8990420661658321E-2</v>
      </c>
      <c r="AK80" s="328"/>
      <c r="AL80" s="328"/>
      <c r="AM80" s="339">
        <v>-1.7296601088645634E-2</v>
      </c>
      <c r="AN80" s="339"/>
      <c r="AO80" s="339"/>
      <c r="AP80" s="328">
        <v>-4.8290294947749765E-3</v>
      </c>
      <c r="AQ80" s="328"/>
      <c r="AR80" s="328"/>
      <c r="AS80" s="43">
        <v>-1.0344765015423698</v>
      </c>
      <c r="AT80" s="43">
        <v>20.557726454300884</v>
      </c>
      <c r="AU80" s="44">
        <v>47.416149135945489</v>
      </c>
      <c r="AV80" s="45">
        <v>94.924872499999978</v>
      </c>
      <c r="AW80" s="46">
        <v>0.20269137219914635</v>
      </c>
      <c r="AX80" s="318">
        <v>0.58696523</v>
      </c>
      <c r="AY80" s="318"/>
      <c r="AZ80" s="318"/>
      <c r="BA80" s="318">
        <v>0.43046600000000002</v>
      </c>
      <c r="BB80" s="318"/>
      <c r="BC80" s="318"/>
      <c r="BD80" s="318">
        <v>21.127377195694599</v>
      </c>
      <c r="BE80" s="318"/>
      <c r="BF80" s="318"/>
      <c r="BG80" s="318">
        <v>3.3137418371973615</v>
      </c>
      <c r="BH80" s="318"/>
      <c r="BI80" s="318"/>
      <c r="BJ80" s="318" t="s">
        <v>46</v>
      </c>
      <c r="BK80" s="318"/>
      <c r="BL80" s="318"/>
      <c r="BM80" s="318">
        <v>0.7209168428502738</v>
      </c>
      <c r="BN80" s="318"/>
      <c r="BO80" s="318"/>
      <c r="BP80" s="318" t="s">
        <v>46</v>
      </c>
      <c r="BQ80" s="318"/>
      <c r="BR80" s="319"/>
      <c r="BS80" s="47">
        <v>0.47793904001341098</v>
      </c>
      <c r="BT80" s="43">
        <v>0.39181550100641371</v>
      </c>
      <c r="BU80" s="46">
        <v>-1.5426848461801201E-2</v>
      </c>
      <c r="BV80" s="48">
        <v>43190</v>
      </c>
      <c r="BW80" s="49" t="s">
        <v>106</v>
      </c>
      <c r="CD80" s="95"/>
    </row>
    <row r="81" spans="1:82" s="94" customFormat="1" ht="11.25" customHeight="1" x14ac:dyDescent="0.2">
      <c r="A81" s="290" t="s">
        <v>107</v>
      </c>
      <c r="B81" s="290"/>
      <c r="C81" s="291">
        <v>67.5</v>
      </c>
      <c r="D81" s="291"/>
      <c r="E81" s="116">
        <v>0.1</v>
      </c>
      <c r="F81" s="292">
        <v>1.0381652264400001</v>
      </c>
      <c r="G81" s="293"/>
      <c r="H81" s="294"/>
      <c r="I81" s="283">
        <v>3.1125935034334287</v>
      </c>
      <c r="J81" s="283"/>
      <c r="K81" s="283"/>
      <c r="L81" s="284">
        <v>1.1684300000000001</v>
      </c>
      <c r="M81" s="295"/>
      <c r="N81" s="296"/>
      <c r="O81" s="284">
        <v>0.76424000000000003</v>
      </c>
      <c r="P81" s="295"/>
      <c r="Q81" s="296"/>
      <c r="R81" s="297">
        <v>0</v>
      </c>
      <c r="S81" s="298"/>
      <c r="T81" s="299"/>
      <c r="U81" s="283">
        <v>1.8114048603905202</v>
      </c>
      <c r="V81" s="283"/>
      <c r="W81" s="283"/>
      <c r="X81" s="286" t="s">
        <v>46</v>
      </c>
      <c r="Y81" s="286"/>
      <c r="Z81" s="286"/>
      <c r="AA81" s="285">
        <v>0.2902208</v>
      </c>
      <c r="AB81" s="285"/>
      <c r="AC81" s="285"/>
      <c r="AD81" s="285">
        <v>0.20462730000000001</v>
      </c>
      <c r="AE81" s="285"/>
      <c r="AF81" s="285"/>
      <c r="AG81" s="285">
        <v>0.10607725534572955</v>
      </c>
      <c r="AH81" s="285"/>
      <c r="AI81" s="285"/>
      <c r="AJ81" s="285">
        <v>1.4347165197428714E-2</v>
      </c>
      <c r="AK81" s="285"/>
      <c r="AL81" s="285"/>
      <c r="AM81" s="285">
        <v>0.67983571045022562</v>
      </c>
      <c r="AN81" s="285"/>
      <c r="AO81" s="285"/>
      <c r="AP81" s="285">
        <v>0.15371922946065447</v>
      </c>
      <c r="AQ81" s="285"/>
      <c r="AR81" s="285"/>
      <c r="AS81" s="32">
        <v>0.48569078350558836</v>
      </c>
      <c r="AT81" s="32">
        <v>1.0388415221605205</v>
      </c>
      <c r="AU81" s="33">
        <v>0.9792893111525609</v>
      </c>
      <c r="AV81" s="34">
        <v>3258.4238333333333</v>
      </c>
      <c r="AW81" s="32">
        <v>0.12855341173819973</v>
      </c>
      <c r="AX81" s="283">
        <v>43.2427668885001</v>
      </c>
      <c r="AY81" s="283"/>
      <c r="AZ81" s="283"/>
      <c r="BA81" s="283">
        <v>40.321192048500002</v>
      </c>
      <c r="BB81" s="283"/>
      <c r="BC81" s="283"/>
      <c r="BD81" s="283">
        <v>10.5556074974651</v>
      </c>
      <c r="BE81" s="283"/>
      <c r="BF81" s="283"/>
      <c r="BG81" s="283">
        <v>9.4241447163704013</v>
      </c>
      <c r="BH81" s="283"/>
      <c r="BI81" s="283"/>
      <c r="BJ81" s="283">
        <v>22.308518549120052</v>
      </c>
      <c r="BK81" s="283"/>
      <c r="BL81" s="283"/>
      <c r="BM81" s="283">
        <v>2.4262895353048792</v>
      </c>
      <c r="BN81" s="283"/>
      <c r="BO81" s="283"/>
      <c r="BP81" s="283">
        <v>0</v>
      </c>
      <c r="BQ81" s="283"/>
      <c r="BR81" s="284"/>
      <c r="BS81" s="35">
        <v>0.75727057319009405</v>
      </c>
      <c r="BT81" s="32" t="s">
        <v>46</v>
      </c>
      <c r="BU81" s="36" t="s">
        <v>46</v>
      </c>
      <c r="BV81" s="37">
        <v>43190</v>
      </c>
      <c r="BW81" s="38" t="s">
        <v>107</v>
      </c>
      <c r="CD81" s="95"/>
    </row>
    <row r="82" spans="1:82" s="94" customFormat="1" ht="11.25" customHeight="1" x14ac:dyDescent="0.2">
      <c r="A82" s="330" t="s">
        <v>108</v>
      </c>
      <c r="B82" s="330"/>
      <c r="C82" s="331">
        <v>19</v>
      </c>
      <c r="D82" s="331"/>
      <c r="E82" s="60">
        <v>1</v>
      </c>
      <c r="F82" s="384">
        <v>0.264884324123</v>
      </c>
      <c r="G82" s="385"/>
      <c r="H82" s="386"/>
      <c r="I82" s="318">
        <v>1.9296504048175187</v>
      </c>
      <c r="J82" s="318"/>
      <c r="K82" s="318"/>
      <c r="L82" s="319">
        <v>1.61714</v>
      </c>
      <c r="M82" s="333"/>
      <c r="N82" s="334"/>
      <c r="O82" s="319">
        <v>0.54391</v>
      </c>
      <c r="P82" s="333"/>
      <c r="Q82" s="334"/>
      <c r="R82" s="335">
        <v>1.1780199820163499E-2</v>
      </c>
      <c r="S82" s="336"/>
      <c r="T82" s="337"/>
      <c r="U82" s="318">
        <v>1.6871588305237271</v>
      </c>
      <c r="V82" s="318"/>
      <c r="W82" s="318"/>
      <c r="X82" s="329">
        <v>169.07065191768118</v>
      </c>
      <c r="Y82" s="329"/>
      <c r="Z82" s="329"/>
      <c r="AA82" s="328">
        <v>0.28514519999999999</v>
      </c>
      <c r="AB82" s="328"/>
      <c r="AC82" s="328"/>
      <c r="AD82" s="328">
        <v>0.213199</v>
      </c>
      <c r="AE82" s="328"/>
      <c r="AF82" s="328"/>
      <c r="AG82" s="328">
        <v>0.16256091590089247</v>
      </c>
      <c r="AH82" s="328"/>
      <c r="AI82" s="328"/>
      <c r="AJ82" s="328">
        <v>7.1251596661003197E-2</v>
      </c>
      <c r="AK82" s="328"/>
      <c r="AL82" s="328"/>
      <c r="AM82" s="339">
        <v>0.37081708146654119</v>
      </c>
      <c r="AN82" s="339"/>
      <c r="AO82" s="339"/>
      <c r="AP82" s="328">
        <v>0.21941302130544363</v>
      </c>
      <c r="AQ82" s="328"/>
      <c r="AR82" s="328"/>
      <c r="AS82" s="43">
        <v>1.0825874376920073</v>
      </c>
      <c r="AT82" s="43">
        <v>0.6433355320352423</v>
      </c>
      <c r="AU82" s="44">
        <v>0.95046869685030333</v>
      </c>
      <c r="AV82" s="45">
        <v>2524.0698305000001</v>
      </c>
      <c r="AW82" s="46">
        <v>0.27960785520520448</v>
      </c>
      <c r="AX82" s="318">
        <v>52.988594079999999</v>
      </c>
      <c r="AY82" s="318"/>
      <c r="AZ82" s="318"/>
      <c r="BA82" s="318">
        <v>51.38</v>
      </c>
      <c r="BB82" s="318"/>
      <c r="BC82" s="318"/>
      <c r="BD82" s="318">
        <v>8.9425414720014</v>
      </c>
      <c r="BE82" s="318"/>
      <c r="BF82" s="318"/>
      <c r="BG82" s="318">
        <v>5.7475867582979658</v>
      </c>
      <c r="BH82" s="318"/>
      <c r="BI82" s="318"/>
      <c r="BJ82" s="318">
        <v>15.709490185702711</v>
      </c>
      <c r="BK82" s="318"/>
      <c r="BL82" s="318"/>
      <c r="BM82" s="318">
        <v>2.4663981845193388</v>
      </c>
      <c r="BN82" s="318"/>
      <c r="BO82" s="318"/>
      <c r="BP82" s="318" t="s">
        <v>46</v>
      </c>
      <c r="BQ82" s="318"/>
      <c r="BR82" s="319"/>
      <c r="BS82" s="47">
        <v>0.95979263539870496</v>
      </c>
      <c r="BT82" s="43">
        <v>0.3985886146195538</v>
      </c>
      <c r="BU82" s="46">
        <v>-3.1596332818317752E-2</v>
      </c>
      <c r="BV82" s="48">
        <v>43190</v>
      </c>
      <c r="BW82" s="49" t="s">
        <v>108</v>
      </c>
      <c r="CD82" s="95"/>
    </row>
    <row r="83" spans="1:82" s="94" customFormat="1" ht="11.25" customHeight="1" x14ac:dyDescent="0.2">
      <c r="A83" s="290" t="s">
        <v>109</v>
      </c>
      <c r="B83" s="290"/>
      <c r="C83" s="291">
        <v>67.05</v>
      </c>
      <c r="D83" s="291"/>
      <c r="E83" s="116">
        <v>1</v>
      </c>
      <c r="F83" s="292">
        <v>1.17656626018</v>
      </c>
      <c r="G83" s="293"/>
      <c r="H83" s="294"/>
      <c r="I83" s="283">
        <v>3.5519489609316817</v>
      </c>
      <c r="J83" s="283"/>
      <c r="K83" s="283"/>
      <c r="L83" s="284">
        <v>1.2225600000000001</v>
      </c>
      <c r="M83" s="295"/>
      <c r="N83" s="296"/>
      <c r="O83" s="284">
        <v>0.55193999999999999</v>
      </c>
      <c r="P83" s="295"/>
      <c r="Q83" s="296"/>
      <c r="R83" s="297">
        <v>8.2028337061894104E-3</v>
      </c>
      <c r="S83" s="298"/>
      <c r="T83" s="299"/>
      <c r="U83" s="283">
        <v>1.2144414005918196</v>
      </c>
      <c r="V83" s="283"/>
      <c r="W83" s="283"/>
      <c r="X83" s="286">
        <v>195.35720959134474</v>
      </c>
      <c r="Y83" s="286"/>
      <c r="Z83" s="286"/>
      <c r="AA83" s="285">
        <v>0.24748110000000001</v>
      </c>
      <c r="AB83" s="285"/>
      <c r="AC83" s="285"/>
      <c r="AD83" s="285">
        <v>0.14956250000000001</v>
      </c>
      <c r="AE83" s="285"/>
      <c r="AF83" s="285"/>
      <c r="AG83" s="285">
        <v>4.0829675578143862E-2</v>
      </c>
      <c r="AH83" s="285"/>
      <c r="AI83" s="285"/>
      <c r="AJ83" s="285">
        <v>-6.8155729611428864E-2</v>
      </c>
      <c r="AK83" s="285"/>
      <c r="AL83" s="285"/>
      <c r="AM83" s="285">
        <v>0.13391317076390755</v>
      </c>
      <c r="AN83" s="285"/>
      <c r="AO83" s="285"/>
      <c r="AP83" s="285">
        <v>3.9668414781054762E-2</v>
      </c>
      <c r="AQ83" s="285"/>
      <c r="AR83" s="285"/>
      <c r="AS83" s="32">
        <v>0.75340760177045452</v>
      </c>
      <c r="AT83" s="32">
        <v>1.8836499393011706E-2</v>
      </c>
      <c r="AU83" s="33">
        <v>0.35915835756614378</v>
      </c>
      <c r="AV83" s="34">
        <v>375.57025400000003</v>
      </c>
      <c r="AW83" s="32">
        <v>0.17391059661158023</v>
      </c>
      <c r="AX83" s="283">
        <v>5.4464292150500002</v>
      </c>
      <c r="AY83" s="283"/>
      <c r="AZ83" s="283"/>
      <c r="BA83" s="283">
        <v>4.8632813950500005</v>
      </c>
      <c r="BB83" s="283"/>
      <c r="BC83" s="283"/>
      <c r="BD83" s="283">
        <v>16.066012642448101</v>
      </c>
      <c r="BE83" s="283"/>
      <c r="BF83" s="283"/>
      <c r="BG83" s="283">
        <v>7.8784752811062173</v>
      </c>
      <c r="BH83" s="283"/>
      <c r="BI83" s="283"/>
      <c r="BJ83" s="283">
        <v>61.889070417855059</v>
      </c>
      <c r="BK83" s="283"/>
      <c r="BL83" s="283"/>
      <c r="BM83" s="283">
        <v>2.5269196036198673</v>
      </c>
      <c r="BN83" s="283"/>
      <c r="BO83" s="283"/>
      <c r="BP83" s="283" t="s">
        <v>46</v>
      </c>
      <c r="BQ83" s="283"/>
      <c r="BR83" s="284"/>
      <c r="BS83" s="35">
        <v>0.16276941655163199</v>
      </c>
      <c r="BT83" s="32">
        <v>0.3795516594322953</v>
      </c>
      <c r="BU83" s="36">
        <v>6.4940470102737624E-2</v>
      </c>
      <c r="BV83" s="37">
        <v>43159</v>
      </c>
      <c r="BW83" s="38" t="s">
        <v>109</v>
      </c>
      <c r="CD83" s="95"/>
    </row>
    <row r="84" spans="1:82" s="94" customFormat="1" ht="11.25" customHeight="1" x14ac:dyDescent="0.2">
      <c r="A84" s="330" t="s">
        <v>110</v>
      </c>
      <c r="B84" s="330"/>
      <c r="C84" s="331">
        <v>62.75</v>
      </c>
      <c r="D84" s="331"/>
      <c r="E84" s="60">
        <v>1</v>
      </c>
      <c r="F84" s="384">
        <v>0.16052124375599999</v>
      </c>
      <c r="G84" s="385"/>
      <c r="H84" s="386"/>
      <c r="I84" s="318">
        <v>3.7326326529835434</v>
      </c>
      <c r="J84" s="318"/>
      <c r="K84" s="318"/>
      <c r="L84" s="319">
        <v>0.72823000000000004</v>
      </c>
      <c r="M84" s="333"/>
      <c r="N84" s="334"/>
      <c r="O84" s="319">
        <v>0.43020999999999998</v>
      </c>
      <c r="P84" s="333"/>
      <c r="Q84" s="334"/>
      <c r="R84" s="335">
        <v>1.6562500000000001E-2</v>
      </c>
      <c r="S84" s="336"/>
      <c r="T84" s="337"/>
      <c r="U84" s="318">
        <v>2.6570220406348817</v>
      </c>
      <c r="V84" s="318"/>
      <c r="W84" s="318"/>
      <c r="X84" s="329">
        <v>-7.4023739735774114</v>
      </c>
      <c r="Y84" s="329"/>
      <c r="Z84" s="329"/>
      <c r="AA84" s="328">
        <v>0.44180100000000005</v>
      </c>
      <c r="AB84" s="328"/>
      <c r="AC84" s="328"/>
      <c r="AD84" s="328">
        <v>0.21554320000000002</v>
      </c>
      <c r="AE84" s="328"/>
      <c r="AF84" s="328"/>
      <c r="AG84" s="328">
        <v>0.13499341440078017</v>
      </c>
      <c r="AH84" s="328"/>
      <c r="AI84" s="328"/>
      <c r="AJ84" s="328">
        <v>0.14344407618682783</v>
      </c>
      <c r="AK84" s="328"/>
      <c r="AL84" s="328"/>
      <c r="AM84" s="339">
        <v>0.8262070166154547</v>
      </c>
      <c r="AN84" s="339"/>
      <c r="AO84" s="339"/>
      <c r="AP84" s="328">
        <v>0.28694518879492426</v>
      </c>
      <c r="AQ84" s="328"/>
      <c r="AR84" s="328"/>
      <c r="AS84" s="43">
        <v>0.18957167073554881</v>
      </c>
      <c r="AT84" s="43">
        <v>1.6161329314549495</v>
      </c>
      <c r="AU84" s="44">
        <v>2.0410956523495849</v>
      </c>
      <c r="AV84" s="45">
        <v>1205.5609975</v>
      </c>
      <c r="AW84" s="46">
        <v>0.14389543707724375</v>
      </c>
      <c r="AX84" s="318">
        <v>22.413104235999999</v>
      </c>
      <c r="AY84" s="318"/>
      <c r="AZ84" s="318"/>
      <c r="BA84" s="318">
        <v>22.531641535999999</v>
      </c>
      <c r="BB84" s="318"/>
      <c r="BC84" s="318"/>
      <c r="BD84" s="318">
        <v>12.4954124248545</v>
      </c>
      <c r="BE84" s="318"/>
      <c r="BF84" s="318"/>
      <c r="BG84" s="318">
        <v>21.027654526975518</v>
      </c>
      <c r="BH84" s="318"/>
      <c r="BI84" s="318"/>
      <c r="BJ84" s="318">
        <v>20.049845033070262</v>
      </c>
      <c r="BK84" s="318"/>
      <c r="BL84" s="318"/>
      <c r="BM84" s="318">
        <v>2.7605160127031039</v>
      </c>
      <c r="BN84" s="318"/>
      <c r="BO84" s="318"/>
      <c r="BP84" s="318">
        <v>74.427396033299999</v>
      </c>
      <c r="BQ84" s="318"/>
      <c r="BR84" s="319"/>
      <c r="BS84" s="47">
        <v>1.26466578138249</v>
      </c>
      <c r="BT84" s="43">
        <v>0.47059937386653611</v>
      </c>
      <c r="BU84" s="46">
        <v>0.18500396306701705</v>
      </c>
      <c r="BV84" s="48">
        <v>43190</v>
      </c>
      <c r="BW84" s="49" t="s">
        <v>110</v>
      </c>
      <c r="CD84" s="95"/>
    </row>
    <row r="85" spans="1:82" s="94" customFormat="1" ht="11.25" customHeight="1" x14ac:dyDescent="0.2">
      <c r="A85" s="290" t="s">
        <v>111</v>
      </c>
      <c r="B85" s="290"/>
      <c r="C85" s="291">
        <v>15.450000000000001</v>
      </c>
      <c r="D85" s="291"/>
      <c r="E85" s="116">
        <v>1</v>
      </c>
      <c r="F85" s="292">
        <v>1.9693744359900001</v>
      </c>
      <c r="G85" s="293"/>
      <c r="H85" s="294"/>
      <c r="I85" s="283">
        <v>4.463178638582737</v>
      </c>
      <c r="J85" s="283"/>
      <c r="K85" s="283"/>
      <c r="L85" s="284">
        <v>1.1442600000000001</v>
      </c>
      <c r="M85" s="295"/>
      <c r="N85" s="296"/>
      <c r="O85" s="284">
        <v>0.92201999999999995</v>
      </c>
      <c r="P85" s="295"/>
      <c r="Q85" s="296"/>
      <c r="R85" s="297" t="s">
        <v>46</v>
      </c>
      <c r="S85" s="298"/>
      <c r="T85" s="299"/>
      <c r="U85" s="283">
        <v>1.7576286409103314</v>
      </c>
      <c r="V85" s="283"/>
      <c r="W85" s="283"/>
      <c r="X85" s="286">
        <v>21.968138262448363</v>
      </c>
      <c r="Y85" s="286"/>
      <c r="Z85" s="286"/>
      <c r="AA85" s="285">
        <v>0.14762819999999999</v>
      </c>
      <c r="AB85" s="285"/>
      <c r="AC85" s="285"/>
      <c r="AD85" s="285">
        <v>1.0839399999999999E-2</v>
      </c>
      <c r="AE85" s="285"/>
      <c r="AF85" s="285"/>
      <c r="AG85" s="285">
        <v>1.214986252683993E-2</v>
      </c>
      <c r="AH85" s="285"/>
      <c r="AI85" s="285"/>
      <c r="AJ85" s="285">
        <v>-6.8984996945989042E-3</v>
      </c>
      <c r="AK85" s="285"/>
      <c r="AL85" s="285"/>
      <c r="AM85" s="285">
        <v>8.2475806015606695E-2</v>
      </c>
      <c r="AN85" s="285"/>
      <c r="AO85" s="285"/>
      <c r="AP85" s="285">
        <v>1.708398157747856E-2</v>
      </c>
      <c r="AQ85" s="285"/>
      <c r="AR85" s="285"/>
      <c r="AS85" s="32">
        <v>131.19766309639726</v>
      </c>
      <c r="AT85" s="32">
        <v>-2.0723843978669096</v>
      </c>
      <c r="AU85" s="33">
        <v>3.5001906218445633</v>
      </c>
      <c r="AV85" s="34">
        <v>1454.2917999999997</v>
      </c>
      <c r="AW85" s="32">
        <v>0.20002663940625043</v>
      </c>
      <c r="AX85" s="283">
        <v>8.8863378342000008</v>
      </c>
      <c r="AY85" s="283"/>
      <c r="AZ85" s="283"/>
      <c r="BA85" s="283" t="s">
        <v>46</v>
      </c>
      <c r="BB85" s="283"/>
      <c r="BC85" s="283"/>
      <c r="BD85" s="283">
        <v>9.8860332928384107</v>
      </c>
      <c r="BE85" s="283"/>
      <c r="BF85" s="283"/>
      <c r="BG85" s="283" t="s">
        <v>46</v>
      </c>
      <c r="BH85" s="283"/>
      <c r="BI85" s="283"/>
      <c r="BJ85" s="283">
        <v>49.949888461414105</v>
      </c>
      <c r="BK85" s="283"/>
      <c r="BL85" s="283"/>
      <c r="BM85" s="283" t="s">
        <v>46</v>
      </c>
      <c r="BN85" s="283"/>
      <c r="BO85" s="283"/>
      <c r="BP85" s="283">
        <v>55.097328660700001</v>
      </c>
      <c r="BQ85" s="283"/>
      <c r="BR85" s="284"/>
      <c r="BS85" s="35">
        <v>0.95075836936855695</v>
      </c>
      <c r="BT85" s="32">
        <v>0.53011884127475517</v>
      </c>
      <c r="BU85" s="36">
        <v>-9.3851795085214573E-2</v>
      </c>
      <c r="BV85" s="37">
        <v>43008</v>
      </c>
      <c r="BW85" s="38" t="s">
        <v>111</v>
      </c>
      <c r="CD85" s="95"/>
    </row>
    <row r="86" spans="1:82" s="94" customFormat="1" ht="11.25" customHeight="1" x14ac:dyDescent="0.2">
      <c r="A86" s="374" t="s">
        <v>112</v>
      </c>
      <c r="B86" s="374"/>
      <c r="C86" s="375">
        <v>15.85</v>
      </c>
      <c r="D86" s="375"/>
      <c r="E86" s="130">
        <v>1</v>
      </c>
      <c r="F86" s="376">
        <v>0.18738103614000001</v>
      </c>
      <c r="G86" s="377"/>
      <c r="H86" s="378"/>
      <c r="I86" s="359">
        <v>1.3927199561981585</v>
      </c>
      <c r="J86" s="359"/>
      <c r="K86" s="359"/>
      <c r="L86" s="360">
        <v>1.52321</v>
      </c>
      <c r="M86" s="379"/>
      <c r="N86" s="380"/>
      <c r="O86" s="360">
        <v>0.44347999999999999</v>
      </c>
      <c r="P86" s="379"/>
      <c r="Q86" s="380"/>
      <c r="R86" s="381">
        <v>2.1425807522580598E-2</v>
      </c>
      <c r="S86" s="382"/>
      <c r="T86" s="383"/>
      <c r="U86" s="359">
        <v>1.0364954494129552</v>
      </c>
      <c r="V86" s="359"/>
      <c r="W86" s="359"/>
      <c r="X86" s="372">
        <v>101.26434513809969</v>
      </c>
      <c r="Y86" s="372"/>
      <c r="Z86" s="372"/>
      <c r="AA86" s="371">
        <v>0.24256419999999998</v>
      </c>
      <c r="AB86" s="371"/>
      <c r="AC86" s="371"/>
      <c r="AD86" s="371">
        <v>0.13523019999999999</v>
      </c>
      <c r="AE86" s="371"/>
      <c r="AF86" s="371"/>
      <c r="AG86" s="371">
        <v>0.14683312813847671</v>
      </c>
      <c r="AH86" s="371"/>
      <c r="AI86" s="371"/>
      <c r="AJ86" s="371">
        <v>-2.5675423795035231E-3</v>
      </c>
      <c r="AK86" s="371"/>
      <c r="AL86" s="371"/>
      <c r="AM86" s="373">
        <v>0.17461369485184186</v>
      </c>
      <c r="AN86" s="373"/>
      <c r="AO86" s="373"/>
      <c r="AP86" s="371">
        <v>0.12175352085250117</v>
      </c>
      <c r="AQ86" s="371"/>
      <c r="AR86" s="371"/>
      <c r="AS86" s="76">
        <v>0.37521117934173431</v>
      </c>
      <c r="AT86" s="76">
        <v>0.87539838956480465</v>
      </c>
      <c r="AU86" s="77">
        <v>1.2386004923278033</v>
      </c>
      <c r="AV86" s="78">
        <v>6716.9957499999991</v>
      </c>
      <c r="AW86" s="79">
        <v>8.1468259097182194E-2</v>
      </c>
      <c r="AX86" s="359">
        <v>74.979453356500002</v>
      </c>
      <c r="AY86" s="359"/>
      <c r="AZ86" s="359"/>
      <c r="BA86" s="359" t="s">
        <v>46</v>
      </c>
      <c r="BB86" s="359"/>
      <c r="BC86" s="359"/>
      <c r="BD86" s="359">
        <v>9.9879929218342696</v>
      </c>
      <c r="BE86" s="359"/>
      <c r="BF86" s="359"/>
      <c r="BG86" s="359" t="s">
        <v>46</v>
      </c>
      <c r="BH86" s="359"/>
      <c r="BI86" s="359"/>
      <c r="BJ86" s="359">
        <v>11.424823221583907</v>
      </c>
      <c r="BK86" s="359"/>
      <c r="BL86" s="359"/>
      <c r="BM86" s="359" t="s">
        <v>46</v>
      </c>
      <c r="BN86" s="359"/>
      <c r="BO86" s="359"/>
      <c r="BP86" s="359">
        <v>12.3315052594</v>
      </c>
      <c r="BQ86" s="359"/>
      <c r="BR86" s="360"/>
      <c r="BS86" s="80">
        <v>0.86201800553972996</v>
      </c>
      <c r="BT86" s="76">
        <v>0.42910280470144263</v>
      </c>
      <c r="BU86" s="79">
        <v>2.0718917979362539E-2</v>
      </c>
      <c r="BV86" s="81">
        <v>43190</v>
      </c>
      <c r="BW86" s="82" t="s">
        <v>112</v>
      </c>
      <c r="CD86" s="95"/>
    </row>
    <row r="87" spans="1:82" s="94" customFormat="1" ht="11.25" customHeight="1" x14ac:dyDescent="0.2">
      <c r="A87" s="361" t="s">
        <v>57</v>
      </c>
      <c r="B87" s="361"/>
      <c r="C87" s="362"/>
      <c r="D87" s="362"/>
      <c r="E87" s="131"/>
      <c r="F87" s="363">
        <v>1.1448077936799999</v>
      </c>
      <c r="G87" s="364"/>
      <c r="H87" s="365"/>
      <c r="I87" s="355">
        <v>4.1132551886129765</v>
      </c>
      <c r="J87" s="355"/>
      <c r="K87" s="355"/>
      <c r="L87" s="356">
        <v>1.1386622222222222</v>
      </c>
      <c r="M87" s="366"/>
      <c r="N87" s="367"/>
      <c r="O87" s="356">
        <v>0.6261766666666666</v>
      </c>
      <c r="P87" s="366"/>
      <c r="Q87" s="367"/>
      <c r="R87" s="368">
        <v>1.043624443557494E-2</v>
      </c>
      <c r="S87" s="369"/>
      <c r="T87" s="370"/>
      <c r="U87" s="355">
        <v>1.6497120555705851</v>
      </c>
      <c r="V87" s="355"/>
      <c r="W87" s="355"/>
      <c r="X87" s="358">
        <v>111.2221238883595</v>
      </c>
      <c r="Y87" s="358"/>
      <c r="Z87" s="358"/>
      <c r="AA87" s="357">
        <v>0.25144826666666664</v>
      </c>
      <c r="AB87" s="357"/>
      <c r="AC87" s="357"/>
      <c r="AD87" s="357">
        <v>0.14247312857142858</v>
      </c>
      <c r="AE87" s="357"/>
      <c r="AF87" s="357"/>
      <c r="AG87" s="357">
        <v>0.10057404198181046</v>
      </c>
      <c r="AH87" s="357"/>
      <c r="AI87" s="357"/>
      <c r="AJ87" s="357">
        <v>1.491306856786628E-2</v>
      </c>
      <c r="AK87" s="357"/>
      <c r="AL87" s="357"/>
      <c r="AM87" s="357">
        <v>0.11631939074747552</v>
      </c>
      <c r="AN87" s="357"/>
      <c r="AO87" s="357"/>
      <c r="AP87" s="357">
        <v>4.024525887480241E-2</v>
      </c>
      <c r="AQ87" s="357"/>
      <c r="AR87" s="357"/>
      <c r="AS87" s="84">
        <v>14.223683378948746</v>
      </c>
      <c r="AT87" s="84">
        <v>1.4986590745226493</v>
      </c>
      <c r="AU87" s="85">
        <v>8.3702073034323856</v>
      </c>
      <c r="AV87" s="86">
        <v>1842.4596597592592</v>
      </c>
      <c r="AW87" s="84">
        <v>0.18906723820730065</v>
      </c>
      <c r="AX87" s="355">
        <v>23.692517647627785</v>
      </c>
      <c r="AY87" s="355"/>
      <c r="AZ87" s="355"/>
      <c r="BA87" s="355">
        <v>17.25594004290857</v>
      </c>
      <c r="BB87" s="355"/>
      <c r="BC87" s="355"/>
      <c r="BD87" s="355">
        <v>12.399384829768785</v>
      </c>
      <c r="BE87" s="355"/>
      <c r="BF87" s="355"/>
      <c r="BG87" s="355">
        <v>7.4784628736555803</v>
      </c>
      <c r="BH87" s="355"/>
      <c r="BI87" s="355"/>
      <c r="BJ87" s="355">
        <v>30.221939311457685</v>
      </c>
      <c r="BK87" s="355"/>
      <c r="BL87" s="355"/>
      <c r="BM87" s="355">
        <v>1.6327818405741685</v>
      </c>
      <c r="BN87" s="355"/>
      <c r="BO87" s="355"/>
      <c r="BP87" s="355">
        <v>35.464057488349994</v>
      </c>
      <c r="BQ87" s="355"/>
      <c r="BR87" s="356"/>
      <c r="BS87" s="87">
        <v>0.7114642334431216</v>
      </c>
      <c r="BT87" s="84">
        <v>0.4543424310192824</v>
      </c>
      <c r="BU87" s="121">
        <v>-2.5891885522647817E-2</v>
      </c>
      <c r="BV87" s="90"/>
      <c r="BW87" s="38"/>
      <c r="CD87" s="95"/>
    </row>
    <row r="88" spans="1:82" s="132" customFormat="1" ht="11.25" customHeight="1" x14ac:dyDescent="0.2">
      <c r="A88" s="67" t="s">
        <v>113</v>
      </c>
      <c r="B88" s="67"/>
      <c r="C88" s="67"/>
      <c r="D88" s="67"/>
      <c r="E88" s="67"/>
      <c r="F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9"/>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70"/>
      <c r="BW88" s="71"/>
      <c r="CD88" s="133"/>
    </row>
    <row r="89" spans="1:82" s="134" customFormat="1" ht="11.25" customHeight="1" x14ac:dyDescent="0.2">
      <c r="A89" s="290" t="s">
        <v>114</v>
      </c>
      <c r="B89" s="290"/>
      <c r="C89" s="291">
        <v>41</v>
      </c>
      <c r="D89" s="291"/>
      <c r="E89" s="116">
        <v>1</v>
      </c>
      <c r="F89" s="292">
        <v>0.579956750879</v>
      </c>
      <c r="G89" s="293"/>
      <c r="H89" s="294"/>
      <c r="I89" s="283">
        <v>2.4553300014646302</v>
      </c>
      <c r="J89" s="283"/>
      <c r="K89" s="283"/>
      <c r="L89" s="284">
        <v>0.95840000000000003</v>
      </c>
      <c r="M89" s="295"/>
      <c r="N89" s="296"/>
      <c r="O89" s="284">
        <v>0.95769000000000004</v>
      </c>
      <c r="P89" s="295"/>
      <c r="Q89" s="296"/>
      <c r="R89" s="297" t="s">
        <v>46</v>
      </c>
      <c r="S89" s="298"/>
      <c r="T89" s="299"/>
      <c r="U89" s="283">
        <v>0.85355960274124043</v>
      </c>
      <c r="V89" s="283"/>
      <c r="W89" s="283"/>
      <c r="X89" s="286">
        <v>-45.148309074207063</v>
      </c>
      <c r="Y89" s="286"/>
      <c r="Z89" s="286"/>
      <c r="AA89" s="285" t="s">
        <v>46</v>
      </c>
      <c r="AB89" s="285"/>
      <c r="AC89" s="285"/>
      <c r="AD89" s="285">
        <v>8.8327500000000003E-2</v>
      </c>
      <c r="AE89" s="285"/>
      <c r="AF89" s="285"/>
      <c r="AG89" s="285" t="s">
        <v>46</v>
      </c>
      <c r="AH89" s="285"/>
      <c r="AI89" s="285"/>
      <c r="AJ89" s="285">
        <v>-1.9242626830390453E-2</v>
      </c>
      <c r="AK89" s="285"/>
      <c r="AL89" s="285"/>
      <c r="AM89" s="285">
        <v>-1.7618408600974203E-2</v>
      </c>
      <c r="AN89" s="285"/>
      <c r="AO89" s="285"/>
      <c r="AP89" s="285">
        <v>-7.1220049514360484E-3</v>
      </c>
      <c r="AQ89" s="285"/>
      <c r="AR89" s="285"/>
      <c r="AS89" s="32">
        <v>-1.7793236864505146</v>
      </c>
      <c r="AT89" s="32">
        <v>0.25641701629354924</v>
      </c>
      <c r="AU89" s="33">
        <v>2.3926755461872289</v>
      </c>
      <c r="AV89" s="34">
        <v>1170.7583</v>
      </c>
      <c r="AW89" s="32">
        <v>0.54201470518677675</v>
      </c>
      <c r="AX89" s="283">
        <v>15.165324</v>
      </c>
      <c r="AY89" s="283"/>
      <c r="AZ89" s="283"/>
      <c r="BA89" s="283">
        <v>18.98594052</v>
      </c>
      <c r="BB89" s="283"/>
      <c r="BC89" s="283"/>
      <c r="BD89" s="283">
        <v>7.9811739890334197</v>
      </c>
      <c r="BE89" s="283"/>
      <c r="BF89" s="283"/>
      <c r="BG89" s="283">
        <v>2.2699656538988568</v>
      </c>
      <c r="BH89" s="283"/>
      <c r="BI89" s="283"/>
      <c r="BJ89" s="283" t="s">
        <v>46</v>
      </c>
      <c r="BK89" s="283"/>
      <c r="BL89" s="283"/>
      <c r="BM89" s="283">
        <v>1.3482252007555937</v>
      </c>
      <c r="BN89" s="283"/>
      <c r="BO89" s="283"/>
      <c r="BP89" s="283" t="s">
        <v>46</v>
      </c>
      <c r="BQ89" s="283"/>
      <c r="BR89" s="284"/>
      <c r="BS89" s="35">
        <v>1.39653700654585</v>
      </c>
      <c r="BT89" s="32">
        <v>0.59479801548093791</v>
      </c>
      <c r="BU89" s="36">
        <v>0.15118454536526582</v>
      </c>
      <c r="BV89" s="37">
        <v>43190</v>
      </c>
      <c r="BW89" s="38" t="s">
        <v>114</v>
      </c>
      <c r="CD89" s="135"/>
    </row>
    <row r="90" spans="1:82" s="134" customFormat="1" ht="11.25" customHeight="1" x14ac:dyDescent="0.2">
      <c r="A90" s="330" t="s">
        <v>115</v>
      </c>
      <c r="B90" s="330"/>
      <c r="C90" s="331">
        <v>50.5</v>
      </c>
      <c r="D90" s="331"/>
      <c r="E90" s="118">
        <v>1</v>
      </c>
      <c r="F90" s="332">
        <v>2.2907705419359998</v>
      </c>
      <c r="G90" s="332"/>
      <c r="H90" s="332"/>
      <c r="I90" s="318">
        <v>5.858625357196571</v>
      </c>
      <c r="J90" s="318"/>
      <c r="K90" s="318"/>
      <c r="L90" s="319">
        <v>1.32846</v>
      </c>
      <c r="M90" s="333"/>
      <c r="N90" s="334"/>
      <c r="O90" s="319">
        <v>1.24017</v>
      </c>
      <c r="P90" s="333"/>
      <c r="Q90" s="334"/>
      <c r="R90" s="335">
        <v>0</v>
      </c>
      <c r="S90" s="336"/>
      <c r="T90" s="337"/>
      <c r="U90" s="318">
        <v>0.67530242949963648</v>
      </c>
      <c r="V90" s="318"/>
      <c r="W90" s="318"/>
      <c r="X90" s="329">
        <v>-43.171448435488259</v>
      </c>
      <c r="Y90" s="329"/>
      <c r="Z90" s="329"/>
      <c r="AA90" s="328">
        <v>0.32154850000000001</v>
      </c>
      <c r="AB90" s="328"/>
      <c r="AC90" s="328"/>
      <c r="AD90" s="328">
        <v>0.2017002</v>
      </c>
      <c r="AE90" s="328"/>
      <c r="AF90" s="328"/>
      <c r="AG90" s="328">
        <v>9.3309149536477232E-2</v>
      </c>
      <c r="AH90" s="328"/>
      <c r="AI90" s="328"/>
      <c r="AJ90" s="328">
        <v>2.3579201934703749E-2</v>
      </c>
      <c r="AK90" s="328"/>
      <c r="AL90" s="328"/>
      <c r="AM90" s="339">
        <v>0.31797465193232188</v>
      </c>
      <c r="AN90" s="339"/>
      <c r="AO90" s="339"/>
      <c r="AP90" s="328">
        <v>5.0409521688565558E-2</v>
      </c>
      <c r="AQ90" s="328"/>
      <c r="AR90" s="328"/>
      <c r="AS90" s="43">
        <v>0.54449284380833851</v>
      </c>
      <c r="AT90" s="43">
        <v>11.973005862698315</v>
      </c>
      <c r="AU90" s="44">
        <v>24.301042797514064</v>
      </c>
      <c r="AV90" s="45">
        <v>5504.2096839999995</v>
      </c>
      <c r="AW90" s="46">
        <v>0.6777828753815115</v>
      </c>
      <c r="AX90" s="318">
        <v>124.2127345</v>
      </c>
      <c r="AY90" s="318"/>
      <c r="AZ90" s="318"/>
      <c r="BA90" s="318">
        <v>96.918421550000005</v>
      </c>
      <c r="BB90" s="318"/>
      <c r="BC90" s="318"/>
      <c r="BD90" s="318">
        <v>6.8459399526014204</v>
      </c>
      <c r="BE90" s="318"/>
      <c r="BF90" s="318"/>
      <c r="BG90" s="318">
        <v>5.2759075421883503</v>
      </c>
      <c r="BH90" s="318"/>
      <c r="BI90" s="318"/>
      <c r="BJ90" s="318">
        <v>19.959922057492481</v>
      </c>
      <c r="BK90" s="318"/>
      <c r="BL90" s="318"/>
      <c r="BM90" s="318">
        <v>1.7756480442270346</v>
      </c>
      <c r="BN90" s="318"/>
      <c r="BO90" s="318"/>
      <c r="BP90" s="318">
        <v>75.020207924800005</v>
      </c>
      <c r="BQ90" s="318"/>
      <c r="BR90" s="319"/>
      <c r="BS90" s="47">
        <v>1.04130009391103</v>
      </c>
      <c r="BT90" s="43">
        <v>0.44889539870801232</v>
      </c>
      <c r="BU90" s="46">
        <v>0.13534743944416316</v>
      </c>
      <c r="BV90" s="48">
        <v>43190</v>
      </c>
      <c r="BW90" s="49" t="s">
        <v>115</v>
      </c>
      <c r="CD90" s="135"/>
    </row>
    <row r="91" spans="1:82" s="134" customFormat="1" ht="11.25" customHeight="1" x14ac:dyDescent="0.2">
      <c r="A91" s="290" t="s">
        <v>116</v>
      </c>
      <c r="B91" s="290"/>
      <c r="C91" s="291">
        <v>61.300000000000004</v>
      </c>
      <c r="D91" s="291"/>
      <c r="E91" s="117">
        <v>1</v>
      </c>
      <c r="F91" s="338">
        <v>1.909493215356</v>
      </c>
      <c r="G91" s="338"/>
      <c r="H91" s="338"/>
      <c r="I91" s="283">
        <v>12.47863396266311</v>
      </c>
      <c r="J91" s="283"/>
      <c r="K91" s="283"/>
      <c r="L91" s="284">
        <v>0.92003000000000001</v>
      </c>
      <c r="M91" s="295"/>
      <c r="N91" s="296"/>
      <c r="O91" s="284">
        <v>0.88729000000000002</v>
      </c>
      <c r="P91" s="295"/>
      <c r="Q91" s="296"/>
      <c r="R91" s="297" t="s">
        <v>46</v>
      </c>
      <c r="S91" s="298"/>
      <c r="T91" s="299"/>
      <c r="U91" s="283">
        <v>1.5155206835727755</v>
      </c>
      <c r="V91" s="283"/>
      <c r="W91" s="283"/>
      <c r="X91" s="286">
        <v>-130.05415793661803</v>
      </c>
      <c r="Y91" s="286"/>
      <c r="Z91" s="286"/>
      <c r="AA91" s="285" t="s">
        <v>46</v>
      </c>
      <c r="AB91" s="285"/>
      <c r="AC91" s="285"/>
      <c r="AD91" s="285">
        <v>0.1024856</v>
      </c>
      <c r="AE91" s="285"/>
      <c r="AF91" s="285"/>
      <c r="AG91" s="285">
        <v>5.7083231545395199E-2</v>
      </c>
      <c r="AH91" s="285"/>
      <c r="AI91" s="285"/>
      <c r="AJ91" s="285">
        <v>5.6446640747914147E-2</v>
      </c>
      <c r="AK91" s="285"/>
      <c r="AL91" s="285"/>
      <c r="AM91" s="285">
        <v>1.2904046591401701</v>
      </c>
      <c r="AN91" s="285"/>
      <c r="AO91" s="285"/>
      <c r="AP91" s="285">
        <v>6.9208684689680347E-2</v>
      </c>
      <c r="AQ91" s="285"/>
      <c r="AR91" s="285"/>
      <c r="AS91" s="32">
        <v>2.4429912929567639</v>
      </c>
      <c r="AT91" s="32">
        <v>0.3876121521257711</v>
      </c>
      <c r="AU91" s="33">
        <v>2.1769314476166666</v>
      </c>
      <c r="AV91" s="34">
        <v>2694.1290999999997</v>
      </c>
      <c r="AW91" s="32">
        <v>0.71586458080649507</v>
      </c>
      <c r="AX91" s="283">
        <v>26.147362503749999</v>
      </c>
      <c r="AY91" s="283"/>
      <c r="AZ91" s="283"/>
      <c r="BA91" s="283">
        <v>54.160692224999998</v>
      </c>
      <c r="BB91" s="283"/>
      <c r="BC91" s="283"/>
      <c r="BD91" s="283">
        <v>5.5193510242859096</v>
      </c>
      <c r="BE91" s="283"/>
      <c r="BF91" s="283"/>
      <c r="BG91" s="283">
        <v>22.023435069106998</v>
      </c>
      <c r="BH91" s="283"/>
      <c r="BI91" s="283"/>
      <c r="BJ91" s="283">
        <v>32.181518463686864</v>
      </c>
      <c r="BK91" s="283"/>
      <c r="BL91" s="283"/>
      <c r="BM91" s="283">
        <v>1.8062761030824861</v>
      </c>
      <c r="BN91" s="283"/>
      <c r="BO91" s="283"/>
      <c r="BP91" s="283" t="s">
        <v>46</v>
      </c>
      <c r="BQ91" s="283"/>
      <c r="BR91" s="284"/>
      <c r="BS91" s="35">
        <v>0.87383606162474003</v>
      </c>
      <c r="BT91" s="32">
        <v>0.54891417378845875</v>
      </c>
      <c r="BU91" s="36">
        <v>0.1144334549967978</v>
      </c>
      <c r="BV91" s="37">
        <v>43190</v>
      </c>
      <c r="BW91" s="38" t="s">
        <v>116</v>
      </c>
      <c r="CD91" s="135"/>
    </row>
    <row r="92" spans="1:82" ht="11.25" customHeight="1" x14ac:dyDescent="0.2">
      <c r="A92" s="330" t="s">
        <v>117</v>
      </c>
      <c r="B92" s="330"/>
      <c r="C92" s="331">
        <v>56</v>
      </c>
      <c r="D92" s="331"/>
      <c r="E92" s="118">
        <v>1</v>
      </c>
      <c r="F92" s="332">
        <v>0.29138578356699996</v>
      </c>
      <c r="G92" s="332"/>
      <c r="H92" s="332"/>
      <c r="I92" s="318">
        <v>3.2069783173772786</v>
      </c>
      <c r="J92" s="318"/>
      <c r="K92" s="318"/>
      <c r="L92" s="319">
        <v>0.86380999999999997</v>
      </c>
      <c r="M92" s="333"/>
      <c r="N92" s="334"/>
      <c r="O92" s="319">
        <v>0.85421000000000002</v>
      </c>
      <c r="P92" s="333"/>
      <c r="Q92" s="334"/>
      <c r="R92" s="335" t="s">
        <v>46</v>
      </c>
      <c r="S92" s="336"/>
      <c r="T92" s="337"/>
      <c r="U92" s="318">
        <v>1.7542933942185175</v>
      </c>
      <c r="V92" s="318"/>
      <c r="W92" s="318"/>
      <c r="X92" s="329">
        <v>-76.22462665041428</v>
      </c>
      <c r="Y92" s="329"/>
      <c r="Z92" s="329"/>
      <c r="AA92" s="328" t="s">
        <v>46</v>
      </c>
      <c r="AB92" s="328"/>
      <c r="AC92" s="328"/>
      <c r="AD92" s="328">
        <v>0.13845289999999999</v>
      </c>
      <c r="AE92" s="328"/>
      <c r="AF92" s="328"/>
      <c r="AG92" s="328">
        <v>7.7978694563715326E-2</v>
      </c>
      <c r="AH92" s="328"/>
      <c r="AI92" s="328"/>
      <c r="AJ92" s="328">
        <v>-6.9992466133233844E-2</v>
      </c>
      <c r="AK92" s="328"/>
      <c r="AL92" s="328"/>
      <c r="AM92" s="339">
        <v>0.3671402531142835</v>
      </c>
      <c r="AN92" s="339"/>
      <c r="AO92" s="339"/>
      <c r="AP92" s="328">
        <v>0.10943824429307492</v>
      </c>
      <c r="AQ92" s="328"/>
      <c r="AR92" s="328"/>
      <c r="AS92" s="43">
        <v>7.7998534289902E-2</v>
      </c>
      <c r="AT92" s="43">
        <v>2.0131031893458187</v>
      </c>
      <c r="AU92" s="44">
        <v>3.6576101405493784</v>
      </c>
      <c r="AV92" s="45">
        <v>863.13440549999973</v>
      </c>
      <c r="AW92" s="46">
        <v>1.079391080871799</v>
      </c>
      <c r="AX92" s="318">
        <v>9.3223354440000001</v>
      </c>
      <c r="AY92" s="318"/>
      <c r="AZ92" s="318"/>
      <c r="BA92" s="318">
        <v>18.555778062000002</v>
      </c>
      <c r="BB92" s="318"/>
      <c r="BC92" s="318"/>
      <c r="BD92" s="318">
        <v>8.6000410447605606</v>
      </c>
      <c r="BE92" s="318"/>
      <c r="BF92" s="318"/>
      <c r="BG92" s="318">
        <v>12.761575582112519</v>
      </c>
      <c r="BH92" s="318"/>
      <c r="BI92" s="318"/>
      <c r="BJ92" s="318">
        <v>33.450010154467371</v>
      </c>
      <c r="BK92" s="318"/>
      <c r="BL92" s="318"/>
      <c r="BM92" s="318">
        <v>2.6549771465630361</v>
      </c>
      <c r="BN92" s="318"/>
      <c r="BO92" s="318"/>
      <c r="BP92" s="318" t="s">
        <v>46</v>
      </c>
      <c r="BQ92" s="318"/>
      <c r="BR92" s="319"/>
      <c r="BS92" s="47">
        <v>0.90758767412619101</v>
      </c>
      <c r="BT92" s="43">
        <v>0.42366181535048536</v>
      </c>
      <c r="BU92" s="46">
        <v>0.14175379134939092</v>
      </c>
      <c r="BV92" s="48">
        <v>43190</v>
      </c>
      <c r="BW92" s="49" t="s">
        <v>117</v>
      </c>
    </row>
    <row r="93" spans="1:82" ht="11.25" customHeight="1" x14ac:dyDescent="0.2">
      <c r="A93" s="290" t="s">
        <v>118</v>
      </c>
      <c r="B93" s="290"/>
      <c r="C93" s="291">
        <v>55.95</v>
      </c>
      <c r="D93" s="291"/>
      <c r="E93" s="117">
        <v>1</v>
      </c>
      <c r="F93" s="338">
        <v>0</v>
      </c>
      <c r="G93" s="338"/>
      <c r="H93" s="338"/>
      <c r="I93" s="283">
        <v>4.6144722532774507</v>
      </c>
      <c r="J93" s="283"/>
      <c r="K93" s="283"/>
      <c r="L93" s="284">
        <v>1.20017</v>
      </c>
      <c r="M93" s="295"/>
      <c r="N93" s="296"/>
      <c r="O93" s="284">
        <v>1.1856500000000001</v>
      </c>
      <c r="P93" s="295"/>
      <c r="Q93" s="296"/>
      <c r="R93" s="297" t="s">
        <v>46</v>
      </c>
      <c r="S93" s="298"/>
      <c r="T93" s="299"/>
      <c r="U93" s="283">
        <v>1.4624226240673248</v>
      </c>
      <c r="V93" s="283"/>
      <c r="W93" s="283"/>
      <c r="X93" s="286">
        <v>-120.12051825949845</v>
      </c>
      <c r="Y93" s="286"/>
      <c r="Z93" s="286"/>
      <c r="AA93" s="285">
        <v>0.26665669999999997</v>
      </c>
      <c r="AB93" s="285"/>
      <c r="AC93" s="285"/>
      <c r="AD93" s="285">
        <v>0.18487200000000001</v>
      </c>
      <c r="AE93" s="285"/>
      <c r="AF93" s="285"/>
      <c r="AG93" s="285">
        <v>5.2892841555550012E-2</v>
      </c>
      <c r="AH93" s="285"/>
      <c r="AI93" s="285"/>
      <c r="AJ93" s="285">
        <v>9.9206198629761336E-2</v>
      </c>
      <c r="AK93" s="285"/>
      <c r="AL93" s="285"/>
      <c r="AM93" s="285">
        <v>0.28875879244864078</v>
      </c>
      <c r="AN93" s="285"/>
      <c r="AO93" s="285"/>
      <c r="AP93" s="285">
        <v>6.1881468006669903E-2</v>
      </c>
      <c r="AQ93" s="285"/>
      <c r="AR93" s="285"/>
      <c r="AS93" s="32">
        <v>-1.8276605877991394</v>
      </c>
      <c r="AT93" s="32">
        <v>-0.32950737307524269</v>
      </c>
      <c r="AU93" s="33">
        <v>4.6322390888215654</v>
      </c>
      <c r="AV93" s="34">
        <v>749.7835305000001</v>
      </c>
      <c r="AW93" s="32">
        <v>1.2420103894771848</v>
      </c>
      <c r="AX93" s="283">
        <v>17.388653028700002</v>
      </c>
      <c r="AY93" s="283"/>
      <c r="AZ93" s="283"/>
      <c r="BA93" s="283">
        <v>18.763723058700002</v>
      </c>
      <c r="BB93" s="283"/>
      <c r="BC93" s="283"/>
      <c r="BD93" s="283">
        <v>28.572588464932501</v>
      </c>
      <c r="BE93" s="283"/>
      <c r="BF93" s="283"/>
      <c r="BG93" s="283">
        <v>18.661069634305861</v>
      </c>
      <c r="BH93" s="283"/>
      <c r="BI93" s="283"/>
      <c r="BJ93" s="283">
        <v>52.988474178181441</v>
      </c>
      <c r="BK93" s="283"/>
      <c r="BL93" s="283"/>
      <c r="BM93" s="283">
        <v>2.8202293562529479</v>
      </c>
      <c r="BN93" s="283"/>
      <c r="BO93" s="283"/>
      <c r="BP93" s="283">
        <v>708.7657630827</v>
      </c>
      <c r="BQ93" s="283"/>
      <c r="BR93" s="284"/>
      <c r="BS93" s="35">
        <v>1.20621321144604</v>
      </c>
      <c r="BT93" s="32">
        <v>0.48590609009429475</v>
      </c>
      <c r="BU93" s="36">
        <v>0.18124868545964823</v>
      </c>
      <c r="BV93" s="37">
        <v>43190</v>
      </c>
      <c r="BW93" s="38" t="s">
        <v>118</v>
      </c>
    </row>
    <row r="94" spans="1:82" ht="11.25" customHeight="1" x14ac:dyDescent="0.2">
      <c r="A94" s="330" t="s">
        <v>119</v>
      </c>
      <c r="B94" s="330"/>
      <c r="C94" s="331">
        <v>69.100000000000009</v>
      </c>
      <c r="D94" s="331"/>
      <c r="E94" s="118">
        <v>1</v>
      </c>
      <c r="F94" s="332">
        <v>1.21926374306</v>
      </c>
      <c r="G94" s="332"/>
      <c r="H94" s="332"/>
      <c r="I94" s="318">
        <v>2.6704526562538726</v>
      </c>
      <c r="J94" s="318"/>
      <c r="K94" s="318"/>
      <c r="L94" s="319">
        <v>4.53728</v>
      </c>
      <c r="M94" s="333"/>
      <c r="N94" s="334"/>
      <c r="O94" s="319">
        <v>4.4895800000000001</v>
      </c>
      <c r="P94" s="333"/>
      <c r="Q94" s="334"/>
      <c r="R94" s="335" t="s">
        <v>46</v>
      </c>
      <c r="S94" s="336"/>
      <c r="T94" s="337"/>
      <c r="U94" s="318">
        <v>0.39140533213805129</v>
      </c>
      <c r="V94" s="318"/>
      <c r="W94" s="318"/>
      <c r="X94" s="329">
        <v>14.748114112343373</v>
      </c>
      <c r="Y94" s="329"/>
      <c r="Z94" s="329"/>
      <c r="AA94" s="328" t="s">
        <v>46</v>
      </c>
      <c r="AB94" s="328"/>
      <c r="AC94" s="328"/>
      <c r="AD94" s="328">
        <v>0.45217480000000004</v>
      </c>
      <c r="AE94" s="328"/>
      <c r="AF94" s="328"/>
      <c r="AG94" s="328">
        <v>0.17498061676068341</v>
      </c>
      <c r="AH94" s="328"/>
      <c r="AI94" s="328"/>
      <c r="AJ94" s="328">
        <v>7.9896554395046282E-2</v>
      </c>
      <c r="AK94" s="328"/>
      <c r="AL94" s="328"/>
      <c r="AM94" s="339">
        <v>0.15488469921495263</v>
      </c>
      <c r="AN94" s="339"/>
      <c r="AO94" s="339"/>
      <c r="AP94" s="328">
        <v>5.4790726693420479E-2</v>
      </c>
      <c r="AQ94" s="328"/>
      <c r="AR94" s="328"/>
      <c r="AS94" s="43">
        <v>0.83002758928058729</v>
      </c>
      <c r="AT94" s="43">
        <v>-98.296060562605774</v>
      </c>
      <c r="AU94" s="44">
        <v>218.63366409159673</v>
      </c>
      <c r="AV94" s="45">
        <v>403.3100915</v>
      </c>
      <c r="AW94" s="46">
        <v>0.1799485205577426</v>
      </c>
      <c r="AX94" s="318">
        <v>14.730618616200001</v>
      </c>
      <c r="AY94" s="318"/>
      <c r="AZ94" s="318"/>
      <c r="BA94" s="318">
        <v>12.424337686200001</v>
      </c>
      <c r="BB94" s="318"/>
      <c r="BC94" s="318"/>
      <c r="BD94" s="318">
        <v>6.3706754925432598</v>
      </c>
      <c r="BE94" s="318"/>
      <c r="BF94" s="318"/>
      <c r="BG94" s="318">
        <v>2.373858670295744</v>
      </c>
      <c r="BH94" s="318"/>
      <c r="BI94" s="318"/>
      <c r="BJ94" s="318">
        <v>19.020983640853</v>
      </c>
      <c r="BK94" s="318"/>
      <c r="BL94" s="318"/>
      <c r="BM94" s="318">
        <v>3.3282968457813369</v>
      </c>
      <c r="BN94" s="318"/>
      <c r="BO94" s="318"/>
      <c r="BP94" s="318">
        <v>31.695042200500001</v>
      </c>
      <c r="BQ94" s="318"/>
      <c r="BR94" s="319"/>
      <c r="BS94" s="47">
        <v>1.0490538711277799</v>
      </c>
      <c r="BT94" s="43">
        <v>0.51382347218844049</v>
      </c>
      <c r="BU94" s="46">
        <v>6.7855856422525118E-3</v>
      </c>
      <c r="BV94" s="48">
        <v>43131</v>
      </c>
      <c r="BW94" s="49" t="s">
        <v>119</v>
      </c>
    </row>
    <row r="95" spans="1:82" ht="11.25" customHeight="1" x14ac:dyDescent="0.2">
      <c r="A95" s="290" t="s">
        <v>120</v>
      </c>
      <c r="B95" s="290"/>
      <c r="C95" s="291">
        <v>53</v>
      </c>
      <c r="D95" s="291"/>
      <c r="E95" s="117">
        <v>1</v>
      </c>
      <c r="F95" s="338">
        <v>0</v>
      </c>
      <c r="G95" s="338"/>
      <c r="H95" s="338"/>
      <c r="I95" s="283">
        <v>3.7145256882214932</v>
      </c>
      <c r="J95" s="283"/>
      <c r="K95" s="283"/>
      <c r="L95" s="284">
        <v>0.93483000000000005</v>
      </c>
      <c r="M95" s="295"/>
      <c r="N95" s="296"/>
      <c r="O95" s="284">
        <v>0.93247999999999998</v>
      </c>
      <c r="P95" s="295"/>
      <c r="Q95" s="296"/>
      <c r="R95" s="297">
        <v>5.8922663853846202E-2</v>
      </c>
      <c r="S95" s="298"/>
      <c r="T95" s="299"/>
      <c r="U95" s="283">
        <v>1.4494303719752004</v>
      </c>
      <c r="V95" s="283"/>
      <c r="W95" s="283"/>
      <c r="X95" s="286">
        <v>-196.55891163456579</v>
      </c>
      <c r="Y95" s="286"/>
      <c r="Z95" s="286"/>
      <c r="AA95" s="285">
        <v>0.1928916</v>
      </c>
      <c r="AB95" s="285"/>
      <c r="AC95" s="285"/>
      <c r="AD95" s="285">
        <v>4.04471E-2</v>
      </c>
      <c r="AE95" s="285"/>
      <c r="AF95" s="285"/>
      <c r="AG95" s="285">
        <v>0.11121030349890478</v>
      </c>
      <c r="AH95" s="285"/>
      <c r="AI95" s="285"/>
      <c r="AJ95" s="285">
        <v>-0.15349186822938829</v>
      </c>
      <c r="AK95" s="285"/>
      <c r="AL95" s="285"/>
      <c r="AM95" s="285">
        <v>0.50228259967351907</v>
      </c>
      <c r="AN95" s="285"/>
      <c r="AO95" s="285"/>
      <c r="AP95" s="285">
        <v>0.12895380562205325</v>
      </c>
      <c r="AQ95" s="285"/>
      <c r="AR95" s="285"/>
      <c r="AS95" s="32">
        <v>12.547491687147607</v>
      </c>
      <c r="AT95" s="32">
        <v>2.0975224060243134</v>
      </c>
      <c r="AU95" s="33">
        <v>3.8039342837726449</v>
      </c>
      <c r="AV95" s="34">
        <v>215.0942</v>
      </c>
      <c r="AW95" s="32">
        <v>1.5008370786691501</v>
      </c>
      <c r="AX95" s="283">
        <v>2.9635901040000001</v>
      </c>
      <c r="AY95" s="283"/>
      <c r="AZ95" s="283"/>
      <c r="BA95" s="283">
        <v>10.522266975999999</v>
      </c>
      <c r="BB95" s="283"/>
      <c r="BC95" s="283"/>
      <c r="BD95" s="283">
        <v>4.5779912505638301</v>
      </c>
      <c r="BE95" s="283"/>
      <c r="BF95" s="283"/>
      <c r="BG95" s="283">
        <v>13.440013202095782</v>
      </c>
      <c r="BH95" s="283"/>
      <c r="BI95" s="283"/>
      <c r="BJ95" s="283">
        <v>31.932712352537148</v>
      </c>
      <c r="BK95" s="283"/>
      <c r="BL95" s="283"/>
      <c r="BM95" s="283">
        <v>3.4842578179403931</v>
      </c>
      <c r="BN95" s="283"/>
      <c r="BO95" s="283"/>
      <c r="BP95" s="283">
        <v>20.6752422323</v>
      </c>
      <c r="BQ95" s="283"/>
      <c r="BR95" s="284"/>
      <c r="BS95" s="35">
        <v>1.5583861854083101</v>
      </c>
      <c r="BT95" s="32">
        <v>0.43527875696161022</v>
      </c>
      <c r="BU95" s="36">
        <v>9.1916974784634453E-2</v>
      </c>
      <c r="BV95" s="37">
        <v>43008</v>
      </c>
      <c r="BW95" s="38" t="s">
        <v>120</v>
      </c>
    </row>
    <row r="96" spans="1:82" ht="11.25" customHeight="1" x14ac:dyDescent="0.2">
      <c r="A96" s="330" t="s">
        <v>121</v>
      </c>
      <c r="B96" s="330"/>
      <c r="C96" s="331">
        <v>51.7</v>
      </c>
      <c r="D96" s="331"/>
      <c r="E96" s="118">
        <v>1</v>
      </c>
      <c r="F96" s="332">
        <v>0.64904456682</v>
      </c>
      <c r="G96" s="332"/>
      <c r="H96" s="332"/>
      <c r="I96" s="318">
        <v>2.5658829439558035</v>
      </c>
      <c r="J96" s="318"/>
      <c r="K96" s="318"/>
      <c r="L96" s="319">
        <v>2.1304599999999998</v>
      </c>
      <c r="M96" s="333"/>
      <c r="N96" s="334"/>
      <c r="O96" s="319">
        <v>2.1304599999999998</v>
      </c>
      <c r="P96" s="333"/>
      <c r="Q96" s="334"/>
      <c r="R96" s="335" t="s">
        <v>46</v>
      </c>
      <c r="S96" s="336"/>
      <c r="T96" s="337"/>
      <c r="U96" s="318">
        <v>1.4310766091476488</v>
      </c>
      <c r="V96" s="318"/>
      <c r="W96" s="318"/>
      <c r="X96" s="329" t="s">
        <v>46</v>
      </c>
      <c r="Y96" s="329"/>
      <c r="Z96" s="329"/>
      <c r="AA96" s="328">
        <v>0.65239369999999997</v>
      </c>
      <c r="AB96" s="328"/>
      <c r="AC96" s="328"/>
      <c r="AD96" s="328">
        <v>0.55865949999999998</v>
      </c>
      <c r="AE96" s="328"/>
      <c r="AF96" s="328"/>
      <c r="AG96" s="328">
        <v>0.37877156706614207</v>
      </c>
      <c r="AH96" s="328"/>
      <c r="AI96" s="328"/>
      <c r="AJ96" s="328">
        <v>0.43286319551003033</v>
      </c>
      <c r="AK96" s="328"/>
      <c r="AL96" s="328"/>
      <c r="AM96" s="339">
        <v>1.2436686202576483</v>
      </c>
      <c r="AN96" s="339"/>
      <c r="AO96" s="339"/>
      <c r="AP96" s="328">
        <v>0.43364179173251849</v>
      </c>
      <c r="AQ96" s="328"/>
      <c r="AR96" s="328"/>
      <c r="AS96" s="43">
        <v>0.84938602527895646</v>
      </c>
      <c r="AT96" s="43">
        <v>13.250191687380616</v>
      </c>
      <c r="AU96" s="44">
        <v>19.649991684999364</v>
      </c>
      <c r="AV96" s="45">
        <v>703.42011650000006</v>
      </c>
      <c r="AW96" s="46">
        <v>2.39700234555306</v>
      </c>
      <c r="AX96" s="318">
        <v>10.52433029835</v>
      </c>
      <c r="AY96" s="318"/>
      <c r="AZ96" s="318"/>
      <c r="BA96" s="318">
        <v>23.589944824749999</v>
      </c>
      <c r="BB96" s="318"/>
      <c r="BC96" s="318"/>
      <c r="BD96" s="318">
        <v>3.02426081876603</v>
      </c>
      <c r="BE96" s="318"/>
      <c r="BF96" s="318"/>
      <c r="BG96" s="318">
        <v>8.2525780445052543</v>
      </c>
      <c r="BH96" s="318"/>
      <c r="BI96" s="318"/>
      <c r="BJ96" s="318">
        <v>10.073927428751809</v>
      </c>
      <c r="BK96" s="318"/>
      <c r="BL96" s="318"/>
      <c r="BM96" s="318">
        <v>3.9153532871451131</v>
      </c>
      <c r="BN96" s="318"/>
      <c r="BO96" s="318"/>
      <c r="BP96" s="318">
        <v>25.1922844403</v>
      </c>
      <c r="BQ96" s="318"/>
      <c r="BR96" s="319"/>
      <c r="BS96" s="47">
        <v>1.2561854100566601</v>
      </c>
      <c r="BT96" s="43">
        <v>0.52031363664823416</v>
      </c>
      <c r="BU96" s="46">
        <v>0.18050772400713244</v>
      </c>
      <c r="BV96" s="48">
        <v>43100</v>
      </c>
      <c r="BW96" s="49" t="s">
        <v>121</v>
      </c>
    </row>
    <row r="97" spans="1:75" ht="11.25" customHeight="1" x14ac:dyDescent="0.2">
      <c r="A97" s="290" t="s">
        <v>122</v>
      </c>
      <c r="B97" s="290"/>
      <c r="C97" s="291">
        <v>12.9</v>
      </c>
      <c r="D97" s="291"/>
      <c r="E97" s="117">
        <v>1</v>
      </c>
      <c r="F97" s="338">
        <v>1.0046626197800002</v>
      </c>
      <c r="G97" s="338"/>
      <c r="H97" s="338"/>
      <c r="I97" s="283">
        <v>5.977642056222618</v>
      </c>
      <c r="J97" s="283"/>
      <c r="K97" s="283"/>
      <c r="L97" s="284">
        <v>0.85787000000000002</v>
      </c>
      <c r="M97" s="295"/>
      <c r="N97" s="296"/>
      <c r="O97" s="284">
        <v>0.83243999999999996</v>
      </c>
      <c r="P97" s="295"/>
      <c r="Q97" s="296"/>
      <c r="R97" s="297" t="s">
        <v>46</v>
      </c>
      <c r="S97" s="298"/>
      <c r="T97" s="299"/>
      <c r="U97" s="283">
        <v>0.60259034049100402</v>
      </c>
      <c r="V97" s="283"/>
      <c r="W97" s="283"/>
      <c r="X97" s="286">
        <v>-147.58762134640918</v>
      </c>
      <c r="Y97" s="286"/>
      <c r="Z97" s="286"/>
      <c r="AA97" s="285">
        <v>0.31578810000000002</v>
      </c>
      <c r="AB97" s="285"/>
      <c r="AC97" s="285"/>
      <c r="AD97" s="285">
        <v>0.33229900000000001</v>
      </c>
      <c r="AE97" s="285"/>
      <c r="AF97" s="285"/>
      <c r="AG97" s="285">
        <v>0.20112970594021207</v>
      </c>
      <c r="AH97" s="285"/>
      <c r="AI97" s="285"/>
      <c r="AJ97" s="285">
        <v>0.27857122180409105</v>
      </c>
      <c r="AK97" s="285"/>
      <c r="AL97" s="285"/>
      <c r="AM97" s="285">
        <v>0.66599148001918951</v>
      </c>
      <c r="AN97" s="285"/>
      <c r="AO97" s="285"/>
      <c r="AP97" s="285">
        <v>9.6959241305807492E-2</v>
      </c>
      <c r="AQ97" s="285"/>
      <c r="AR97" s="285"/>
      <c r="AS97" s="32">
        <v>1.7216926251163227</v>
      </c>
      <c r="AT97" s="32">
        <v>1.5763634289289297</v>
      </c>
      <c r="AU97" s="33">
        <v>1.9547955829376784</v>
      </c>
      <c r="AV97" s="34">
        <v>419.58596450000005</v>
      </c>
      <c r="AW97" s="32">
        <v>0.55089801399803362</v>
      </c>
      <c r="AX97" s="283">
        <v>9.2624895474000084</v>
      </c>
      <c r="AY97" s="283"/>
      <c r="AZ97" s="283"/>
      <c r="BA97" s="283" t="s">
        <v>46</v>
      </c>
      <c r="BB97" s="283"/>
      <c r="BC97" s="283"/>
      <c r="BD97" s="283">
        <v>6.65339229714517</v>
      </c>
      <c r="BE97" s="283"/>
      <c r="BF97" s="283"/>
      <c r="BG97" s="283" t="s">
        <v>46</v>
      </c>
      <c r="BH97" s="283"/>
      <c r="BI97" s="283"/>
      <c r="BJ97" s="283">
        <v>16.675284384694933</v>
      </c>
      <c r="BK97" s="283"/>
      <c r="BL97" s="283"/>
      <c r="BM97" s="283" t="s">
        <v>46</v>
      </c>
      <c r="BN97" s="283"/>
      <c r="BO97" s="283"/>
      <c r="BP97" s="283">
        <v>70.412802718899997</v>
      </c>
      <c r="BQ97" s="283"/>
      <c r="BR97" s="284"/>
      <c r="BS97" s="35">
        <v>1.5209753493004501</v>
      </c>
      <c r="BT97" s="32">
        <v>0.54849861768161245</v>
      </c>
      <c r="BU97" s="36">
        <v>-7.5293666669431936E-2</v>
      </c>
      <c r="BV97" s="37">
        <v>43190</v>
      </c>
      <c r="BW97" s="38" t="s">
        <v>122</v>
      </c>
    </row>
    <row r="98" spans="1:75" ht="11.25" customHeight="1" x14ac:dyDescent="0.2">
      <c r="A98" s="308" t="s">
        <v>57</v>
      </c>
      <c r="B98" s="309"/>
      <c r="C98" s="310"/>
      <c r="D98" s="311"/>
      <c r="E98" s="61"/>
      <c r="F98" s="303">
        <v>0.88273080237755552</v>
      </c>
      <c r="G98" s="304"/>
      <c r="H98" s="305"/>
      <c r="I98" s="303">
        <v>4.83806035962587</v>
      </c>
      <c r="J98" s="304"/>
      <c r="K98" s="305"/>
      <c r="L98" s="303">
        <v>1.5257011111111112</v>
      </c>
      <c r="M98" s="304"/>
      <c r="N98" s="305"/>
      <c r="O98" s="303">
        <v>1.5011077777777777</v>
      </c>
      <c r="P98" s="304"/>
      <c r="Q98" s="305"/>
      <c r="R98" s="312">
        <v>2.9461331926923101E-2</v>
      </c>
      <c r="S98" s="313"/>
      <c r="T98" s="314"/>
      <c r="U98" s="303">
        <v>1.1261779319834888</v>
      </c>
      <c r="V98" s="304"/>
      <c r="W98" s="305"/>
      <c r="X98" s="303">
        <v>-93.014684903107195</v>
      </c>
      <c r="Y98" s="304"/>
      <c r="Z98" s="305"/>
      <c r="AA98" s="300">
        <v>0.34985571999999998</v>
      </c>
      <c r="AB98" s="301"/>
      <c r="AC98" s="302"/>
      <c r="AD98" s="300">
        <v>0.23326873333333331</v>
      </c>
      <c r="AE98" s="301"/>
      <c r="AF98" s="302"/>
      <c r="AG98" s="300">
        <v>0.14341951380838502</v>
      </c>
      <c r="AH98" s="301"/>
      <c r="AI98" s="302"/>
      <c r="AJ98" s="300">
        <v>8.0870672425392698E-2</v>
      </c>
      <c r="AK98" s="301"/>
      <c r="AL98" s="302"/>
      <c r="AM98" s="300">
        <v>0.5348319274666391</v>
      </c>
      <c r="AN98" s="301"/>
      <c r="AO98" s="302"/>
      <c r="AP98" s="300">
        <v>0.11090683100892826</v>
      </c>
      <c r="AQ98" s="301"/>
      <c r="AR98" s="302"/>
      <c r="AS98" s="62">
        <v>1.7118995915143138</v>
      </c>
      <c r="AT98" s="62">
        <v>-7.4523724658759676</v>
      </c>
      <c r="AU98" s="63">
        <v>31.244764962666142</v>
      </c>
      <c r="AV98" s="64">
        <v>1413.7139324999998</v>
      </c>
      <c r="AW98" s="62">
        <v>0.98730551005575029</v>
      </c>
      <c r="AX98" s="287">
        <v>25.524159782488891</v>
      </c>
      <c r="AY98" s="288"/>
      <c r="AZ98" s="289"/>
      <c r="BA98" s="287">
        <v>31.740138112831254</v>
      </c>
      <c r="BB98" s="288"/>
      <c r="BC98" s="289"/>
      <c r="BD98" s="287">
        <v>8.6828238149591215</v>
      </c>
      <c r="BE98" s="288"/>
      <c r="BF98" s="289"/>
      <c r="BG98" s="287">
        <v>10.632300424813671</v>
      </c>
      <c r="BH98" s="288"/>
      <c r="BI98" s="289"/>
      <c r="BJ98" s="287">
        <v>27.035354082583126</v>
      </c>
      <c r="BK98" s="288"/>
      <c r="BL98" s="289"/>
      <c r="BM98" s="287">
        <v>2.6416579752184925</v>
      </c>
      <c r="BN98" s="288"/>
      <c r="BO98" s="289"/>
      <c r="BP98" s="287">
        <v>155.29355709991668</v>
      </c>
      <c r="BQ98" s="288"/>
      <c r="BR98" s="289"/>
      <c r="BS98" s="65">
        <v>1.2011194292830056</v>
      </c>
      <c r="BT98" s="62">
        <v>0.50223221965578746</v>
      </c>
      <c r="BU98" s="62">
        <v>0.10309828159776149</v>
      </c>
      <c r="BV98" s="66"/>
      <c r="BW98" s="66"/>
    </row>
    <row r="99" spans="1:75" s="136" customFormat="1" ht="11.25" customHeight="1" x14ac:dyDescent="0.2">
      <c r="A99" s="67" t="s">
        <v>123</v>
      </c>
      <c r="B99" s="67"/>
      <c r="C99" s="67"/>
      <c r="D99" s="67"/>
      <c r="E99" s="67"/>
      <c r="F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9"/>
      <c r="AX99" s="67"/>
      <c r="AY99" s="67"/>
      <c r="AZ99" s="67"/>
      <c r="BA99" s="67"/>
      <c r="BB99" s="67"/>
      <c r="BC99" s="67"/>
      <c r="BD99" s="67"/>
      <c r="BE99" s="67"/>
      <c r="BF99" s="67"/>
      <c r="BG99" s="67"/>
      <c r="BH99" s="67"/>
      <c r="BI99" s="67"/>
      <c r="BJ99" s="67"/>
      <c r="BK99" s="67"/>
      <c r="BL99" s="67"/>
      <c r="BM99" s="67"/>
      <c r="BN99" s="67"/>
      <c r="BO99" s="67"/>
      <c r="BP99" s="67"/>
      <c r="BQ99" s="67"/>
      <c r="BR99" s="67"/>
      <c r="BS99" s="67"/>
      <c r="BT99" s="67"/>
      <c r="BU99" s="67"/>
      <c r="BV99" s="70"/>
      <c r="BW99" s="71"/>
    </row>
    <row r="100" spans="1:75" ht="11.25" customHeight="1" x14ac:dyDescent="0.2">
      <c r="A100" s="290" t="s">
        <v>124</v>
      </c>
      <c r="B100" s="290"/>
      <c r="C100" s="291">
        <v>122.5</v>
      </c>
      <c r="D100" s="291"/>
      <c r="E100" s="116">
        <v>1</v>
      </c>
      <c r="F100" s="292">
        <v>0.34735203716699997</v>
      </c>
      <c r="G100" s="293"/>
      <c r="H100" s="294"/>
      <c r="I100" s="283">
        <v>1.7540464268027136</v>
      </c>
      <c r="J100" s="283"/>
      <c r="K100" s="283"/>
      <c r="L100" s="284">
        <v>0.49406</v>
      </c>
      <c r="M100" s="295"/>
      <c r="N100" s="296"/>
      <c r="O100" s="284">
        <v>0.45643</v>
      </c>
      <c r="P100" s="295"/>
      <c r="Q100" s="296"/>
      <c r="R100" s="297">
        <v>0.10663676833261899</v>
      </c>
      <c r="S100" s="298"/>
      <c r="T100" s="299"/>
      <c r="U100" s="283">
        <v>1.0395268508193054</v>
      </c>
      <c r="V100" s="283"/>
      <c r="W100" s="283"/>
      <c r="X100" s="286">
        <v>-229.07715999947047</v>
      </c>
      <c r="Y100" s="286"/>
      <c r="Z100" s="286"/>
      <c r="AA100" s="285">
        <v>0.83640289999999995</v>
      </c>
      <c r="AB100" s="285"/>
      <c r="AC100" s="285"/>
      <c r="AD100" s="285">
        <v>0.18542840000000002</v>
      </c>
      <c r="AE100" s="285"/>
      <c r="AF100" s="285"/>
      <c r="AG100" s="285">
        <v>0.11239618578898801</v>
      </c>
      <c r="AH100" s="285"/>
      <c r="AI100" s="285"/>
      <c r="AJ100" s="285">
        <v>8.5561365733620429E-2</v>
      </c>
      <c r="AK100" s="285"/>
      <c r="AL100" s="285"/>
      <c r="AM100" s="285">
        <v>0.18421145498817801</v>
      </c>
      <c r="AN100" s="285"/>
      <c r="AO100" s="285"/>
      <c r="AP100" s="285">
        <v>9.3471092772745526E-2</v>
      </c>
      <c r="AQ100" s="285"/>
      <c r="AR100" s="285"/>
      <c r="AS100" s="32">
        <v>0.76982097186700771</v>
      </c>
      <c r="AT100" s="32">
        <v>0.27074424405073927</v>
      </c>
      <c r="AU100" s="33">
        <v>0.37793259217108188</v>
      </c>
      <c r="AV100" s="34">
        <v>11529.45</v>
      </c>
      <c r="AW100" s="32">
        <v>6.406884312187619E-2</v>
      </c>
      <c r="AX100" s="283">
        <v>110.3406082437</v>
      </c>
      <c r="AY100" s="283"/>
      <c r="AZ100" s="283"/>
      <c r="BA100" s="283">
        <v>114.8280410837</v>
      </c>
      <c r="BB100" s="283"/>
      <c r="BC100" s="283"/>
      <c r="BD100" s="283">
        <v>3.8104986097903799</v>
      </c>
      <c r="BE100" s="283"/>
      <c r="BF100" s="283"/>
      <c r="BG100" s="283">
        <v>5.4568284504918498</v>
      </c>
      <c r="BH100" s="283"/>
      <c r="BI100" s="283"/>
      <c r="BJ100" s="283">
        <v>16.416224322009938</v>
      </c>
      <c r="BK100" s="283"/>
      <c r="BL100" s="283"/>
      <c r="BM100" s="283">
        <v>1.4128334799593971</v>
      </c>
      <c r="BN100" s="283"/>
      <c r="BO100" s="283"/>
      <c r="BP100" s="283" t="s">
        <v>46</v>
      </c>
      <c r="BQ100" s="283"/>
      <c r="BR100" s="284"/>
      <c r="BS100" s="35">
        <v>0.56012067918415698</v>
      </c>
      <c r="BT100" s="32">
        <v>0.42575200314618866</v>
      </c>
      <c r="BU100" s="36">
        <v>5.8412781028660987E-2</v>
      </c>
      <c r="BV100" s="37">
        <v>43190</v>
      </c>
      <c r="BW100" s="38" t="s">
        <v>124</v>
      </c>
    </row>
    <row r="101" spans="1:75" ht="11.25" customHeight="1" x14ac:dyDescent="0.2">
      <c r="A101" s="345" t="s">
        <v>125</v>
      </c>
      <c r="B101" s="345"/>
      <c r="C101" s="346">
        <v>242</v>
      </c>
      <c r="D101" s="346"/>
      <c r="E101" s="123">
        <v>1</v>
      </c>
      <c r="F101" s="347">
        <v>3.1533731949499999</v>
      </c>
      <c r="G101" s="348"/>
      <c r="H101" s="349"/>
      <c r="I101" s="340">
        <v>6.4741087545126215</v>
      </c>
      <c r="J101" s="340"/>
      <c r="K101" s="340"/>
      <c r="L101" s="341">
        <v>0.80979000000000001</v>
      </c>
      <c r="M101" s="350"/>
      <c r="N101" s="351"/>
      <c r="O101" s="341">
        <v>0.76417000000000002</v>
      </c>
      <c r="P101" s="350"/>
      <c r="Q101" s="351"/>
      <c r="R101" s="352">
        <v>4.1469137721519E-2</v>
      </c>
      <c r="S101" s="353"/>
      <c r="T101" s="354"/>
      <c r="U101" s="340">
        <v>0.54759513410935023</v>
      </c>
      <c r="V101" s="340"/>
      <c r="W101" s="340"/>
      <c r="X101" s="343">
        <v>-273.81615692378239</v>
      </c>
      <c r="Y101" s="343"/>
      <c r="Z101" s="343"/>
      <c r="AA101" s="342">
        <v>0.52691889999999997</v>
      </c>
      <c r="AB101" s="342"/>
      <c r="AC101" s="342"/>
      <c r="AD101" s="342">
        <v>0.1305761</v>
      </c>
      <c r="AE101" s="342"/>
      <c r="AF101" s="342"/>
      <c r="AG101" s="342">
        <v>6.2509352494720463E-2</v>
      </c>
      <c r="AH101" s="342"/>
      <c r="AI101" s="342"/>
      <c r="AJ101" s="342">
        <v>6.1724439655091529E-2</v>
      </c>
      <c r="AK101" s="342"/>
      <c r="AL101" s="342"/>
      <c r="AM101" s="344">
        <v>0.18479908570644832</v>
      </c>
      <c r="AN101" s="344"/>
      <c r="AO101" s="344"/>
      <c r="AP101" s="342">
        <v>2.7383853927498807E-2</v>
      </c>
      <c r="AQ101" s="342"/>
      <c r="AR101" s="342"/>
      <c r="AS101" s="124">
        <v>0.62492155785384673</v>
      </c>
      <c r="AT101" s="124">
        <v>0.78349385401301685</v>
      </c>
      <c r="AU101" s="125">
        <v>1.6713891817116791</v>
      </c>
      <c r="AV101" s="126">
        <v>180307.26663066092</v>
      </c>
      <c r="AW101" s="127">
        <v>0.20190486426909629</v>
      </c>
      <c r="AX101" s="340">
        <v>2952.3912743010601</v>
      </c>
      <c r="AY101" s="340"/>
      <c r="AZ101" s="340"/>
      <c r="BA101" s="340">
        <v>1179.1222096890001</v>
      </c>
      <c r="BB101" s="340"/>
      <c r="BC101" s="340"/>
      <c r="BD101" s="340">
        <v>6.0629297742853998</v>
      </c>
      <c r="BE101" s="340"/>
      <c r="BF101" s="340"/>
      <c r="BG101" s="340" t="s">
        <v>46</v>
      </c>
      <c r="BH101" s="340"/>
      <c r="BI101" s="340"/>
      <c r="BJ101" s="340">
        <v>19.466568236964328</v>
      </c>
      <c r="BK101" s="340"/>
      <c r="BL101" s="340"/>
      <c r="BM101" s="340">
        <v>1.0700813413289072</v>
      </c>
      <c r="BN101" s="340"/>
      <c r="BO101" s="340"/>
      <c r="BP101" s="340">
        <v>34.888877659199999</v>
      </c>
      <c r="BQ101" s="340"/>
      <c r="BR101" s="341"/>
      <c r="BS101" s="128">
        <v>0.21793628189608599</v>
      </c>
      <c r="BT101" s="124">
        <v>0.35854923226040486</v>
      </c>
      <c r="BU101" s="127">
        <v>-0.10366549810749925</v>
      </c>
      <c r="BV101" s="129">
        <v>43190</v>
      </c>
      <c r="BW101" s="49" t="s">
        <v>125</v>
      </c>
    </row>
    <row r="102" spans="1:75" ht="11.25" customHeight="1" x14ac:dyDescent="0.2">
      <c r="A102" s="308" t="s">
        <v>57</v>
      </c>
      <c r="B102" s="309"/>
      <c r="C102" s="310"/>
      <c r="D102" s="311"/>
      <c r="E102" s="61"/>
      <c r="F102" s="303">
        <v>1.7503626160585</v>
      </c>
      <c r="G102" s="304"/>
      <c r="H102" s="305"/>
      <c r="I102" s="303">
        <v>4.1140775906576676</v>
      </c>
      <c r="J102" s="304"/>
      <c r="K102" s="305"/>
      <c r="L102" s="303">
        <v>0.65192499999999998</v>
      </c>
      <c r="M102" s="304"/>
      <c r="N102" s="305"/>
      <c r="O102" s="303">
        <v>0.61030000000000006</v>
      </c>
      <c r="P102" s="304"/>
      <c r="Q102" s="305"/>
      <c r="R102" s="312">
        <v>7.4052953027068991E-2</v>
      </c>
      <c r="S102" s="313"/>
      <c r="T102" s="314"/>
      <c r="U102" s="303">
        <v>0.79356099246432787</v>
      </c>
      <c r="V102" s="304"/>
      <c r="W102" s="305"/>
      <c r="X102" s="303">
        <v>-251.44665846162644</v>
      </c>
      <c r="Y102" s="304"/>
      <c r="Z102" s="305"/>
      <c r="AA102" s="300">
        <v>0.68166090000000001</v>
      </c>
      <c r="AB102" s="301"/>
      <c r="AC102" s="302"/>
      <c r="AD102" s="300">
        <v>0.15800225000000001</v>
      </c>
      <c r="AE102" s="301"/>
      <c r="AF102" s="302"/>
      <c r="AG102" s="300">
        <v>8.7452769141854236E-2</v>
      </c>
      <c r="AH102" s="301"/>
      <c r="AI102" s="302"/>
      <c r="AJ102" s="300">
        <v>7.3642902694355972E-2</v>
      </c>
      <c r="AK102" s="301"/>
      <c r="AL102" s="302"/>
      <c r="AM102" s="300">
        <v>0.18450527034731318</v>
      </c>
      <c r="AN102" s="301"/>
      <c r="AO102" s="302"/>
      <c r="AP102" s="300">
        <v>6.0427473350122163E-2</v>
      </c>
      <c r="AQ102" s="301"/>
      <c r="AR102" s="302"/>
      <c r="AS102" s="62">
        <v>0.69737126486042722</v>
      </c>
      <c r="AT102" s="62">
        <v>0.52711904903187801</v>
      </c>
      <c r="AU102" s="63">
        <v>1.0246608869413805</v>
      </c>
      <c r="AV102" s="64">
        <v>95918.358315330464</v>
      </c>
      <c r="AW102" s="62">
        <v>0.13298685369548624</v>
      </c>
      <c r="AX102" s="287">
        <v>1531.36594127238</v>
      </c>
      <c r="AY102" s="288"/>
      <c r="AZ102" s="289"/>
      <c r="BA102" s="287">
        <v>646.9751253863501</v>
      </c>
      <c r="BB102" s="288"/>
      <c r="BC102" s="289"/>
      <c r="BD102" s="287">
        <v>4.9367141920378899</v>
      </c>
      <c r="BE102" s="288"/>
      <c r="BF102" s="289"/>
      <c r="BG102" s="287">
        <v>5.4568284504918498</v>
      </c>
      <c r="BH102" s="288"/>
      <c r="BI102" s="289"/>
      <c r="BJ102" s="287">
        <v>17.941396279487133</v>
      </c>
      <c r="BK102" s="288"/>
      <c r="BL102" s="289"/>
      <c r="BM102" s="287">
        <v>1.241457410644152</v>
      </c>
      <c r="BN102" s="288"/>
      <c r="BO102" s="289"/>
      <c r="BP102" s="287">
        <v>34.888877659199999</v>
      </c>
      <c r="BQ102" s="288"/>
      <c r="BR102" s="289"/>
      <c r="BS102" s="65">
        <v>0.38902848054012151</v>
      </c>
      <c r="BT102" s="62">
        <v>0.39215061770329673</v>
      </c>
      <c r="BU102" s="62">
        <v>-2.2626358539419134E-2</v>
      </c>
      <c r="BV102" s="66"/>
      <c r="BW102" s="66"/>
    </row>
    <row r="103" spans="1:75" ht="11.25" customHeight="1" x14ac:dyDescent="0.2">
      <c r="A103" s="67" t="s">
        <v>126</v>
      </c>
      <c r="B103" s="67"/>
      <c r="C103" s="67"/>
      <c r="D103" s="67"/>
      <c r="E103" s="67"/>
      <c r="F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9"/>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c r="BT103" s="67"/>
      <c r="BU103" s="67"/>
      <c r="BV103" s="70"/>
      <c r="BW103" s="71"/>
    </row>
    <row r="104" spans="1:75" ht="11.25" customHeight="1" x14ac:dyDescent="0.2">
      <c r="A104" s="290" t="s">
        <v>127</v>
      </c>
      <c r="B104" s="290"/>
      <c r="C104" s="291">
        <v>47.4</v>
      </c>
      <c r="D104" s="291"/>
      <c r="E104" s="116">
        <v>1</v>
      </c>
      <c r="F104" s="292">
        <v>8.8582844688910001</v>
      </c>
      <c r="G104" s="293"/>
      <c r="H104" s="294"/>
      <c r="I104" s="283">
        <v>15.321363707124695</v>
      </c>
      <c r="J104" s="283"/>
      <c r="K104" s="283"/>
      <c r="L104" s="284">
        <v>1.51051</v>
      </c>
      <c r="M104" s="295"/>
      <c r="N104" s="296"/>
      <c r="O104" s="284">
        <v>1.34666</v>
      </c>
      <c r="P104" s="295"/>
      <c r="Q104" s="296"/>
      <c r="R104" s="297">
        <v>1.6897271886266101E-2</v>
      </c>
      <c r="S104" s="298"/>
      <c r="T104" s="299"/>
      <c r="U104" s="283">
        <v>0.42373559246928516</v>
      </c>
      <c r="V104" s="283"/>
      <c r="W104" s="283"/>
      <c r="X104" s="286">
        <v>-17.414692434603509</v>
      </c>
      <c r="Y104" s="286"/>
      <c r="Z104" s="286"/>
      <c r="AA104" s="285">
        <v>0.26988630000000002</v>
      </c>
      <c r="AB104" s="285"/>
      <c r="AC104" s="285"/>
      <c r="AD104" s="285">
        <v>0.1273775</v>
      </c>
      <c r="AE104" s="285"/>
      <c r="AF104" s="285"/>
      <c r="AG104" s="285">
        <v>5.70442527136098E-2</v>
      </c>
      <c r="AH104" s="285"/>
      <c r="AI104" s="285"/>
      <c r="AJ104" s="285">
        <v>3.6726969106596161E-2</v>
      </c>
      <c r="AK104" s="285"/>
      <c r="AL104" s="285"/>
      <c r="AM104" s="285">
        <v>0.2859734062591564</v>
      </c>
      <c r="AN104" s="285"/>
      <c r="AO104" s="285"/>
      <c r="AP104" s="285">
        <v>1.9337344964421774E-2</v>
      </c>
      <c r="AQ104" s="285"/>
      <c r="AR104" s="285"/>
      <c r="AS104" s="32">
        <v>-0.83914421553090335</v>
      </c>
      <c r="AT104" s="32">
        <v>0.9476304295279615</v>
      </c>
      <c r="AU104" s="33">
        <v>24.546349602045801</v>
      </c>
      <c r="AV104" s="34">
        <v>7207.9647999999997</v>
      </c>
      <c r="AW104" s="32">
        <v>2.700922519505506</v>
      </c>
      <c r="AX104" s="283">
        <v>180.4861888696</v>
      </c>
      <c r="AY104" s="283"/>
      <c r="AZ104" s="283"/>
      <c r="BA104" s="283">
        <v>23.376554666400001</v>
      </c>
      <c r="BB104" s="283"/>
      <c r="BC104" s="283"/>
      <c r="BD104" s="283">
        <v>15.1160962202345</v>
      </c>
      <c r="BE104" s="283"/>
      <c r="BF104" s="283"/>
      <c r="BG104" s="283">
        <v>4.3338069459399335</v>
      </c>
      <c r="BH104" s="283"/>
      <c r="BI104" s="283"/>
      <c r="BJ104" s="283">
        <v>4.5890078739242695</v>
      </c>
      <c r="BK104" s="283"/>
      <c r="BL104" s="283"/>
      <c r="BM104" s="283">
        <v>0.26024552926690792</v>
      </c>
      <c r="BN104" s="283"/>
      <c r="BO104" s="283"/>
      <c r="BP104" s="283">
        <v>2.2860237644999999</v>
      </c>
      <c r="BQ104" s="283"/>
      <c r="BR104" s="284"/>
      <c r="BS104" s="35">
        <v>0.75963245536742197</v>
      </c>
      <c r="BT104" s="32">
        <v>0.43971669003095126</v>
      </c>
      <c r="BU104" s="36">
        <v>4.7984203688151483E-2</v>
      </c>
      <c r="BV104" s="37">
        <v>43190</v>
      </c>
      <c r="BW104" s="38" t="s">
        <v>127</v>
      </c>
    </row>
    <row r="105" spans="1:75" ht="11.25" customHeight="1" x14ac:dyDescent="0.2">
      <c r="A105" s="330" t="s">
        <v>128</v>
      </c>
      <c r="B105" s="330"/>
      <c r="C105" s="331">
        <v>49.800000000000004</v>
      </c>
      <c r="D105" s="331"/>
      <c r="E105" s="118">
        <v>1</v>
      </c>
      <c r="F105" s="332">
        <v>5.2693549965700006</v>
      </c>
      <c r="G105" s="332"/>
      <c r="H105" s="332"/>
      <c r="I105" s="318">
        <v>9.127173664807021</v>
      </c>
      <c r="J105" s="318"/>
      <c r="K105" s="318"/>
      <c r="L105" s="319">
        <v>1.63863</v>
      </c>
      <c r="M105" s="333"/>
      <c r="N105" s="334"/>
      <c r="O105" s="319">
        <v>1.5549500000000001</v>
      </c>
      <c r="P105" s="333"/>
      <c r="Q105" s="334"/>
      <c r="R105" s="335">
        <v>4.9223070077314406E-2</v>
      </c>
      <c r="S105" s="336"/>
      <c r="T105" s="337"/>
      <c r="U105" s="318">
        <v>0.41877411304794093</v>
      </c>
      <c r="V105" s="318"/>
      <c r="W105" s="318"/>
      <c r="X105" s="329">
        <v>-24.035650497356727</v>
      </c>
      <c r="Y105" s="329"/>
      <c r="Z105" s="329"/>
      <c r="AA105" s="328">
        <v>0.30538480000000001</v>
      </c>
      <c r="AB105" s="328"/>
      <c r="AC105" s="328"/>
      <c r="AD105" s="328">
        <v>0.1287548</v>
      </c>
      <c r="AE105" s="328"/>
      <c r="AF105" s="328"/>
      <c r="AG105" s="328">
        <v>0.11985779583544946</v>
      </c>
      <c r="AH105" s="328"/>
      <c r="AI105" s="328"/>
      <c r="AJ105" s="328">
        <v>3.8291187829969174E-2</v>
      </c>
      <c r="AK105" s="328"/>
      <c r="AL105" s="328"/>
      <c r="AM105" s="339">
        <v>0.35856439972793203</v>
      </c>
      <c r="AN105" s="339"/>
      <c r="AO105" s="339"/>
      <c r="AP105" s="328">
        <v>4.0154675429893032E-2</v>
      </c>
      <c r="AQ105" s="328"/>
      <c r="AR105" s="328"/>
      <c r="AS105" s="43">
        <v>-0.565180102915952</v>
      </c>
      <c r="AT105" s="43">
        <v>0.85284239186932176</v>
      </c>
      <c r="AU105" s="44">
        <v>3.4217612187614685</v>
      </c>
      <c r="AV105" s="45">
        <v>6600.4322500000007</v>
      </c>
      <c r="AW105" s="46">
        <v>3.9757335196928381</v>
      </c>
      <c r="AX105" s="318">
        <v>163.82194800900001</v>
      </c>
      <c r="AY105" s="318"/>
      <c r="AZ105" s="318"/>
      <c r="BA105" s="318">
        <v>28.441948009000001</v>
      </c>
      <c r="BB105" s="318"/>
      <c r="BC105" s="318"/>
      <c r="BD105" s="318">
        <v>13.0244830663858</v>
      </c>
      <c r="BE105" s="318"/>
      <c r="BF105" s="318"/>
      <c r="BG105" s="318">
        <v>1.6892527177644474</v>
      </c>
      <c r="BH105" s="318"/>
      <c r="BI105" s="318"/>
      <c r="BJ105" s="318">
        <v>2.839941900947617</v>
      </c>
      <c r="BK105" s="318"/>
      <c r="BL105" s="318"/>
      <c r="BM105" s="318">
        <v>0.33592719724331793</v>
      </c>
      <c r="BN105" s="318"/>
      <c r="BO105" s="318"/>
      <c r="BP105" s="318">
        <v>2.8610751443</v>
      </c>
      <c r="BQ105" s="318"/>
      <c r="BR105" s="319"/>
      <c r="BS105" s="47">
        <v>0.69051078049316605</v>
      </c>
      <c r="BT105" s="43">
        <v>0.42226239692011269</v>
      </c>
      <c r="BU105" s="46">
        <v>7.6989095024571297E-2</v>
      </c>
      <c r="BV105" s="48">
        <v>43190</v>
      </c>
      <c r="BW105" s="49" t="s">
        <v>128</v>
      </c>
    </row>
    <row r="106" spans="1:75" ht="11.25" customHeight="1" x14ac:dyDescent="0.2">
      <c r="A106" s="290" t="s">
        <v>129</v>
      </c>
      <c r="B106" s="290"/>
      <c r="C106" s="291">
        <v>11.65</v>
      </c>
      <c r="D106" s="291"/>
      <c r="E106" s="117">
        <v>1</v>
      </c>
      <c r="F106" s="338">
        <v>1.111337916531</v>
      </c>
      <c r="G106" s="338"/>
      <c r="H106" s="338"/>
      <c r="I106" s="283">
        <v>22.268994208861862</v>
      </c>
      <c r="J106" s="283"/>
      <c r="K106" s="283"/>
      <c r="L106" s="284">
        <v>1.0477099999999999</v>
      </c>
      <c r="M106" s="295"/>
      <c r="N106" s="296"/>
      <c r="O106" s="284">
        <v>0.62370000000000003</v>
      </c>
      <c r="P106" s="295"/>
      <c r="Q106" s="296"/>
      <c r="R106" s="297" t="s">
        <v>46</v>
      </c>
      <c r="S106" s="298"/>
      <c r="T106" s="299"/>
      <c r="U106" s="283">
        <v>0.28561997953141544</v>
      </c>
      <c r="V106" s="283"/>
      <c r="W106" s="283"/>
      <c r="X106" s="286">
        <v>48.067916345763557</v>
      </c>
      <c r="Y106" s="286"/>
      <c r="Z106" s="286"/>
      <c r="AA106" s="285">
        <v>9.036580000000001E-2</v>
      </c>
      <c r="AB106" s="285"/>
      <c r="AC106" s="285"/>
      <c r="AD106" s="285" t="s">
        <v>46</v>
      </c>
      <c r="AE106" s="285"/>
      <c r="AF106" s="285"/>
      <c r="AG106" s="285" t="s">
        <v>46</v>
      </c>
      <c r="AH106" s="285"/>
      <c r="AI106" s="285"/>
      <c r="AJ106" s="285">
        <v>-0.56812161229031477</v>
      </c>
      <c r="AK106" s="285"/>
      <c r="AL106" s="285"/>
      <c r="AM106" s="285">
        <v>-0.86675598003075782</v>
      </c>
      <c r="AN106" s="285"/>
      <c r="AO106" s="285"/>
      <c r="AP106" s="285">
        <v>-6.1110563046656075E-2</v>
      </c>
      <c r="AQ106" s="285"/>
      <c r="AR106" s="285"/>
      <c r="AS106" s="32">
        <v>-0.95274553183027177</v>
      </c>
      <c r="AT106" s="32">
        <v>-14.743550903953434</v>
      </c>
      <c r="AU106" s="33">
        <v>33.52398085204932</v>
      </c>
      <c r="AV106" s="34">
        <v>171.15641199999999</v>
      </c>
      <c r="AW106" s="32">
        <v>1.3538169973230607</v>
      </c>
      <c r="AX106" s="283">
        <v>0.69144812300000091</v>
      </c>
      <c r="AY106" s="283"/>
      <c r="AZ106" s="283"/>
      <c r="BA106" s="283">
        <v>0.84192392299999996</v>
      </c>
      <c r="BB106" s="283"/>
      <c r="BC106" s="283"/>
      <c r="BD106" s="283" t="s">
        <v>46</v>
      </c>
      <c r="BE106" s="283"/>
      <c r="BF106" s="283"/>
      <c r="BG106" s="283" t="s">
        <v>46</v>
      </c>
      <c r="BH106" s="283"/>
      <c r="BI106" s="283"/>
      <c r="BJ106" s="283" t="s">
        <v>46</v>
      </c>
      <c r="BK106" s="283"/>
      <c r="BL106" s="283"/>
      <c r="BM106" s="283">
        <v>0.57690879779898585</v>
      </c>
      <c r="BN106" s="283"/>
      <c r="BO106" s="283"/>
      <c r="BP106" s="283" t="s">
        <v>46</v>
      </c>
      <c r="BQ106" s="283"/>
      <c r="BR106" s="284"/>
      <c r="BS106" s="35">
        <v>0.85835922560022704</v>
      </c>
      <c r="BT106" s="32" t="s">
        <v>46</v>
      </c>
      <c r="BU106" s="36" t="s">
        <v>46</v>
      </c>
      <c r="BV106" s="37">
        <v>43190</v>
      </c>
      <c r="BW106" s="38" t="s">
        <v>129</v>
      </c>
    </row>
    <row r="107" spans="1:75" ht="11.25" customHeight="1" x14ac:dyDescent="0.2">
      <c r="A107" s="330" t="s">
        <v>130</v>
      </c>
      <c r="B107" s="330"/>
      <c r="C107" s="331">
        <v>40.200000000000003</v>
      </c>
      <c r="D107" s="331"/>
      <c r="E107" s="118">
        <v>1</v>
      </c>
      <c r="F107" s="332">
        <v>0</v>
      </c>
      <c r="G107" s="332"/>
      <c r="H107" s="332"/>
      <c r="I107" s="318">
        <v>1.7622427842968966</v>
      </c>
      <c r="J107" s="318"/>
      <c r="K107" s="318"/>
      <c r="L107" s="319">
        <v>2.6274199999999999</v>
      </c>
      <c r="M107" s="333"/>
      <c r="N107" s="334"/>
      <c r="O107" s="319">
        <v>1.3475900000000001</v>
      </c>
      <c r="P107" s="333"/>
      <c r="Q107" s="334"/>
      <c r="R107" s="335">
        <v>2.1265098619854702E-2</v>
      </c>
      <c r="S107" s="336"/>
      <c r="T107" s="337"/>
      <c r="U107" s="318">
        <v>0.21510631061090829</v>
      </c>
      <c r="V107" s="318"/>
      <c r="W107" s="318"/>
      <c r="X107" s="329">
        <v>802.39087967818671</v>
      </c>
      <c r="Y107" s="329"/>
      <c r="Z107" s="329"/>
      <c r="AA107" s="328">
        <v>0.56622399999999995</v>
      </c>
      <c r="AB107" s="328"/>
      <c r="AC107" s="328"/>
      <c r="AD107" s="328">
        <v>0.46149980000000002</v>
      </c>
      <c r="AE107" s="328"/>
      <c r="AF107" s="328"/>
      <c r="AG107" s="328">
        <v>0.5181246026606362</v>
      </c>
      <c r="AH107" s="328"/>
      <c r="AI107" s="328"/>
      <c r="AJ107" s="328">
        <v>-2.0284048186057815</v>
      </c>
      <c r="AK107" s="328"/>
      <c r="AL107" s="328"/>
      <c r="AM107" s="328">
        <v>0.18763134975316267</v>
      </c>
      <c r="AN107" s="328"/>
      <c r="AO107" s="328"/>
      <c r="AP107" s="328">
        <v>8.9161546473949277E-2</v>
      </c>
      <c r="AQ107" s="328"/>
      <c r="AR107" s="328"/>
      <c r="AS107" s="43">
        <v>-0.62879698217054081</v>
      </c>
      <c r="AT107" s="43">
        <v>2.8795123795472328</v>
      </c>
      <c r="AU107" s="44">
        <v>4.0616268668777673</v>
      </c>
      <c r="AV107" s="137">
        <v>1124.165753</v>
      </c>
      <c r="AW107" s="43">
        <v>36.627037753915666</v>
      </c>
      <c r="AX107" s="318">
        <v>17.401297907700002</v>
      </c>
      <c r="AY107" s="318"/>
      <c r="AZ107" s="318"/>
      <c r="BA107" s="318">
        <v>16.929147907699999</v>
      </c>
      <c r="BB107" s="318"/>
      <c r="BC107" s="318"/>
      <c r="BD107" s="318">
        <v>16.147373610014299</v>
      </c>
      <c r="BE107" s="318"/>
      <c r="BF107" s="318"/>
      <c r="BG107" s="318">
        <v>1.596342306935405</v>
      </c>
      <c r="BH107" s="318"/>
      <c r="BI107" s="318"/>
      <c r="BJ107" s="318">
        <v>7.1716303149451779</v>
      </c>
      <c r="BK107" s="318"/>
      <c r="BL107" s="318"/>
      <c r="BM107" s="318">
        <v>5.0175230646368343</v>
      </c>
      <c r="BN107" s="318"/>
      <c r="BO107" s="318"/>
      <c r="BP107" s="318">
        <v>8.0055743485999997</v>
      </c>
      <c r="BQ107" s="318"/>
      <c r="BR107" s="319"/>
      <c r="BS107" s="47">
        <v>0.92952527219701797</v>
      </c>
      <c r="BT107" s="43">
        <v>0.40928438992198507</v>
      </c>
      <c r="BU107" s="46">
        <v>6.8511191660157733E-2</v>
      </c>
      <c r="BV107" s="48">
        <v>43190</v>
      </c>
      <c r="BW107" s="49" t="s">
        <v>130</v>
      </c>
    </row>
    <row r="108" spans="1:75" ht="11.25" customHeight="1" x14ac:dyDescent="0.2">
      <c r="A108" s="320" t="s">
        <v>131</v>
      </c>
      <c r="B108" s="320"/>
      <c r="C108" s="321">
        <v>230.15</v>
      </c>
      <c r="D108" s="321"/>
      <c r="E108" s="138">
        <v>0.1</v>
      </c>
      <c r="F108" s="322">
        <v>0.32503786024999998</v>
      </c>
      <c r="G108" s="322"/>
      <c r="H108" s="322"/>
      <c r="I108" s="306">
        <v>1.7485560050269566</v>
      </c>
      <c r="J108" s="306"/>
      <c r="K108" s="306"/>
      <c r="L108" s="307">
        <v>4.63849</v>
      </c>
      <c r="M108" s="323"/>
      <c r="N108" s="324"/>
      <c r="O108" s="307">
        <v>4.62446</v>
      </c>
      <c r="P108" s="323"/>
      <c r="Q108" s="324"/>
      <c r="R108" s="325">
        <v>2.5076568843111099E-2</v>
      </c>
      <c r="S108" s="326"/>
      <c r="T108" s="327"/>
      <c r="U108" s="306">
        <v>0.14116367433748661</v>
      </c>
      <c r="V108" s="306"/>
      <c r="W108" s="306"/>
      <c r="X108" s="316">
        <v>-84.667554784858709</v>
      </c>
      <c r="Y108" s="316"/>
      <c r="Z108" s="316"/>
      <c r="AA108" s="315">
        <v>0.62096510000000005</v>
      </c>
      <c r="AB108" s="315"/>
      <c r="AC108" s="315"/>
      <c r="AD108" s="315">
        <v>1.1248116000000001</v>
      </c>
      <c r="AE108" s="315"/>
      <c r="AF108" s="315"/>
      <c r="AG108" s="315">
        <v>2.2084744223481532</v>
      </c>
      <c r="AH108" s="315"/>
      <c r="AI108" s="315"/>
      <c r="AJ108" s="315">
        <v>0.22792902181248589</v>
      </c>
      <c r="AK108" s="315"/>
      <c r="AL108" s="315"/>
      <c r="AM108" s="317">
        <v>0.45435496634507494</v>
      </c>
      <c r="AN108" s="317"/>
      <c r="AO108" s="317"/>
      <c r="AP108" s="315">
        <v>0.2494051440179276</v>
      </c>
      <c r="AQ108" s="315"/>
      <c r="AR108" s="315"/>
      <c r="AS108" s="139">
        <v>0.68412083786770594</v>
      </c>
      <c r="AT108" s="139">
        <v>1.7289311879208966</v>
      </c>
      <c r="AU108" s="140">
        <v>2.6736328381884844</v>
      </c>
      <c r="AV108" s="141">
        <v>808.74789999999996</v>
      </c>
      <c r="AW108" s="142">
        <v>0.22964499010224812</v>
      </c>
      <c r="AX108" s="306">
        <v>33.64327025</v>
      </c>
      <c r="AY108" s="306"/>
      <c r="AZ108" s="306"/>
      <c r="BA108" s="306">
        <v>31.503161250000002</v>
      </c>
      <c r="BB108" s="306"/>
      <c r="BC108" s="306"/>
      <c r="BD108" s="306">
        <v>11.4964858652076</v>
      </c>
      <c r="BE108" s="306"/>
      <c r="BF108" s="306"/>
      <c r="BG108" s="306">
        <v>0.95150770446067656</v>
      </c>
      <c r="BH108" s="306"/>
      <c r="BI108" s="306"/>
      <c r="BJ108" s="306">
        <v>2.2759456818838082</v>
      </c>
      <c r="BK108" s="306"/>
      <c r="BL108" s="306"/>
      <c r="BM108" s="306">
        <v>5.4598218664893814</v>
      </c>
      <c r="BN108" s="306"/>
      <c r="BO108" s="306"/>
      <c r="BP108" s="306">
        <v>2.1671206603000002</v>
      </c>
      <c r="BQ108" s="306"/>
      <c r="BR108" s="307"/>
      <c r="BS108" s="143">
        <v>0.27769146022067998</v>
      </c>
      <c r="BT108" s="139">
        <v>0.4086118018483717</v>
      </c>
      <c r="BU108" s="142">
        <v>0.15687464032039733</v>
      </c>
      <c r="BV108" s="144">
        <v>43190</v>
      </c>
      <c r="BW108" s="38" t="s">
        <v>131</v>
      </c>
    </row>
    <row r="109" spans="1:75" ht="11.25" customHeight="1" x14ac:dyDescent="0.2">
      <c r="A109" s="308" t="s">
        <v>57</v>
      </c>
      <c r="B109" s="309"/>
      <c r="C109" s="310"/>
      <c r="D109" s="311"/>
      <c r="E109" s="61"/>
      <c r="F109" s="303">
        <v>3.1128030484483999</v>
      </c>
      <c r="G109" s="304"/>
      <c r="H109" s="305"/>
      <c r="I109" s="303">
        <v>10.045666074023485</v>
      </c>
      <c r="J109" s="304"/>
      <c r="K109" s="305"/>
      <c r="L109" s="303">
        <v>2.2925519999999997</v>
      </c>
      <c r="M109" s="304"/>
      <c r="N109" s="305"/>
      <c r="O109" s="303">
        <v>1.899472</v>
      </c>
      <c r="P109" s="304"/>
      <c r="Q109" s="305"/>
      <c r="R109" s="312">
        <v>2.8115502356636578E-2</v>
      </c>
      <c r="S109" s="313"/>
      <c r="T109" s="314"/>
      <c r="U109" s="303">
        <v>0.29687993399940732</v>
      </c>
      <c r="V109" s="304"/>
      <c r="W109" s="305"/>
      <c r="X109" s="303">
        <v>144.86817966142627</v>
      </c>
      <c r="Y109" s="304"/>
      <c r="Z109" s="305"/>
      <c r="AA109" s="300">
        <v>0.37056520000000004</v>
      </c>
      <c r="AB109" s="301"/>
      <c r="AC109" s="302"/>
      <c r="AD109" s="300">
        <v>0.460610925</v>
      </c>
      <c r="AE109" s="301"/>
      <c r="AF109" s="302"/>
      <c r="AG109" s="300">
        <v>0.72587526838946215</v>
      </c>
      <c r="AH109" s="301"/>
      <c r="AI109" s="302"/>
      <c r="AJ109" s="300">
        <v>-0.45871585042940899</v>
      </c>
      <c r="AK109" s="301"/>
      <c r="AL109" s="302"/>
      <c r="AM109" s="300">
        <v>8.3953628410913653E-2</v>
      </c>
      <c r="AN109" s="301"/>
      <c r="AO109" s="302"/>
      <c r="AP109" s="300">
        <v>6.7389629567907131E-2</v>
      </c>
      <c r="AQ109" s="301"/>
      <c r="AR109" s="302"/>
      <c r="AS109" s="62">
        <v>-0.46034919891599235</v>
      </c>
      <c r="AT109" s="62">
        <v>-1.6669269030176044</v>
      </c>
      <c r="AU109" s="63">
        <v>13.645470275584568</v>
      </c>
      <c r="AV109" s="64">
        <v>3182.4934229999999</v>
      </c>
      <c r="AW109" s="62">
        <v>8.9774311561078655</v>
      </c>
      <c r="AX109" s="287">
        <v>79.208830631859996</v>
      </c>
      <c r="AY109" s="288"/>
      <c r="AZ109" s="289"/>
      <c r="BA109" s="287">
        <v>20.218547151220001</v>
      </c>
      <c r="BB109" s="288"/>
      <c r="BC109" s="289"/>
      <c r="BD109" s="287">
        <v>13.946109690460549</v>
      </c>
      <c r="BE109" s="288"/>
      <c r="BF109" s="289"/>
      <c r="BG109" s="287">
        <v>2.1427274187751157</v>
      </c>
      <c r="BH109" s="288"/>
      <c r="BI109" s="289"/>
      <c r="BJ109" s="287">
        <v>4.2191314429252182</v>
      </c>
      <c r="BK109" s="288"/>
      <c r="BL109" s="289"/>
      <c r="BM109" s="287">
        <v>2.3300852910870855</v>
      </c>
      <c r="BN109" s="288"/>
      <c r="BO109" s="289"/>
      <c r="BP109" s="287">
        <v>3.8299484794250001</v>
      </c>
      <c r="BQ109" s="288"/>
      <c r="BR109" s="289"/>
      <c r="BS109" s="65">
        <v>0.70314383877570263</v>
      </c>
      <c r="BT109" s="62">
        <v>0.41996881968035521</v>
      </c>
      <c r="BU109" s="62">
        <v>8.7589782673319461E-2</v>
      </c>
      <c r="BV109" s="66"/>
      <c r="BW109" s="66"/>
    </row>
    <row r="110" spans="1:75" ht="11.25" customHeight="1" x14ac:dyDescent="0.2">
      <c r="A110" s="67" t="s">
        <v>132</v>
      </c>
      <c r="B110" s="67"/>
      <c r="C110" s="67"/>
      <c r="D110" s="67"/>
      <c r="E110" s="67"/>
      <c r="F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9"/>
      <c r="AX110" s="67"/>
      <c r="AY110" s="67"/>
      <c r="AZ110" s="67"/>
      <c r="BA110" s="67"/>
      <c r="BB110" s="67"/>
      <c r="BC110" s="67"/>
      <c r="BD110" s="67"/>
      <c r="BE110" s="67"/>
      <c r="BF110" s="67"/>
      <c r="BG110" s="67"/>
      <c r="BH110" s="67"/>
      <c r="BI110" s="67"/>
      <c r="BJ110" s="67"/>
      <c r="BK110" s="67"/>
      <c r="BL110" s="67"/>
      <c r="BM110" s="67"/>
      <c r="BN110" s="67"/>
      <c r="BO110" s="67"/>
      <c r="BP110" s="67"/>
      <c r="BQ110" s="67"/>
      <c r="BR110" s="67"/>
      <c r="BS110" s="67"/>
      <c r="BT110" s="67"/>
      <c r="BU110" s="67"/>
      <c r="BV110" s="70"/>
      <c r="BW110" s="71"/>
    </row>
    <row r="111" spans="1:75" ht="11.25" customHeight="1" x14ac:dyDescent="0.2">
      <c r="A111" s="290" t="s">
        <v>133</v>
      </c>
      <c r="B111" s="290"/>
      <c r="C111" s="291">
        <v>5.3100000000000005</v>
      </c>
      <c r="D111" s="291"/>
      <c r="E111" s="116">
        <v>1</v>
      </c>
      <c r="F111" s="292">
        <v>1.0629219400000001E-2</v>
      </c>
      <c r="G111" s="293"/>
      <c r="H111" s="294"/>
      <c r="I111" s="283">
        <v>1.2178794625394742</v>
      </c>
      <c r="J111" s="283"/>
      <c r="K111" s="283"/>
      <c r="L111" s="284">
        <v>3.8037999999999998</v>
      </c>
      <c r="M111" s="295"/>
      <c r="N111" s="296"/>
      <c r="O111" s="284">
        <v>3.72194</v>
      </c>
      <c r="P111" s="295"/>
      <c r="Q111" s="296"/>
      <c r="R111" s="297">
        <v>7.27797833935018E-3</v>
      </c>
      <c r="S111" s="298"/>
      <c r="T111" s="299"/>
      <c r="U111" s="283">
        <v>1.0286736175682945</v>
      </c>
      <c r="V111" s="283"/>
      <c r="W111" s="283"/>
      <c r="X111" s="286">
        <v>72.72958981527546</v>
      </c>
      <c r="Y111" s="286"/>
      <c r="Z111" s="286"/>
      <c r="AA111" s="285">
        <v>0.49990869999999998</v>
      </c>
      <c r="AB111" s="285"/>
      <c r="AC111" s="285"/>
      <c r="AD111" s="285">
        <v>0.2952631</v>
      </c>
      <c r="AE111" s="285"/>
      <c r="AF111" s="285"/>
      <c r="AG111" s="285">
        <v>0.26485118174735078</v>
      </c>
      <c r="AH111" s="285"/>
      <c r="AI111" s="285"/>
      <c r="AJ111" s="285">
        <v>0.15931696453112107</v>
      </c>
      <c r="AK111" s="285"/>
      <c r="AL111" s="285"/>
      <c r="AM111" s="285">
        <v>0.27895674143535371</v>
      </c>
      <c r="AN111" s="285"/>
      <c r="AO111" s="285"/>
      <c r="AP111" s="285">
        <v>0.2179573353823146</v>
      </c>
      <c r="AQ111" s="285"/>
      <c r="AR111" s="285"/>
      <c r="AS111" s="32">
        <v>0.78050344724921228</v>
      </c>
      <c r="AT111" s="32">
        <v>0.56172221322744265</v>
      </c>
      <c r="AU111" s="33">
        <v>0.95485872626968105</v>
      </c>
      <c r="AV111" s="145">
        <v>205.28383050000002</v>
      </c>
      <c r="AW111" s="32">
        <v>0.33531907046816506</v>
      </c>
      <c r="AX111" s="283">
        <v>6.4755123500000096</v>
      </c>
      <c r="AY111" s="283"/>
      <c r="AZ111" s="283"/>
      <c r="BA111" s="283">
        <v>6.9249999999999998</v>
      </c>
      <c r="BB111" s="283"/>
      <c r="BC111" s="283"/>
      <c r="BD111" s="283">
        <v>8.8027815159640195</v>
      </c>
      <c r="BE111" s="283"/>
      <c r="BF111" s="283"/>
      <c r="BG111" s="283">
        <v>3.3239175349355254</v>
      </c>
      <c r="BH111" s="283"/>
      <c r="BI111" s="283"/>
      <c r="BJ111" s="283">
        <v>12.889600932129335</v>
      </c>
      <c r="BK111" s="283"/>
      <c r="BL111" s="283"/>
      <c r="BM111" s="283">
        <v>3.5617045852165878</v>
      </c>
      <c r="BN111" s="283"/>
      <c r="BO111" s="283"/>
      <c r="BP111" s="283">
        <v>11.469083235399999</v>
      </c>
      <c r="BQ111" s="283"/>
      <c r="BR111" s="284"/>
      <c r="BS111" s="35">
        <v>1.0240007552464701</v>
      </c>
      <c r="BT111" s="32">
        <v>0.44871486236172081</v>
      </c>
      <c r="BU111" s="36">
        <v>0.13597456750256587</v>
      </c>
      <c r="BV111" s="37">
        <v>43220</v>
      </c>
      <c r="BW111" s="38" t="s">
        <v>133</v>
      </c>
    </row>
    <row r="112" spans="1:75" ht="11.25" customHeight="1" x14ac:dyDescent="0.2">
      <c r="A112" s="146"/>
      <c r="B112" s="146"/>
      <c r="C112" s="146"/>
      <c r="D112" s="146"/>
      <c r="E112" s="146"/>
      <c r="F112" s="147"/>
      <c r="G112" s="147"/>
      <c r="H112" s="147"/>
      <c r="I112" s="282"/>
      <c r="J112" s="282"/>
      <c r="K112" s="282"/>
      <c r="L112" s="282"/>
      <c r="M112" s="282"/>
      <c r="N112" s="282"/>
      <c r="O112" s="282"/>
      <c r="P112" s="282"/>
      <c r="Q112" s="282"/>
      <c r="R112" s="282"/>
      <c r="S112" s="282"/>
      <c r="T112" s="282"/>
      <c r="U112" s="282"/>
      <c r="V112" s="282"/>
      <c r="W112" s="282"/>
      <c r="X112" s="282"/>
      <c r="Y112" s="282"/>
      <c r="Z112" s="282"/>
      <c r="AA112" s="282"/>
      <c r="AB112" s="282"/>
      <c r="AC112" s="282"/>
      <c r="AD112" s="282"/>
      <c r="AE112" s="282"/>
      <c r="AF112" s="282"/>
      <c r="AG112" s="282"/>
      <c r="AH112" s="282"/>
      <c r="AI112" s="282"/>
      <c r="AJ112" s="282"/>
      <c r="AK112" s="282"/>
      <c r="AL112" s="282"/>
      <c r="AM112" s="282"/>
      <c r="AN112" s="282"/>
      <c r="AO112" s="282"/>
      <c r="AP112" s="282"/>
      <c r="AQ112" s="282"/>
      <c r="AR112" s="282"/>
      <c r="AS112" s="148"/>
      <c r="AT112" s="148"/>
      <c r="AU112" s="149"/>
      <c r="AV112" s="149"/>
      <c r="AW112" s="149"/>
      <c r="AX112" s="282"/>
      <c r="AY112" s="282"/>
      <c r="AZ112" s="282"/>
      <c r="BA112" s="282"/>
      <c r="BB112" s="282"/>
      <c r="BC112" s="282"/>
      <c r="BD112" s="282"/>
      <c r="BE112" s="282"/>
      <c r="BF112" s="282"/>
      <c r="BG112" s="282"/>
      <c r="BH112" s="282"/>
      <c r="BI112" s="282"/>
      <c r="BJ112" s="282"/>
      <c r="BK112" s="282"/>
      <c r="BL112" s="282"/>
      <c r="BM112" s="282"/>
      <c r="BN112" s="282"/>
      <c r="BO112" s="282"/>
      <c r="BP112" s="282"/>
      <c r="BQ112" s="282"/>
      <c r="BR112" s="282"/>
      <c r="BS112" s="148"/>
      <c r="BT112" s="148"/>
      <c r="BU112" s="148"/>
      <c r="BV112" s="148"/>
      <c r="BW112" s="148"/>
    </row>
    <row r="113" spans="1:75" s="153" customFormat="1" ht="14.25" customHeight="1" x14ac:dyDescent="0.25">
      <c r="A113" s="150" t="s">
        <v>134</v>
      </c>
      <c r="B113" s="151"/>
      <c r="C113" s="151"/>
      <c r="D113" s="151"/>
      <c r="E113" s="151"/>
      <c r="F113" s="152"/>
      <c r="G113" s="152"/>
      <c r="H113" s="152"/>
      <c r="I113" s="152"/>
      <c r="J113" s="152"/>
      <c r="K113" s="152"/>
      <c r="L113" s="152"/>
      <c r="M113" s="152"/>
      <c r="N113" s="152"/>
      <c r="O113" s="152"/>
      <c r="P113" s="152"/>
      <c r="Q113" s="152"/>
      <c r="R113" s="152"/>
      <c r="S113" s="152"/>
      <c r="T113" s="152"/>
      <c r="U113" s="282"/>
      <c r="V113" s="282"/>
      <c r="W113" s="282"/>
      <c r="X113" s="282"/>
      <c r="Y113" s="282"/>
      <c r="Z113" s="282"/>
      <c r="AA113" s="282"/>
      <c r="AB113" s="282"/>
      <c r="AC113" s="282"/>
      <c r="AD113" s="282"/>
      <c r="AE113" s="282"/>
      <c r="AF113" s="282"/>
      <c r="AG113" s="282"/>
      <c r="AH113" s="282"/>
      <c r="AI113" s="282"/>
      <c r="AJ113" s="282"/>
      <c r="AK113" s="282"/>
      <c r="AL113" s="282"/>
      <c r="AM113" s="282"/>
      <c r="AN113" s="282"/>
      <c r="AO113" s="282"/>
      <c r="AP113" s="282"/>
      <c r="AQ113" s="282"/>
      <c r="AR113" s="282"/>
      <c r="AS113" s="148"/>
      <c r="AT113" s="148"/>
      <c r="AU113" s="149"/>
      <c r="AV113" s="149"/>
      <c r="AW113" s="149"/>
      <c r="AX113" s="282"/>
      <c r="AY113" s="282"/>
      <c r="AZ113" s="282"/>
      <c r="BA113" s="282"/>
      <c r="BB113" s="282"/>
      <c r="BC113" s="282"/>
      <c r="BD113" s="282"/>
      <c r="BE113" s="282"/>
      <c r="BF113" s="282"/>
      <c r="BG113" s="282"/>
      <c r="BH113" s="282"/>
      <c r="BI113" s="282"/>
      <c r="BJ113" s="282"/>
      <c r="BK113" s="282"/>
      <c r="BL113" s="282"/>
      <c r="BM113" s="282"/>
      <c r="BN113" s="282"/>
      <c r="BO113" s="282"/>
      <c r="BP113" s="282"/>
      <c r="BQ113" s="282"/>
      <c r="BR113" s="282"/>
      <c r="BS113" s="148"/>
      <c r="BT113" s="148"/>
      <c r="BU113" s="148"/>
      <c r="BV113" s="148"/>
      <c r="BW113" s="148"/>
    </row>
    <row r="114" spans="1:75" ht="11.25" customHeight="1" x14ac:dyDescent="0.2">
      <c r="F114" s="281"/>
      <c r="G114" s="281"/>
      <c r="H114" s="281"/>
      <c r="I114" s="281"/>
      <c r="J114" s="281"/>
      <c r="K114" s="281"/>
      <c r="L114" s="281"/>
      <c r="M114" s="281"/>
      <c r="N114" s="281"/>
      <c r="O114" s="281"/>
      <c r="P114" s="281"/>
      <c r="Q114" s="281"/>
      <c r="R114" s="281"/>
      <c r="S114" s="281"/>
      <c r="T114" s="281"/>
      <c r="U114" s="281"/>
      <c r="V114" s="281"/>
      <c r="W114" s="281"/>
      <c r="X114" s="281"/>
      <c r="Y114" s="281"/>
      <c r="Z114" s="281"/>
      <c r="AA114" s="281"/>
      <c r="AB114" s="281"/>
      <c r="AC114" s="281"/>
      <c r="AD114" s="281"/>
      <c r="AE114" s="281"/>
      <c r="AF114" s="281"/>
      <c r="AG114" s="281"/>
      <c r="AH114" s="281"/>
      <c r="AI114" s="281"/>
      <c r="AJ114" s="281"/>
      <c r="AK114" s="281"/>
      <c r="AL114" s="281"/>
      <c r="AM114" s="281"/>
      <c r="AN114" s="281"/>
      <c r="AO114" s="281"/>
      <c r="AP114" s="281"/>
      <c r="AQ114" s="281"/>
      <c r="AR114" s="281"/>
      <c r="AS114" s="155"/>
      <c r="AT114" s="155"/>
      <c r="AU114" s="156"/>
      <c r="AV114" s="156"/>
      <c r="AW114" s="156"/>
      <c r="AX114" s="281"/>
      <c r="AY114" s="281"/>
      <c r="AZ114" s="281"/>
      <c r="BA114" s="281"/>
      <c r="BB114" s="281"/>
      <c r="BC114" s="281"/>
      <c r="BD114" s="281"/>
      <c r="BE114" s="281"/>
      <c r="BF114" s="281"/>
      <c r="BG114" s="281"/>
      <c r="BH114" s="281"/>
      <c r="BI114" s="281"/>
      <c r="BJ114" s="281"/>
      <c r="BK114" s="281"/>
      <c r="BL114" s="281"/>
      <c r="BM114" s="281"/>
      <c r="BN114" s="281"/>
      <c r="BO114" s="281"/>
      <c r="BP114" s="281"/>
      <c r="BQ114" s="281"/>
      <c r="BR114" s="281"/>
      <c r="BS114" s="155"/>
      <c r="BT114" s="155"/>
      <c r="BU114" s="155"/>
      <c r="BV114" s="155"/>
      <c r="BW114" s="155"/>
    </row>
    <row r="115" spans="1:75" ht="11.25" customHeight="1" x14ac:dyDescent="0.2">
      <c r="F115" s="281"/>
      <c r="G115" s="281"/>
      <c r="H115" s="281"/>
      <c r="I115" s="281"/>
      <c r="J115" s="281"/>
      <c r="K115" s="281"/>
      <c r="L115" s="281"/>
      <c r="M115" s="281"/>
      <c r="N115" s="281"/>
      <c r="O115" s="281"/>
      <c r="P115" s="281"/>
      <c r="Q115" s="281"/>
      <c r="R115" s="281"/>
      <c r="S115" s="281"/>
      <c r="T115" s="281"/>
      <c r="U115" s="281"/>
      <c r="V115" s="281"/>
      <c r="W115" s="281"/>
      <c r="X115" s="281"/>
      <c r="Y115" s="281"/>
      <c r="Z115" s="281"/>
      <c r="AA115" s="281"/>
      <c r="AB115" s="281"/>
      <c r="AC115" s="281"/>
      <c r="AD115" s="281"/>
      <c r="AE115" s="281"/>
      <c r="AF115" s="281"/>
      <c r="AG115" s="281"/>
      <c r="AH115" s="281"/>
      <c r="AI115" s="281"/>
      <c r="AJ115" s="281"/>
      <c r="AK115" s="281"/>
      <c r="AL115" s="281"/>
      <c r="AM115" s="281"/>
      <c r="AN115" s="281"/>
      <c r="AO115" s="281"/>
      <c r="AP115" s="281"/>
      <c r="AQ115" s="281"/>
      <c r="AR115" s="281"/>
      <c r="AS115" s="155"/>
      <c r="AT115" s="155"/>
      <c r="AU115" s="156"/>
      <c r="AV115" s="156"/>
      <c r="AW115" s="156"/>
      <c r="AX115" s="281"/>
      <c r="AY115" s="281"/>
      <c r="AZ115" s="281"/>
      <c r="BA115" s="281"/>
      <c r="BB115" s="281"/>
      <c r="BC115" s="281"/>
      <c r="BD115" s="281"/>
      <c r="BE115" s="281"/>
      <c r="BF115" s="281"/>
      <c r="BG115" s="281"/>
      <c r="BH115" s="281"/>
      <c r="BI115" s="281"/>
      <c r="BJ115" s="281"/>
      <c r="BK115" s="281"/>
      <c r="BL115" s="281"/>
      <c r="BM115" s="281"/>
      <c r="BN115" s="281"/>
      <c r="BO115" s="281"/>
      <c r="BP115" s="281"/>
      <c r="BQ115" s="281"/>
      <c r="BR115" s="281"/>
      <c r="BS115" s="155"/>
      <c r="BT115" s="155"/>
      <c r="BU115" s="155"/>
      <c r="BV115" s="155"/>
      <c r="BW115" s="155"/>
    </row>
    <row r="116" spans="1:75" ht="11.25" customHeight="1" x14ac:dyDescent="0.2">
      <c r="F116" s="281"/>
      <c r="G116" s="281"/>
      <c r="H116" s="281"/>
      <c r="I116" s="281"/>
      <c r="J116" s="281"/>
      <c r="K116" s="281"/>
      <c r="L116" s="281"/>
      <c r="M116" s="281"/>
      <c r="N116" s="281"/>
      <c r="O116" s="281"/>
      <c r="P116" s="281"/>
      <c r="Q116" s="281"/>
      <c r="R116" s="281"/>
      <c r="S116" s="281"/>
      <c r="T116" s="281"/>
      <c r="U116" s="281"/>
      <c r="V116" s="281"/>
      <c r="W116" s="281"/>
      <c r="X116" s="281"/>
      <c r="Y116" s="281"/>
      <c r="Z116" s="281"/>
      <c r="AA116" s="281"/>
      <c r="AB116" s="281"/>
      <c r="AC116" s="281"/>
      <c r="AD116" s="281"/>
      <c r="AE116" s="281"/>
      <c r="AF116" s="281"/>
      <c r="AG116" s="281"/>
      <c r="AH116" s="281"/>
      <c r="AI116" s="281"/>
      <c r="AJ116" s="281"/>
      <c r="AK116" s="281"/>
      <c r="AL116" s="281"/>
      <c r="AM116" s="281"/>
      <c r="AN116" s="281"/>
      <c r="AO116" s="281"/>
      <c r="AP116" s="281"/>
      <c r="AQ116" s="281"/>
      <c r="AR116" s="281"/>
      <c r="AS116" s="155"/>
      <c r="AT116" s="155"/>
      <c r="AU116" s="156"/>
      <c r="AV116" s="156"/>
      <c r="AW116" s="156"/>
      <c r="AX116" s="281"/>
      <c r="AY116" s="281"/>
      <c r="AZ116" s="281"/>
      <c r="BA116" s="281"/>
      <c r="BB116" s="281"/>
      <c r="BC116" s="281"/>
      <c r="BD116" s="281"/>
      <c r="BE116" s="281"/>
      <c r="BF116" s="281"/>
      <c r="BG116" s="281"/>
      <c r="BH116" s="281"/>
      <c r="BI116" s="281"/>
      <c r="BJ116" s="281"/>
      <c r="BK116" s="281"/>
      <c r="BL116" s="281"/>
      <c r="BM116" s="281"/>
      <c r="BN116" s="281"/>
      <c r="BO116" s="281"/>
      <c r="BP116" s="281"/>
      <c r="BQ116" s="281"/>
      <c r="BR116" s="281"/>
      <c r="BS116" s="155"/>
      <c r="BT116" s="155"/>
      <c r="BU116" s="155"/>
      <c r="BV116" s="155"/>
      <c r="BW116" s="155"/>
    </row>
    <row r="117" spans="1:75" ht="11.25" customHeight="1" x14ac:dyDescent="0.2">
      <c r="F117" s="281"/>
      <c r="G117" s="281"/>
      <c r="H117" s="281"/>
      <c r="I117" s="281"/>
      <c r="J117" s="281"/>
      <c r="K117" s="281"/>
      <c r="L117" s="281"/>
      <c r="M117" s="281"/>
      <c r="N117" s="281"/>
      <c r="O117" s="281"/>
      <c r="P117" s="281"/>
      <c r="Q117" s="281"/>
      <c r="R117" s="281"/>
      <c r="S117" s="281"/>
      <c r="T117" s="281"/>
      <c r="U117" s="281"/>
      <c r="V117" s="281"/>
      <c r="W117" s="281"/>
      <c r="X117" s="281"/>
      <c r="Y117" s="281"/>
      <c r="Z117" s="281"/>
      <c r="AA117" s="281"/>
      <c r="AB117" s="281"/>
      <c r="AC117" s="281"/>
      <c r="AD117" s="281"/>
      <c r="AE117" s="281"/>
      <c r="AF117" s="281"/>
      <c r="AG117" s="281"/>
      <c r="AH117" s="281"/>
      <c r="AI117" s="281"/>
      <c r="AJ117" s="281"/>
      <c r="AK117" s="281"/>
      <c r="AL117" s="281"/>
      <c r="AM117" s="281"/>
      <c r="AN117" s="281"/>
      <c r="AO117" s="281"/>
      <c r="AP117" s="281"/>
      <c r="AQ117" s="281"/>
      <c r="AR117" s="281"/>
      <c r="AS117" s="155"/>
      <c r="AT117" s="155"/>
      <c r="AU117" s="156"/>
      <c r="AV117" s="156"/>
      <c r="AW117" s="156"/>
      <c r="AX117" s="281"/>
      <c r="AY117" s="281"/>
      <c r="AZ117" s="281"/>
      <c r="BA117" s="281"/>
      <c r="BB117" s="281"/>
      <c r="BC117" s="281"/>
      <c r="BD117" s="281"/>
      <c r="BE117" s="281"/>
      <c r="BF117" s="281"/>
      <c r="BG117" s="281"/>
      <c r="BH117" s="281"/>
      <c r="BI117" s="281"/>
      <c r="BJ117" s="281"/>
      <c r="BK117" s="281"/>
      <c r="BL117" s="281"/>
      <c r="BM117" s="281"/>
      <c r="BN117" s="281"/>
      <c r="BO117" s="281"/>
      <c r="BP117" s="281"/>
      <c r="BQ117" s="281"/>
      <c r="BR117" s="281"/>
      <c r="BS117" s="155"/>
      <c r="BT117" s="155"/>
      <c r="BU117" s="155"/>
      <c r="BV117" s="155"/>
      <c r="BW117" s="155"/>
    </row>
    <row r="118" spans="1:75" ht="11.25" customHeight="1" x14ac:dyDescent="0.2">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155"/>
      <c r="AT118" s="155"/>
      <c r="AU118" s="156"/>
      <c r="AV118" s="156"/>
      <c r="AW118" s="156"/>
      <c r="AX118" s="281"/>
      <c r="AY118" s="281"/>
      <c r="AZ118" s="281"/>
      <c r="BA118" s="281"/>
      <c r="BB118" s="281"/>
      <c r="BC118" s="281"/>
      <c r="BD118" s="281"/>
      <c r="BE118" s="281"/>
      <c r="BF118" s="281"/>
      <c r="BG118" s="281"/>
      <c r="BH118" s="281"/>
      <c r="BI118" s="281"/>
      <c r="BJ118" s="281"/>
      <c r="BK118" s="281"/>
      <c r="BL118" s="281"/>
      <c r="BM118" s="281"/>
      <c r="BN118" s="281"/>
      <c r="BO118" s="281"/>
      <c r="BP118" s="281"/>
      <c r="BQ118" s="281"/>
      <c r="BR118" s="281"/>
      <c r="BS118" s="155"/>
      <c r="BT118" s="155"/>
      <c r="BU118" s="155"/>
      <c r="BV118" s="155"/>
      <c r="BW118" s="155"/>
    </row>
    <row r="119" spans="1:75" ht="11.25" customHeight="1" x14ac:dyDescent="0.2">
      <c r="F119" s="281"/>
      <c r="G119" s="281"/>
      <c r="H119" s="281"/>
      <c r="I119" s="281"/>
      <c r="J119" s="281"/>
      <c r="K119" s="281"/>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155"/>
      <c r="AT119" s="155"/>
      <c r="AU119" s="156"/>
      <c r="AV119" s="156"/>
      <c r="AW119" s="156"/>
      <c r="AX119" s="281"/>
      <c r="AY119" s="281"/>
      <c r="AZ119" s="281"/>
      <c r="BA119" s="281"/>
      <c r="BB119" s="281"/>
      <c r="BC119" s="281"/>
      <c r="BD119" s="281"/>
      <c r="BE119" s="281"/>
      <c r="BF119" s="281"/>
      <c r="BG119" s="281"/>
      <c r="BH119" s="281"/>
      <c r="BI119" s="281"/>
      <c r="BJ119" s="281"/>
      <c r="BK119" s="281"/>
      <c r="BL119" s="281"/>
      <c r="BM119" s="281"/>
      <c r="BN119" s="281"/>
      <c r="BO119" s="281"/>
      <c r="BP119" s="281"/>
      <c r="BQ119" s="281"/>
      <c r="BR119" s="281"/>
      <c r="BS119" s="155"/>
      <c r="BT119" s="155"/>
      <c r="BU119" s="155"/>
      <c r="BV119" s="155"/>
      <c r="BW119" s="155"/>
    </row>
    <row r="120" spans="1:75" ht="11.25" customHeight="1" x14ac:dyDescent="0.2">
      <c r="F120" s="281"/>
      <c r="G120" s="281"/>
      <c r="H120" s="281"/>
      <c r="I120" s="281"/>
      <c r="J120" s="281"/>
      <c r="K120" s="281"/>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155"/>
      <c r="AT120" s="155"/>
      <c r="AU120" s="156"/>
      <c r="AV120" s="156"/>
      <c r="AW120" s="156"/>
      <c r="AX120" s="281"/>
      <c r="AY120" s="281"/>
      <c r="AZ120" s="281"/>
      <c r="BA120" s="281"/>
      <c r="BB120" s="281"/>
      <c r="BC120" s="281"/>
      <c r="BD120" s="281"/>
      <c r="BE120" s="281"/>
      <c r="BF120" s="281"/>
      <c r="BG120" s="281"/>
      <c r="BH120" s="281"/>
      <c r="BI120" s="281"/>
      <c r="BJ120" s="281"/>
      <c r="BK120" s="281"/>
      <c r="BL120" s="281"/>
      <c r="BM120" s="281"/>
      <c r="BN120" s="281"/>
      <c r="BO120" s="281"/>
      <c r="BP120" s="281"/>
      <c r="BQ120" s="281"/>
      <c r="BR120" s="281"/>
      <c r="BS120" s="155"/>
      <c r="BT120" s="155"/>
      <c r="BU120" s="155"/>
      <c r="BV120" s="155"/>
      <c r="BW120" s="155"/>
    </row>
    <row r="121" spans="1:75" ht="11.25" customHeight="1" x14ac:dyDescent="0.2">
      <c r="F121" s="281"/>
      <c r="G121" s="281"/>
      <c r="H121" s="281"/>
      <c r="I121" s="281"/>
      <c r="J121" s="281"/>
      <c r="K121" s="281"/>
      <c r="L121" s="281"/>
      <c r="M121" s="281"/>
      <c r="N121" s="281"/>
      <c r="O121" s="281"/>
      <c r="P121" s="281"/>
      <c r="Q121" s="281"/>
      <c r="R121" s="281"/>
      <c r="S121" s="281"/>
      <c r="T121" s="281"/>
      <c r="U121" s="281"/>
      <c r="V121" s="281"/>
      <c r="W121" s="281"/>
      <c r="X121" s="281"/>
      <c r="Y121" s="281"/>
      <c r="Z121" s="281"/>
      <c r="AA121" s="281"/>
      <c r="AB121" s="281"/>
      <c r="AC121" s="281"/>
      <c r="AD121" s="281"/>
      <c r="AE121" s="281"/>
      <c r="AF121" s="281"/>
      <c r="AG121" s="281"/>
      <c r="AH121" s="281"/>
      <c r="AI121" s="281"/>
      <c r="AJ121" s="281"/>
      <c r="AK121" s="281"/>
      <c r="AL121" s="281"/>
      <c r="AM121" s="281"/>
      <c r="AN121" s="281"/>
      <c r="AO121" s="281"/>
      <c r="AP121" s="281"/>
      <c r="AQ121" s="281"/>
      <c r="AR121" s="281"/>
      <c r="AS121" s="155"/>
      <c r="AT121" s="155"/>
      <c r="AU121" s="156"/>
      <c r="AV121" s="156"/>
      <c r="AW121" s="156"/>
      <c r="AX121" s="281"/>
      <c r="AY121" s="281"/>
      <c r="AZ121" s="281"/>
      <c r="BA121" s="281"/>
      <c r="BB121" s="281"/>
      <c r="BC121" s="281"/>
      <c r="BD121" s="281"/>
      <c r="BE121" s="281"/>
      <c r="BF121" s="281"/>
      <c r="BG121" s="281"/>
      <c r="BH121" s="281"/>
      <c r="BI121" s="281"/>
      <c r="BJ121" s="281"/>
      <c r="BK121" s="281"/>
      <c r="BL121" s="281"/>
      <c r="BM121" s="281"/>
      <c r="BN121" s="281"/>
      <c r="BO121" s="281"/>
      <c r="BP121" s="281"/>
      <c r="BQ121" s="281"/>
      <c r="BR121" s="281"/>
      <c r="BS121" s="155"/>
      <c r="BT121" s="155"/>
      <c r="BU121" s="155"/>
      <c r="BV121" s="155"/>
      <c r="BW121" s="155"/>
    </row>
    <row r="122" spans="1:75" ht="11.25" customHeight="1" x14ac:dyDescent="0.2">
      <c r="F122" s="281"/>
      <c r="G122" s="281"/>
      <c r="H122" s="281"/>
      <c r="I122" s="281"/>
      <c r="J122" s="281"/>
      <c r="K122" s="281"/>
      <c r="L122" s="281"/>
      <c r="M122" s="281"/>
      <c r="N122" s="281"/>
      <c r="O122" s="281"/>
      <c r="P122" s="281"/>
      <c r="Q122" s="281"/>
      <c r="R122" s="281"/>
      <c r="S122" s="281"/>
      <c r="T122" s="281"/>
      <c r="U122" s="281"/>
      <c r="V122" s="281"/>
      <c r="W122" s="281"/>
      <c r="X122" s="281"/>
      <c r="Y122" s="281"/>
      <c r="Z122" s="281"/>
      <c r="AA122" s="281"/>
      <c r="AB122" s="281"/>
      <c r="AC122" s="281"/>
      <c r="AD122" s="281"/>
      <c r="AE122" s="281"/>
      <c r="AF122" s="281"/>
      <c r="AG122" s="281"/>
      <c r="AH122" s="281"/>
      <c r="AI122" s="281"/>
      <c r="AJ122" s="281"/>
      <c r="AK122" s="281"/>
      <c r="AL122" s="281"/>
      <c r="AM122" s="281"/>
      <c r="AN122" s="281"/>
      <c r="AO122" s="281"/>
      <c r="AP122" s="281"/>
      <c r="AQ122" s="281"/>
      <c r="AR122" s="281"/>
      <c r="AS122" s="155"/>
      <c r="AT122" s="155"/>
      <c r="AU122" s="156"/>
      <c r="AV122" s="156"/>
      <c r="AW122" s="156"/>
      <c r="AX122" s="281"/>
      <c r="AY122" s="281"/>
      <c r="AZ122" s="281"/>
      <c r="BA122" s="281"/>
      <c r="BB122" s="281"/>
      <c r="BC122" s="281"/>
      <c r="BD122" s="281"/>
      <c r="BE122" s="281"/>
      <c r="BF122" s="281"/>
      <c r="BG122" s="281"/>
      <c r="BH122" s="281"/>
      <c r="BI122" s="281"/>
      <c r="BJ122" s="281"/>
      <c r="BK122" s="281"/>
      <c r="BL122" s="281"/>
      <c r="BM122" s="281"/>
      <c r="BN122" s="281"/>
      <c r="BO122" s="281"/>
      <c r="BP122" s="281"/>
      <c r="BQ122" s="281"/>
      <c r="BR122" s="281"/>
      <c r="BS122" s="155"/>
      <c r="BT122" s="155"/>
      <c r="BU122" s="155"/>
      <c r="BV122" s="155"/>
      <c r="BW122" s="155"/>
    </row>
    <row r="123" spans="1:75" ht="11.25" customHeight="1" x14ac:dyDescent="0.2">
      <c r="F123" s="281"/>
      <c r="G123" s="281"/>
      <c r="H123" s="281"/>
      <c r="I123" s="281"/>
      <c r="J123" s="281"/>
      <c r="K123" s="281"/>
      <c r="L123" s="281"/>
      <c r="M123" s="281"/>
      <c r="N123" s="281"/>
      <c r="O123" s="281"/>
      <c r="P123" s="281"/>
      <c r="Q123" s="281"/>
      <c r="R123" s="281"/>
      <c r="S123" s="281"/>
      <c r="T123" s="281"/>
      <c r="U123" s="281"/>
      <c r="V123" s="281"/>
      <c r="W123" s="281"/>
      <c r="X123" s="281"/>
      <c r="Y123" s="281"/>
      <c r="Z123" s="281"/>
      <c r="AA123" s="281"/>
      <c r="AB123" s="281"/>
      <c r="AC123" s="281"/>
      <c r="AD123" s="281"/>
      <c r="AE123" s="281"/>
      <c r="AF123" s="281"/>
      <c r="AG123" s="281"/>
      <c r="AH123" s="281"/>
      <c r="AI123" s="281"/>
      <c r="AJ123" s="281"/>
      <c r="AK123" s="281"/>
      <c r="AL123" s="281"/>
      <c r="AM123" s="281"/>
      <c r="AN123" s="281"/>
      <c r="AO123" s="281"/>
      <c r="AP123" s="281"/>
      <c r="AQ123" s="281"/>
      <c r="AR123" s="281"/>
      <c r="AS123" s="155"/>
      <c r="AT123" s="155"/>
      <c r="AU123" s="156"/>
      <c r="AV123" s="156"/>
      <c r="AW123" s="156"/>
      <c r="AX123" s="281"/>
      <c r="AY123" s="281"/>
      <c r="AZ123" s="281"/>
      <c r="BA123" s="281"/>
      <c r="BB123" s="281"/>
      <c r="BC123" s="281"/>
      <c r="BD123" s="281"/>
      <c r="BE123" s="281"/>
      <c r="BF123" s="281"/>
      <c r="BG123" s="281"/>
      <c r="BH123" s="281"/>
      <c r="BI123" s="281"/>
      <c r="BJ123" s="281"/>
      <c r="BK123" s="281"/>
      <c r="BL123" s="281"/>
      <c r="BM123" s="281"/>
      <c r="BN123" s="281"/>
      <c r="BO123" s="281"/>
      <c r="BP123" s="281"/>
      <c r="BQ123" s="281"/>
      <c r="BR123" s="281"/>
      <c r="BS123" s="155"/>
      <c r="BT123" s="155"/>
      <c r="BU123" s="155"/>
      <c r="BV123" s="155"/>
      <c r="BW123" s="155"/>
    </row>
    <row r="124" spans="1:75" ht="11.25" customHeight="1" x14ac:dyDescent="0.2">
      <c r="F124" s="281"/>
      <c r="G124" s="281"/>
      <c r="H124" s="281"/>
      <c r="I124" s="281"/>
      <c r="J124" s="281"/>
      <c r="K124" s="281"/>
      <c r="L124" s="281"/>
      <c r="M124" s="281"/>
      <c r="N124" s="281"/>
      <c r="O124" s="281"/>
      <c r="P124" s="281"/>
      <c r="Q124" s="281"/>
      <c r="R124" s="281"/>
      <c r="S124" s="281"/>
      <c r="T124" s="281"/>
      <c r="U124" s="281"/>
      <c r="V124" s="281"/>
      <c r="W124" s="281"/>
      <c r="X124" s="281"/>
      <c r="Y124" s="281"/>
      <c r="Z124" s="281"/>
      <c r="AA124" s="281"/>
      <c r="AB124" s="281"/>
      <c r="AC124" s="281"/>
      <c r="AD124" s="281"/>
      <c r="AE124" s="281"/>
      <c r="AF124" s="281"/>
      <c r="AG124" s="281"/>
      <c r="AH124" s="281"/>
      <c r="AI124" s="281"/>
      <c r="AJ124" s="281"/>
      <c r="AK124" s="281"/>
      <c r="AL124" s="281"/>
      <c r="AM124" s="281"/>
      <c r="AN124" s="281"/>
      <c r="AO124" s="281"/>
      <c r="AP124" s="281"/>
      <c r="AQ124" s="281"/>
      <c r="AR124" s="281"/>
      <c r="AS124" s="155"/>
      <c r="AT124" s="155"/>
      <c r="AU124" s="156"/>
      <c r="AV124" s="156"/>
      <c r="AW124" s="156"/>
      <c r="AX124" s="281"/>
      <c r="AY124" s="281"/>
      <c r="AZ124" s="281"/>
      <c r="BA124" s="281"/>
      <c r="BB124" s="281"/>
      <c r="BC124" s="281"/>
      <c r="BD124" s="281"/>
      <c r="BE124" s="281"/>
      <c r="BF124" s="281"/>
      <c r="BG124" s="281"/>
      <c r="BH124" s="281"/>
      <c r="BI124" s="281"/>
      <c r="BJ124" s="281"/>
      <c r="BK124" s="281"/>
      <c r="BL124" s="281"/>
      <c r="BM124" s="281"/>
      <c r="BN124" s="281"/>
      <c r="BO124" s="281"/>
      <c r="BP124" s="281"/>
      <c r="BQ124" s="281"/>
      <c r="BR124" s="281"/>
      <c r="BS124" s="155"/>
      <c r="BT124" s="155"/>
      <c r="BU124" s="155"/>
      <c r="BV124" s="155"/>
      <c r="BW124" s="155"/>
    </row>
    <row r="125" spans="1:75" ht="11.25" customHeight="1" x14ac:dyDescent="0.2">
      <c r="F125" s="281"/>
      <c r="G125" s="281"/>
      <c r="H125" s="281"/>
      <c r="I125" s="281"/>
      <c r="J125" s="281"/>
      <c r="K125" s="281"/>
      <c r="L125" s="281"/>
      <c r="M125" s="281"/>
      <c r="N125" s="281"/>
      <c r="O125" s="281"/>
      <c r="P125" s="281"/>
      <c r="Q125" s="281"/>
      <c r="R125" s="281"/>
      <c r="S125" s="281"/>
      <c r="T125" s="281"/>
      <c r="U125" s="281"/>
      <c r="V125" s="281"/>
      <c r="W125" s="281"/>
      <c r="X125" s="281"/>
      <c r="Y125" s="281"/>
      <c r="Z125" s="281"/>
      <c r="AA125" s="281"/>
      <c r="AB125" s="281"/>
      <c r="AC125" s="281"/>
      <c r="AD125" s="281"/>
      <c r="AE125" s="281"/>
      <c r="AF125" s="281"/>
      <c r="AG125" s="281"/>
      <c r="AH125" s="281"/>
      <c r="AI125" s="281"/>
      <c r="AJ125" s="281"/>
      <c r="AK125" s="281"/>
      <c r="AL125" s="281"/>
      <c r="AM125" s="281"/>
      <c r="AN125" s="281"/>
      <c r="AO125" s="281"/>
      <c r="AP125" s="281"/>
      <c r="AQ125" s="281"/>
      <c r="AR125" s="281"/>
      <c r="AS125" s="155"/>
      <c r="AT125" s="155"/>
      <c r="AU125" s="156"/>
      <c r="AV125" s="156"/>
      <c r="AW125" s="156"/>
      <c r="AX125" s="281"/>
      <c r="AY125" s="281"/>
      <c r="AZ125" s="281"/>
      <c r="BA125" s="281"/>
      <c r="BB125" s="281"/>
      <c r="BC125" s="281"/>
      <c r="BD125" s="281"/>
      <c r="BE125" s="281"/>
      <c r="BF125" s="281"/>
      <c r="BG125" s="281"/>
      <c r="BH125" s="281"/>
      <c r="BI125" s="281"/>
      <c r="BJ125" s="281"/>
      <c r="BK125" s="281"/>
      <c r="BL125" s="281"/>
      <c r="BM125" s="281"/>
      <c r="BN125" s="281"/>
      <c r="BO125" s="281"/>
      <c r="BP125" s="281"/>
      <c r="BQ125" s="281"/>
      <c r="BR125" s="281"/>
      <c r="BS125" s="155"/>
      <c r="BT125" s="155"/>
      <c r="BU125" s="155"/>
      <c r="BV125" s="155"/>
      <c r="BW125" s="155"/>
    </row>
    <row r="126" spans="1:75" ht="11.25" customHeight="1" x14ac:dyDescent="0.2">
      <c r="F126" s="281"/>
      <c r="G126" s="281"/>
      <c r="H126" s="281"/>
      <c r="I126" s="281"/>
      <c r="J126" s="281"/>
      <c r="K126" s="281"/>
      <c r="L126" s="281"/>
      <c r="M126" s="281"/>
      <c r="N126" s="281"/>
      <c r="O126" s="281"/>
      <c r="P126" s="281"/>
      <c r="Q126" s="281"/>
      <c r="R126" s="281"/>
      <c r="S126" s="281"/>
      <c r="T126" s="281"/>
      <c r="U126" s="281"/>
      <c r="V126" s="281"/>
      <c r="W126" s="281"/>
      <c r="X126" s="281"/>
      <c r="Y126" s="281"/>
      <c r="Z126" s="281"/>
      <c r="AA126" s="281"/>
      <c r="AB126" s="281"/>
      <c r="AC126" s="281"/>
      <c r="AD126" s="281"/>
      <c r="AE126" s="281"/>
      <c r="AF126" s="281"/>
      <c r="AG126" s="281"/>
      <c r="AH126" s="281"/>
      <c r="AI126" s="281"/>
      <c r="AJ126" s="281"/>
      <c r="AK126" s="281"/>
      <c r="AL126" s="281"/>
      <c r="AM126" s="281"/>
      <c r="AN126" s="281"/>
      <c r="AO126" s="281"/>
      <c r="AP126" s="281"/>
      <c r="AQ126" s="281"/>
      <c r="AR126" s="281"/>
      <c r="AS126" s="155"/>
      <c r="AT126" s="155"/>
      <c r="AU126" s="156"/>
      <c r="AV126" s="156"/>
      <c r="AW126" s="156"/>
      <c r="AX126" s="281"/>
      <c r="AY126" s="281"/>
      <c r="AZ126" s="281"/>
      <c r="BA126" s="281"/>
      <c r="BB126" s="281"/>
      <c r="BC126" s="281"/>
      <c r="BD126" s="281"/>
      <c r="BE126" s="281"/>
      <c r="BF126" s="281"/>
      <c r="BG126" s="281"/>
      <c r="BH126" s="281"/>
      <c r="BI126" s="281"/>
      <c r="BJ126" s="281"/>
      <c r="BK126" s="281"/>
      <c r="BL126" s="281"/>
      <c r="BM126" s="281"/>
      <c r="BN126" s="281"/>
      <c r="BO126" s="281"/>
      <c r="BP126" s="281"/>
      <c r="BQ126" s="281"/>
      <c r="BR126" s="281"/>
      <c r="BS126" s="155"/>
      <c r="BT126" s="155"/>
      <c r="BU126" s="155"/>
      <c r="BV126" s="155"/>
      <c r="BW126" s="155"/>
    </row>
    <row r="127" spans="1:75" ht="11.25" customHeight="1" x14ac:dyDescent="0.2">
      <c r="F127" s="281"/>
      <c r="G127" s="281"/>
      <c r="H127" s="281"/>
      <c r="I127" s="281"/>
      <c r="J127" s="281"/>
      <c r="K127" s="281"/>
      <c r="L127" s="281"/>
      <c r="M127" s="281"/>
      <c r="N127" s="281"/>
      <c r="O127" s="281"/>
      <c r="P127" s="281"/>
      <c r="Q127" s="281"/>
      <c r="R127" s="281"/>
      <c r="S127" s="281"/>
      <c r="T127" s="281"/>
      <c r="U127" s="281"/>
      <c r="V127" s="281"/>
      <c r="W127" s="281"/>
      <c r="X127" s="281"/>
      <c r="Y127" s="281"/>
      <c r="Z127" s="281"/>
      <c r="AA127" s="281"/>
      <c r="AB127" s="281"/>
      <c r="AC127" s="281"/>
      <c r="AD127" s="281"/>
      <c r="AE127" s="281"/>
      <c r="AF127" s="281"/>
      <c r="AG127" s="281"/>
      <c r="AH127" s="281"/>
      <c r="AI127" s="281"/>
      <c r="AJ127" s="281"/>
      <c r="AK127" s="281"/>
      <c r="AL127" s="281"/>
      <c r="AM127" s="281"/>
      <c r="AN127" s="281"/>
      <c r="AO127" s="281"/>
      <c r="AP127" s="281"/>
      <c r="AQ127" s="281"/>
      <c r="AR127" s="281"/>
      <c r="AS127" s="155"/>
      <c r="AT127" s="155"/>
      <c r="AU127" s="156"/>
      <c r="AV127" s="156"/>
      <c r="AW127" s="156"/>
      <c r="AX127" s="281"/>
      <c r="AY127" s="281"/>
      <c r="AZ127" s="281"/>
      <c r="BA127" s="281"/>
      <c r="BB127" s="281"/>
      <c r="BC127" s="281"/>
      <c r="BD127" s="281"/>
      <c r="BE127" s="281"/>
      <c r="BF127" s="281"/>
      <c r="BG127" s="281"/>
      <c r="BH127" s="281"/>
      <c r="BI127" s="281"/>
      <c r="BJ127" s="281"/>
      <c r="BK127" s="281"/>
      <c r="BL127" s="281"/>
      <c r="BM127" s="281"/>
      <c r="BN127" s="281"/>
      <c r="BO127" s="281"/>
      <c r="BP127" s="281"/>
      <c r="BQ127" s="281"/>
      <c r="BR127" s="281"/>
      <c r="BS127" s="155"/>
      <c r="BT127" s="155"/>
      <c r="BU127" s="155"/>
      <c r="BV127" s="155"/>
      <c r="BW127" s="155"/>
    </row>
    <row r="128" spans="1:75" ht="11.25" customHeight="1" x14ac:dyDescent="0.2">
      <c r="F128" s="281"/>
      <c r="G128" s="281"/>
      <c r="H128" s="281"/>
      <c r="I128" s="281"/>
      <c r="J128" s="281"/>
      <c r="K128" s="281"/>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155"/>
      <c r="AT128" s="155"/>
      <c r="AU128" s="156"/>
      <c r="AV128" s="156"/>
      <c r="AW128" s="156"/>
      <c r="AX128" s="281"/>
      <c r="AY128" s="281"/>
      <c r="AZ128" s="281"/>
      <c r="BA128" s="281"/>
      <c r="BB128" s="281"/>
      <c r="BC128" s="281"/>
      <c r="BD128" s="281"/>
      <c r="BE128" s="281"/>
      <c r="BF128" s="281"/>
      <c r="BG128" s="281"/>
      <c r="BH128" s="281"/>
      <c r="BI128" s="281"/>
      <c r="BJ128" s="281"/>
      <c r="BK128" s="281"/>
      <c r="BL128" s="281"/>
      <c r="BM128" s="281"/>
      <c r="BN128" s="281"/>
      <c r="BO128" s="281"/>
      <c r="BP128" s="281"/>
      <c r="BQ128" s="281"/>
      <c r="BR128" s="281"/>
      <c r="BS128" s="155"/>
      <c r="BT128" s="155"/>
      <c r="BU128" s="155"/>
      <c r="BV128" s="155"/>
      <c r="BW128" s="155"/>
    </row>
    <row r="129" spans="6:75" ht="11.25" customHeight="1" x14ac:dyDescent="0.2">
      <c r="F129" s="281"/>
      <c r="G129" s="281"/>
      <c r="H129" s="281"/>
      <c r="I129" s="281"/>
      <c r="J129" s="281"/>
      <c r="K129" s="281"/>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155"/>
      <c r="AT129" s="155"/>
      <c r="AU129" s="156"/>
      <c r="AV129" s="156"/>
      <c r="AW129" s="156"/>
      <c r="AX129" s="281"/>
      <c r="AY129" s="281"/>
      <c r="AZ129" s="281"/>
      <c r="BA129" s="281"/>
      <c r="BB129" s="281"/>
      <c r="BC129" s="281"/>
      <c r="BD129" s="281"/>
      <c r="BE129" s="281"/>
      <c r="BF129" s="281"/>
      <c r="BG129" s="281"/>
      <c r="BH129" s="281"/>
      <c r="BI129" s="281"/>
      <c r="BJ129" s="281"/>
      <c r="BK129" s="281"/>
      <c r="BL129" s="281"/>
      <c r="BM129" s="281"/>
      <c r="BN129" s="281"/>
      <c r="BO129" s="281"/>
      <c r="BP129" s="281"/>
      <c r="BQ129" s="281"/>
      <c r="BR129" s="281"/>
      <c r="BS129" s="155"/>
      <c r="BT129" s="155"/>
      <c r="BU129" s="155"/>
      <c r="BV129" s="155"/>
      <c r="BW129" s="155"/>
    </row>
    <row r="130" spans="6:75" ht="11.25" customHeight="1" x14ac:dyDescent="0.2">
      <c r="F130" s="281"/>
      <c r="G130" s="281"/>
      <c r="H130" s="281"/>
      <c r="I130" s="281"/>
      <c r="J130" s="281"/>
      <c r="K130" s="281"/>
      <c r="L130" s="281"/>
      <c r="M130" s="281"/>
      <c r="N130" s="281"/>
      <c r="O130" s="281"/>
      <c r="P130" s="281"/>
      <c r="Q130" s="281"/>
      <c r="R130" s="281"/>
      <c r="S130" s="281"/>
      <c r="T130" s="281"/>
      <c r="U130" s="281"/>
      <c r="V130" s="281"/>
      <c r="W130" s="281"/>
      <c r="X130" s="281"/>
      <c r="Y130" s="281"/>
      <c r="Z130" s="281"/>
      <c r="AA130" s="281"/>
      <c r="AB130" s="281"/>
      <c r="AC130" s="281"/>
      <c r="AD130" s="281"/>
      <c r="AE130" s="281"/>
      <c r="AF130" s="281"/>
      <c r="AG130" s="281"/>
      <c r="AH130" s="281"/>
      <c r="AI130" s="281"/>
      <c r="AJ130" s="281"/>
      <c r="AK130" s="281"/>
      <c r="AL130" s="281"/>
      <c r="AM130" s="281"/>
      <c r="AN130" s="281"/>
      <c r="AO130" s="281"/>
      <c r="AP130" s="281"/>
      <c r="AQ130" s="281"/>
      <c r="AR130" s="281"/>
      <c r="AS130" s="155"/>
      <c r="AT130" s="155"/>
      <c r="AU130" s="156"/>
      <c r="AV130" s="156"/>
      <c r="AW130" s="156"/>
      <c r="AX130" s="281"/>
      <c r="AY130" s="281"/>
      <c r="AZ130" s="281"/>
      <c r="BA130" s="281"/>
      <c r="BB130" s="281"/>
      <c r="BC130" s="281"/>
      <c r="BD130" s="281"/>
      <c r="BE130" s="281"/>
      <c r="BF130" s="281"/>
      <c r="BG130" s="281"/>
      <c r="BH130" s="281"/>
      <c r="BI130" s="281"/>
      <c r="BJ130" s="281"/>
      <c r="BK130" s="281"/>
      <c r="BL130" s="281"/>
      <c r="BM130" s="281"/>
      <c r="BN130" s="281"/>
      <c r="BO130" s="281"/>
      <c r="BP130" s="281"/>
      <c r="BQ130" s="281"/>
      <c r="BR130" s="281"/>
      <c r="BS130" s="155"/>
      <c r="BT130" s="155"/>
      <c r="BU130" s="155"/>
      <c r="BV130" s="155"/>
      <c r="BW130" s="155"/>
    </row>
    <row r="131" spans="6:75" ht="11.25" customHeight="1" x14ac:dyDescent="0.2">
      <c r="F131" s="281"/>
      <c r="G131" s="281"/>
      <c r="H131" s="281"/>
      <c r="I131" s="281"/>
      <c r="J131" s="281"/>
      <c r="K131" s="281"/>
      <c r="L131" s="281"/>
      <c r="M131" s="281"/>
      <c r="N131" s="281"/>
      <c r="O131" s="281"/>
      <c r="P131" s="281"/>
      <c r="Q131" s="281"/>
      <c r="R131" s="281"/>
      <c r="S131" s="281"/>
      <c r="T131" s="281"/>
      <c r="U131" s="281"/>
      <c r="V131" s="281"/>
      <c r="W131" s="281"/>
      <c r="X131" s="281"/>
      <c r="Y131" s="281"/>
      <c r="Z131" s="281"/>
      <c r="AA131" s="281"/>
      <c r="AB131" s="281"/>
      <c r="AC131" s="281"/>
      <c r="AD131" s="281"/>
      <c r="AE131" s="281"/>
      <c r="AF131" s="281"/>
      <c r="AG131" s="281"/>
      <c r="AH131" s="281"/>
      <c r="AI131" s="281"/>
      <c r="AJ131" s="281"/>
      <c r="AK131" s="281"/>
      <c r="AL131" s="281"/>
      <c r="AM131" s="281"/>
      <c r="AN131" s="281"/>
      <c r="AO131" s="281"/>
      <c r="AP131" s="281"/>
      <c r="AQ131" s="281"/>
      <c r="AR131" s="281"/>
      <c r="AS131" s="155"/>
      <c r="AT131" s="155"/>
      <c r="AU131" s="156"/>
      <c r="AV131" s="156"/>
      <c r="AW131" s="156"/>
      <c r="AX131" s="281"/>
      <c r="AY131" s="281"/>
      <c r="AZ131" s="281"/>
      <c r="BA131" s="281"/>
      <c r="BB131" s="281"/>
      <c r="BC131" s="281"/>
      <c r="BD131" s="281"/>
      <c r="BE131" s="281"/>
      <c r="BF131" s="281"/>
      <c r="BG131" s="281"/>
      <c r="BH131" s="281"/>
      <c r="BI131" s="281"/>
      <c r="BJ131" s="281"/>
      <c r="BK131" s="281"/>
      <c r="BL131" s="281"/>
      <c r="BM131" s="281"/>
      <c r="BN131" s="281"/>
      <c r="BO131" s="281"/>
      <c r="BP131" s="281"/>
      <c r="BQ131" s="281"/>
      <c r="BR131" s="281"/>
      <c r="BS131" s="155"/>
      <c r="BT131" s="155"/>
      <c r="BU131" s="155"/>
      <c r="BV131" s="155"/>
      <c r="BW131" s="155"/>
    </row>
    <row r="132" spans="6:75" ht="11.25" customHeight="1" x14ac:dyDescent="0.2">
      <c r="F132" s="281"/>
      <c r="G132" s="281"/>
      <c r="H132" s="281"/>
      <c r="I132" s="281"/>
      <c r="J132" s="281"/>
      <c r="K132" s="281"/>
      <c r="L132" s="281"/>
      <c r="M132" s="281"/>
      <c r="N132" s="281"/>
      <c r="O132" s="281"/>
      <c r="P132" s="281"/>
      <c r="Q132" s="281"/>
      <c r="R132" s="281"/>
      <c r="S132" s="281"/>
      <c r="T132" s="281"/>
      <c r="U132" s="281"/>
      <c r="V132" s="281"/>
      <c r="W132" s="281"/>
      <c r="X132" s="281"/>
      <c r="Y132" s="281"/>
      <c r="Z132" s="281"/>
      <c r="AA132" s="281"/>
      <c r="AB132" s="281"/>
      <c r="AC132" s="281"/>
      <c r="AD132" s="281"/>
      <c r="AE132" s="281"/>
      <c r="AF132" s="281"/>
      <c r="AG132" s="281"/>
      <c r="AH132" s="281"/>
      <c r="AI132" s="281"/>
      <c r="AJ132" s="281"/>
      <c r="AK132" s="281"/>
      <c r="AL132" s="281"/>
      <c r="AM132" s="281"/>
      <c r="AN132" s="281"/>
      <c r="AO132" s="281"/>
      <c r="AP132" s="281"/>
      <c r="AQ132" s="281"/>
      <c r="AR132" s="281"/>
      <c r="AS132" s="155"/>
      <c r="AT132" s="155"/>
      <c r="AU132" s="156"/>
      <c r="AV132" s="156"/>
      <c r="AW132" s="156"/>
      <c r="AX132" s="281"/>
      <c r="AY132" s="281"/>
      <c r="AZ132" s="281"/>
      <c r="BA132" s="281"/>
      <c r="BB132" s="281"/>
      <c r="BC132" s="281"/>
      <c r="BD132" s="281"/>
      <c r="BE132" s="281"/>
      <c r="BF132" s="281"/>
      <c r="BG132" s="281"/>
      <c r="BH132" s="281"/>
      <c r="BI132" s="281"/>
      <c r="BJ132" s="281"/>
      <c r="BK132" s="281"/>
      <c r="BL132" s="281"/>
      <c r="BM132" s="281"/>
      <c r="BN132" s="281"/>
      <c r="BO132" s="281"/>
      <c r="BP132" s="281"/>
      <c r="BQ132" s="281"/>
      <c r="BR132" s="281"/>
      <c r="BS132" s="155"/>
      <c r="BT132" s="155"/>
      <c r="BU132" s="155"/>
      <c r="BV132" s="155"/>
      <c r="BW132" s="155"/>
    </row>
    <row r="133" spans="6:75" ht="11.25" customHeight="1" x14ac:dyDescent="0.2">
      <c r="F133" s="281"/>
      <c r="G133" s="281"/>
      <c r="H133" s="281"/>
      <c r="I133" s="281"/>
      <c r="J133" s="281"/>
      <c r="K133" s="281"/>
      <c r="L133" s="281"/>
      <c r="M133" s="281"/>
      <c r="N133" s="281"/>
      <c r="O133" s="281"/>
      <c r="P133" s="281"/>
      <c r="Q133" s="281"/>
      <c r="R133" s="281"/>
      <c r="S133" s="281"/>
      <c r="T133" s="281"/>
      <c r="U133" s="281"/>
      <c r="V133" s="281"/>
      <c r="W133" s="281"/>
      <c r="X133" s="281"/>
      <c r="Y133" s="281"/>
      <c r="Z133" s="281"/>
      <c r="AA133" s="281"/>
      <c r="AB133" s="281"/>
      <c r="AC133" s="281"/>
      <c r="AD133" s="281"/>
      <c r="AE133" s="281"/>
      <c r="AF133" s="281"/>
      <c r="AG133" s="281"/>
      <c r="AH133" s="281"/>
      <c r="AI133" s="281"/>
      <c r="AJ133" s="281"/>
      <c r="AK133" s="281"/>
      <c r="AL133" s="281"/>
      <c r="AM133" s="281"/>
      <c r="AN133" s="281"/>
      <c r="AO133" s="281"/>
      <c r="AP133" s="281"/>
      <c r="AQ133" s="281"/>
      <c r="AR133" s="281"/>
      <c r="AS133" s="155"/>
      <c r="AT133" s="155"/>
      <c r="AU133" s="156"/>
      <c r="AV133" s="156"/>
      <c r="AW133" s="156"/>
      <c r="AX133" s="281"/>
      <c r="AY133" s="281"/>
      <c r="AZ133" s="281"/>
      <c r="BA133" s="281"/>
      <c r="BB133" s="281"/>
      <c r="BC133" s="281"/>
      <c r="BD133" s="281"/>
      <c r="BE133" s="281"/>
      <c r="BF133" s="281"/>
      <c r="BG133" s="281"/>
      <c r="BH133" s="281"/>
      <c r="BI133" s="281"/>
      <c r="BJ133" s="281"/>
      <c r="BK133" s="281"/>
      <c r="BL133" s="281"/>
      <c r="BM133" s="281"/>
      <c r="BN133" s="281"/>
      <c r="BO133" s="281"/>
      <c r="BP133" s="281"/>
      <c r="BQ133" s="281"/>
      <c r="BR133" s="281"/>
      <c r="BS133" s="155"/>
      <c r="BT133" s="155"/>
      <c r="BU133" s="155"/>
      <c r="BV133" s="155"/>
      <c r="BW133" s="155"/>
    </row>
    <row r="134" spans="6:75" ht="11.25" customHeight="1" x14ac:dyDescent="0.2">
      <c r="F134" s="281"/>
      <c r="G134" s="281"/>
      <c r="H134" s="281"/>
      <c r="I134" s="281"/>
      <c r="J134" s="281"/>
      <c r="K134" s="281"/>
      <c r="L134" s="281"/>
      <c r="M134" s="281"/>
      <c r="N134" s="281"/>
      <c r="O134" s="281"/>
      <c r="P134" s="281"/>
      <c r="Q134" s="281"/>
      <c r="R134" s="281"/>
      <c r="S134" s="281"/>
      <c r="T134" s="281"/>
      <c r="U134" s="281"/>
      <c r="V134" s="281"/>
      <c r="W134" s="281"/>
      <c r="X134" s="281"/>
      <c r="Y134" s="281"/>
      <c r="Z134" s="281"/>
      <c r="AA134" s="281"/>
      <c r="AB134" s="281"/>
      <c r="AC134" s="281"/>
      <c r="AD134" s="281"/>
      <c r="AE134" s="281"/>
      <c r="AF134" s="281"/>
      <c r="AG134" s="281"/>
      <c r="AH134" s="281"/>
      <c r="AI134" s="281"/>
      <c r="AJ134" s="281"/>
      <c r="AK134" s="281"/>
      <c r="AL134" s="281"/>
      <c r="AM134" s="281"/>
      <c r="AN134" s="281"/>
      <c r="AO134" s="281"/>
      <c r="AP134" s="281"/>
      <c r="AQ134" s="281"/>
      <c r="AR134" s="281"/>
      <c r="AS134" s="155"/>
      <c r="AT134" s="155"/>
      <c r="AU134" s="156"/>
      <c r="AV134" s="156"/>
      <c r="AW134" s="156"/>
      <c r="AX134" s="281"/>
      <c r="AY134" s="281"/>
      <c r="AZ134" s="281"/>
      <c r="BA134" s="281"/>
      <c r="BB134" s="281"/>
      <c r="BC134" s="281"/>
      <c r="BD134" s="281"/>
      <c r="BE134" s="281"/>
      <c r="BF134" s="281"/>
      <c r="BG134" s="281"/>
      <c r="BH134" s="281"/>
      <c r="BI134" s="281"/>
      <c r="BJ134" s="281"/>
      <c r="BK134" s="281"/>
      <c r="BL134" s="281"/>
      <c r="BM134" s="281"/>
      <c r="BN134" s="281"/>
      <c r="BO134" s="281"/>
      <c r="BP134" s="281"/>
      <c r="BQ134" s="281"/>
      <c r="BR134" s="281"/>
      <c r="BS134" s="155"/>
      <c r="BT134" s="155"/>
      <c r="BU134" s="155"/>
      <c r="BV134" s="155"/>
      <c r="BW134" s="155"/>
    </row>
    <row r="135" spans="6:75" ht="11.25" customHeight="1" x14ac:dyDescent="0.2">
      <c r="F135" s="281"/>
      <c r="G135" s="281"/>
      <c r="H135" s="281"/>
      <c r="I135" s="281"/>
      <c r="J135" s="281"/>
      <c r="K135" s="281"/>
      <c r="L135" s="281"/>
      <c r="M135" s="281"/>
      <c r="N135" s="281"/>
      <c r="O135" s="281"/>
      <c r="P135" s="281"/>
      <c r="Q135" s="281"/>
      <c r="R135" s="281"/>
      <c r="S135" s="281"/>
      <c r="T135" s="281"/>
      <c r="U135" s="281"/>
      <c r="V135" s="281"/>
      <c r="W135" s="281"/>
      <c r="X135" s="281"/>
      <c r="Y135" s="281"/>
      <c r="Z135" s="281"/>
      <c r="AA135" s="281"/>
      <c r="AB135" s="281"/>
      <c r="AC135" s="281"/>
      <c r="AD135" s="281"/>
      <c r="AE135" s="281"/>
      <c r="AF135" s="281"/>
      <c r="AG135" s="281"/>
      <c r="AH135" s="281"/>
      <c r="AI135" s="281"/>
      <c r="AJ135" s="281"/>
      <c r="AK135" s="281"/>
      <c r="AL135" s="281"/>
      <c r="AM135" s="281"/>
      <c r="AN135" s="281"/>
      <c r="AO135" s="281"/>
      <c r="AP135" s="281"/>
      <c r="AQ135" s="281"/>
      <c r="AR135" s="281"/>
      <c r="AS135" s="155"/>
      <c r="AT135" s="155"/>
      <c r="AU135" s="156"/>
      <c r="AV135" s="156"/>
      <c r="AW135" s="156"/>
      <c r="AX135" s="281"/>
      <c r="AY135" s="281"/>
      <c r="AZ135" s="281"/>
      <c r="BA135" s="281"/>
      <c r="BB135" s="281"/>
      <c r="BC135" s="281"/>
      <c r="BD135" s="281"/>
      <c r="BE135" s="281"/>
      <c r="BF135" s="281"/>
      <c r="BG135" s="281"/>
      <c r="BH135" s="281"/>
      <c r="BI135" s="281"/>
      <c r="BJ135" s="281"/>
      <c r="BK135" s="281"/>
      <c r="BL135" s="281"/>
      <c r="BM135" s="281"/>
      <c r="BN135" s="281"/>
      <c r="BO135" s="281"/>
      <c r="BP135" s="281"/>
      <c r="BQ135" s="281"/>
      <c r="BR135" s="281"/>
      <c r="BS135" s="155"/>
      <c r="BT135" s="155"/>
      <c r="BU135" s="155"/>
      <c r="BV135" s="155"/>
      <c r="BW135" s="155"/>
    </row>
    <row r="136" spans="6:75" ht="11.25" customHeight="1" x14ac:dyDescent="0.2">
      <c r="F136" s="281"/>
      <c r="G136" s="281"/>
      <c r="H136" s="281"/>
      <c r="I136" s="281"/>
      <c r="J136" s="281"/>
      <c r="K136" s="281"/>
      <c r="L136" s="281"/>
      <c r="M136" s="281"/>
      <c r="N136" s="281"/>
      <c r="O136" s="281"/>
      <c r="P136" s="281"/>
      <c r="Q136" s="281"/>
      <c r="R136" s="281"/>
      <c r="S136" s="281"/>
      <c r="T136" s="281"/>
      <c r="U136" s="281"/>
      <c r="V136" s="281"/>
      <c r="W136" s="281"/>
      <c r="X136" s="281"/>
      <c r="Y136" s="281"/>
      <c r="Z136" s="281"/>
      <c r="AA136" s="281"/>
      <c r="AB136" s="281"/>
      <c r="AC136" s="281"/>
      <c r="AD136" s="281"/>
      <c r="AE136" s="281"/>
      <c r="AF136" s="281"/>
      <c r="AG136" s="281"/>
      <c r="AH136" s="281"/>
      <c r="AI136" s="281"/>
      <c r="AJ136" s="281"/>
      <c r="AK136" s="281"/>
      <c r="AL136" s="281"/>
      <c r="AM136" s="281"/>
      <c r="AN136" s="281"/>
      <c r="AO136" s="281"/>
      <c r="AP136" s="281"/>
      <c r="AQ136" s="281"/>
      <c r="AR136" s="281"/>
      <c r="AS136" s="155"/>
      <c r="AT136" s="155"/>
      <c r="AU136" s="156"/>
      <c r="AV136" s="156"/>
      <c r="AW136" s="156"/>
      <c r="AX136" s="281"/>
      <c r="AY136" s="281"/>
      <c r="AZ136" s="281"/>
      <c r="BA136" s="281"/>
      <c r="BB136" s="281"/>
      <c r="BC136" s="281"/>
      <c r="BD136" s="281"/>
      <c r="BE136" s="281"/>
      <c r="BF136" s="281"/>
      <c r="BG136" s="281"/>
      <c r="BH136" s="281"/>
      <c r="BI136" s="281"/>
      <c r="BJ136" s="281"/>
      <c r="BK136" s="281"/>
      <c r="BL136" s="281"/>
      <c r="BM136" s="281"/>
      <c r="BN136" s="281"/>
      <c r="BO136" s="281"/>
      <c r="BP136" s="281"/>
      <c r="BQ136" s="281"/>
      <c r="BR136" s="281"/>
      <c r="BS136" s="155"/>
      <c r="BT136" s="155"/>
      <c r="BU136" s="155"/>
      <c r="BV136" s="155"/>
      <c r="BW136" s="155"/>
    </row>
    <row r="137" spans="6:75" ht="11.25" customHeight="1" x14ac:dyDescent="0.2">
      <c r="F137" s="281"/>
      <c r="G137" s="281"/>
      <c r="H137" s="281"/>
      <c r="I137" s="281"/>
      <c r="J137" s="281"/>
      <c r="K137" s="281"/>
      <c r="L137" s="281"/>
      <c r="M137" s="281"/>
      <c r="N137" s="281"/>
      <c r="O137" s="281"/>
      <c r="P137" s="281"/>
      <c r="Q137" s="281"/>
      <c r="R137" s="281"/>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155"/>
      <c r="AT137" s="155"/>
      <c r="AU137" s="156"/>
      <c r="AV137" s="156"/>
      <c r="AW137" s="156"/>
      <c r="AX137" s="281"/>
      <c r="AY137" s="281"/>
      <c r="AZ137" s="281"/>
      <c r="BA137" s="281"/>
      <c r="BB137" s="281"/>
      <c r="BC137" s="281"/>
      <c r="BD137" s="281"/>
      <c r="BE137" s="281"/>
      <c r="BF137" s="281"/>
      <c r="BG137" s="281"/>
      <c r="BH137" s="281"/>
      <c r="BI137" s="281"/>
      <c r="BJ137" s="281"/>
      <c r="BK137" s="281"/>
      <c r="BL137" s="281"/>
      <c r="BM137" s="281"/>
      <c r="BN137" s="281"/>
      <c r="BO137" s="281"/>
      <c r="BP137" s="281"/>
      <c r="BQ137" s="281"/>
      <c r="BR137" s="281"/>
      <c r="BS137" s="155"/>
      <c r="BT137" s="155"/>
      <c r="BU137" s="155"/>
      <c r="BV137" s="155"/>
      <c r="BW137" s="155"/>
    </row>
    <row r="138" spans="6:75" ht="11.25" customHeight="1" x14ac:dyDescent="0.2">
      <c r="F138" s="281"/>
      <c r="G138" s="281"/>
      <c r="H138" s="281"/>
      <c r="I138" s="281"/>
      <c r="J138" s="281"/>
      <c r="K138" s="281"/>
      <c r="L138" s="281"/>
      <c r="M138" s="281"/>
      <c r="N138" s="281"/>
      <c r="O138" s="281"/>
      <c r="P138" s="281"/>
      <c r="Q138" s="281"/>
      <c r="R138" s="281"/>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155"/>
      <c r="AT138" s="155"/>
      <c r="AU138" s="156"/>
      <c r="AV138" s="156"/>
      <c r="AW138" s="156"/>
      <c r="AX138" s="281"/>
      <c r="AY138" s="281"/>
      <c r="AZ138" s="281"/>
      <c r="BA138" s="281"/>
      <c r="BB138" s="281"/>
      <c r="BC138" s="281"/>
      <c r="BD138" s="281"/>
      <c r="BE138" s="281"/>
      <c r="BF138" s="281"/>
      <c r="BG138" s="281"/>
      <c r="BH138" s="281"/>
      <c r="BI138" s="281"/>
      <c r="BJ138" s="281"/>
      <c r="BK138" s="281"/>
      <c r="BL138" s="281"/>
      <c r="BM138" s="281"/>
      <c r="BN138" s="281"/>
      <c r="BO138" s="281"/>
      <c r="BP138" s="281"/>
      <c r="BQ138" s="281"/>
      <c r="BR138" s="281"/>
      <c r="BS138" s="155"/>
      <c r="BT138" s="155"/>
      <c r="BU138" s="155"/>
      <c r="BV138" s="155"/>
      <c r="BW138" s="155"/>
    </row>
    <row r="139" spans="6:75" ht="11.25" customHeight="1" x14ac:dyDescent="0.2">
      <c r="F139" s="281"/>
      <c r="G139" s="281"/>
      <c r="H139" s="281"/>
      <c r="I139" s="281"/>
      <c r="J139" s="281"/>
      <c r="K139" s="281"/>
      <c r="L139" s="281"/>
      <c r="M139" s="281"/>
      <c r="N139" s="281"/>
      <c r="O139" s="281"/>
      <c r="P139" s="281"/>
      <c r="Q139" s="281"/>
      <c r="R139" s="281"/>
      <c r="S139" s="281"/>
      <c r="T139" s="281"/>
      <c r="U139" s="281"/>
      <c r="V139" s="281"/>
      <c r="W139" s="281"/>
      <c r="X139" s="281"/>
      <c r="Y139" s="281"/>
      <c r="Z139" s="281"/>
      <c r="AA139" s="281"/>
      <c r="AB139" s="281"/>
      <c r="AC139" s="281"/>
      <c r="AD139" s="281"/>
      <c r="AE139" s="281"/>
      <c r="AF139" s="281"/>
      <c r="AG139" s="281"/>
      <c r="AH139" s="281"/>
      <c r="AI139" s="281"/>
      <c r="AJ139" s="281"/>
      <c r="AK139" s="281"/>
      <c r="AL139" s="281"/>
      <c r="AM139" s="281"/>
      <c r="AN139" s="281"/>
      <c r="AO139" s="281"/>
      <c r="AP139" s="281"/>
      <c r="AQ139" s="281"/>
      <c r="AR139" s="281"/>
      <c r="AS139" s="155"/>
      <c r="AT139" s="155"/>
      <c r="AU139" s="156"/>
      <c r="AV139" s="156"/>
      <c r="AW139" s="156"/>
      <c r="AX139" s="281"/>
      <c r="AY139" s="281"/>
      <c r="AZ139" s="281"/>
      <c r="BA139" s="281"/>
      <c r="BB139" s="281"/>
      <c r="BC139" s="281"/>
      <c r="BD139" s="281"/>
      <c r="BE139" s="281"/>
      <c r="BF139" s="281"/>
      <c r="BG139" s="281"/>
      <c r="BH139" s="281"/>
      <c r="BI139" s="281"/>
      <c r="BJ139" s="281"/>
      <c r="BK139" s="281"/>
      <c r="BL139" s="281"/>
      <c r="BM139" s="281"/>
      <c r="BN139" s="281"/>
      <c r="BO139" s="281"/>
      <c r="BP139" s="281"/>
      <c r="BQ139" s="281"/>
      <c r="BR139" s="281"/>
      <c r="BS139" s="155"/>
      <c r="BT139" s="155"/>
      <c r="BU139" s="155"/>
      <c r="BV139" s="155"/>
      <c r="BW139" s="155"/>
    </row>
    <row r="140" spans="6:75" ht="11.25" customHeight="1" x14ac:dyDescent="0.2">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1"/>
      <c r="AF140" s="281"/>
      <c r="AG140" s="281"/>
      <c r="AH140" s="281"/>
      <c r="AI140" s="281"/>
      <c r="AJ140" s="281"/>
      <c r="AK140" s="281"/>
      <c r="AL140" s="281"/>
      <c r="AM140" s="281"/>
      <c r="AN140" s="281"/>
      <c r="AO140" s="281"/>
      <c r="AP140" s="281"/>
      <c r="AQ140" s="281"/>
      <c r="AR140" s="281"/>
      <c r="AS140" s="155"/>
      <c r="AT140" s="155"/>
      <c r="AU140" s="156"/>
      <c r="AV140" s="156"/>
      <c r="AW140" s="156"/>
      <c r="AX140" s="281"/>
      <c r="AY140" s="281"/>
      <c r="AZ140" s="281"/>
      <c r="BA140" s="281"/>
      <c r="BB140" s="281"/>
      <c r="BC140" s="281"/>
      <c r="BD140" s="281"/>
      <c r="BE140" s="281"/>
      <c r="BF140" s="281"/>
      <c r="BG140" s="281"/>
      <c r="BH140" s="281"/>
      <c r="BI140" s="281"/>
      <c r="BJ140" s="281"/>
      <c r="BK140" s="281"/>
      <c r="BL140" s="281"/>
      <c r="BM140" s="281"/>
      <c r="BN140" s="281"/>
      <c r="BO140" s="281"/>
      <c r="BP140" s="281"/>
      <c r="BQ140" s="281"/>
      <c r="BR140" s="281"/>
      <c r="BS140" s="155"/>
      <c r="BT140" s="155"/>
      <c r="BU140" s="155"/>
      <c r="BV140" s="155"/>
      <c r="BW140" s="155"/>
    </row>
    <row r="141" spans="6:75" ht="11.25" customHeight="1" x14ac:dyDescent="0.2">
      <c r="F141" s="281"/>
      <c r="G141" s="281"/>
      <c r="H141" s="281"/>
      <c r="I141" s="281"/>
      <c r="J141" s="281"/>
      <c r="K141" s="281"/>
      <c r="L141" s="281"/>
      <c r="M141" s="281"/>
      <c r="N141" s="281"/>
      <c r="O141" s="281"/>
      <c r="P141" s="281"/>
      <c r="Q141" s="281"/>
      <c r="R141" s="281"/>
      <c r="S141" s="281"/>
      <c r="T141" s="281"/>
      <c r="U141" s="281"/>
      <c r="V141" s="281"/>
      <c r="W141" s="281"/>
      <c r="X141" s="281"/>
      <c r="Y141" s="281"/>
      <c r="Z141" s="281"/>
      <c r="AA141" s="281"/>
      <c r="AB141" s="281"/>
      <c r="AC141" s="281"/>
      <c r="AD141" s="281"/>
      <c r="AE141" s="281"/>
      <c r="AF141" s="281"/>
      <c r="AG141" s="281"/>
      <c r="AH141" s="281"/>
      <c r="AI141" s="281"/>
      <c r="AJ141" s="281"/>
      <c r="AK141" s="281"/>
      <c r="AL141" s="281"/>
      <c r="AM141" s="281"/>
      <c r="AN141" s="281"/>
      <c r="AO141" s="281"/>
      <c r="AP141" s="281"/>
      <c r="AQ141" s="281"/>
      <c r="AR141" s="281"/>
      <c r="AS141" s="155"/>
      <c r="AT141" s="155"/>
      <c r="AU141" s="156"/>
      <c r="AV141" s="156"/>
      <c r="AW141" s="156"/>
      <c r="AX141" s="281"/>
      <c r="AY141" s="281"/>
      <c r="AZ141" s="281"/>
      <c r="BA141" s="281"/>
      <c r="BB141" s="281"/>
      <c r="BC141" s="281"/>
      <c r="BD141" s="281"/>
      <c r="BE141" s="281"/>
      <c r="BF141" s="281"/>
      <c r="BG141" s="281"/>
      <c r="BH141" s="281"/>
      <c r="BI141" s="281"/>
      <c r="BJ141" s="281"/>
      <c r="BK141" s="281"/>
      <c r="BL141" s="281"/>
      <c r="BM141" s="281"/>
      <c r="BN141" s="281"/>
      <c r="BO141" s="281"/>
      <c r="BP141" s="281"/>
      <c r="BQ141" s="281"/>
      <c r="BR141" s="281"/>
      <c r="BS141" s="155"/>
      <c r="BT141" s="155"/>
      <c r="BU141" s="155"/>
      <c r="BV141" s="155"/>
      <c r="BW141" s="155"/>
    </row>
    <row r="142" spans="6:75" ht="11.25" customHeight="1" x14ac:dyDescent="0.2">
      <c r="F142" s="281"/>
      <c r="G142" s="281"/>
      <c r="H142" s="281"/>
      <c r="I142" s="281"/>
      <c r="J142" s="281"/>
      <c r="K142" s="281"/>
      <c r="L142" s="281"/>
      <c r="M142" s="281"/>
      <c r="N142" s="281"/>
      <c r="O142" s="281"/>
      <c r="P142" s="281"/>
      <c r="Q142" s="281"/>
      <c r="R142" s="281"/>
      <c r="S142" s="281"/>
      <c r="T142" s="281"/>
      <c r="U142" s="281"/>
      <c r="V142" s="281"/>
      <c r="W142" s="281"/>
      <c r="X142" s="281"/>
      <c r="Y142" s="281"/>
      <c r="Z142" s="281"/>
      <c r="AA142" s="281"/>
      <c r="AB142" s="281"/>
      <c r="AC142" s="281"/>
      <c r="AD142" s="281"/>
      <c r="AE142" s="281"/>
      <c r="AF142" s="281"/>
      <c r="AG142" s="281"/>
      <c r="AH142" s="281"/>
      <c r="AI142" s="281"/>
      <c r="AJ142" s="281"/>
      <c r="AK142" s="281"/>
      <c r="AL142" s="281"/>
      <c r="AM142" s="281"/>
      <c r="AN142" s="281"/>
      <c r="AO142" s="281"/>
      <c r="AP142" s="281"/>
      <c r="AQ142" s="281"/>
      <c r="AR142" s="281"/>
      <c r="AS142" s="155"/>
      <c r="AT142" s="155"/>
      <c r="AU142" s="156"/>
      <c r="AV142" s="156"/>
      <c r="AW142" s="156"/>
      <c r="AX142" s="281"/>
      <c r="AY142" s="281"/>
      <c r="AZ142" s="281"/>
      <c r="BA142" s="281"/>
      <c r="BB142" s="281"/>
      <c r="BC142" s="281"/>
      <c r="BD142" s="281"/>
      <c r="BE142" s="281"/>
      <c r="BF142" s="281"/>
      <c r="BG142" s="281"/>
      <c r="BH142" s="281"/>
      <c r="BI142" s="281"/>
      <c r="BJ142" s="281"/>
      <c r="BK142" s="281"/>
      <c r="BL142" s="281"/>
      <c r="BM142" s="281"/>
      <c r="BN142" s="281"/>
      <c r="BO142" s="281"/>
      <c r="BP142" s="281"/>
      <c r="BQ142" s="281"/>
      <c r="BR142" s="281"/>
      <c r="BS142" s="155"/>
      <c r="BT142" s="155"/>
      <c r="BU142" s="155"/>
      <c r="BV142" s="155"/>
      <c r="BW142" s="155"/>
    </row>
    <row r="143" spans="6:75" ht="11.25" customHeight="1" x14ac:dyDescent="0.2">
      <c r="F143" s="281"/>
      <c r="G143" s="281"/>
      <c r="H143" s="281"/>
      <c r="I143" s="281"/>
      <c r="J143" s="281"/>
      <c r="K143" s="281"/>
      <c r="L143" s="281"/>
      <c r="M143" s="281"/>
      <c r="N143" s="281"/>
      <c r="O143" s="281"/>
      <c r="P143" s="281"/>
      <c r="Q143" s="281"/>
      <c r="R143" s="281"/>
      <c r="S143" s="281"/>
      <c r="T143" s="281"/>
      <c r="U143" s="281"/>
      <c r="V143" s="281"/>
      <c r="W143" s="281"/>
      <c r="X143" s="281"/>
      <c r="Y143" s="281"/>
      <c r="Z143" s="281"/>
      <c r="AA143" s="281"/>
      <c r="AB143" s="281"/>
      <c r="AC143" s="281"/>
      <c r="AD143" s="281"/>
      <c r="AE143" s="281"/>
      <c r="AF143" s="281"/>
      <c r="AG143" s="281"/>
      <c r="AH143" s="281"/>
      <c r="AI143" s="281"/>
      <c r="AJ143" s="281"/>
      <c r="AK143" s="281"/>
      <c r="AL143" s="281"/>
      <c r="AM143" s="281"/>
      <c r="AN143" s="281"/>
      <c r="AO143" s="281"/>
      <c r="AP143" s="281"/>
      <c r="AQ143" s="281"/>
      <c r="AR143" s="281"/>
      <c r="AS143" s="155"/>
      <c r="AT143" s="155"/>
      <c r="AU143" s="156"/>
      <c r="AV143" s="156"/>
      <c r="AW143" s="156"/>
      <c r="AX143" s="281"/>
      <c r="AY143" s="281"/>
      <c r="AZ143" s="281"/>
      <c r="BA143" s="281"/>
      <c r="BB143" s="281"/>
      <c r="BC143" s="281"/>
      <c r="BD143" s="281"/>
      <c r="BE143" s="281"/>
      <c r="BF143" s="281"/>
      <c r="BG143" s="281"/>
      <c r="BH143" s="281"/>
      <c r="BI143" s="281"/>
      <c r="BJ143" s="281"/>
      <c r="BK143" s="281"/>
      <c r="BL143" s="281"/>
      <c r="BM143" s="281"/>
      <c r="BN143" s="281"/>
      <c r="BO143" s="281"/>
      <c r="BP143" s="281"/>
      <c r="BQ143" s="281"/>
      <c r="BR143" s="281"/>
      <c r="BS143" s="155"/>
      <c r="BT143" s="155"/>
      <c r="BU143" s="155"/>
      <c r="BV143" s="155"/>
      <c r="BW143" s="155"/>
    </row>
    <row r="144" spans="6:75" ht="11.25" customHeight="1" x14ac:dyDescent="0.2">
      <c r="F144" s="281"/>
      <c r="G144" s="281"/>
      <c r="H144" s="281"/>
      <c r="I144" s="281"/>
      <c r="J144" s="281"/>
      <c r="K144" s="281"/>
      <c r="L144" s="281"/>
      <c r="M144" s="281"/>
      <c r="N144" s="281"/>
      <c r="O144" s="281"/>
      <c r="P144" s="281"/>
      <c r="Q144" s="281"/>
      <c r="R144" s="281"/>
      <c r="S144" s="281"/>
      <c r="T144" s="281"/>
      <c r="U144" s="281"/>
      <c r="V144" s="281"/>
      <c r="W144" s="281"/>
      <c r="X144" s="281"/>
      <c r="Y144" s="281"/>
      <c r="Z144" s="281"/>
      <c r="AA144" s="281"/>
      <c r="AB144" s="281"/>
      <c r="AC144" s="281"/>
      <c r="AD144" s="281"/>
      <c r="AE144" s="281"/>
      <c r="AF144" s="281"/>
      <c r="AG144" s="281"/>
      <c r="AH144" s="281"/>
      <c r="AI144" s="281"/>
      <c r="AJ144" s="281"/>
      <c r="AK144" s="281"/>
      <c r="AL144" s="281"/>
      <c r="AM144" s="281"/>
      <c r="AN144" s="281"/>
      <c r="AO144" s="281"/>
      <c r="AP144" s="281"/>
      <c r="AQ144" s="281"/>
      <c r="AR144" s="281"/>
      <c r="AS144" s="155"/>
      <c r="AT144" s="155"/>
      <c r="AU144" s="156"/>
      <c r="AV144" s="156"/>
      <c r="AW144" s="156"/>
      <c r="AX144" s="281"/>
      <c r="AY144" s="281"/>
      <c r="AZ144" s="281"/>
      <c r="BA144" s="281"/>
      <c r="BB144" s="281"/>
      <c r="BC144" s="281"/>
      <c r="BD144" s="281"/>
      <c r="BE144" s="281"/>
      <c r="BF144" s="281"/>
      <c r="BG144" s="281"/>
      <c r="BH144" s="281"/>
      <c r="BI144" s="281"/>
      <c r="BJ144" s="281"/>
      <c r="BK144" s="281"/>
      <c r="BL144" s="281"/>
      <c r="BM144" s="281"/>
      <c r="BN144" s="281"/>
      <c r="BO144" s="281"/>
      <c r="BP144" s="281"/>
      <c r="BQ144" s="281"/>
      <c r="BR144" s="281"/>
      <c r="BS144" s="155"/>
      <c r="BT144" s="155"/>
      <c r="BU144" s="155"/>
      <c r="BV144" s="155"/>
      <c r="BW144" s="155"/>
    </row>
    <row r="145" spans="6:75" ht="11.25" customHeight="1" x14ac:dyDescent="0.2">
      <c r="F145" s="281"/>
      <c r="G145" s="281"/>
      <c r="H145" s="281"/>
      <c r="I145" s="281"/>
      <c r="J145" s="281"/>
      <c r="K145" s="281"/>
      <c r="L145" s="281"/>
      <c r="M145" s="281"/>
      <c r="N145" s="281"/>
      <c r="O145" s="281"/>
      <c r="P145" s="281"/>
      <c r="Q145" s="281"/>
      <c r="R145" s="281"/>
      <c r="S145" s="281"/>
      <c r="T145" s="281"/>
      <c r="U145" s="281"/>
      <c r="V145" s="281"/>
      <c r="W145" s="281"/>
      <c r="X145" s="281"/>
      <c r="Y145" s="281"/>
      <c r="Z145" s="281"/>
      <c r="AA145" s="281"/>
      <c r="AB145" s="281"/>
      <c r="AC145" s="281"/>
      <c r="AD145" s="281"/>
      <c r="AE145" s="281"/>
      <c r="AF145" s="281"/>
      <c r="AG145" s="281"/>
      <c r="AH145" s="281"/>
      <c r="AI145" s="281"/>
      <c r="AJ145" s="281"/>
      <c r="AK145" s="281"/>
      <c r="AL145" s="281"/>
      <c r="AM145" s="281"/>
      <c r="AN145" s="281"/>
      <c r="AO145" s="281"/>
      <c r="AP145" s="281"/>
      <c r="AQ145" s="281"/>
      <c r="AR145" s="281"/>
      <c r="AS145" s="155"/>
      <c r="AT145" s="155"/>
      <c r="AU145" s="156"/>
      <c r="AV145" s="156"/>
      <c r="AW145" s="156"/>
      <c r="AX145" s="281"/>
      <c r="AY145" s="281"/>
      <c r="AZ145" s="281"/>
      <c r="BA145" s="281"/>
      <c r="BB145" s="281"/>
      <c r="BC145" s="281"/>
      <c r="BD145" s="281"/>
      <c r="BE145" s="281"/>
      <c r="BF145" s="281"/>
      <c r="BG145" s="281"/>
      <c r="BH145" s="281"/>
      <c r="BI145" s="281"/>
      <c r="BJ145" s="281"/>
      <c r="BK145" s="281"/>
      <c r="BL145" s="281"/>
      <c r="BM145" s="281"/>
      <c r="BN145" s="281"/>
      <c r="BO145" s="281"/>
      <c r="BP145" s="281"/>
      <c r="BQ145" s="281"/>
      <c r="BR145" s="281"/>
      <c r="BS145" s="155"/>
      <c r="BT145" s="155"/>
      <c r="BU145" s="155"/>
      <c r="BV145" s="155"/>
      <c r="BW145" s="155"/>
    </row>
    <row r="146" spans="6:75" ht="11.25" customHeight="1" x14ac:dyDescent="0.2">
      <c r="F146" s="281"/>
      <c r="G146" s="281"/>
      <c r="H146" s="281"/>
      <c r="I146" s="281"/>
      <c r="J146" s="281"/>
      <c r="K146" s="281"/>
      <c r="L146" s="281"/>
      <c r="M146" s="281"/>
      <c r="N146" s="281"/>
      <c r="O146" s="281"/>
      <c r="P146" s="281"/>
      <c r="Q146" s="281"/>
      <c r="R146" s="281"/>
      <c r="S146" s="281"/>
      <c r="T146" s="281"/>
      <c r="U146" s="281"/>
      <c r="V146" s="281"/>
      <c r="W146" s="281"/>
      <c r="X146" s="281"/>
      <c r="Y146" s="281"/>
      <c r="Z146" s="281"/>
      <c r="AA146" s="281"/>
      <c r="AB146" s="281"/>
      <c r="AC146" s="281"/>
      <c r="AD146" s="281"/>
      <c r="AE146" s="281"/>
      <c r="AF146" s="281"/>
      <c r="AG146" s="281"/>
      <c r="AH146" s="281"/>
      <c r="AI146" s="281"/>
      <c r="AJ146" s="281"/>
      <c r="AK146" s="281"/>
      <c r="AL146" s="281"/>
      <c r="AM146" s="281"/>
      <c r="AN146" s="281"/>
      <c r="AO146" s="281"/>
      <c r="AP146" s="281"/>
      <c r="AQ146" s="281"/>
      <c r="AR146" s="281"/>
      <c r="AS146" s="155"/>
      <c r="AT146" s="155"/>
      <c r="AU146" s="156"/>
      <c r="AV146" s="156"/>
      <c r="AW146" s="156"/>
      <c r="AX146" s="281"/>
      <c r="AY146" s="281"/>
      <c r="AZ146" s="281"/>
      <c r="BA146" s="281"/>
      <c r="BB146" s="281"/>
      <c r="BC146" s="281"/>
      <c r="BD146" s="281"/>
      <c r="BE146" s="281"/>
      <c r="BF146" s="281"/>
      <c r="BG146" s="281"/>
      <c r="BH146" s="281"/>
      <c r="BI146" s="281"/>
      <c r="BJ146" s="281"/>
      <c r="BK146" s="281"/>
      <c r="BL146" s="281"/>
      <c r="BM146" s="281"/>
      <c r="BN146" s="281"/>
      <c r="BO146" s="281"/>
      <c r="BP146" s="281"/>
      <c r="BQ146" s="281"/>
      <c r="BR146" s="281"/>
      <c r="BS146" s="155"/>
      <c r="BT146" s="155"/>
      <c r="BU146" s="155"/>
      <c r="BV146" s="155"/>
      <c r="BW146" s="155"/>
    </row>
    <row r="147" spans="6:75" ht="11.25" customHeight="1" x14ac:dyDescent="0.2">
      <c r="F147" s="281"/>
      <c r="G147" s="281"/>
      <c r="H147" s="281"/>
      <c r="I147" s="281"/>
      <c r="J147" s="281"/>
      <c r="K147" s="281"/>
      <c r="L147" s="281"/>
      <c r="M147" s="281"/>
      <c r="N147" s="281"/>
      <c r="O147" s="281"/>
      <c r="P147" s="281"/>
      <c r="Q147" s="281"/>
      <c r="R147" s="281"/>
      <c r="S147" s="281"/>
      <c r="T147" s="281"/>
      <c r="U147" s="281"/>
      <c r="V147" s="281"/>
      <c r="W147" s="281"/>
      <c r="X147" s="281"/>
      <c r="Y147" s="281"/>
      <c r="Z147" s="281"/>
      <c r="AA147" s="281"/>
      <c r="AB147" s="281"/>
      <c r="AC147" s="281"/>
      <c r="AD147" s="281"/>
      <c r="AE147" s="281"/>
      <c r="AF147" s="281"/>
      <c r="AG147" s="281"/>
      <c r="AH147" s="281"/>
      <c r="AI147" s="281"/>
      <c r="AJ147" s="281"/>
      <c r="AK147" s="281"/>
      <c r="AL147" s="281"/>
      <c r="AM147" s="281"/>
      <c r="AN147" s="281"/>
      <c r="AO147" s="281"/>
      <c r="AP147" s="281"/>
      <c r="AQ147" s="281"/>
      <c r="AR147" s="281"/>
      <c r="AS147" s="155"/>
      <c r="AT147" s="155"/>
      <c r="AU147" s="156"/>
      <c r="AV147" s="156"/>
      <c r="AW147" s="156"/>
      <c r="AX147" s="281"/>
      <c r="AY147" s="281"/>
      <c r="AZ147" s="281"/>
      <c r="BA147" s="281"/>
      <c r="BB147" s="281"/>
      <c r="BC147" s="281"/>
      <c r="BD147" s="281"/>
      <c r="BE147" s="281"/>
      <c r="BF147" s="281"/>
      <c r="BG147" s="281"/>
      <c r="BH147" s="281"/>
      <c r="BI147" s="281"/>
      <c r="BJ147" s="281"/>
      <c r="BK147" s="281"/>
      <c r="BL147" s="281"/>
      <c r="BM147" s="281"/>
      <c r="BN147" s="281"/>
      <c r="BO147" s="281"/>
      <c r="BP147" s="281"/>
      <c r="BQ147" s="281"/>
      <c r="BR147" s="281"/>
      <c r="BS147" s="155"/>
      <c r="BT147" s="155"/>
      <c r="BU147" s="155"/>
      <c r="BV147" s="155"/>
      <c r="BW147" s="155"/>
    </row>
    <row r="148" spans="6:75" ht="11.25" customHeight="1" x14ac:dyDescent="0.2">
      <c r="F148" s="281"/>
      <c r="G148" s="281"/>
      <c r="H148" s="281"/>
      <c r="I148" s="281"/>
      <c r="J148" s="281"/>
      <c r="K148" s="281"/>
      <c r="L148" s="281"/>
      <c r="M148" s="281"/>
      <c r="N148" s="281"/>
      <c r="O148" s="281"/>
      <c r="P148" s="281"/>
      <c r="Q148" s="281"/>
      <c r="R148" s="281"/>
      <c r="S148" s="281"/>
      <c r="T148" s="281"/>
      <c r="U148" s="281"/>
      <c r="V148" s="281"/>
      <c r="W148" s="281"/>
      <c r="X148" s="281"/>
      <c r="Y148" s="281"/>
      <c r="Z148" s="281"/>
      <c r="AA148" s="281"/>
      <c r="AB148" s="281"/>
      <c r="AC148" s="281"/>
      <c r="AD148" s="281"/>
      <c r="AE148" s="281"/>
      <c r="AF148" s="281"/>
      <c r="AG148" s="281"/>
      <c r="AH148" s="281"/>
      <c r="AI148" s="281"/>
      <c r="AJ148" s="281"/>
      <c r="AK148" s="281"/>
      <c r="AL148" s="281"/>
      <c r="AM148" s="281"/>
      <c r="AN148" s="281"/>
      <c r="AO148" s="281"/>
      <c r="AP148" s="281"/>
      <c r="AQ148" s="281"/>
      <c r="AR148" s="281"/>
      <c r="AS148" s="155"/>
      <c r="AT148" s="155"/>
      <c r="AU148" s="156"/>
      <c r="AV148" s="156"/>
      <c r="AW148" s="156"/>
      <c r="AX148" s="281"/>
      <c r="AY148" s="281"/>
      <c r="AZ148" s="281"/>
      <c r="BA148" s="281"/>
      <c r="BB148" s="281"/>
      <c r="BC148" s="281"/>
      <c r="BD148" s="281"/>
      <c r="BE148" s="281"/>
      <c r="BF148" s="281"/>
      <c r="BG148" s="281"/>
      <c r="BH148" s="281"/>
      <c r="BI148" s="281"/>
      <c r="BJ148" s="281"/>
      <c r="BK148" s="281"/>
      <c r="BL148" s="281"/>
      <c r="BM148" s="281"/>
      <c r="BN148" s="281"/>
      <c r="BO148" s="281"/>
      <c r="BP148" s="281"/>
      <c r="BQ148" s="281"/>
      <c r="BR148" s="281"/>
      <c r="BS148" s="155"/>
      <c r="BT148" s="155"/>
      <c r="BU148" s="155"/>
      <c r="BV148" s="155"/>
      <c r="BW148" s="155"/>
    </row>
    <row r="149" spans="6:75" ht="11.25" customHeight="1" x14ac:dyDescent="0.2">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1"/>
      <c r="AK149" s="281"/>
      <c r="AL149" s="281"/>
      <c r="AM149" s="281"/>
      <c r="AN149" s="281"/>
      <c r="AO149" s="281"/>
      <c r="AP149" s="281"/>
      <c r="AQ149" s="281"/>
      <c r="AR149" s="281"/>
      <c r="AS149" s="155"/>
      <c r="AT149" s="155"/>
      <c r="AU149" s="156"/>
      <c r="AV149" s="156"/>
      <c r="AW149" s="156"/>
      <c r="AX149" s="281"/>
      <c r="AY149" s="281"/>
      <c r="AZ149" s="281"/>
      <c r="BA149" s="281"/>
      <c r="BB149" s="281"/>
      <c r="BC149" s="281"/>
      <c r="BD149" s="281"/>
      <c r="BE149" s="281"/>
      <c r="BF149" s="281"/>
      <c r="BG149" s="281"/>
      <c r="BH149" s="281"/>
      <c r="BI149" s="281"/>
      <c r="BJ149" s="281"/>
      <c r="BK149" s="281"/>
      <c r="BL149" s="281"/>
      <c r="BM149" s="281"/>
      <c r="BN149" s="281"/>
      <c r="BO149" s="281"/>
      <c r="BP149" s="281"/>
      <c r="BQ149" s="281"/>
      <c r="BR149" s="281"/>
      <c r="BS149" s="155"/>
      <c r="BT149" s="155"/>
      <c r="BU149" s="155"/>
      <c r="BV149" s="155"/>
      <c r="BW149" s="155"/>
    </row>
    <row r="150" spans="6:75" ht="11.25" customHeight="1" x14ac:dyDescent="0.2">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1"/>
      <c r="AK150" s="281"/>
      <c r="AL150" s="281"/>
      <c r="AM150" s="281"/>
      <c r="AN150" s="281"/>
      <c r="AO150" s="281"/>
      <c r="AP150" s="281"/>
      <c r="AQ150" s="281"/>
      <c r="AR150" s="281"/>
      <c r="AS150" s="155"/>
      <c r="AT150" s="155"/>
      <c r="AU150" s="156"/>
      <c r="AV150" s="156"/>
      <c r="AW150" s="156"/>
      <c r="AX150" s="281"/>
      <c r="AY150" s="281"/>
      <c r="AZ150" s="281"/>
      <c r="BA150" s="281"/>
      <c r="BB150" s="281"/>
      <c r="BC150" s="281"/>
      <c r="BD150" s="281"/>
      <c r="BE150" s="281"/>
      <c r="BF150" s="281"/>
      <c r="BG150" s="281"/>
      <c r="BH150" s="281"/>
      <c r="BI150" s="281"/>
      <c r="BJ150" s="281"/>
      <c r="BK150" s="281"/>
      <c r="BL150" s="281"/>
      <c r="BM150" s="281"/>
      <c r="BN150" s="281"/>
      <c r="BO150" s="281"/>
      <c r="BP150" s="281"/>
      <c r="BQ150" s="281"/>
      <c r="BR150" s="281"/>
      <c r="BS150" s="155"/>
      <c r="BT150" s="155"/>
      <c r="BU150" s="155"/>
      <c r="BV150" s="155"/>
      <c r="BW150" s="155"/>
    </row>
    <row r="151" spans="6:75" ht="11.25" customHeight="1" x14ac:dyDescent="0.2">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1"/>
      <c r="AK151" s="281"/>
      <c r="AL151" s="281"/>
      <c r="AM151" s="281"/>
      <c r="AN151" s="281"/>
      <c r="AO151" s="281"/>
      <c r="AP151" s="281"/>
      <c r="AQ151" s="281"/>
      <c r="AR151" s="281"/>
      <c r="AS151" s="155"/>
      <c r="AT151" s="155"/>
      <c r="AU151" s="156"/>
      <c r="AV151" s="156"/>
      <c r="AW151" s="156"/>
      <c r="AX151" s="281"/>
      <c r="AY151" s="281"/>
      <c r="AZ151" s="281"/>
      <c r="BA151" s="281"/>
      <c r="BB151" s="281"/>
      <c r="BC151" s="281"/>
      <c r="BD151" s="281"/>
      <c r="BE151" s="281"/>
      <c r="BF151" s="281"/>
      <c r="BG151" s="281"/>
      <c r="BH151" s="281"/>
      <c r="BI151" s="281"/>
      <c r="BJ151" s="281"/>
      <c r="BK151" s="281"/>
      <c r="BL151" s="281"/>
      <c r="BM151" s="281"/>
      <c r="BN151" s="281"/>
      <c r="BO151" s="281"/>
      <c r="BP151" s="281"/>
      <c r="BQ151" s="281"/>
      <c r="BR151" s="281"/>
      <c r="BS151" s="155"/>
      <c r="BT151" s="155"/>
      <c r="BU151" s="155"/>
      <c r="BV151" s="155"/>
      <c r="BW151" s="155"/>
    </row>
    <row r="152" spans="6:75" ht="11.25" customHeight="1" x14ac:dyDescent="0.2">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1"/>
      <c r="AK152" s="281"/>
      <c r="AL152" s="281"/>
      <c r="AM152" s="281"/>
      <c r="AN152" s="281"/>
      <c r="AO152" s="281"/>
      <c r="AP152" s="281"/>
      <c r="AQ152" s="281"/>
      <c r="AR152" s="281"/>
      <c r="AS152" s="155"/>
      <c r="AT152" s="155"/>
      <c r="AU152" s="156"/>
      <c r="AV152" s="156"/>
      <c r="AW152" s="156"/>
      <c r="AX152" s="281"/>
      <c r="AY152" s="281"/>
      <c r="AZ152" s="281"/>
      <c r="BA152" s="281"/>
      <c r="BB152" s="281"/>
      <c r="BC152" s="281"/>
      <c r="BD152" s="281"/>
      <c r="BE152" s="281"/>
      <c r="BF152" s="281"/>
      <c r="BG152" s="281"/>
      <c r="BH152" s="281"/>
      <c r="BI152" s="281"/>
      <c r="BJ152" s="281"/>
      <c r="BK152" s="281"/>
      <c r="BL152" s="281"/>
      <c r="BM152" s="281"/>
      <c r="BN152" s="281"/>
      <c r="BO152" s="281"/>
      <c r="BP152" s="281"/>
      <c r="BQ152" s="281"/>
      <c r="BR152" s="281"/>
      <c r="BS152" s="155"/>
      <c r="BT152" s="155"/>
      <c r="BU152" s="155"/>
      <c r="BV152" s="155"/>
      <c r="BW152" s="155"/>
    </row>
    <row r="153" spans="6:75" ht="11.25" customHeight="1" x14ac:dyDescent="0.2">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1"/>
      <c r="AK153" s="281"/>
      <c r="AL153" s="281"/>
      <c r="AM153" s="281"/>
      <c r="AN153" s="281"/>
      <c r="AO153" s="281"/>
      <c r="AP153" s="281"/>
      <c r="AQ153" s="281"/>
      <c r="AR153" s="281"/>
      <c r="AS153" s="155"/>
      <c r="AT153" s="155"/>
      <c r="AU153" s="156"/>
      <c r="AV153" s="156"/>
      <c r="AW153" s="156"/>
      <c r="AX153" s="281"/>
      <c r="AY153" s="281"/>
      <c r="AZ153" s="281"/>
      <c r="BA153" s="281"/>
      <c r="BB153" s="281"/>
      <c r="BC153" s="281"/>
      <c r="BD153" s="281"/>
      <c r="BE153" s="281"/>
      <c r="BF153" s="281"/>
      <c r="BG153" s="281"/>
      <c r="BH153" s="281"/>
      <c r="BI153" s="281"/>
      <c r="BJ153" s="281"/>
      <c r="BK153" s="281"/>
      <c r="BL153" s="281"/>
      <c r="BM153" s="281"/>
      <c r="BN153" s="281"/>
      <c r="BO153" s="281"/>
      <c r="BP153" s="281"/>
      <c r="BQ153" s="281"/>
      <c r="BR153" s="281"/>
      <c r="BS153" s="155"/>
      <c r="BT153" s="155"/>
      <c r="BU153" s="155"/>
      <c r="BV153" s="155"/>
      <c r="BW153" s="155"/>
    </row>
    <row r="154" spans="6:75" ht="11.25" customHeight="1" x14ac:dyDescent="0.2">
      <c r="F154" s="281"/>
      <c r="G154" s="281"/>
      <c r="H154" s="281"/>
      <c r="I154" s="281"/>
      <c r="J154" s="281"/>
      <c r="K154" s="281"/>
      <c r="L154" s="281"/>
      <c r="M154" s="281"/>
      <c r="N154" s="281"/>
      <c r="O154" s="281"/>
      <c r="P154" s="281"/>
      <c r="Q154" s="281"/>
      <c r="R154" s="281"/>
      <c r="S154" s="281"/>
      <c r="T154" s="281"/>
      <c r="U154" s="281"/>
      <c r="V154" s="281"/>
      <c r="W154" s="281"/>
      <c r="X154" s="281"/>
      <c r="Y154" s="281"/>
      <c r="Z154" s="281"/>
      <c r="AA154" s="281"/>
      <c r="AB154" s="281"/>
      <c r="AC154" s="281"/>
      <c r="AD154" s="281"/>
      <c r="AE154" s="281"/>
      <c r="AF154" s="281"/>
      <c r="AG154" s="281"/>
      <c r="AH154" s="281"/>
      <c r="AI154" s="281"/>
      <c r="AJ154" s="281"/>
      <c r="AK154" s="281"/>
      <c r="AL154" s="281"/>
      <c r="AM154" s="281"/>
      <c r="AN154" s="281"/>
      <c r="AO154" s="281"/>
      <c r="AP154" s="281"/>
      <c r="AQ154" s="281"/>
      <c r="AR154" s="281"/>
      <c r="AS154" s="155"/>
      <c r="AT154" s="155"/>
      <c r="AU154" s="156"/>
      <c r="AV154" s="156"/>
      <c r="AW154" s="156"/>
      <c r="AX154" s="281"/>
      <c r="AY154" s="281"/>
      <c r="AZ154" s="281"/>
      <c r="BA154" s="281"/>
      <c r="BB154" s="281"/>
      <c r="BC154" s="281"/>
      <c r="BD154" s="281"/>
      <c r="BE154" s="281"/>
      <c r="BF154" s="281"/>
      <c r="BG154" s="281"/>
      <c r="BH154" s="281"/>
      <c r="BI154" s="281"/>
      <c r="BJ154" s="281"/>
      <c r="BK154" s="281"/>
      <c r="BL154" s="281"/>
      <c r="BM154" s="281"/>
      <c r="BN154" s="281"/>
      <c r="BO154" s="281"/>
      <c r="BP154" s="281"/>
      <c r="BQ154" s="281"/>
      <c r="BR154" s="281"/>
      <c r="BS154" s="155"/>
      <c r="BT154" s="155"/>
      <c r="BU154" s="155"/>
      <c r="BV154" s="155"/>
      <c r="BW154" s="155"/>
    </row>
    <row r="155" spans="6:75" ht="11.25" customHeight="1" x14ac:dyDescent="0.2">
      <c r="F155" s="281"/>
      <c r="G155" s="281"/>
      <c r="H155" s="281"/>
      <c r="I155" s="281"/>
      <c r="J155" s="281"/>
      <c r="K155" s="281"/>
      <c r="L155" s="281"/>
      <c r="M155" s="281"/>
      <c r="N155" s="281"/>
      <c r="O155" s="281"/>
      <c r="P155" s="281"/>
      <c r="Q155" s="281"/>
      <c r="R155" s="281"/>
      <c r="S155" s="281"/>
      <c r="T155" s="281"/>
      <c r="U155" s="281"/>
      <c r="V155" s="281"/>
      <c r="W155" s="281"/>
      <c r="X155" s="281"/>
      <c r="Y155" s="281"/>
      <c r="Z155" s="281"/>
      <c r="AA155" s="281"/>
      <c r="AB155" s="281"/>
      <c r="AC155" s="281"/>
      <c r="AD155" s="281"/>
      <c r="AE155" s="281"/>
      <c r="AF155" s="281"/>
      <c r="AG155" s="281"/>
      <c r="AH155" s="281"/>
      <c r="AI155" s="281"/>
      <c r="AJ155" s="281"/>
      <c r="AK155" s="281"/>
      <c r="AL155" s="281"/>
      <c r="AM155" s="281"/>
      <c r="AN155" s="281"/>
      <c r="AO155" s="281"/>
      <c r="AP155" s="281"/>
      <c r="AQ155" s="281"/>
      <c r="AR155" s="281"/>
      <c r="AS155" s="155"/>
      <c r="AT155" s="155"/>
      <c r="AU155" s="156"/>
      <c r="AV155" s="156"/>
      <c r="AW155" s="156"/>
      <c r="AX155" s="281"/>
      <c r="AY155" s="281"/>
      <c r="AZ155" s="281"/>
      <c r="BA155" s="281"/>
      <c r="BB155" s="281"/>
      <c r="BC155" s="281"/>
      <c r="BD155" s="281"/>
      <c r="BE155" s="281"/>
      <c r="BF155" s="281"/>
      <c r="BG155" s="281"/>
      <c r="BH155" s="281"/>
      <c r="BI155" s="281"/>
      <c r="BJ155" s="281"/>
      <c r="BK155" s="281"/>
      <c r="BL155" s="281"/>
      <c r="BM155" s="281"/>
      <c r="BN155" s="281"/>
      <c r="BO155" s="281"/>
      <c r="BP155" s="281"/>
      <c r="BQ155" s="281"/>
      <c r="BR155" s="281"/>
      <c r="BS155" s="155"/>
      <c r="BT155" s="155"/>
      <c r="BU155" s="155"/>
      <c r="BV155" s="155"/>
      <c r="BW155" s="155"/>
    </row>
    <row r="156" spans="6:75" ht="11.25" customHeight="1" x14ac:dyDescent="0.2">
      <c r="F156" s="281"/>
      <c r="G156" s="281"/>
      <c r="H156" s="281"/>
      <c r="I156" s="281"/>
      <c r="J156" s="281"/>
      <c r="K156" s="281"/>
      <c r="L156" s="281"/>
      <c r="M156" s="281"/>
      <c r="N156" s="281"/>
      <c r="O156" s="281"/>
      <c r="P156" s="281"/>
      <c r="Q156" s="281"/>
      <c r="R156" s="281"/>
      <c r="S156" s="281"/>
      <c r="T156" s="281"/>
      <c r="U156" s="281"/>
      <c r="V156" s="281"/>
      <c r="W156" s="281"/>
      <c r="X156" s="281"/>
      <c r="Y156" s="281"/>
      <c r="Z156" s="281"/>
      <c r="AA156" s="281"/>
      <c r="AB156" s="281"/>
      <c r="AC156" s="281"/>
      <c r="AD156" s="281"/>
      <c r="AE156" s="281"/>
      <c r="AF156" s="281"/>
      <c r="AG156" s="281"/>
      <c r="AH156" s="281"/>
      <c r="AI156" s="281"/>
      <c r="AJ156" s="281"/>
      <c r="AK156" s="281"/>
      <c r="AL156" s="281"/>
      <c r="AM156" s="281"/>
      <c r="AN156" s="281"/>
      <c r="AO156" s="281"/>
      <c r="AP156" s="281"/>
      <c r="AQ156" s="281"/>
      <c r="AR156" s="281"/>
      <c r="AS156" s="155"/>
      <c r="AT156" s="155"/>
      <c r="AU156" s="156"/>
      <c r="AV156" s="156"/>
      <c r="AW156" s="156"/>
      <c r="AX156" s="281"/>
      <c r="AY156" s="281"/>
      <c r="AZ156" s="281"/>
      <c r="BA156" s="281"/>
      <c r="BB156" s="281"/>
      <c r="BC156" s="281"/>
      <c r="BD156" s="281"/>
      <c r="BE156" s="281"/>
      <c r="BF156" s="281"/>
      <c r="BG156" s="281"/>
      <c r="BH156" s="281"/>
      <c r="BI156" s="281"/>
      <c r="BJ156" s="281"/>
      <c r="BK156" s="281"/>
      <c r="BL156" s="281"/>
      <c r="BM156" s="281"/>
      <c r="BN156" s="281"/>
      <c r="BO156" s="281"/>
      <c r="BP156" s="281"/>
      <c r="BQ156" s="281"/>
      <c r="BR156" s="281"/>
      <c r="BS156" s="155"/>
      <c r="BT156" s="155"/>
      <c r="BU156" s="155"/>
      <c r="BV156" s="155"/>
      <c r="BW156" s="155"/>
    </row>
    <row r="157" spans="6:75" ht="11.25" customHeight="1" x14ac:dyDescent="0.2">
      <c r="F157" s="281"/>
      <c r="G157" s="281"/>
      <c r="H157" s="281"/>
      <c r="I157" s="281"/>
      <c r="J157" s="281"/>
      <c r="K157" s="281"/>
      <c r="L157" s="281"/>
      <c r="M157" s="281"/>
      <c r="N157" s="281"/>
      <c r="O157" s="281"/>
      <c r="P157" s="281"/>
      <c r="Q157" s="281"/>
      <c r="R157" s="281"/>
      <c r="S157" s="281"/>
      <c r="T157" s="281"/>
      <c r="U157" s="281"/>
      <c r="V157" s="281"/>
      <c r="W157" s="281"/>
      <c r="X157" s="281"/>
      <c r="Y157" s="281"/>
      <c r="Z157" s="281"/>
      <c r="AA157" s="281"/>
      <c r="AB157" s="281"/>
      <c r="AC157" s="281"/>
      <c r="AD157" s="281"/>
      <c r="AE157" s="281"/>
      <c r="AF157" s="281"/>
      <c r="AG157" s="281"/>
      <c r="AH157" s="281"/>
      <c r="AI157" s="281"/>
      <c r="AJ157" s="281"/>
      <c r="AK157" s="281"/>
      <c r="AL157" s="281"/>
      <c r="AM157" s="281"/>
      <c r="AN157" s="281"/>
      <c r="AO157" s="281"/>
      <c r="AP157" s="281"/>
      <c r="AQ157" s="281"/>
      <c r="AR157" s="281"/>
      <c r="AS157" s="155"/>
      <c r="AT157" s="155"/>
      <c r="AU157" s="156"/>
      <c r="AV157" s="156"/>
      <c r="AW157" s="156"/>
      <c r="AX157" s="281"/>
      <c r="AY157" s="281"/>
      <c r="AZ157" s="281"/>
      <c r="BA157" s="281"/>
      <c r="BB157" s="281"/>
      <c r="BC157" s="281"/>
      <c r="BD157" s="281"/>
      <c r="BE157" s="281"/>
      <c r="BF157" s="281"/>
      <c r="BG157" s="281"/>
      <c r="BH157" s="281"/>
      <c r="BI157" s="281"/>
      <c r="BJ157" s="281"/>
      <c r="BK157" s="281"/>
      <c r="BL157" s="281"/>
      <c r="BM157" s="281"/>
      <c r="BN157" s="281"/>
      <c r="BO157" s="281"/>
      <c r="BP157" s="281"/>
      <c r="BQ157" s="281"/>
      <c r="BR157" s="281"/>
      <c r="BS157" s="155"/>
      <c r="BT157" s="155"/>
      <c r="BU157" s="155"/>
      <c r="BV157" s="155"/>
      <c r="BW157" s="155"/>
    </row>
    <row r="158" spans="6:75" ht="11.25" customHeight="1" x14ac:dyDescent="0.2">
      <c r="F158" s="281"/>
      <c r="G158" s="281"/>
      <c r="H158" s="281"/>
      <c r="I158" s="281"/>
      <c r="J158" s="281"/>
      <c r="K158" s="281"/>
      <c r="L158" s="281"/>
      <c r="M158" s="281"/>
      <c r="N158" s="281"/>
      <c r="O158" s="281"/>
      <c r="P158" s="281"/>
      <c r="Q158" s="281"/>
      <c r="R158" s="281"/>
      <c r="S158" s="281"/>
      <c r="T158" s="281"/>
      <c r="U158" s="281"/>
      <c r="V158" s="281"/>
      <c r="W158" s="281"/>
      <c r="X158" s="281"/>
      <c r="Y158" s="281"/>
      <c r="Z158" s="281"/>
      <c r="AA158" s="281"/>
      <c r="AB158" s="281"/>
      <c r="AC158" s="281"/>
      <c r="AD158" s="281"/>
      <c r="AE158" s="281"/>
      <c r="AF158" s="281"/>
      <c r="AG158" s="281"/>
      <c r="AH158" s="281"/>
      <c r="AI158" s="281"/>
      <c r="AJ158" s="281"/>
      <c r="AK158" s="281"/>
      <c r="AL158" s="281"/>
      <c r="AM158" s="281"/>
      <c r="AN158" s="281"/>
      <c r="AO158" s="281"/>
      <c r="AP158" s="281"/>
      <c r="AQ158" s="281"/>
      <c r="AR158" s="281"/>
      <c r="AS158" s="155"/>
      <c r="AT158" s="155"/>
      <c r="AU158" s="156"/>
      <c r="AV158" s="156"/>
      <c r="AW158" s="156"/>
      <c r="AX158" s="281"/>
      <c r="AY158" s="281"/>
      <c r="AZ158" s="281"/>
      <c r="BA158" s="281"/>
      <c r="BB158" s="281"/>
      <c r="BC158" s="281"/>
      <c r="BD158" s="281"/>
      <c r="BE158" s="281"/>
      <c r="BF158" s="281"/>
      <c r="BG158" s="281"/>
      <c r="BH158" s="281"/>
      <c r="BI158" s="281"/>
      <c r="BJ158" s="281"/>
      <c r="BK158" s="281"/>
      <c r="BL158" s="281"/>
      <c r="BM158" s="281"/>
      <c r="BN158" s="281"/>
      <c r="BO158" s="281"/>
      <c r="BP158" s="281"/>
      <c r="BQ158" s="281"/>
      <c r="BR158" s="281"/>
      <c r="BS158" s="155"/>
      <c r="BT158" s="155"/>
      <c r="BU158" s="155"/>
      <c r="BV158" s="155"/>
      <c r="BW158" s="155"/>
    </row>
    <row r="159" spans="6:75" ht="11.25" customHeight="1" x14ac:dyDescent="0.2">
      <c r="F159" s="281"/>
      <c r="G159" s="281"/>
      <c r="H159" s="281"/>
      <c r="I159" s="281"/>
      <c r="J159" s="281"/>
      <c r="K159" s="281"/>
      <c r="L159" s="281"/>
      <c r="M159" s="281"/>
      <c r="N159" s="281"/>
      <c r="O159" s="281"/>
      <c r="P159" s="281"/>
      <c r="Q159" s="281"/>
      <c r="R159" s="281"/>
      <c r="S159" s="281"/>
      <c r="T159" s="281"/>
      <c r="U159" s="281"/>
      <c r="V159" s="281"/>
      <c r="W159" s="281"/>
      <c r="X159" s="281"/>
      <c r="Y159" s="281"/>
      <c r="Z159" s="281"/>
      <c r="AA159" s="281"/>
      <c r="AB159" s="281"/>
      <c r="AC159" s="281"/>
      <c r="AD159" s="281"/>
      <c r="AE159" s="281"/>
      <c r="AF159" s="281"/>
      <c r="AG159" s="281"/>
      <c r="AH159" s="281"/>
      <c r="AI159" s="281"/>
      <c r="AJ159" s="281"/>
      <c r="AK159" s="281"/>
      <c r="AL159" s="281"/>
      <c r="AM159" s="281"/>
      <c r="AN159" s="281"/>
      <c r="AO159" s="281"/>
      <c r="AP159" s="281"/>
      <c r="AQ159" s="281"/>
      <c r="AR159" s="281"/>
      <c r="AS159" s="155"/>
      <c r="AT159" s="155"/>
      <c r="AU159" s="156"/>
      <c r="AV159" s="156"/>
      <c r="AW159" s="156"/>
      <c r="AX159" s="281"/>
      <c r="AY159" s="281"/>
      <c r="AZ159" s="281"/>
      <c r="BA159" s="281"/>
      <c r="BB159" s="281"/>
      <c r="BC159" s="281"/>
      <c r="BD159" s="281"/>
      <c r="BE159" s="281"/>
      <c r="BF159" s="281"/>
      <c r="BG159" s="281"/>
      <c r="BH159" s="281"/>
      <c r="BI159" s="281"/>
      <c r="BJ159" s="281"/>
      <c r="BK159" s="281"/>
      <c r="BL159" s="281"/>
      <c r="BM159" s="281"/>
      <c r="BN159" s="281"/>
      <c r="BO159" s="281"/>
      <c r="BP159" s="281"/>
      <c r="BQ159" s="281"/>
      <c r="BR159" s="281"/>
      <c r="BS159" s="155"/>
      <c r="BT159" s="155"/>
      <c r="BU159" s="155"/>
      <c r="BV159" s="155"/>
      <c r="BW159" s="155"/>
    </row>
    <row r="160" spans="6:75" ht="11.25" customHeight="1" x14ac:dyDescent="0.2">
      <c r="F160" s="281"/>
      <c r="G160" s="281"/>
      <c r="H160" s="281"/>
      <c r="I160" s="281"/>
      <c r="J160" s="281"/>
      <c r="K160" s="281"/>
      <c r="L160" s="281"/>
      <c r="M160" s="281"/>
      <c r="N160" s="281"/>
      <c r="O160" s="281"/>
      <c r="P160" s="281"/>
      <c r="Q160" s="281"/>
      <c r="R160" s="281"/>
      <c r="S160" s="281"/>
      <c r="T160" s="281"/>
      <c r="U160" s="281"/>
      <c r="V160" s="281"/>
      <c r="W160" s="281"/>
      <c r="X160" s="281"/>
      <c r="Y160" s="281"/>
      <c r="Z160" s="281"/>
      <c r="AA160" s="281"/>
      <c r="AB160" s="281"/>
      <c r="AC160" s="281"/>
      <c r="AD160" s="281"/>
      <c r="AE160" s="281"/>
      <c r="AF160" s="281"/>
      <c r="AG160" s="281"/>
      <c r="AH160" s="281"/>
      <c r="AI160" s="281"/>
      <c r="AJ160" s="281"/>
      <c r="AK160" s="281"/>
      <c r="AL160" s="281"/>
      <c r="AM160" s="281"/>
      <c r="AN160" s="281"/>
      <c r="AO160" s="281"/>
      <c r="AP160" s="281"/>
      <c r="AQ160" s="281"/>
      <c r="AR160" s="281"/>
      <c r="AS160" s="155"/>
      <c r="AT160" s="155"/>
      <c r="AU160" s="156"/>
      <c r="AV160" s="156"/>
      <c r="AW160" s="156"/>
      <c r="AX160" s="281"/>
      <c r="AY160" s="281"/>
      <c r="AZ160" s="281"/>
      <c r="BA160" s="281"/>
      <c r="BB160" s="281"/>
      <c r="BC160" s="281"/>
      <c r="BD160" s="281"/>
      <c r="BE160" s="281"/>
      <c r="BF160" s="281"/>
      <c r="BG160" s="281"/>
      <c r="BH160" s="281"/>
      <c r="BI160" s="281"/>
      <c r="BJ160" s="281"/>
      <c r="BK160" s="281"/>
      <c r="BL160" s="281"/>
      <c r="BM160" s="281"/>
      <c r="BN160" s="281"/>
      <c r="BO160" s="281"/>
      <c r="BP160" s="281"/>
      <c r="BQ160" s="281"/>
      <c r="BR160" s="281"/>
      <c r="BS160" s="155"/>
      <c r="BT160" s="155"/>
      <c r="BU160" s="155"/>
      <c r="BV160" s="155"/>
      <c r="BW160" s="155"/>
    </row>
    <row r="161" spans="6:75" ht="11.25" customHeight="1" x14ac:dyDescent="0.2">
      <c r="F161" s="281"/>
      <c r="G161" s="281"/>
      <c r="H161" s="281"/>
      <c r="I161" s="281"/>
      <c r="J161" s="281"/>
      <c r="K161" s="281"/>
      <c r="L161" s="281"/>
      <c r="M161" s="281"/>
      <c r="N161" s="281"/>
      <c r="O161" s="281"/>
      <c r="P161" s="281"/>
      <c r="Q161" s="281"/>
      <c r="R161" s="281"/>
      <c r="S161" s="281"/>
      <c r="T161" s="281"/>
      <c r="U161" s="281"/>
      <c r="V161" s="281"/>
      <c r="W161" s="281"/>
      <c r="X161" s="281"/>
      <c r="Y161" s="281"/>
      <c r="Z161" s="281"/>
      <c r="AA161" s="281"/>
      <c r="AB161" s="281"/>
      <c r="AC161" s="281"/>
      <c r="AD161" s="281"/>
      <c r="AE161" s="281"/>
      <c r="AF161" s="281"/>
      <c r="AG161" s="281"/>
      <c r="AH161" s="281"/>
      <c r="AI161" s="281"/>
      <c r="AJ161" s="281"/>
      <c r="AK161" s="281"/>
      <c r="AL161" s="281"/>
      <c r="AM161" s="281"/>
      <c r="AN161" s="281"/>
      <c r="AO161" s="281"/>
      <c r="AP161" s="281"/>
      <c r="AQ161" s="281"/>
      <c r="AR161" s="281"/>
      <c r="AS161" s="155"/>
      <c r="AT161" s="155"/>
      <c r="AU161" s="156"/>
      <c r="AV161" s="156"/>
      <c r="AW161" s="156"/>
      <c r="AX161" s="281"/>
      <c r="AY161" s="281"/>
      <c r="AZ161" s="281"/>
      <c r="BA161" s="281"/>
      <c r="BB161" s="281"/>
      <c r="BC161" s="281"/>
      <c r="BD161" s="281"/>
      <c r="BE161" s="281"/>
      <c r="BF161" s="281"/>
      <c r="BG161" s="281"/>
      <c r="BH161" s="281"/>
      <c r="BI161" s="281"/>
      <c r="BJ161" s="281"/>
      <c r="BK161" s="281"/>
      <c r="BL161" s="281"/>
      <c r="BM161" s="281"/>
      <c r="BN161" s="281"/>
      <c r="BO161" s="281"/>
      <c r="BP161" s="281"/>
      <c r="BQ161" s="281"/>
      <c r="BR161" s="281"/>
      <c r="BS161" s="155"/>
      <c r="BT161" s="155"/>
      <c r="BU161" s="155"/>
      <c r="BV161" s="155"/>
      <c r="BW161" s="155"/>
    </row>
    <row r="162" spans="6:75" ht="11.25" customHeight="1" x14ac:dyDescent="0.2">
      <c r="F162" s="281"/>
      <c r="G162" s="281"/>
      <c r="H162" s="281"/>
      <c r="I162" s="281"/>
      <c r="J162" s="281"/>
      <c r="K162" s="281"/>
      <c r="L162" s="281"/>
      <c r="M162" s="281"/>
      <c r="N162" s="281"/>
      <c r="O162" s="281"/>
      <c r="P162" s="281"/>
      <c r="Q162" s="281"/>
      <c r="R162" s="281"/>
      <c r="S162" s="281"/>
      <c r="T162" s="281"/>
      <c r="U162" s="281"/>
      <c r="V162" s="281"/>
      <c r="W162" s="281"/>
      <c r="X162" s="281"/>
      <c r="Y162" s="281"/>
      <c r="Z162" s="281"/>
      <c r="AA162" s="281"/>
      <c r="AB162" s="281"/>
      <c r="AC162" s="281"/>
      <c r="AD162" s="281"/>
      <c r="AE162" s="281"/>
      <c r="AF162" s="281"/>
      <c r="AG162" s="281"/>
      <c r="AH162" s="281"/>
      <c r="AI162" s="281"/>
      <c r="AJ162" s="281"/>
      <c r="AK162" s="281"/>
      <c r="AL162" s="281"/>
      <c r="AM162" s="281"/>
      <c r="AN162" s="281"/>
      <c r="AO162" s="281"/>
      <c r="AP162" s="281"/>
      <c r="AQ162" s="281"/>
      <c r="AR162" s="281"/>
      <c r="AS162" s="155"/>
      <c r="AT162" s="155"/>
      <c r="AU162" s="156"/>
      <c r="AV162" s="156"/>
      <c r="AW162" s="156"/>
      <c r="AX162" s="281"/>
      <c r="AY162" s="281"/>
      <c r="AZ162" s="281"/>
      <c r="BA162" s="281"/>
      <c r="BB162" s="281"/>
      <c r="BC162" s="281"/>
      <c r="BD162" s="281"/>
      <c r="BE162" s="281"/>
      <c r="BF162" s="281"/>
      <c r="BG162" s="281"/>
      <c r="BH162" s="281"/>
      <c r="BI162" s="281"/>
      <c r="BJ162" s="281"/>
      <c r="BK162" s="281"/>
      <c r="BL162" s="281"/>
      <c r="BM162" s="281"/>
      <c r="BN162" s="281"/>
      <c r="BO162" s="281"/>
      <c r="BP162" s="281"/>
      <c r="BQ162" s="281"/>
      <c r="BR162" s="281"/>
      <c r="BS162" s="155"/>
      <c r="BT162" s="155"/>
      <c r="BU162" s="155"/>
      <c r="BV162" s="155"/>
      <c r="BW162" s="155"/>
    </row>
    <row r="163" spans="6:75" ht="11.25" customHeight="1" x14ac:dyDescent="0.2">
      <c r="F163" s="281"/>
      <c r="G163" s="281"/>
      <c r="H163" s="281"/>
      <c r="I163" s="281"/>
      <c r="J163" s="281"/>
      <c r="K163" s="281"/>
      <c r="L163" s="281"/>
      <c r="M163" s="281"/>
      <c r="N163" s="281"/>
      <c r="O163" s="281"/>
      <c r="P163" s="281"/>
      <c r="Q163" s="281"/>
      <c r="R163" s="281"/>
      <c r="S163" s="281"/>
      <c r="T163" s="281"/>
      <c r="U163" s="281"/>
      <c r="V163" s="281"/>
      <c r="W163" s="281"/>
      <c r="X163" s="281"/>
      <c r="Y163" s="281"/>
      <c r="Z163" s="281"/>
      <c r="AA163" s="281"/>
      <c r="AB163" s="281"/>
      <c r="AC163" s="281"/>
      <c r="AD163" s="281"/>
      <c r="AE163" s="281"/>
      <c r="AF163" s="281"/>
      <c r="AG163" s="281"/>
      <c r="AH163" s="281"/>
      <c r="AI163" s="281"/>
      <c r="AJ163" s="281"/>
      <c r="AK163" s="281"/>
      <c r="AL163" s="281"/>
      <c r="AM163" s="281"/>
      <c r="AN163" s="281"/>
      <c r="AO163" s="281"/>
      <c r="AP163" s="281"/>
      <c r="AQ163" s="281"/>
      <c r="AR163" s="281"/>
      <c r="AS163" s="155"/>
      <c r="AT163" s="155"/>
      <c r="AU163" s="156"/>
      <c r="AV163" s="156"/>
      <c r="AW163" s="156"/>
      <c r="AX163" s="281"/>
      <c r="AY163" s="281"/>
      <c r="AZ163" s="281"/>
      <c r="BA163" s="281"/>
      <c r="BB163" s="281"/>
      <c r="BC163" s="281"/>
      <c r="BD163" s="281"/>
      <c r="BE163" s="281"/>
      <c r="BF163" s="281"/>
      <c r="BG163" s="281"/>
      <c r="BH163" s="281"/>
      <c r="BI163" s="281"/>
      <c r="BJ163" s="281"/>
      <c r="BK163" s="281"/>
      <c r="BL163" s="281"/>
      <c r="BM163" s="281"/>
      <c r="BN163" s="281"/>
      <c r="BO163" s="281"/>
      <c r="BP163" s="281"/>
      <c r="BQ163" s="281"/>
      <c r="BR163" s="281"/>
      <c r="BS163" s="155"/>
      <c r="BT163" s="155"/>
      <c r="BU163" s="155"/>
      <c r="BV163" s="155"/>
      <c r="BW163" s="155"/>
    </row>
    <row r="164" spans="6:75" ht="11.25" customHeight="1" x14ac:dyDescent="0.2">
      <c r="F164" s="281"/>
      <c r="G164" s="281"/>
      <c r="H164" s="281"/>
      <c r="I164" s="281"/>
      <c r="J164" s="281"/>
      <c r="K164" s="281"/>
      <c r="L164" s="281"/>
      <c r="M164" s="281"/>
      <c r="N164" s="281"/>
      <c r="O164" s="281"/>
      <c r="P164" s="281"/>
      <c r="Q164" s="281"/>
      <c r="R164" s="281"/>
      <c r="S164" s="281"/>
      <c r="T164" s="281"/>
      <c r="U164" s="281"/>
      <c r="V164" s="281"/>
      <c r="W164" s="281"/>
      <c r="X164" s="281"/>
      <c r="Y164" s="281"/>
      <c r="Z164" s="281"/>
      <c r="AA164" s="281"/>
      <c r="AB164" s="281"/>
      <c r="AC164" s="281"/>
      <c r="AD164" s="281"/>
      <c r="AE164" s="281"/>
      <c r="AF164" s="281"/>
      <c r="AG164" s="281"/>
      <c r="AH164" s="281"/>
      <c r="AI164" s="281"/>
      <c r="AJ164" s="281"/>
      <c r="AK164" s="281"/>
      <c r="AL164" s="281"/>
      <c r="AM164" s="281"/>
      <c r="AN164" s="281"/>
      <c r="AO164" s="281"/>
      <c r="AP164" s="281"/>
      <c r="AQ164" s="281"/>
      <c r="AR164" s="281"/>
      <c r="AS164" s="155"/>
      <c r="AT164" s="155"/>
      <c r="AU164" s="156"/>
      <c r="AV164" s="156"/>
      <c r="AW164" s="156"/>
      <c r="AX164" s="281"/>
      <c r="AY164" s="281"/>
      <c r="AZ164" s="281"/>
      <c r="BA164" s="281"/>
      <c r="BB164" s="281"/>
      <c r="BC164" s="281"/>
      <c r="BD164" s="281"/>
      <c r="BE164" s="281"/>
      <c r="BF164" s="281"/>
      <c r="BG164" s="281"/>
      <c r="BH164" s="281"/>
      <c r="BI164" s="281"/>
      <c r="BJ164" s="281"/>
      <c r="BK164" s="281"/>
      <c r="BL164" s="281"/>
      <c r="BM164" s="281"/>
      <c r="BN164" s="281"/>
      <c r="BO164" s="281"/>
      <c r="BP164" s="281"/>
      <c r="BQ164" s="281"/>
      <c r="BR164" s="281"/>
      <c r="BS164" s="155"/>
      <c r="BT164" s="155"/>
      <c r="BU164" s="155"/>
      <c r="BV164" s="155"/>
      <c r="BW164" s="155"/>
    </row>
    <row r="165" spans="6:75" ht="11.25" customHeight="1" x14ac:dyDescent="0.2">
      <c r="F165" s="281"/>
      <c r="G165" s="281"/>
      <c r="H165" s="281"/>
      <c r="I165" s="281"/>
      <c r="J165" s="281"/>
      <c r="K165" s="281"/>
      <c r="L165" s="281"/>
      <c r="M165" s="281"/>
      <c r="N165" s="281"/>
      <c r="O165" s="281"/>
      <c r="P165" s="281"/>
      <c r="Q165" s="281"/>
      <c r="R165" s="281"/>
      <c r="S165" s="281"/>
      <c r="T165" s="281"/>
      <c r="U165" s="281"/>
      <c r="V165" s="281"/>
      <c r="W165" s="281"/>
      <c r="X165" s="281"/>
      <c r="Y165" s="281"/>
      <c r="Z165" s="281"/>
      <c r="AA165" s="281"/>
      <c r="AB165" s="281"/>
      <c r="AC165" s="281"/>
      <c r="AD165" s="281"/>
      <c r="AE165" s="281"/>
      <c r="AF165" s="281"/>
      <c r="AG165" s="281"/>
      <c r="AH165" s="281"/>
      <c r="AI165" s="281"/>
      <c r="AJ165" s="281"/>
      <c r="AK165" s="281"/>
      <c r="AL165" s="281"/>
      <c r="AM165" s="281"/>
      <c r="AN165" s="281"/>
      <c r="AO165" s="281"/>
      <c r="AP165" s="281"/>
      <c r="AQ165" s="281"/>
      <c r="AR165" s="281"/>
      <c r="AS165" s="155"/>
      <c r="AT165" s="155"/>
      <c r="AU165" s="156"/>
      <c r="AV165" s="156"/>
      <c r="AW165" s="156"/>
      <c r="AX165" s="281"/>
      <c r="AY165" s="281"/>
      <c r="AZ165" s="281"/>
      <c r="BA165" s="281"/>
      <c r="BB165" s="281"/>
      <c r="BC165" s="281"/>
      <c r="BD165" s="281"/>
      <c r="BE165" s="281"/>
      <c r="BF165" s="281"/>
      <c r="BG165" s="281"/>
      <c r="BH165" s="281"/>
      <c r="BI165" s="281"/>
      <c r="BJ165" s="281"/>
      <c r="BK165" s="281"/>
      <c r="BL165" s="281"/>
      <c r="BM165" s="281"/>
      <c r="BN165" s="281"/>
      <c r="BO165" s="281"/>
      <c r="BP165" s="281"/>
      <c r="BQ165" s="281"/>
      <c r="BR165" s="281"/>
      <c r="BS165" s="155"/>
      <c r="BT165" s="155"/>
      <c r="BU165" s="155"/>
      <c r="BV165" s="155"/>
      <c r="BW165" s="155"/>
    </row>
    <row r="166" spans="6:75" ht="11.25" customHeight="1" x14ac:dyDescent="0.2">
      <c r="F166" s="281"/>
      <c r="G166" s="281"/>
      <c r="H166" s="281"/>
      <c r="I166" s="281"/>
      <c r="J166" s="281"/>
      <c r="K166" s="281"/>
      <c r="L166" s="281"/>
      <c r="M166" s="281"/>
      <c r="N166" s="281"/>
      <c r="O166" s="281"/>
      <c r="P166" s="281"/>
      <c r="Q166" s="281"/>
      <c r="R166" s="281"/>
      <c r="S166" s="281"/>
      <c r="T166" s="281"/>
      <c r="U166" s="281"/>
      <c r="V166" s="281"/>
      <c r="W166" s="281"/>
      <c r="X166" s="281"/>
      <c r="Y166" s="281"/>
      <c r="Z166" s="281"/>
      <c r="AA166" s="281"/>
      <c r="AB166" s="281"/>
      <c r="AC166" s="281"/>
      <c r="AD166" s="281"/>
      <c r="AE166" s="281"/>
      <c r="AF166" s="281"/>
      <c r="AG166" s="281"/>
      <c r="AH166" s="281"/>
      <c r="AI166" s="281"/>
      <c r="AJ166" s="281"/>
      <c r="AK166" s="281"/>
      <c r="AL166" s="281"/>
      <c r="AM166" s="281"/>
      <c r="AN166" s="281"/>
      <c r="AO166" s="281"/>
      <c r="AP166" s="281"/>
      <c r="AQ166" s="281"/>
      <c r="AR166" s="281"/>
      <c r="AS166" s="155"/>
      <c r="AT166" s="155"/>
      <c r="AU166" s="156"/>
      <c r="AV166" s="156"/>
      <c r="AW166" s="156"/>
      <c r="AX166" s="281"/>
      <c r="AY166" s="281"/>
      <c r="AZ166" s="281"/>
      <c r="BA166" s="281"/>
      <c r="BB166" s="281"/>
      <c r="BC166" s="281"/>
      <c r="BD166" s="281"/>
      <c r="BE166" s="281"/>
      <c r="BF166" s="281"/>
      <c r="BG166" s="281"/>
      <c r="BH166" s="281"/>
      <c r="BI166" s="281"/>
      <c r="BJ166" s="281"/>
      <c r="BK166" s="281"/>
      <c r="BL166" s="281"/>
      <c r="BM166" s="281"/>
      <c r="BN166" s="281"/>
      <c r="BO166" s="281"/>
      <c r="BP166" s="281"/>
      <c r="BQ166" s="281"/>
      <c r="BR166" s="281"/>
      <c r="BS166" s="155"/>
      <c r="BT166" s="155"/>
      <c r="BU166" s="155"/>
      <c r="BV166" s="155"/>
      <c r="BW166" s="155"/>
    </row>
    <row r="167" spans="6:75" ht="11.25" customHeight="1" x14ac:dyDescent="0.2">
      <c r="F167" s="281"/>
      <c r="G167" s="281"/>
      <c r="H167" s="281"/>
      <c r="I167" s="281"/>
      <c r="J167" s="281"/>
      <c r="K167" s="281"/>
      <c r="L167" s="281"/>
      <c r="M167" s="281"/>
      <c r="N167" s="281"/>
      <c r="O167" s="281"/>
      <c r="P167" s="281"/>
      <c r="Q167" s="281"/>
      <c r="R167" s="281"/>
      <c r="S167" s="281"/>
      <c r="T167" s="281"/>
      <c r="U167" s="281"/>
      <c r="V167" s="281"/>
      <c r="W167" s="281"/>
      <c r="X167" s="281"/>
      <c r="Y167" s="281"/>
      <c r="Z167" s="281"/>
      <c r="AA167" s="281"/>
      <c r="AB167" s="281"/>
      <c r="AC167" s="281"/>
      <c r="AD167" s="281"/>
      <c r="AE167" s="281"/>
      <c r="AF167" s="281"/>
      <c r="AG167" s="281"/>
      <c r="AH167" s="281"/>
      <c r="AI167" s="281"/>
      <c r="AJ167" s="281"/>
      <c r="AK167" s="281"/>
      <c r="AL167" s="281"/>
      <c r="AM167" s="281"/>
      <c r="AN167" s="281"/>
      <c r="AO167" s="281"/>
      <c r="AP167" s="281"/>
      <c r="AQ167" s="281"/>
      <c r="AR167" s="281"/>
      <c r="AS167" s="155"/>
      <c r="AT167" s="155"/>
      <c r="AU167" s="156"/>
      <c r="AV167" s="156"/>
      <c r="AW167" s="156"/>
      <c r="AX167" s="281"/>
      <c r="AY167" s="281"/>
      <c r="AZ167" s="281"/>
      <c r="BA167" s="281"/>
      <c r="BB167" s="281"/>
      <c r="BC167" s="281"/>
      <c r="BD167" s="281"/>
      <c r="BE167" s="281"/>
      <c r="BF167" s="281"/>
      <c r="BG167" s="281"/>
      <c r="BH167" s="281"/>
      <c r="BI167" s="281"/>
      <c r="BJ167" s="281"/>
      <c r="BK167" s="281"/>
      <c r="BL167" s="281"/>
      <c r="BM167" s="281"/>
      <c r="BN167" s="281"/>
      <c r="BO167" s="281"/>
      <c r="BP167" s="281"/>
      <c r="BQ167" s="281"/>
      <c r="BR167" s="281"/>
      <c r="BS167" s="155"/>
      <c r="BT167" s="155"/>
      <c r="BU167" s="155"/>
      <c r="BV167" s="155"/>
      <c r="BW167" s="155"/>
    </row>
    <row r="168" spans="6:75" ht="11.25" customHeight="1" x14ac:dyDescent="0.2">
      <c r="F168" s="281"/>
      <c r="G168" s="281"/>
      <c r="H168" s="281"/>
      <c r="I168" s="281"/>
      <c r="J168" s="281"/>
      <c r="K168" s="281"/>
      <c r="L168" s="281"/>
      <c r="M168" s="281"/>
      <c r="N168" s="281"/>
      <c r="O168" s="281"/>
      <c r="P168" s="281"/>
      <c r="Q168" s="281"/>
      <c r="R168" s="281"/>
      <c r="S168" s="281"/>
      <c r="T168" s="281"/>
      <c r="U168" s="281"/>
      <c r="V168" s="281"/>
      <c r="W168" s="281"/>
      <c r="X168" s="281"/>
      <c r="Y168" s="281"/>
      <c r="Z168" s="281"/>
      <c r="AA168" s="281"/>
      <c r="AB168" s="281"/>
      <c r="AC168" s="281"/>
      <c r="AD168" s="281"/>
      <c r="AE168" s="281"/>
      <c r="AF168" s="281"/>
      <c r="AG168" s="281"/>
      <c r="AH168" s="281"/>
      <c r="AI168" s="281"/>
      <c r="AJ168" s="281"/>
      <c r="AK168" s="281"/>
      <c r="AL168" s="281"/>
      <c r="AM168" s="281"/>
      <c r="AN168" s="281"/>
      <c r="AO168" s="281"/>
      <c r="AP168" s="281"/>
      <c r="AQ168" s="281"/>
      <c r="AR168" s="281"/>
      <c r="AS168" s="155"/>
      <c r="AT168" s="155"/>
      <c r="AU168" s="156"/>
      <c r="AV168" s="156"/>
      <c r="AW168" s="156"/>
      <c r="AX168" s="281"/>
      <c r="AY168" s="281"/>
      <c r="AZ168" s="281"/>
      <c r="BA168" s="281"/>
      <c r="BB168" s="281"/>
      <c r="BC168" s="281"/>
      <c r="BD168" s="281"/>
      <c r="BE168" s="281"/>
      <c r="BF168" s="281"/>
      <c r="BG168" s="281"/>
      <c r="BH168" s="281"/>
      <c r="BI168" s="281"/>
      <c r="BJ168" s="281"/>
      <c r="BK168" s="281"/>
      <c r="BL168" s="281"/>
      <c r="BM168" s="281"/>
      <c r="BN168" s="281"/>
      <c r="BO168" s="281"/>
      <c r="BP168" s="281"/>
      <c r="BQ168" s="281"/>
      <c r="BR168" s="281"/>
      <c r="BS168" s="155"/>
      <c r="BT168" s="155"/>
      <c r="BU168" s="155"/>
      <c r="BV168" s="155"/>
      <c r="BW168" s="155"/>
    </row>
    <row r="169" spans="6:75" ht="11.25" customHeight="1" x14ac:dyDescent="0.2">
      <c r="F169" s="281"/>
      <c r="G169" s="281"/>
      <c r="H169" s="281"/>
      <c r="I169" s="281"/>
      <c r="J169" s="281"/>
      <c r="K169" s="281"/>
      <c r="L169" s="281"/>
      <c r="M169" s="281"/>
      <c r="N169" s="281"/>
      <c r="O169" s="281"/>
      <c r="P169" s="281"/>
      <c r="Q169" s="281"/>
      <c r="R169" s="281"/>
      <c r="S169" s="281"/>
      <c r="T169" s="281"/>
      <c r="U169" s="281"/>
      <c r="V169" s="281"/>
      <c r="W169" s="281"/>
      <c r="X169" s="281"/>
      <c r="Y169" s="281"/>
      <c r="Z169" s="281"/>
      <c r="AA169" s="281"/>
      <c r="AB169" s="281"/>
      <c r="AC169" s="281"/>
      <c r="AD169" s="281"/>
      <c r="AE169" s="281"/>
      <c r="AF169" s="281"/>
      <c r="AG169" s="281"/>
      <c r="AH169" s="281"/>
      <c r="AI169" s="281"/>
      <c r="AJ169" s="281"/>
      <c r="AK169" s="281"/>
      <c r="AL169" s="281"/>
      <c r="AM169" s="281"/>
      <c r="AN169" s="281"/>
      <c r="AO169" s="281"/>
      <c r="AP169" s="281"/>
      <c r="AQ169" s="281"/>
      <c r="AR169" s="281"/>
      <c r="AS169" s="155"/>
      <c r="AT169" s="155"/>
      <c r="AU169" s="156"/>
      <c r="AV169" s="156"/>
      <c r="AW169" s="156"/>
      <c r="AX169" s="281"/>
      <c r="AY169" s="281"/>
      <c r="AZ169" s="281"/>
      <c r="BA169" s="281"/>
      <c r="BB169" s="281"/>
      <c r="BC169" s="281"/>
      <c r="BD169" s="281"/>
      <c r="BE169" s="281"/>
      <c r="BF169" s="281"/>
      <c r="BG169" s="281"/>
      <c r="BH169" s="281"/>
      <c r="BI169" s="281"/>
      <c r="BJ169" s="281"/>
      <c r="BK169" s="281"/>
      <c r="BL169" s="281"/>
      <c r="BM169" s="281"/>
      <c r="BN169" s="281"/>
      <c r="BO169" s="281"/>
      <c r="BP169" s="281"/>
      <c r="BQ169" s="281"/>
      <c r="BR169" s="281"/>
      <c r="BS169" s="155"/>
      <c r="BT169" s="155"/>
      <c r="BU169" s="155"/>
      <c r="BV169" s="155"/>
      <c r="BW169" s="155"/>
    </row>
    <row r="170" spans="6:75" ht="11.25" customHeight="1" x14ac:dyDescent="0.2">
      <c r="F170" s="281"/>
      <c r="G170" s="281"/>
      <c r="H170" s="281"/>
      <c r="I170" s="281"/>
      <c r="J170" s="281"/>
      <c r="K170" s="281"/>
      <c r="L170" s="281"/>
      <c r="M170" s="281"/>
      <c r="N170" s="281"/>
      <c r="O170" s="281"/>
      <c r="P170" s="281"/>
      <c r="Q170" s="281"/>
      <c r="R170" s="281"/>
      <c r="S170" s="281"/>
      <c r="T170" s="281"/>
      <c r="U170" s="281"/>
      <c r="V170" s="281"/>
      <c r="W170" s="281"/>
      <c r="X170" s="281"/>
      <c r="Y170" s="281"/>
      <c r="Z170" s="281"/>
      <c r="AA170" s="281"/>
      <c r="AB170" s="281"/>
      <c r="AC170" s="281"/>
      <c r="AD170" s="281"/>
      <c r="AE170" s="281"/>
      <c r="AF170" s="281"/>
      <c r="AG170" s="281"/>
      <c r="AH170" s="281"/>
      <c r="AI170" s="281"/>
      <c r="AJ170" s="281"/>
      <c r="AK170" s="281"/>
      <c r="AL170" s="281"/>
      <c r="AM170" s="281"/>
      <c r="AN170" s="281"/>
      <c r="AO170" s="281"/>
      <c r="AP170" s="281"/>
      <c r="AQ170" s="281"/>
      <c r="AR170" s="281"/>
      <c r="AS170" s="155"/>
      <c r="AT170" s="155"/>
      <c r="AU170" s="156"/>
      <c r="AV170" s="156"/>
      <c r="AW170" s="156"/>
      <c r="AX170" s="281"/>
      <c r="AY170" s="281"/>
      <c r="AZ170" s="281"/>
      <c r="BA170" s="281"/>
      <c r="BB170" s="281"/>
      <c r="BC170" s="281"/>
      <c r="BD170" s="281"/>
      <c r="BE170" s="281"/>
      <c r="BF170" s="281"/>
      <c r="BG170" s="281"/>
      <c r="BH170" s="281"/>
      <c r="BI170" s="281"/>
      <c r="BJ170" s="281"/>
      <c r="BK170" s="281"/>
      <c r="BL170" s="281"/>
      <c r="BM170" s="281"/>
      <c r="BN170" s="281"/>
      <c r="BO170" s="281"/>
      <c r="BP170" s="281"/>
      <c r="BQ170" s="281"/>
      <c r="BR170" s="281"/>
      <c r="BS170" s="155"/>
      <c r="BT170" s="155"/>
      <c r="BU170" s="155"/>
      <c r="BV170" s="155"/>
      <c r="BW170" s="155"/>
    </row>
    <row r="171" spans="6:75" ht="11.25" customHeight="1" x14ac:dyDescent="0.2">
      <c r="F171" s="281"/>
      <c r="G171" s="281"/>
      <c r="H171" s="281"/>
      <c r="I171" s="281"/>
      <c r="J171" s="281"/>
      <c r="K171" s="281"/>
      <c r="L171" s="281"/>
      <c r="M171" s="281"/>
      <c r="N171" s="281"/>
      <c r="O171" s="281"/>
      <c r="P171" s="281"/>
      <c r="Q171" s="281"/>
      <c r="R171" s="281"/>
      <c r="S171" s="281"/>
      <c r="T171" s="281"/>
      <c r="U171" s="281"/>
      <c r="V171" s="281"/>
      <c r="W171" s="281"/>
      <c r="X171" s="281"/>
      <c r="Y171" s="281"/>
      <c r="Z171" s="281"/>
      <c r="AA171" s="281"/>
      <c r="AB171" s="281"/>
      <c r="AC171" s="281"/>
      <c r="AD171" s="281"/>
      <c r="AE171" s="281"/>
      <c r="AF171" s="281"/>
      <c r="AG171" s="281"/>
      <c r="AH171" s="281"/>
      <c r="AI171" s="281"/>
      <c r="AJ171" s="281"/>
      <c r="AK171" s="281"/>
      <c r="AL171" s="281"/>
      <c r="AM171" s="281"/>
      <c r="AN171" s="281"/>
      <c r="AO171" s="281"/>
      <c r="AP171" s="281"/>
      <c r="AQ171" s="281"/>
      <c r="AR171" s="281"/>
      <c r="AS171" s="155"/>
      <c r="AT171" s="155"/>
      <c r="AU171" s="156"/>
      <c r="AV171" s="156"/>
      <c r="AW171" s="156"/>
      <c r="AX171" s="281"/>
      <c r="AY171" s="281"/>
      <c r="AZ171" s="281"/>
      <c r="BA171" s="281"/>
      <c r="BB171" s="281"/>
      <c r="BC171" s="281"/>
      <c r="BD171" s="281"/>
      <c r="BE171" s="281"/>
      <c r="BF171" s="281"/>
      <c r="BG171" s="281"/>
      <c r="BH171" s="281"/>
      <c r="BI171" s="281"/>
      <c r="BJ171" s="281"/>
      <c r="BK171" s="281"/>
      <c r="BL171" s="281"/>
      <c r="BM171" s="281"/>
      <c r="BN171" s="281"/>
      <c r="BO171" s="281"/>
      <c r="BP171" s="281"/>
      <c r="BQ171" s="281"/>
      <c r="BR171" s="281"/>
      <c r="BS171" s="155"/>
      <c r="BT171" s="155"/>
      <c r="BU171" s="155"/>
      <c r="BV171" s="155"/>
      <c r="BW171" s="155"/>
    </row>
    <row r="172" spans="6:75" ht="11.25" customHeight="1" x14ac:dyDescent="0.2">
      <c r="F172" s="281"/>
      <c r="G172" s="281"/>
      <c r="H172" s="281"/>
      <c r="I172" s="281"/>
      <c r="J172" s="281"/>
      <c r="K172" s="281"/>
      <c r="L172" s="281"/>
      <c r="M172" s="281"/>
      <c r="N172" s="281"/>
      <c r="O172" s="281"/>
      <c r="P172" s="281"/>
      <c r="Q172" s="281"/>
      <c r="R172" s="281"/>
      <c r="S172" s="281"/>
      <c r="T172" s="281"/>
      <c r="U172" s="281"/>
      <c r="V172" s="281"/>
      <c r="W172" s="281"/>
      <c r="X172" s="281"/>
      <c r="Y172" s="281"/>
      <c r="Z172" s="281"/>
      <c r="AA172" s="281"/>
      <c r="AB172" s="281"/>
      <c r="AC172" s="281"/>
      <c r="AD172" s="281"/>
      <c r="AE172" s="281"/>
      <c r="AF172" s="281"/>
      <c r="AG172" s="281"/>
      <c r="AH172" s="281"/>
      <c r="AI172" s="281"/>
      <c r="AJ172" s="281"/>
      <c r="AK172" s="281"/>
      <c r="AL172" s="281"/>
      <c r="AM172" s="281"/>
      <c r="AN172" s="281"/>
      <c r="AO172" s="281"/>
      <c r="AP172" s="281"/>
      <c r="AQ172" s="281"/>
      <c r="AR172" s="281"/>
      <c r="AS172" s="155"/>
      <c r="AT172" s="155"/>
      <c r="AU172" s="156"/>
      <c r="AV172" s="156"/>
      <c r="AW172" s="156"/>
      <c r="AX172" s="281"/>
      <c r="AY172" s="281"/>
      <c r="AZ172" s="281"/>
      <c r="BA172" s="281"/>
      <c r="BB172" s="281"/>
      <c r="BC172" s="281"/>
      <c r="BD172" s="281"/>
      <c r="BE172" s="281"/>
      <c r="BF172" s="281"/>
      <c r="BG172" s="281"/>
      <c r="BH172" s="281"/>
      <c r="BI172" s="281"/>
      <c r="BJ172" s="281"/>
      <c r="BK172" s="281"/>
      <c r="BL172" s="281"/>
      <c r="BM172" s="281"/>
      <c r="BN172" s="281"/>
      <c r="BO172" s="281"/>
      <c r="BP172" s="281"/>
      <c r="BQ172" s="281"/>
      <c r="BR172" s="281"/>
      <c r="BS172" s="155"/>
      <c r="BT172" s="155"/>
      <c r="BU172" s="155"/>
      <c r="BV172" s="155"/>
      <c r="BW172" s="155"/>
    </row>
    <row r="173" spans="6:75" ht="11.25" customHeight="1" x14ac:dyDescent="0.2">
      <c r="F173" s="281"/>
      <c r="G173" s="281"/>
      <c r="H173" s="281"/>
      <c r="I173" s="281"/>
      <c r="J173" s="281"/>
      <c r="K173" s="281"/>
      <c r="L173" s="281"/>
      <c r="M173" s="281"/>
      <c r="N173" s="281"/>
      <c r="O173" s="281"/>
      <c r="P173" s="281"/>
      <c r="Q173" s="281"/>
      <c r="R173" s="281"/>
      <c r="S173" s="281"/>
      <c r="T173" s="281"/>
      <c r="U173" s="281"/>
      <c r="V173" s="281"/>
      <c r="W173" s="281"/>
      <c r="X173" s="281"/>
      <c r="Y173" s="281"/>
      <c r="Z173" s="281"/>
      <c r="AA173" s="281"/>
      <c r="AB173" s="281"/>
      <c r="AC173" s="281"/>
      <c r="AD173" s="281"/>
      <c r="AE173" s="281"/>
      <c r="AF173" s="281"/>
      <c r="AG173" s="281"/>
      <c r="AH173" s="281"/>
      <c r="AI173" s="281"/>
      <c r="AJ173" s="281"/>
      <c r="AK173" s="281"/>
      <c r="AL173" s="281"/>
      <c r="AM173" s="281"/>
      <c r="AN173" s="281"/>
      <c r="AO173" s="281"/>
      <c r="AP173" s="281"/>
      <c r="AQ173" s="281"/>
      <c r="AR173" s="281"/>
      <c r="AS173" s="155"/>
      <c r="AT173" s="155"/>
      <c r="AU173" s="156"/>
      <c r="AV173" s="156"/>
      <c r="AW173" s="156"/>
      <c r="AX173" s="281"/>
      <c r="AY173" s="281"/>
      <c r="AZ173" s="281"/>
      <c r="BA173" s="281"/>
      <c r="BB173" s="281"/>
      <c r="BC173" s="281"/>
      <c r="BD173" s="281"/>
      <c r="BE173" s="281"/>
      <c r="BF173" s="281"/>
      <c r="BG173" s="281"/>
      <c r="BH173" s="281"/>
      <c r="BI173" s="281"/>
      <c r="BJ173" s="281"/>
      <c r="BK173" s="281"/>
      <c r="BL173" s="281"/>
      <c r="BM173" s="281"/>
      <c r="BN173" s="281"/>
      <c r="BO173" s="281"/>
      <c r="BP173" s="281"/>
      <c r="BQ173" s="281"/>
      <c r="BR173" s="281"/>
      <c r="BS173" s="155"/>
      <c r="BT173" s="155"/>
      <c r="BU173" s="155"/>
      <c r="BV173" s="155"/>
      <c r="BW173" s="155"/>
    </row>
    <row r="174" spans="6:75" ht="11.25" customHeight="1" x14ac:dyDescent="0.2">
      <c r="F174" s="281"/>
      <c r="G174" s="281"/>
      <c r="H174" s="281"/>
      <c r="I174" s="281"/>
      <c r="J174" s="281"/>
      <c r="K174" s="281"/>
      <c r="L174" s="281"/>
      <c r="M174" s="281"/>
      <c r="N174" s="281"/>
      <c r="O174" s="281"/>
      <c r="P174" s="281"/>
      <c r="Q174" s="281"/>
      <c r="R174" s="281"/>
      <c r="S174" s="281"/>
      <c r="T174" s="281"/>
      <c r="U174" s="281"/>
      <c r="V174" s="281"/>
      <c r="W174" s="281"/>
      <c r="X174" s="281"/>
      <c r="Y174" s="281"/>
      <c r="Z174" s="281"/>
      <c r="AA174" s="281"/>
      <c r="AB174" s="281"/>
      <c r="AC174" s="281"/>
      <c r="AD174" s="281"/>
      <c r="AE174" s="281"/>
      <c r="AF174" s="281"/>
      <c r="AG174" s="281"/>
      <c r="AH174" s="281"/>
      <c r="AI174" s="281"/>
      <c r="AJ174" s="281"/>
      <c r="AK174" s="281"/>
      <c r="AL174" s="281"/>
      <c r="AM174" s="281"/>
      <c r="AN174" s="281"/>
      <c r="AO174" s="281"/>
      <c r="AP174" s="281"/>
      <c r="AQ174" s="281"/>
      <c r="AR174" s="281"/>
      <c r="AS174" s="155"/>
      <c r="AT174" s="155"/>
      <c r="AU174" s="156"/>
      <c r="AV174" s="156"/>
      <c r="AW174" s="156"/>
      <c r="AX174" s="281"/>
      <c r="AY174" s="281"/>
      <c r="AZ174" s="281"/>
      <c r="BA174" s="281"/>
      <c r="BB174" s="281"/>
      <c r="BC174" s="281"/>
      <c r="BD174" s="281"/>
      <c r="BE174" s="281"/>
      <c r="BF174" s="281"/>
      <c r="BG174" s="281"/>
      <c r="BH174" s="281"/>
      <c r="BI174" s="281"/>
      <c r="BJ174" s="281"/>
      <c r="BK174" s="281"/>
      <c r="BL174" s="281"/>
      <c r="BM174" s="281"/>
      <c r="BN174" s="281"/>
      <c r="BO174" s="281"/>
      <c r="BP174" s="281"/>
      <c r="BQ174" s="281"/>
      <c r="BR174" s="281"/>
      <c r="BS174" s="155"/>
      <c r="BT174" s="155"/>
      <c r="BU174" s="155"/>
      <c r="BV174" s="155"/>
      <c r="BW174" s="155"/>
    </row>
    <row r="175" spans="6:75" ht="11.25" customHeight="1" x14ac:dyDescent="0.2">
      <c r="F175" s="281"/>
      <c r="G175" s="281"/>
      <c r="H175" s="281"/>
      <c r="I175" s="281"/>
      <c r="J175" s="281"/>
      <c r="K175" s="281"/>
      <c r="L175" s="281"/>
      <c r="M175" s="281"/>
      <c r="N175" s="281"/>
      <c r="O175" s="281"/>
      <c r="P175" s="281"/>
      <c r="Q175" s="281"/>
      <c r="R175" s="281"/>
      <c r="S175" s="281"/>
      <c r="T175" s="281"/>
      <c r="U175" s="281"/>
      <c r="V175" s="281"/>
      <c r="W175" s="281"/>
      <c r="X175" s="281"/>
      <c r="Y175" s="281"/>
      <c r="Z175" s="281"/>
      <c r="AA175" s="281"/>
      <c r="AB175" s="281"/>
      <c r="AC175" s="281"/>
      <c r="AD175" s="281"/>
      <c r="AE175" s="281"/>
      <c r="AF175" s="281"/>
      <c r="AG175" s="281"/>
      <c r="AH175" s="281"/>
      <c r="AI175" s="281"/>
      <c r="AJ175" s="281"/>
      <c r="AK175" s="281"/>
      <c r="AL175" s="281"/>
      <c r="AM175" s="281"/>
      <c r="AN175" s="281"/>
      <c r="AO175" s="281"/>
      <c r="AP175" s="281"/>
      <c r="AQ175" s="281"/>
      <c r="AR175" s="281"/>
      <c r="AS175" s="155"/>
      <c r="AT175" s="155"/>
      <c r="AU175" s="156"/>
      <c r="AV175" s="156"/>
      <c r="AW175" s="156"/>
      <c r="AX175" s="281"/>
      <c r="AY175" s="281"/>
      <c r="AZ175" s="281"/>
      <c r="BA175" s="281"/>
      <c r="BB175" s="281"/>
      <c r="BC175" s="281"/>
      <c r="BD175" s="281"/>
      <c r="BE175" s="281"/>
      <c r="BF175" s="281"/>
      <c r="BG175" s="281"/>
      <c r="BH175" s="281"/>
      <c r="BI175" s="281"/>
      <c r="BJ175" s="281"/>
      <c r="BK175" s="281"/>
      <c r="BL175" s="281"/>
      <c r="BM175" s="281"/>
      <c r="BN175" s="281"/>
      <c r="BO175" s="281"/>
      <c r="BP175" s="281"/>
      <c r="BQ175" s="281"/>
      <c r="BR175" s="281"/>
      <c r="BS175" s="155"/>
      <c r="BT175" s="155"/>
      <c r="BU175" s="155"/>
      <c r="BV175" s="155"/>
      <c r="BW175" s="155"/>
    </row>
    <row r="176" spans="6:75" ht="11.25" customHeight="1" x14ac:dyDescent="0.2">
      <c r="F176" s="281"/>
      <c r="G176" s="281"/>
      <c r="H176" s="281"/>
      <c r="I176" s="281"/>
      <c r="J176" s="281"/>
      <c r="K176" s="281"/>
      <c r="L176" s="281"/>
      <c r="M176" s="281"/>
      <c r="N176" s="281"/>
      <c r="O176" s="281"/>
      <c r="P176" s="281"/>
      <c r="Q176" s="281"/>
      <c r="R176" s="281"/>
      <c r="S176" s="281"/>
      <c r="T176" s="281"/>
      <c r="U176" s="281"/>
      <c r="V176" s="281"/>
      <c r="W176" s="281"/>
      <c r="X176" s="281"/>
      <c r="Y176" s="281"/>
      <c r="Z176" s="281"/>
      <c r="AA176" s="281"/>
      <c r="AB176" s="281"/>
      <c r="AC176" s="281"/>
      <c r="AD176" s="281"/>
      <c r="AE176" s="281"/>
      <c r="AF176" s="281"/>
      <c r="AG176" s="281"/>
      <c r="AH176" s="281"/>
      <c r="AI176" s="281"/>
      <c r="AJ176" s="281"/>
      <c r="AK176" s="281"/>
      <c r="AL176" s="281"/>
      <c r="AM176" s="281"/>
      <c r="AN176" s="281"/>
      <c r="AO176" s="281"/>
      <c r="AP176" s="281"/>
      <c r="AQ176" s="281"/>
      <c r="AR176" s="281"/>
      <c r="AS176" s="155"/>
      <c r="AT176" s="155"/>
      <c r="AU176" s="156"/>
      <c r="AV176" s="156"/>
      <c r="AW176" s="156"/>
      <c r="AX176" s="281"/>
      <c r="AY176" s="281"/>
      <c r="AZ176" s="281"/>
      <c r="BA176" s="281"/>
      <c r="BB176" s="281"/>
      <c r="BC176" s="281"/>
      <c r="BD176" s="281"/>
      <c r="BE176" s="281"/>
      <c r="BF176" s="281"/>
      <c r="BG176" s="281"/>
      <c r="BH176" s="281"/>
      <c r="BI176" s="281"/>
      <c r="BJ176" s="281"/>
      <c r="BK176" s="281"/>
      <c r="BL176" s="281"/>
      <c r="BM176" s="281"/>
      <c r="BN176" s="281"/>
      <c r="BO176" s="281"/>
      <c r="BP176" s="281"/>
      <c r="BQ176" s="281"/>
      <c r="BR176" s="281"/>
      <c r="BS176" s="155"/>
      <c r="BT176" s="155"/>
      <c r="BU176" s="155"/>
      <c r="BV176" s="155"/>
      <c r="BW176" s="155"/>
    </row>
    <row r="177" spans="6:75" ht="11.25" customHeight="1" x14ac:dyDescent="0.2">
      <c r="F177" s="281"/>
      <c r="G177" s="281"/>
      <c r="H177" s="281"/>
      <c r="I177" s="281"/>
      <c r="J177" s="281"/>
      <c r="K177" s="281"/>
      <c r="L177" s="281"/>
      <c r="M177" s="281"/>
      <c r="N177" s="281"/>
      <c r="O177" s="281"/>
      <c r="P177" s="281"/>
      <c r="Q177" s="281"/>
      <c r="R177" s="281"/>
      <c r="S177" s="281"/>
      <c r="T177" s="281"/>
      <c r="U177" s="281"/>
      <c r="V177" s="281"/>
      <c r="W177" s="281"/>
      <c r="X177" s="281"/>
      <c r="Y177" s="281"/>
      <c r="Z177" s="281"/>
      <c r="AA177" s="281"/>
      <c r="AB177" s="281"/>
      <c r="AC177" s="281"/>
      <c r="AD177" s="281"/>
      <c r="AE177" s="281"/>
      <c r="AF177" s="281"/>
      <c r="AG177" s="281"/>
      <c r="AH177" s="281"/>
      <c r="AI177" s="281"/>
      <c r="AJ177" s="281"/>
      <c r="AK177" s="281"/>
      <c r="AL177" s="281"/>
      <c r="AM177" s="281"/>
      <c r="AN177" s="281"/>
      <c r="AO177" s="281"/>
      <c r="AP177" s="281"/>
      <c r="AQ177" s="281"/>
      <c r="AR177" s="281"/>
      <c r="AS177" s="155"/>
      <c r="AT177" s="155"/>
      <c r="AU177" s="156"/>
      <c r="AV177" s="156"/>
      <c r="AW177" s="156"/>
      <c r="AX177" s="281"/>
      <c r="AY177" s="281"/>
      <c r="AZ177" s="281"/>
      <c r="BA177" s="281"/>
      <c r="BB177" s="281"/>
      <c r="BC177" s="281"/>
      <c r="BD177" s="281"/>
      <c r="BE177" s="281"/>
      <c r="BF177" s="281"/>
      <c r="BG177" s="281"/>
      <c r="BH177" s="281"/>
      <c r="BI177" s="281"/>
      <c r="BJ177" s="281"/>
      <c r="BK177" s="281"/>
      <c r="BL177" s="281"/>
      <c r="BM177" s="281"/>
      <c r="BN177" s="281"/>
      <c r="BO177" s="281"/>
      <c r="BP177" s="281"/>
      <c r="BQ177" s="281"/>
      <c r="BR177" s="281"/>
      <c r="BS177" s="155"/>
      <c r="BT177" s="155"/>
      <c r="BU177" s="155"/>
      <c r="BV177" s="155"/>
      <c r="BW177" s="155"/>
    </row>
    <row r="178" spans="6:75" ht="11.25" customHeight="1" x14ac:dyDescent="0.2">
      <c r="F178" s="281"/>
      <c r="G178" s="281"/>
      <c r="H178" s="281"/>
      <c r="I178" s="281"/>
      <c r="J178" s="281"/>
      <c r="K178" s="281"/>
      <c r="L178" s="281"/>
      <c r="M178" s="281"/>
      <c r="N178" s="281"/>
      <c r="O178" s="281"/>
      <c r="P178" s="281"/>
      <c r="Q178" s="281"/>
      <c r="R178" s="281"/>
      <c r="S178" s="281"/>
      <c r="T178" s="281"/>
      <c r="U178" s="281"/>
      <c r="V178" s="281"/>
      <c r="W178" s="281"/>
      <c r="X178" s="281"/>
      <c r="Y178" s="281"/>
      <c r="Z178" s="281"/>
      <c r="AA178" s="281"/>
      <c r="AB178" s="281"/>
      <c r="AC178" s="281"/>
      <c r="AD178" s="281"/>
      <c r="AE178" s="281"/>
      <c r="AF178" s="281"/>
      <c r="AG178" s="281"/>
      <c r="AH178" s="281"/>
      <c r="AI178" s="281"/>
      <c r="AJ178" s="281"/>
      <c r="AK178" s="281"/>
      <c r="AL178" s="281"/>
      <c r="AM178" s="281"/>
      <c r="AN178" s="281"/>
      <c r="AO178" s="281"/>
      <c r="AP178" s="281"/>
      <c r="AQ178" s="281"/>
      <c r="AR178" s="281"/>
      <c r="AS178" s="155"/>
      <c r="AT178" s="155"/>
      <c r="AU178" s="156"/>
      <c r="AV178" s="156"/>
      <c r="AW178" s="156"/>
      <c r="AX178" s="281"/>
      <c r="AY178" s="281"/>
      <c r="AZ178" s="281"/>
      <c r="BA178" s="281"/>
      <c r="BB178" s="281"/>
      <c r="BC178" s="281"/>
      <c r="BD178" s="281"/>
      <c r="BE178" s="281"/>
      <c r="BF178" s="281"/>
      <c r="BG178" s="281"/>
      <c r="BH178" s="281"/>
      <c r="BI178" s="281"/>
      <c r="BJ178" s="281"/>
      <c r="BK178" s="281"/>
      <c r="BL178" s="281"/>
      <c r="BM178" s="281"/>
      <c r="BN178" s="281"/>
      <c r="BO178" s="281"/>
      <c r="BP178" s="281"/>
      <c r="BQ178" s="281"/>
      <c r="BR178" s="281"/>
      <c r="BS178" s="155"/>
      <c r="BT178" s="155"/>
      <c r="BU178" s="155"/>
      <c r="BV178" s="155"/>
      <c r="BW178" s="155"/>
    </row>
    <row r="179" spans="6:75" ht="11.25" customHeight="1" x14ac:dyDescent="0.2">
      <c r="F179" s="281"/>
      <c r="G179" s="281"/>
      <c r="H179" s="281"/>
      <c r="I179" s="281"/>
      <c r="J179" s="281"/>
      <c r="K179" s="281"/>
      <c r="L179" s="281"/>
      <c r="M179" s="281"/>
      <c r="N179" s="281"/>
      <c r="O179" s="281"/>
      <c r="P179" s="281"/>
      <c r="Q179" s="281"/>
      <c r="R179" s="281"/>
      <c r="S179" s="281"/>
      <c r="T179" s="281"/>
      <c r="U179" s="281"/>
      <c r="V179" s="281"/>
      <c r="W179" s="281"/>
      <c r="X179" s="281"/>
      <c r="Y179" s="281"/>
      <c r="Z179" s="281"/>
      <c r="AA179" s="281"/>
      <c r="AB179" s="281"/>
      <c r="AC179" s="281"/>
      <c r="AD179" s="281"/>
      <c r="AE179" s="281"/>
      <c r="AF179" s="281"/>
      <c r="AG179" s="281"/>
      <c r="AH179" s="281"/>
      <c r="AI179" s="281"/>
      <c r="AJ179" s="281"/>
      <c r="AK179" s="281"/>
      <c r="AL179" s="281"/>
      <c r="AM179" s="281"/>
      <c r="AN179" s="281"/>
      <c r="AO179" s="281"/>
      <c r="AP179" s="281"/>
      <c r="AQ179" s="281"/>
      <c r="AR179" s="281"/>
      <c r="AS179" s="155"/>
      <c r="AT179" s="155"/>
      <c r="AU179" s="156"/>
      <c r="AV179" s="156"/>
      <c r="AW179" s="156"/>
      <c r="AX179" s="281"/>
      <c r="AY179" s="281"/>
      <c r="AZ179" s="281"/>
      <c r="BA179" s="281"/>
      <c r="BB179" s="281"/>
      <c r="BC179" s="281"/>
      <c r="BD179" s="281"/>
      <c r="BE179" s="281"/>
      <c r="BF179" s="281"/>
      <c r="BG179" s="281"/>
      <c r="BH179" s="281"/>
      <c r="BI179" s="281"/>
      <c r="BJ179" s="281"/>
      <c r="BK179" s="281"/>
      <c r="BL179" s="281"/>
      <c r="BM179" s="281"/>
      <c r="BN179" s="281"/>
      <c r="BO179" s="281"/>
      <c r="BP179" s="281"/>
      <c r="BQ179" s="281"/>
      <c r="BR179" s="281"/>
      <c r="BS179" s="155"/>
      <c r="BT179" s="155"/>
      <c r="BU179" s="155"/>
      <c r="BV179" s="155"/>
      <c r="BW179" s="155"/>
    </row>
    <row r="180" spans="6:75" ht="11.25" customHeight="1" x14ac:dyDescent="0.2">
      <c r="F180" s="281"/>
      <c r="G180" s="281"/>
      <c r="H180" s="281"/>
      <c r="I180" s="281"/>
      <c r="J180" s="281"/>
      <c r="K180" s="281"/>
      <c r="L180" s="281"/>
      <c r="M180" s="281"/>
      <c r="N180" s="281"/>
      <c r="O180" s="281"/>
      <c r="P180" s="281"/>
      <c r="Q180" s="281"/>
      <c r="R180" s="281"/>
      <c r="S180" s="281"/>
      <c r="T180" s="281"/>
      <c r="U180" s="281"/>
      <c r="V180" s="281"/>
      <c r="W180" s="281"/>
      <c r="X180" s="281"/>
      <c r="Y180" s="281"/>
      <c r="Z180" s="281"/>
      <c r="AA180" s="281"/>
      <c r="AB180" s="281"/>
      <c r="AC180" s="281"/>
      <c r="AD180" s="281"/>
      <c r="AE180" s="281"/>
      <c r="AF180" s="281"/>
      <c r="AG180" s="281"/>
      <c r="AH180" s="281"/>
      <c r="AI180" s="281"/>
      <c r="AJ180" s="281"/>
      <c r="AK180" s="281"/>
      <c r="AL180" s="281"/>
      <c r="AM180" s="281"/>
      <c r="AN180" s="281"/>
      <c r="AO180" s="281"/>
      <c r="AP180" s="281"/>
      <c r="AQ180" s="281"/>
      <c r="AR180" s="281"/>
      <c r="AS180" s="155"/>
      <c r="AT180" s="155"/>
      <c r="AU180" s="156"/>
      <c r="AV180" s="156"/>
      <c r="AW180" s="156"/>
      <c r="AX180" s="281"/>
      <c r="AY180" s="281"/>
      <c r="AZ180" s="281"/>
      <c r="BA180" s="281"/>
      <c r="BB180" s="281"/>
      <c r="BC180" s="281"/>
      <c r="BD180" s="281"/>
      <c r="BE180" s="281"/>
      <c r="BF180" s="281"/>
      <c r="BG180" s="281"/>
      <c r="BH180" s="281"/>
      <c r="BI180" s="281"/>
      <c r="BJ180" s="281"/>
      <c r="BK180" s="281"/>
      <c r="BL180" s="281"/>
      <c r="BM180" s="281"/>
      <c r="BN180" s="281"/>
      <c r="BO180" s="281"/>
      <c r="BP180" s="281"/>
      <c r="BQ180" s="281"/>
      <c r="BR180" s="281"/>
      <c r="BS180" s="155"/>
      <c r="BT180" s="155"/>
      <c r="BU180" s="155"/>
      <c r="BV180" s="155"/>
      <c r="BW180" s="155"/>
    </row>
    <row r="181" spans="6:75" ht="11.25" customHeight="1" x14ac:dyDescent="0.2">
      <c r="F181" s="281"/>
      <c r="G181" s="281"/>
      <c r="H181" s="281"/>
      <c r="I181" s="281"/>
      <c r="J181" s="281"/>
      <c r="K181" s="281"/>
      <c r="L181" s="281"/>
      <c r="M181" s="281"/>
      <c r="N181" s="281"/>
      <c r="O181" s="281"/>
      <c r="P181" s="281"/>
      <c r="Q181" s="281"/>
      <c r="R181" s="281"/>
      <c r="S181" s="281"/>
      <c r="T181" s="281"/>
      <c r="U181" s="281"/>
      <c r="V181" s="281"/>
      <c r="W181" s="281"/>
      <c r="X181" s="281"/>
      <c r="Y181" s="281"/>
      <c r="Z181" s="281"/>
      <c r="AA181" s="281"/>
      <c r="AB181" s="281"/>
      <c r="AC181" s="281"/>
      <c r="AD181" s="281"/>
      <c r="AE181" s="281"/>
      <c r="AF181" s="281"/>
      <c r="AG181" s="281"/>
      <c r="AH181" s="281"/>
      <c r="AI181" s="281"/>
      <c r="AJ181" s="281"/>
      <c r="AK181" s="281"/>
      <c r="AL181" s="281"/>
      <c r="AM181" s="281"/>
      <c r="AN181" s="281"/>
      <c r="AO181" s="281"/>
      <c r="AP181" s="281"/>
      <c r="AQ181" s="281"/>
      <c r="AR181" s="281"/>
      <c r="AS181" s="155"/>
      <c r="AT181" s="155"/>
      <c r="AU181" s="156"/>
      <c r="AV181" s="156"/>
      <c r="AW181" s="156"/>
      <c r="AX181" s="281"/>
      <c r="AY181" s="281"/>
      <c r="AZ181" s="281"/>
      <c r="BA181" s="281"/>
      <c r="BB181" s="281"/>
      <c r="BC181" s="281"/>
      <c r="BD181" s="281"/>
      <c r="BE181" s="281"/>
      <c r="BF181" s="281"/>
      <c r="BG181" s="281"/>
      <c r="BH181" s="281"/>
      <c r="BI181" s="281"/>
      <c r="BJ181" s="281"/>
      <c r="BK181" s="281"/>
      <c r="BL181" s="281"/>
      <c r="BM181" s="281"/>
      <c r="BN181" s="281"/>
      <c r="BO181" s="281"/>
      <c r="BP181" s="281"/>
      <c r="BQ181" s="281"/>
      <c r="BR181" s="281"/>
      <c r="BS181" s="155"/>
      <c r="BT181" s="155"/>
      <c r="BU181" s="155"/>
      <c r="BV181" s="155"/>
      <c r="BW181" s="155"/>
    </row>
    <row r="182" spans="6:75" ht="11.25" customHeight="1" x14ac:dyDescent="0.2">
      <c r="F182" s="281"/>
      <c r="G182" s="281"/>
      <c r="H182" s="281"/>
      <c r="I182" s="281"/>
      <c r="J182" s="281"/>
      <c r="K182" s="281"/>
      <c r="L182" s="281"/>
      <c r="M182" s="281"/>
      <c r="N182" s="281"/>
      <c r="O182" s="281"/>
      <c r="P182" s="281"/>
      <c r="Q182" s="281"/>
      <c r="R182" s="281"/>
      <c r="S182" s="281"/>
      <c r="T182" s="281"/>
      <c r="U182" s="281"/>
      <c r="V182" s="281"/>
      <c r="W182" s="281"/>
      <c r="X182" s="281"/>
      <c r="Y182" s="281"/>
      <c r="Z182" s="281"/>
      <c r="AA182" s="281"/>
      <c r="AB182" s="281"/>
      <c r="AC182" s="281"/>
      <c r="AD182" s="281"/>
      <c r="AE182" s="281"/>
      <c r="AF182" s="281"/>
      <c r="AG182" s="281"/>
      <c r="AH182" s="281"/>
      <c r="AI182" s="281"/>
      <c r="AJ182" s="281"/>
      <c r="AK182" s="281"/>
      <c r="AL182" s="281"/>
      <c r="AM182" s="281"/>
      <c r="AN182" s="281"/>
      <c r="AO182" s="281"/>
      <c r="AP182" s="281"/>
      <c r="AQ182" s="281"/>
      <c r="AR182" s="281"/>
      <c r="AS182" s="155"/>
      <c r="AT182" s="155"/>
      <c r="AU182" s="156"/>
      <c r="AV182" s="156"/>
      <c r="AW182" s="156"/>
      <c r="AX182" s="281"/>
      <c r="AY182" s="281"/>
      <c r="AZ182" s="281"/>
      <c r="BA182" s="281"/>
      <c r="BB182" s="281"/>
      <c r="BC182" s="281"/>
      <c r="BD182" s="281"/>
      <c r="BE182" s="281"/>
      <c r="BF182" s="281"/>
      <c r="BG182" s="281"/>
      <c r="BH182" s="281"/>
      <c r="BI182" s="281"/>
      <c r="BJ182" s="281"/>
      <c r="BK182" s="281"/>
      <c r="BL182" s="281"/>
      <c r="BM182" s="281"/>
      <c r="BN182" s="281"/>
      <c r="BO182" s="281"/>
      <c r="BP182" s="281"/>
      <c r="BQ182" s="281"/>
      <c r="BR182" s="281"/>
      <c r="BS182" s="155"/>
      <c r="BT182" s="155"/>
      <c r="BU182" s="155"/>
      <c r="BV182" s="155"/>
      <c r="BW182" s="155"/>
    </row>
    <row r="183" spans="6:75" ht="11.25" customHeight="1" x14ac:dyDescent="0.2">
      <c r="F183" s="281"/>
      <c r="G183" s="281"/>
      <c r="H183" s="281"/>
      <c r="I183" s="281"/>
      <c r="J183" s="281"/>
      <c r="K183" s="281"/>
      <c r="L183" s="281"/>
      <c r="M183" s="281"/>
      <c r="N183" s="281"/>
      <c r="O183" s="281"/>
      <c r="P183" s="281"/>
      <c r="Q183" s="281"/>
      <c r="R183" s="281"/>
      <c r="S183" s="281"/>
      <c r="T183" s="281"/>
      <c r="U183" s="281"/>
      <c r="V183" s="281"/>
      <c r="W183" s="281"/>
      <c r="X183" s="281"/>
      <c r="Y183" s="281"/>
      <c r="Z183" s="281"/>
      <c r="AA183" s="281"/>
      <c r="AB183" s="281"/>
      <c r="AC183" s="281"/>
      <c r="AD183" s="281"/>
      <c r="AE183" s="281"/>
      <c r="AF183" s="281"/>
      <c r="AG183" s="281"/>
      <c r="AH183" s="281"/>
      <c r="AI183" s="281"/>
      <c r="AJ183" s="281"/>
      <c r="AK183" s="281"/>
      <c r="AL183" s="281"/>
      <c r="AM183" s="281"/>
      <c r="AN183" s="281"/>
      <c r="AO183" s="281"/>
      <c r="AP183" s="281"/>
      <c r="AQ183" s="281"/>
      <c r="AR183" s="281"/>
      <c r="AS183" s="155"/>
      <c r="AT183" s="155"/>
      <c r="AU183" s="156"/>
      <c r="AV183" s="156"/>
      <c r="AW183" s="156"/>
      <c r="AX183" s="281"/>
      <c r="AY183" s="281"/>
      <c r="AZ183" s="281"/>
      <c r="BA183" s="281"/>
      <c r="BB183" s="281"/>
      <c r="BC183" s="281"/>
      <c r="BD183" s="281"/>
      <c r="BE183" s="281"/>
      <c r="BF183" s="281"/>
      <c r="BG183" s="281"/>
      <c r="BH183" s="281"/>
      <c r="BI183" s="281"/>
      <c r="BJ183" s="281"/>
      <c r="BK183" s="281"/>
      <c r="BL183" s="281"/>
      <c r="BM183" s="281"/>
      <c r="BN183" s="281"/>
      <c r="BO183" s="281"/>
      <c r="BP183" s="281"/>
      <c r="BQ183" s="281"/>
      <c r="BR183" s="281"/>
      <c r="BS183" s="155"/>
      <c r="BT183" s="155"/>
      <c r="BU183" s="155"/>
      <c r="BV183" s="155"/>
      <c r="BW183" s="155"/>
    </row>
    <row r="184" spans="6:75" ht="11.25" customHeight="1" x14ac:dyDescent="0.2">
      <c r="F184" s="281"/>
      <c r="G184" s="281"/>
      <c r="H184" s="281"/>
      <c r="I184" s="281"/>
      <c r="J184" s="281"/>
      <c r="K184" s="281"/>
      <c r="L184" s="281"/>
      <c r="M184" s="281"/>
      <c r="N184" s="281"/>
      <c r="O184" s="281"/>
      <c r="P184" s="281"/>
      <c r="Q184" s="281"/>
      <c r="R184" s="281"/>
      <c r="S184" s="281"/>
      <c r="T184" s="281"/>
      <c r="U184" s="281"/>
      <c r="V184" s="281"/>
      <c r="W184" s="281"/>
      <c r="X184" s="281"/>
      <c r="Y184" s="281"/>
      <c r="Z184" s="281"/>
      <c r="AA184" s="281"/>
      <c r="AB184" s="281"/>
      <c r="AC184" s="281"/>
      <c r="AD184" s="281"/>
      <c r="AE184" s="281"/>
      <c r="AF184" s="281"/>
      <c r="AG184" s="281"/>
      <c r="AH184" s="281"/>
      <c r="AI184" s="281"/>
      <c r="AJ184" s="281"/>
      <c r="AK184" s="281"/>
      <c r="AL184" s="281"/>
      <c r="AM184" s="281"/>
      <c r="AN184" s="281"/>
      <c r="AO184" s="281"/>
      <c r="AP184" s="281"/>
      <c r="AQ184" s="281"/>
      <c r="AR184" s="281"/>
      <c r="AS184" s="155"/>
      <c r="AT184" s="155"/>
      <c r="AU184" s="156"/>
      <c r="AV184" s="156"/>
      <c r="AW184" s="156"/>
      <c r="AX184" s="281"/>
      <c r="AY184" s="281"/>
      <c r="AZ184" s="281"/>
      <c r="BA184" s="281"/>
      <c r="BB184" s="281"/>
      <c r="BC184" s="281"/>
      <c r="BD184" s="281"/>
      <c r="BE184" s="281"/>
      <c r="BF184" s="281"/>
      <c r="BG184" s="281"/>
      <c r="BH184" s="281"/>
      <c r="BI184" s="281"/>
      <c r="BJ184" s="281"/>
      <c r="BK184" s="281"/>
      <c r="BL184" s="281"/>
      <c r="BM184" s="281"/>
      <c r="BN184" s="281"/>
      <c r="BO184" s="281"/>
      <c r="BP184" s="281"/>
      <c r="BQ184" s="281"/>
      <c r="BR184" s="281"/>
      <c r="BS184" s="155"/>
      <c r="BT184" s="155"/>
      <c r="BU184" s="155"/>
      <c r="BV184" s="155"/>
      <c r="BW184" s="155"/>
    </row>
    <row r="185" spans="6:75" ht="11.25" customHeight="1" x14ac:dyDescent="0.2">
      <c r="F185" s="281"/>
      <c r="G185" s="281"/>
      <c r="H185" s="281"/>
      <c r="I185" s="281"/>
      <c r="J185" s="281"/>
      <c r="K185" s="281"/>
      <c r="L185" s="281"/>
      <c r="M185" s="281"/>
      <c r="N185" s="281"/>
      <c r="O185" s="281"/>
      <c r="P185" s="281"/>
      <c r="Q185" s="281"/>
      <c r="R185" s="281"/>
      <c r="S185" s="281"/>
      <c r="T185" s="281"/>
      <c r="U185" s="281"/>
      <c r="V185" s="281"/>
      <c r="W185" s="281"/>
      <c r="X185" s="281"/>
      <c r="Y185" s="281"/>
      <c r="Z185" s="281"/>
      <c r="AA185" s="281"/>
      <c r="AB185" s="281"/>
      <c r="AC185" s="281"/>
      <c r="AD185" s="281"/>
      <c r="AE185" s="281"/>
      <c r="AF185" s="281"/>
      <c r="AG185" s="281"/>
      <c r="AH185" s="281"/>
      <c r="AI185" s="281"/>
      <c r="AJ185" s="281"/>
      <c r="AK185" s="281"/>
      <c r="AL185" s="281"/>
      <c r="AM185" s="281"/>
      <c r="AN185" s="281"/>
      <c r="AO185" s="281"/>
      <c r="AP185" s="281"/>
      <c r="AQ185" s="281"/>
      <c r="AR185" s="281"/>
      <c r="AS185" s="155"/>
      <c r="AT185" s="155"/>
      <c r="AU185" s="156"/>
      <c r="AV185" s="156"/>
      <c r="AW185" s="156"/>
      <c r="AX185" s="281"/>
      <c r="AY185" s="281"/>
      <c r="AZ185" s="281"/>
      <c r="BA185" s="281"/>
      <c r="BB185" s="281"/>
      <c r="BC185" s="281"/>
      <c r="BD185" s="281"/>
      <c r="BE185" s="281"/>
      <c r="BF185" s="281"/>
      <c r="BG185" s="281"/>
      <c r="BH185" s="281"/>
      <c r="BI185" s="281"/>
      <c r="BJ185" s="281"/>
      <c r="BK185" s="281"/>
      <c r="BL185" s="281"/>
      <c r="BM185" s="281"/>
      <c r="BN185" s="281"/>
      <c r="BO185" s="281"/>
      <c r="BP185" s="281"/>
      <c r="BQ185" s="281"/>
      <c r="BR185" s="281"/>
      <c r="BS185" s="155"/>
      <c r="BT185" s="155"/>
      <c r="BU185" s="155"/>
      <c r="BV185" s="155"/>
      <c r="BW185" s="155"/>
    </row>
    <row r="186" spans="6:75" ht="11.25" customHeight="1" x14ac:dyDescent="0.2">
      <c r="F186" s="281"/>
      <c r="G186" s="281"/>
      <c r="H186" s="281"/>
      <c r="I186" s="281"/>
      <c r="J186" s="281"/>
      <c r="K186" s="281"/>
      <c r="L186" s="281"/>
      <c r="M186" s="281"/>
      <c r="N186" s="281"/>
      <c r="O186" s="281"/>
      <c r="P186" s="281"/>
      <c r="Q186" s="281"/>
      <c r="R186" s="281"/>
      <c r="S186" s="281"/>
      <c r="T186" s="281"/>
      <c r="U186" s="281"/>
      <c r="V186" s="281"/>
      <c r="W186" s="281"/>
      <c r="X186" s="281"/>
      <c r="Y186" s="281"/>
      <c r="Z186" s="281"/>
      <c r="AA186" s="281"/>
      <c r="AB186" s="281"/>
      <c r="AC186" s="281"/>
      <c r="AD186" s="281"/>
      <c r="AE186" s="281"/>
      <c r="AF186" s="281"/>
      <c r="AG186" s="281"/>
      <c r="AH186" s="281"/>
      <c r="AI186" s="281"/>
      <c r="AJ186" s="281"/>
      <c r="AK186" s="281"/>
      <c r="AL186" s="281"/>
      <c r="AM186" s="281"/>
      <c r="AN186" s="281"/>
      <c r="AO186" s="281"/>
      <c r="AP186" s="281"/>
      <c r="AQ186" s="281"/>
      <c r="AR186" s="281"/>
      <c r="AS186" s="155"/>
      <c r="AT186" s="155"/>
      <c r="AU186" s="156"/>
      <c r="AV186" s="156"/>
      <c r="AW186" s="156"/>
      <c r="AX186" s="281"/>
      <c r="AY186" s="281"/>
      <c r="AZ186" s="281"/>
      <c r="BA186" s="281"/>
      <c r="BB186" s="281"/>
      <c r="BC186" s="281"/>
      <c r="BD186" s="281"/>
      <c r="BE186" s="281"/>
      <c r="BF186" s="281"/>
      <c r="BG186" s="281"/>
      <c r="BH186" s="281"/>
      <c r="BI186" s="281"/>
      <c r="BJ186" s="281"/>
      <c r="BK186" s="281"/>
      <c r="BL186" s="281"/>
      <c r="BM186" s="281"/>
      <c r="BN186" s="281"/>
      <c r="BO186" s="281"/>
      <c r="BP186" s="281"/>
      <c r="BQ186" s="281"/>
      <c r="BR186" s="281"/>
      <c r="BS186" s="155"/>
      <c r="BT186" s="155"/>
      <c r="BU186" s="155"/>
      <c r="BV186" s="155"/>
      <c r="BW186" s="155"/>
    </row>
    <row r="187" spans="6:75" ht="11.25" customHeight="1" x14ac:dyDescent="0.2">
      <c r="F187" s="281"/>
      <c r="G187" s="281"/>
      <c r="H187" s="281"/>
      <c r="I187" s="281"/>
      <c r="J187" s="281"/>
      <c r="K187" s="281"/>
      <c r="L187" s="281"/>
      <c r="M187" s="281"/>
      <c r="N187" s="281"/>
      <c r="O187" s="281"/>
      <c r="P187" s="281"/>
      <c r="Q187" s="281"/>
      <c r="R187" s="281"/>
      <c r="S187" s="281"/>
      <c r="T187" s="281"/>
      <c r="U187" s="281"/>
      <c r="V187" s="281"/>
      <c r="W187" s="281"/>
      <c r="X187" s="281"/>
      <c r="Y187" s="281"/>
      <c r="Z187" s="281"/>
      <c r="AA187" s="281"/>
      <c r="AB187" s="281"/>
      <c r="AC187" s="281"/>
      <c r="AD187" s="281"/>
      <c r="AE187" s="281"/>
      <c r="AF187" s="281"/>
      <c r="AG187" s="281"/>
      <c r="AH187" s="281"/>
      <c r="AI187" s="281"/>
      <c r="AJ187" s="281"/>
      <c r="AK187" s="281"/>
      <c r="AL187" s="281"/>
      <c r="AM187" s="281"/>
      <c r="AN187" s="281"/>
      <c r="AO187" s="281"/>
      <c r="AP187" s="281"/>
      <c r="AQ187" s="281"/>
      <c r="AR187" s="281"/>
      <c r="AS187" s="155"/>
      <c r="AT187" s="155"/>
      <c r="AU187" s="156"/>
      <c r="AV187" s="156"/>
      <c r="AW187" s="156"/>
      <c r="AX187" s="281"/>
      <c r="AY187" s="281"/>
      <c r="AZ187" s="281"/>
      <c r="BA187" s="281"/>
      <c r="BB187" s="281"/>
      <c r="BC187" s="281"/>
      <c r="BD187" s="281"/>
      <c r="BE187" s="281"/>
      <c r="BF187" s="281"/>
      <c r="BG187" s="281"/>
      <c r="BH187" s="281"/>
      <c r="BI187" s="281"/>
      <c r="BJ187" s="281"/>
      <c r="BK187" s="281"/>
      <c r="BL187" s="281"/>
      <c r="BM187" s="281"/>
      <c r="BN187" s="281"/>
      <c r="BO187" s="281"/>
      <c r="BP187" s="281"/>
      <c r="BQ187" s="281"/>
      <c r="BR187" s="281"/>
      <c r="BS187" s="155"/>
      <c r="BT187" s="155"/>
      <c r="BU187" s="155"/>
      <c r="BV187" s="155"/>
      <c r="BW187" s="155"/>
    </row>
    <row r="188" spans="6:75" ht="11.25" customHeight="1" x14ac:dyDescent="0.2">
      <c r="F188" s="281"/>
      <c r="G188" s="281"/>
      <c r="H188" s="281"/>
      <c r="I188" s="281"/>
      <c r="J188" s="281"/>
      <c r="K188" s="281"/>
      <c r="L188" s="281"/>
      <c r="M188" s="281"/>
      <c r="N188" s="281"/>
      <c r="O188" s="281"/>
      <c r="P188" s="281"/>
      <c r="Q188" s="281"/>
      <c r="R188" s="281"/>
      <c r="S188" s="281"/>
      <c r="T188" s="281"/>
      <c r="U188" s="281"/>
      <c r="V188" s="281"/>
      <c r="W188" s="281"/>
      <c r="X188" s="281"/>
      <c r="Y188" s="281"/>
      <c r="Z188" s="281"/>
      <c r="AA188" s="281"/>
      <c r="AB188" s="281"/>
      <c r="AC188" s="281"/>
      <c r="AD188" s="281"/>
      <c r="AE188" s="281"/>
      <c r="AF188" s="281"/>
      <c r="AG188" s="281"/>
      <c r="AH188" s="281"/>
      <c r="AI188" s="281"/>
      <c r="AJ188" s="281"/>
      <c r="AK188" s="281"/>
      <c r="AL188" s="281"/>
      <c r="AM188" s="281"/>
      <c r="AN188" s="281"/>
      <c r="AO188" s="281"/>
      <c r="AP188" s="281"/>
      <c r="AQ188" s="281"/>
      <c r="AR188" s="281"/>
      <c r="AS188" s="155"/>
      <c r="AT188" s="155"/>
      <c r="AU188" s="156"/>
      <c r="AV188" s="156"/>
      <c r="AW188" s="156"/>
      <c r="AX188" s="281"/>
      <c r="AY188" s="281"/>
      <c r="AZ188" s="281"/>
      <c r="BA188" s="281"/>
      <c r="BB188" s="281"/>
      <c r="BC188" s="281"/>
      <c r="BD188" s="281"/>
      <c r="BE188" s="281"/>
      <c r="BF188" s="281"/>
      <c r="BG188" s="281"/>
      <c r="BH188" s="281"/>
      <c r="BI188" s="281"/>
      <c r="BJ188" s="281"/>
      <c r="BK188" s="281"/>
      <c r="BL188" s="281"/>
      <c r="BM188" s="281"/>
      <c r="BN188" s="281"/>
      <c r="BO188" s="281"/>
      <c r="BP188" s="281"/>
      <c r="BQ188" s="281"/>
      <c r="BR188" s="281"/>
      <c r="BS188" s="155"/>
      <c r="BT188" s="155"/>
      <c r="BU188" s="155"/>
      <c r="BV188" s="155"/>
      <c r="BW188" s="155"/>
    </row>
    <row r="189" spans="6:75" ht="11.25" customHeight="1" x14ac:dyDescent="0.2">
      <c r="F189" s="281"/>
      <c r="G189" s="281"/>
      <c r="H189" s="281"/>
      <c r="I189" s="281"/>
      <c r="J189" s="281"/>
      <c r="K189" s="281"/>
      <c r="L189" s="281"/>
      <c r="M189" s="281"/>
      <c r="N189" s="281"/>
      <c r="O189" s="281"/>
      <c r="P189" s="281"/>
      <c r="Q189" s="281"/>
      <c r="R189" s="281"/>
      <c r="S189" s="281"/>
      <c r="T189" s="281"/>
      <c r="U189" s="281"/>
      <c r="V189" s="281"/>
      <c r="W189" s="281"/>
      <c r="X189" s="281"/>
      <c r="Y189" s="281"/>
      <c r="Z189" s="281"/>
      <c r="AA189" s="281"/>
      <c r="AB189" s="281"/>
      <c r="AC189" s="281"/>
      <c r="AD189" s="281"/>
      <c r="AE189" s="281"/>
      <c r="AF189" s="281"/>
      <c r="AG189" s="281"/>
      <c r="AH189" s="281"/>
      <c r="AI189" s="281"/>
      <c r="AJ189" s="281"/>
      <c r="AK189" s="281"/>
      <c r="AL189" s="281"/>
      <c r="AM189" s="281"/>
      <c r="AN189" s="281"/>
      <c r="AO189" s="281"/>
      <c r="AP189" s="281"/>
      <c r="AQ189" s="281"/>
      <c r="AR189" s="281"/>
      <c r="AS189" s="155"/>
      <c r="AT189" s="155"/>
      <c r="AU189" s="156"/>
      <c r="AV189" s="156"/>
      <c r="AW189" s="156"/>
      <c r="AX189" s="281"/>
      <c r="AY189" s="281"/>
      <c r="AZ189" s="281"/>
      <c r="BA189" s="281"/>
      <c r="BB189" s="281"/>
      <c r="BC189" s="281"/>
      <c r="BD189" s="281"/>
      <c r="BE189" s="281"/>
      <c r="BF189" s="281"/>
      <c r="BG189" s="281"/>
      <c r="BH189" s="281"/>
      <c r="BI189" s="281"/>
      <c r="BJ189" s="281"/>
      <c r="BK189" s="281"/>
      <c r="BL189" s="281"/>
      <c r="BM189" s="281"/>
      <c r="BN189" s="281"/>
      <c r="BO189" s="281"/>
      <c r="BP189" s="281"/>
      <c r="BQ189" s="281"/>
      <c r="BR189" s="281"/>
      <c r="BS189" s="155"/>
      <c r="BT189" s="155"/>
      <c r="BU189" s="155"/>
      <c r="BV189" s="155"/>
      <c r="BW189" s="155"/>
    </row>
    <row r="190" spans="6:75" ht="11.25" customHeight="1" x14ac:dyDescent="0.2">
      <c r="F190" s="281"/>
      <c r="G190" s="281"/>
      <c r="H190" s="281"/>
      <c r="I190" s="281"/>
      <c r="J190" s="281"/>
      <c r="K190" s="281"/>
      <c r="L190" s="281"/>
      <c r="M190" s="281"/>
      <c r="N190" s="281"/>
      <c r="O190" s="281"/>
      <c r="P190" s="281"/>
      <c r="Q190" s="281"/>
      <c r="R190" s="281"/>
      <c r="S190" s="281"/>
      <c r="T190" s="281"/>
      <c r="U190" s="281"/>
      <c r="V190" s="281"/>
      <c r="W190" s="281"/>
      <c r="X190" s="281"/>
      <c r="Y190" s="281"/>
      <c r="Z190" s="281"/>
      <c r="AA190" s="281"/>
      <c r="AB190" s="281"/>
      <c r="AC190" s="281"/>
      <c r="AD190" s="281"/>
      <c r="AE190" s="281"/>
      <c r="AF190" s="281"/>
      <c r="AG190" s="281"/>
      <c r="AH190" s="281"/>
      <c r="AI190" s="281"/>
      <c r="AJ190" s="281"/>
      <c r="AK190" s="281"/>
      <c r="AL190" s="281"/>
      <c r="AM190" s="281"/>
      <c r="AN190" s="281"/>
      <c r="AO190" s="281"/>
      <c r="AP190" s="281"/>
      <c r="AQ190" s="281"/>
      <c r="AR190" s="281"/>
      <c r="AS190" s="155"/>
      <c r="AT190" s="155"/>
      <c r="AU190" s="156"/>
      <c r="AV190" s="156"/>
      <c r="AW190" s="156"/>
      <c r="AX190" s="281"/>
      <c r="AY190" s="281"/>
      <c r="AZ190" s="281"/>
      <c r="BA190" s="281"/>
      <c r="BB190" s="281"/>
      <c r="BC190" s="281"/>
      <c r="BD190" s="281"/>
      <c r="BE190" s="281"/>
      <c r="BF190" s="281"/>
      <c r="BG190" s="281"/>
      <c r="BH190" s="281"/>
      <c r="BI190" s="281"/>
      <c r="BJ190" s="281"/>
      <c r="BK190" s="281"/>
      <c r="BL190" s="281"/>
      <c r="BM190" s="281"/>
      <c r="BN190" s="281"/>
      <c r="BO190" s="281"/>
      <c r="BP190" s="281"/>
      <c r="BQ190" s="281"/>
      <c r="BR190" s="281"/>
      <c r="BS190" s="155"/>
      <c r="BT190" s="155"/>
      <c r="BU190" s="155"/>
      <c r="BV190" s="155"/>
      <c r="BW190" s="155"/>
    </row>
    <row r="191" spans="6:75" ht="11.25" customHeight="1" x14ac:dyDescent="0.2">
      <c r="F191" s="281"/>
      <c r="G191" s="281"/>
      <c r="H191" s="281"/>
      <c r="I191" s="281"/>
      <c r="J191" s="281"/>
      <c r="K191" s="281"/>
      <c r="L191" s="281"/>
      <c r="M191" s="281"/>
      <c r="N191" s="281"/>
      <c r="O191" s="281"/>
      <c r="P191" s="281"/>
      <c r="Q191" s="281"/>
      <c r="R191" s="281"/>
      <c r="S191" s="281"/>
      <c r="T191" s="281"/>
      <c r="U191" s="281"/>
      <c r="V191" s="281"/>
      <c r="W191" s="281"/>
      <c r="X191" s="281"/>
      <c r="Y191" s="281"/>
      <c r="Z191" s="281"/>
      <c r="AA191" s="281"/>
      <c r="AB191" s="281"/>
      <c r="AC191" s="281"/>
      <c r="AD191" s="281"/>
      <c r="AE191" s="281"/>
      <c r="AF191" s="281"/>
      <c r="AG191" s="281"/>
      <c r="AH191" s="281"/>
      <c r="AI191" s="281"/>
      <c r="AJ191" s="281"/>
      <c r="AK191" s="281"/>
      <c r="AL191" s="281"/>
      <c r="AM191" s="281"/>
      <c r="AN191" s="281"/>
      <c r="AO191" s="281"/>
      <c r="AP191" s="281"/>
      <c r="AQ191" s="281"/>
      <c r="AR191" s="281"/>
      <c r="AS191" s="155"/>
      <c r="AT191" s="155"/>
      <c r="AU191" s="156"/>
      <c r="AV191" s="156"/>
      <c r="AW191" s="156"/>
      <c r="AX191" s="281"/>
      <c r="AY191" s="281"/>
      <c r="AZ191" s="281"/>
      <c r="BA191" s="281"/>
      <c r="BB191" s="281"/>
      <c r="BC191" s="281"/>
      <c r="BD191" s="281"/>
      <c r="BE191" s="281"/>
      <c r="BF191" s="281"/>
      <c r="BG191" s="281"/>
      <c r="BH191" s="281"/>
      <c r="BI191" s="281"/>
      <c r="BJ191" s="281"/>
      <c r="BK191" s="281"/>
      <c r="BL191" s="281"/>
      <c r="BM191" s="281"/>
      <c r="BN191" s="281"/>
      <c r="BO191" s="281"/>
      <c r="BP191" s="281"/>
      <c r="BQ191" s="281"/>
      <c r="BR191" s="281"/>
      <c r="BS191" s="155"/>
      <c r="BT191" s="155"/>
      <c r="BU191" s="155"/>
      <c r="BV191" s="155"/>
      <c r="BW191" s="155"/>
    </row>
    <row r="192" spans="6:75" ht="11.25" customHeight="1" x14ac:dyDescent="0.2">
      <c r="F192" s="281"/>
      <c r="G192" s="281"/>
      <c r="H192" s="281"/>
      <c r="I192" s="281"/>
      <c r="J192" s="281"/>
      <c r="K192" s="281"/>
      <c r="L192" s="281"/>
      <c r="M192" s="281"/>
      <c r="N192" s="281"/>
      <c r="O192" s="281"/>
      <c r="P192" s="281"/>
      <c r="Q192" s="281"/>
      <c r="R192" s="281"/>
      <c r="S192" s="281"/>
      <c r="T192" s="281"/>
      <c r="U192" s="281"/>
      <c r="V192" s="281"/>
      <c r="W192" s="281"/>
      <c r="X192" s="281"/>
      <c r="Y192" s="281"/>
      <c r="Z192" s="281"/>
      <c r="AA192" s="281"/>
      <c r="AB192" s="281"/>
      <c r="AC192" s="281"/>
      <c r="AD192" s="281"/>
      <c r="AE192" s="281"/>
      <c r="AF192" s="281"/>
      <c r="AG192" s="281"/>
      <c r="AH192" s="281"/>
      <c r="AI192" s="281"/>
      <c r="AJ192" s="281"/>
      <c r="AK192" s="281"/>
      <c r="AL192" s="281"/>
      <c r="AM192" s="281"/>
      <c r="AN192" s="281"/>
      <c r="AO192" s="281"/>
      <c r="AP192" s="281"/>
      <c r="AQ192" s="281"/>
      <c r="AR192" s="281"/>
      <c r="AS192" s="155"/>
      <c r="AT192" s="155"/>
      <c r="AU192" s="156"/>
      <c r="AV192" s="156"/>
      <c r="AW192" s="156"/>
      <c r="AX192" s="281"/>
      <c r="AY192" s="281"/>
      <c r="AZ192" s="281"/>
      <c r="BA192" s="281"/>
      <c r="BB192" s="281"/>
      <c r="BC192" s="281"/>
      <c r="BD192" s="281"/>
      <c r="BE192" s="281"/>
      <c r="BF192" s="281"/>
      <c r="BG192" s="281"/>
      <c r="BH192" s="281"/>
      <c r="BI192" s="281"/>
      <c r="BJ192" s="281"/>
      <c r="BK192" s="281"/>
      <c r="BL192" s="281"/>
      <c r="BM192" s="281"/>
      <c r="BN192" s="281"/>
      <c r="BO192" s="281"/>
      <c r="BP192" s="281"/>
      <c r="BQ192" s="281"/>
      <c r="BR192" s="281"/>
      <c r="BS192" s="155"/>
      <c r="BT192" s="155"/>
      <c r="BU192" s="155"/>
      <c r="BV192" s="155"/>
      <c r="BW192" s="155"/>
    </row>
    <row r="193" spans="6:75" ht="11.25" customHeight="1" x14ac:dyDescent="0.2">
      <c r="F193" s="281"/>
      <c r="G193" s="281"/>
      <c r="H193" s="281"/>
      <c r="I193" s="281"/>
      <c r="J193" s="281"/>
      <c r="K193" s="281"/>
      <c r="L193" s="281"/>
      <c r="M193" s="281"/>
      <c r="N193" s="281"/>
      <c r="O193" s="281"/>
      <c r="P193" s="281"/>
      <c r="Q193" s="281"/>
      <c r="R193" s="281"/>
      <c r="S193" s="281"/>
      <c r="T193" s="281"/>
      <c r="U193" s="281"/>
      <c r="V193" s="281"/>
      <c r="W193" s="281"/>
      <c r="X193" s="281"/>
      <c r="Y193" s="281"/>
      <c r="Z193" s="281"/>
      <c r="AA193" s="281"/>
      <c r="AB193" s="281"/>
      <c r="AC193" s="281"/>
      <c r="AD193" s="281"/>
      <c r="AE193" s="281"/>
      <c r="AF193" s="281"/>
      <c r="AG193" s="281"/>
      <c r="AH193" s="281"/>
      <c r="AI193" s="281"/>
      <c r="AJ193" s="281"/>
      <c r="AK193" s="281"/>
      <c r="AL193" s="281"/>
      <c r="AM193" s="281"/>
      <c r="AN193" s="281"/>
      <c r="AO193" s="281"/>
      <c r="AP193" s="281"/>
      <c r="AQ193" s="281"/>
      <c r="AR193" s="281"/>
      <c r="AS193" s="155"/>
      <c r="AT193" s="155"/>
      <c r="AU193" s="156"/>
      <c r="AV193" s="156"/>
      <c r="AW193" s="156"/>
      <c r="AX193" s="281"/>
      <c r="AY193" s="281"/>
      <c r="AZ193" s="281"/>
      <c r="BA193" s="281"/>
      <c r="BB193" s="281"/>
      <c r="BC193" s="281"/>
      <c r="BD193" s="281"/>
      <c r="BE193" s="281"/>
      <c r="BF193" s="281"/>
      <c r="BG193" s="281"/>
      <c r="BH193" s="281"/>
      <c r="BI193" s="281"/>
      <c r="BJ193" s="281"/>
      <c r="BK193" s="281"/>
      <c r="BL193" s="281"/>
      <c r="BM193" s="281"/>
      <c r="BN193" s="281"/>
      <c r="BO193" s="281"/>
      <c r="BP193" s="281"/>
      <c r="BQ193" s="281"/>
      <c r="BR193" s="281"/>
      <c r="BS193" s="155"/>
      <c r="BT193" s="155"/>
      <c r="BU193" s="155"/>
      <c r="BV193" s="155"/>
      <c r="BW193" s="155"/>
    </row>
    <row r="194" spans="6:75" ht="11.25" customHeight="1" x14ac:dyDescent="0.2">
      <c r="F194" s="281"/>
      <c r="G194" s="281"/>
      <c r="H194" s="281"/>
      <c r="I194" s="281"/>
      <c r="J194" s="281"/>
      <c r="K194" s="281"/>
      <c r="L194" s="281"/>
      <c r="M194" s="281"/>
      <c r="N194" s="281"/>
      <c r="O194" s="281"/>
      <c r="P194" s="281"/>
      <c r="Q194" s="281"/>
      <c r="R194" s="281"/>
      <c r="S194" s="281"/>
      <c r="T194" s="281"/>
      <c r="U194" s="281"/>
      <c r="V194" s="281"/>
      <c r="W194" s="281"/>
      <c r="X194" s="281"/>
      <c r="Y194" s="281"/>
      <c r="Z194" s="281"/>
      <c r="AA194" s="281"/>
      <c r="AB194" s="281"/>
      <c r="AC194" s="281"/>
      <c r="AD194" s="281"/>
      <c r="AE194" s="281"/>
      <c r="AF194" s="281"/>
      <c r="AG194" s="281"/>
      <c r="AH194" s="281"/>
      <c r="AI194" s="281"/>
      <c r="AJ194" s="281"/>
      <c r="AK194" s="281"/>
      <c r="AL194" s="281"/>
      <c r="AM194" s="281"/>
      <c r="AN194" s="281"/>
      <c r="AO194" s="281"/>
      <c r="AP194" s="281"/>
      <c r="AQ194" s="281"/>
      <c r="AR194" s="281"/>
      <c r="AS194" s="155"/>
      <c r="AT194" s="155"/>
      <c r="AU194" s="156"/>
      <c r="AV194" s="156"/>
      <c r="AW194" s="156"/>
      <c r="AX194" s="281"/>
      <c r="AY194" s="281"/>
      <c r="AZ194" s="281"/>
      <c r="BA194" s="281"/>
      <c r="BB194" s="281"/>
      <c r="BC194" s="281"/>
      <c r="BD194" s="281"/>
      <c r="BE194" s="281"/>
      <c r="BF194" s="281"/>
      <c r="BG194" s="281"/>
      <c r="BH194" s="281"/>
      <c r="BI194" s="281"/>
      <c r="BJ194" s="281"/>
      <c r="BK194" s="281"/>
      <c r="BL194" s="281"/>
      <c r="BM194" s="281"/>
      <c r="BN194" s="281"/>
      <c r="BO194" s="281"/>
      <c r="BP194" s="281"/>
      <c r="BQ194" s="281"/>
      <c r="BR194" s="281"/>
      <c r="BS194" s="155"/>
      <c r="BT194" s="155"/>
      <c r="BU194" s="155"/>
      <c r="BV194" s="155"/>
      <c r="BW194" s="155"/>
    </row>
    <row r="195" spans="6:75" ht="11.25" customHeight="1" x14ac:dyDescent="0.2">
      <c r="F195" s="281"/>
      <c r="G195" s="281"/>
      <c r="H195" s="281"/>
      <c r="I195" s="281"/>
      <c r="J195" s="281"/>
      <c r="K195" s="281"/>
      <c r="L195" s="281"/>
      <c r="M195" s="281"/>
      <c r="N195" s="281"/>
      <c r="O195" s="281"/>
      <c r="P195" s="281"/>
      <c r="Q195" s="281"/>
      <c r="R195" s="281"/>
      <c r="S195" s="281"/>
      <c r="T195" s="281"/>
      <c r="U195" s="281"/>
      <c r="V195" s="281"/>
      <c r="W195" s="281"/>
      <c r="X195" s="281"/>
      <c r="Y195" s="281"/>
      <c r="Z195" s="281"/>
      <c r="AA195" s="281"/>
      <c r="AB195" s="281"/>
      <c r="AC195" s="281"/>
      <c r="AD195" s="281"/>
      <c r="AE195" s="281"/>
      <c r="AF195" s="281"/>
      <c r="AG195" s="281"/>
      <c r="AH195" s="281"/>
      <c r="AI195" s="281"/>
      <c r="AJ195" s="281"/>
      <c r="AK195" s="281"/>
      <c r="AL195" s="281"/>
      <c r="AM195" s="281"/>
      <c r="AN195" s="281"/>
      <c r="AO195" s="281"/>
      <c r="AP195" s="281"/>
      <c r="AQ195" s="281"/>
      <c r="AR195" s="281"/>
      <c r="AS195" s="155"/>
      <c r="AT195" s="155"/>
      <c r="AU195" s="156"/>
      <c r="AV195" s="156"/>
      <c r="AW195" s="156"/>
      <c r="AX195" s="281"/>
      <c r="AY195" s="281"/>
      <c r="AZ195" s="281"/>
      <c r="BA195" s="281"/>
      <c r="BB195" s="281"/>
      <c r="BC195" s="281"/>
      <c r="BD195" s="281"/>
      <c r="BE195" s="281"/>
      <c r="BF195" s="281"/>
      <c r="BG195" s="281"/>
      <c r="BH195" s="281"/>
      <c r="BI195" s="281"/>
      <c r="BJ195" s="281"/>
      <c r="BK195" s="281"/>
      <c r="BL195" s="281"/>
      <c r="BM195" s="281"/>
      <c r="BN195" s="281"/>
      <c r="BO195" s="281"/>
      <c r="BP195" s="281"/>
      <c r="BQ195" s="281"/>
      <c r="BR195" s="281"/>
      <c r="BS195" s="155"/>
      <c r="BT195" s="155"/>
      <c r="BU195" s="155"/>
      <c r="BV195" s="155"/>
      <c r="BW195" s="155"/>
    </row>
    <row r="196" spans="6:75" ht="11.25" customHeight="1" x14ac:dyDescent="0.2">
      <c r="F196" s="281"/>
      <c r="G196" s="281"/>
      <c r="H196" s="281"/>
      <c r="I196" s="281"/>
      <c r="J196" s="281"/>
      <c r="K196" s="281"/>
      <c r="L196" s="281"/>
      <c r="M196" s="281"/>
      <c r="N196" s="281"/>
      <c r="O196" s="281"/>
      <c r="P196" s="281"/>
      <c r="Q196" s="281"/>
      <c r="R196" s="281"/>
      <c r="S196" s="281"/>
      <c r="T196" s="281"/>
      <c r="U196" s="281"/>
      <c r="V196" s="281"/>
      <c r="W196" s="281"/>
      <c r="X196" s="281"/>
      <c r="Y196" s="281"/>
      <c r="Z196" s="281"/>
      <c r="AA196" s="281"/>
      <c r="AB196" s="281"/>
      <c r="AC196" s="281"/>
      <c r="AD196" s="281"/>
      <c r="AE196" s="281"/>
      <c r="AF196" s="281"/>
      <c r="AG196" s="281"/>
      <c r="AH196" s="281"/>
      <c r="AI196" s="281"/>
      <c r="AJ196" s="281"/>
      <c r="AK196" s="281"/>
      <c r="AL196" s="281"/>
      <c r="AM196" s="281"/>
      <c r="AN196" s="281"/>
      <c r="AO196" s="281"/>
      <c r="AP196" s="281"/>
      <c r="AQ196" s="281"/>
      <c r="AR196" s="281"/>
      <c r="AS196" s="155"/>
      <c r="AT196" s="155"/>
      <c r="AU196" s="156"/>
      <c r="AV196" s="156"/>
      <c r="AW196" s="156"/>
      <c r="AX196" s="281"/>
      <c r="AY196" s="281"/>
      <c r="AZ196" s="281"/>
      <c r="BA196" s="281"/>
      <c r="BB196" s="281"/>
      <c r="BC196" s="281"/>
      <c r="BD196" s="281"/>
      <c r="BE196" s="281"/>
      <c r="BF196" s="281"/>
      <c r="BG196" s="281"/>
      <c r="BH196" s="281"/>
      <c r="BI196" s="281"/>
      <c r="BJ196" s="281"/>
      <c r="BK196" s="281"/>
      <c r="BL196" s="281"/>
      <c r="BM196" s="281"/>
      <c r="BN196" s="281"/>
      <c r="BO196" s="281"/>
      <c r="BP196" s="281"/>
      <c r="BQ196" s="281"/>
      <c r="BR196" s="281"/>
      <c r="BS196" s="155"/>
      <c r="BT196" s="155"/>
      <c r="BU196" s="155"/>
      <c r="BV196" s="155"/>
      <c r="BW196" s="155"/>
    </row>
    <row r="197" spans="6:75" ht="11.25" customHeight="1" x14ac:dyDescent="0.2">
      <c r="F197" s="281"/>
      <c r="G197" s="281"/>
      <c r="H197" s="281"/>
      <c r="I197" s="281"/>
      <c r="J197" s="281"/>
      <c r="K197" s="281"/>
      <c r="L197" s="281"/>
      <c r="M197" s="281"/>
      <c r="N197" s="281"/>
      <c r="O197" s="281"/>
      <c r="P197" s="281"/>
      <c r="Q197" s="281"/>
      <c r="R197" s="281"/>
      <c r="S197" s="281"/>
      <c r="T197" s="281"/>
      <c r="U197" s="281"/>
      <c r="V197" s="281"/>
      <c r="W197" s="281"/>
      <c r="X197" s="281"/>
      <c r="Y197" s="281"/>
      <c r="Z197" s="281"/>
      <c r="AA197" s="281"/>
      <c r="AB197" s="281"/>
      <c r="AC197" s="281"/>
      <c r="AD197" s="281"/>
      <c r="AE197" s="281"/>
      <c r="AF197" s="281"/>
      <c r="AG197" s="281"/>
      <c r="AH197" s="281"/>
      <c r="AI197" s="281"/>
      <c r="AJ197" s="281"/>
      <c r="AK197" s="281"/>
      <c r="AL197" s="281"/>
      <c r="AM197" s="281"/>
      <c r="AN197" s="281"/>
      <c r="AO197" s="281"/>
      <c r="AP197" s="281"/>
      <c r="AQ197" s="281"/>
      <c r="AR197" s="281"/>
      <c r="AS197" s="155"/>
      <c r="AT197" s="155"/>
      <c r="AU197" s="156"/>
      <c r="AV197" s="156"/>
      <c r="AW197" s="156"/>
      <c r="AX197" s="281"/>
      <c r="AY197" s="281"/>
      <c r="AZ197" s="281"/>
      <c r="BA197" s="281"/>
      <c r="BB197" s="281"/>
      <c r="BC197" s="281"/>
      <c r="BD197" s="281"/>
      <c r="BE197" s="281"/>
      <c r="BF197" s="281"/>
      <c r="BG197" s="281"/>
      <c r="BH197" s="281"/>
      <c r="BI197" s="281"/>
      <c r="BJ197" s="281"/>
      <c r="BK197" s="281"/>
      <c r="BL197" s="281"/>
      <c r="BM197" s="281"/>
      <c r="BN197" s="281"/>
      <c r="BO197" s="281"/>
      <c r="BP197" s="281"/>
      <c r="BQ197" s="281"/>
      <c r="BR197" s="281"/>
      <c r="BS197" s="155"/>
      <c r="BT197" s="155"/>
      <c r="BU197" s="155"/>
      <c r="BV197" s="155"/>
      <c r="BW197" s="155"/>
    </row>
    <row r="198" spans="6:75" ht="11.25" customHeight="1" x14ac:dyDescent="0.2">
      <c r="F198" s="281"/>
      <c r="G198" s="281"/>
      <c r="H198" s="281"/>
      <c r="I198" s="281"/>
      <c r="J198" s="281"/>
      <c r="K198" s="281"/>
      <c r="L198" s="281"/>
      <c r="M198" s="281"/>
      <c r="N198" s="281"/>
      <c r="O198" s="281"/>
      <c r="P198" s="281"/>
      <c r="Q198" s="281"/>
      <c r="R198" s="281"/>
      <c r="S198" s="281"/>
      <c r="T198" s="281"/>
      <c r="U198" s="281"/>
      <c r="V198" s="281"/>
      <c r="W198" s="281"/>
      <c r="X198" s="281"/>
      <c r="Y198" s="281"/>
      <c r="Z198" s="281"/>
      <c r="AA198" s="281"/>
      <c r="AB198" s="281"/>
      <c r="AC198" s="281"/>
      <c r="AD198" s="281"/>
      <c r="AE198" s="281"/>
      <c r="AF198" s="281"/>
      <c r="AG198" s="281"/>
      <c r="AH198" s="281"/>
      <c r="AI198" s="281"/>
      <c r="AJ198" s="281"/>
      <c r="AK198" s="281"/>
      <c r="AL198" s="281"/>
      <c r="AM198" s="281"/>
      <c r="AN198" s="281"/>
      <c r="AO198" s="281"/>
      <c r="AP198" s="281"/>
      <c r="AQ198" s="281"/>
      <c r="AR198" s="281"/>
      <c r="AS198" s="155"/>
      <c r="AT198" s="155"/>
      <c r="AU198" s="156"/>
      <c r="AV198" s="156"/>
      <c r="AW198" s="156"/>
      <c r="AX198" s="281"/>
      <c r="AY198" s="281"/>
      <c r="AZ198" s="281"/>
      <c r="BA198" s="281"/>
      <c r="BB198" s="281"/>
      <c r="BC198" s="281"/>
      <c r="BD198" s="281"/>
      <c r="BE198" s="281"/>
      <c r="BF198" s="281"/>
      <c r="BG198" s="281"/>
      <c r="BH198" s="281"/>
      <c r="BI198" s="281"/>
      <c r="BJ198" s="281"/>
      <c r="BK198" s="281"/>
      <c r="BL198" s="281"/>
      <c r="BM198" s="281"/>
      <c r="BN198" s="281"/>
      <c r="BO198" s="281"/>
      <c r="BP198" s="281"/>
      <c r="BQ198" s="281"/>
      <c r="BR198" s="281"/>
      <c r="BS198" s="155"/>
      <c r="BT198" s="155"/>
      <c r="BU198" s="155"/>
      <c r="BV198" s="155"/>
      <c r="BW198" s="155"/>
    </row>
    <row r="199" spans="6:75" ht="11.25" customHeight="1" x14ac:dyDescent="0.2">
      <c r="F199" s="281"/>
      <c r="G199" s="281"/>
      <c r="H199" s="281"/>
      <c r="I199" s="281"/>
      <c r="J199" s="281"/>
      <c r="K199" s="281"/>
      <c r="L199" s="281"/>
      <c r="M199" s="281"/>
      <c r="N199" s="281"/>
      <c r="O199" s="281"/>
      <c r="P199" s="281"/>
      <c r="Q199" s="281"/>
      <c r="R199" s="281"/>
      <c r="S199" s="281"/>
      <c r="T199" s="281"/>
      <c r="U199" s="281"/>
      <c r="V199" s="281"/>
      <c r="W199" s="281"/>
      <c r="X199" s="281"/>
      <c r="Y199" s="281"/>
      <c r="Z199" s="281"/>
      <c r="AA199" s="281"/>
      <c r="AB199" s="281"/>
      <c r="AC199" s="281"/>
      <c r="AD199" s="281"/>
      <c r="AE199" s="281"/>
      <c r="AF199" s="281"/>
      <c r="AG199" s="281"/>
      <c r="AH199" s="281"/>
      <c r="AI199" s="281"/>
      <c r="AJ199" s="281"/>
      <c r="AK199" s="281"/>
      <c r="AL199" s="281"/>
      <c r="AM199" s="281"/>
      <c r="AN199" s="281"/>
      <c r="AO199" s="281"/>
      <c r="AP199" s="281"/>
      <c r="AQ199" s="281"/>
      <c r="AR199" s="281"/>
      <c r="AS199" s="155"/>
      <c r="AT199" s="155"/>
      <c r="AU199" s="156"/>
      <c r="AV199" s="156"/>
      <c r="AW199" s="156"/>
      <c r="AX199" s="281"/>
      <c r="AY199" s="281"/>
      <c r="AZ199" s="281"/>
      <c r="BA199" s="281"/>
      <c r="BB199" s="281"/>
      <c r="BC199" s="281"/>
      <c r="BD199" s="281"/>
      <c r="BE199" s="281"/>
      <c r="BF199" s="281"/>
      <c r="BG199" s="281"/>
      <c r="BH199" s="281"/>
      <c r="BI199" s="281"/>
      <c r="BJ199" s="281"/>
      <c r="BK199" s="281"/>
      <c r="BL199" s="281"/>
      <c r="BM199" s="281"/>
      <c r="BN199" s="281"/>
      <c r="BO199" s="281"/>
      <c r="BP199" s="281"/>
      <c r="BQ199" s="281"/>
      <c r="BR199" s="281"/>
      <c r="BS199" s="155"/>
      <c r="BT199" s="155"/>
      <c r="BU199" s="155"/>
      <c r="BV199" s="155"/>
      <c r="BW199" s="155"/>
    </row>
    <row r="200" spans="6:75" ht="11.25" customHeight="1" x14ac:dyDescent="0.2">
      <c r="F200" s="281"/>
      <c r="G200" s="281"/>
      <c r="H200" s="281"/>
      <c r="I200" s="281"/>
      <c r="J200" s="281"/>
      <c r="K200" s="281"/>
      <c r="L200" s="281"/>
      <c r="M200" s="281"/>
      <c r="N200" s="281"/>
      <c r="O200" s="281"/>
      <c r="P200" s="281"/>
      <c r="Q200" s="281"/>
      <c r="R200" s="281"/>
      <c r="S200" s="281"/>
      <c r="T200" s="281"/>
      <c r="U200" s="281"/>
      <c r="V200" s="281"/>
      <c r="W200" s="281"/>
      <c r="X200" s="281"/>
      <c r="Y200" s="281"/>
      <c r="Z200" s="281"/>
      <c r="AA200" s="281"/>
      <c r="AB200" s="281"/>
      <c r="AC200" s="281"/>
      <c r="AD200" s="281"/>
      <c r="AE200" s="281"/>
      <c r="AF200" s="281"/>
      <c r="AG200" s="281"/>
      <c r="AH200" s="281"/>
      <c r="AI200" s="281"/>
      <c r="AJ200" s="281"/>
      <c r="AK200" s="281"/>
      <c r="AL200" s="281"/>
      <c r="AM200" s="281"/>
      <c r="AN200" s="281"/>
      <c r="AO200" s="281"/>
      <c r="AP200" s="281"/>
      <c r="AQ200" s="281"/>
      <c r="AR200" s="281"/>
      <c r="AS200" s="155"/>
      <c r="AT200" s="155"/>
      <c r="AU200" s="156"/>
      <c r="AV200" s="156"/>
      <c r="AW200" s="156"/>
      <c r="AX200" s="281"/>
      <c r="AY200" s="281"/>
      <c r="AZ200" s="281"/>
      <c r="BA200" s="281"/>
      <c r="BB200" s="281"/>
      <c r="BC200" s="281"/>
      <c r="BD200" s="281"/>
      <c r="BE200" s="281"/>
      <c r="BF200" s="281"/>
      <c r="BG200" s="281"/>
      <c r="BH200" s="281"/>
      <c r="BI200" s="281"/>
      <c r="BJ200" s="281"/>
      <c r="BK200" s="281"/>
      <c r="BL200" s="281"/>
      <c r="BM200" s="281"/>
      <c r="BN200" s="281"/>
      <c r="BO200" s="281"/>
      <c r="BP200" s="281"/>
      <c r="BQ200" s="281"/>
      <c r="BR200" s="281"/>
      <c r="BS200" s="155"/>
      <c r="BT200" s="155"/>
      <c r="BU200" s="155"/>
      <c r="BV200" s="155"/>
      <c r="BW200" s="155"/>
    </row>
    <row r="201" spans="6:75" ht="11.25" customHeight="1" x14ac:dyDescent="0.2">
      <c r="F201" s="281"/>
      <c r="G201" s="281"/>
      <c r="H201" s="281"/>
      <c r="I201" s="281"/>
      <c r="J201" s="281"/>
      <c r="K201" s="281"/>
      <c r="L201" s="281"/>
      <c r="M201" s="281"/>
      <c r="N201" s="281"/>
      <c r="O201" s="281"/>
      <c r="P201" s="281"/>
      <c r="Q201" s="281"/>
      <c r="R201" s="281"/>
      <c r="S201" s="281"/>
      <c r="T201" s="281"/>
      <c r="U201" s="281"/>
      <c r="V201" s="281"/>
      <c r="W201" s="281"/>
      <c r="X201" s="281"/>
      <c r="Y201" s="281"/>
      <c r="Z201" s="281"/>
      <c r="AA201" s="281"/>
      <c r="AB201" s="281"/>
      <c r="AC201" s="281"/>
      <c r="AD201" s="281"/>
      <c r="AE201" s="281"/>
      <c r="AF201" s="281"/>
      <c r="AG201" s="281"/>
      <c r="AH201" s="281"/>
      <c r="AI201" s="281"/>
      <c r="AJ201" s="281"/>
      <c r="AK201" s="281"/>
      <c r="AL201" s="281"/>
      <c r="AM201" s="281"/>
      <c r="AN201" s="281"/>
      <c r="AO201" s="281"/>
      <c r="AP201" s="281"/>
      <c r="AQ201" s="281"/>
      <c r="AR201" s="281"/>
      <c r="AS201" s="155"/>
      <c r="AT201" s="155"/>
      <c r="AU201" s="156"/>
      <c r="AV201" s="156"/>
      <c r="AW201" s="156"/>
      <c r="AX201" s="281"/>
      <c r="AY201" s="281"/>
      <c r="AZ201" s="281"/>
      <c r="BA201" s="281"/>
      <c r="BB201" s="281"/>
      <c r="BC201" s="281"/>
      <c r="BD201" s="281"/>
      <c r="BE201" s="281"/>
      <c r="BF201" s="281"/>
      <c r="BG201" s="281"/>
      <c r="BH201" s="281"/>
      <c r="BI201" s="281"/>
      <c r="BJ201" s="281"/>
      <c r="BK201" s="281"/>
      <c r="BL201" s="281"/>
      <c r="BM201" s="281"/>
      <c r="BN201" s="281"/>
      <c r="BO201" s="281"/>
      <c r="BP201" s="281"/>
      <c r="BQ201" s="281"/>
      <c r="BR201" s="281"/>
      <c r="BS201" s="155"/>
      <c r="BT201" s="155"/>
      <c r="BU201" s="155"/>
      <c r="BV201" s="155"/>
      <c r="BW201" s="155"/>
    </row>
    <row r="202" spans="6:75" ht="11.25" customHeight="1" x14ac:dyDescent="0.2">
      <c r="F202" s="281"/>
      <c r="G202" s="281"/>
      <c r="H202" s="281"/>
      <c r="I202" s="281"/>
      <c r="J202" s="281"/>
      <c r="K202" s="281"/>
      <c r="L202" s="281"/>
      <c r="M202" s="281"/>
      <c r="N202" s="281"/>
      <c r="O202" s="281"/>
      <c r="P202" s="281"/>
      <c r="Q202" s="281"/>
      <c r="R202" s="281"/>
      <c r="S202" s="281"/>
      <c r="T202" s="281"/>
      <c r="U202" s="281"/>
      <c r="V202" s="281"/>
      <c r="W202" s="281"/>
      <c r="X202" s="281"/>
      <c r="Y202" s="281"/>
      <c r="Z202" s="281"/>
      <c r="AA202" s="281"/>
      <c r="AB202" s="281"/>
      <c r="AC202" s="281"/>
      <c r="AD202" s="281"/>
      <c r="AE202" s="281"/>
      <c r="AF202" s="281"/>
      <c r="AG202" s="281"/>
      <c r="AH202" s="281"/>
      <c r="AI202" s="281"/>
      <c r="AJ202" s="281"/>
      <c r="AK202" s="281"/>
      <c r="AL202" s="281"/>
      <c r="AM202" s="281"/>
      <c r="AN202" s="281"/>
      <c r="AO202" s="281"/>
      <c r="AP202" s="281"/>
      <c r="AQ202" s="281"/>
      <c r="AR202" s="281"/>
      <c r="AS202" s="155"/>
      <c r="AT202" s="155"/>
      <c r="AU202" s="156"/>
      <c r="AV202" s="156"/>
      <c r="AW202" s="156"/>
      <c r="AX202" s="281"/>
      <c r="AY202" s="281"/>
      <c r="AZ202" s="281"/>
      <c r="BA202" s="281"/>
      <c r="BB202" s="281"/>
      <c r="BC202" s="281"/>
      <c r="BD202" s="281"/>
      <c r="BE202" s="281"/>
      <c r="BF202" s="281"/>
      <c r="BG202" s="281"/>
      <c r="BH202" s="281"/>
      <c r="BI202" s="281"/>
      <c r="BJ202" s="281"/>
      <c r="BK202" s="281"/>
      <c r="BL202" s="281"/>
      <c r="BM202" s="281"/>
      <c r="BN202" s="281"/>
      <c r="BO202" s="281"/>
      <c r="BP202" s="281"/>
      <c r="BQ202" s="281"/>
      <c r="BR202" s="281"/>
      <c r="BS202" s="155"/>
      <c r="BT202" s="155"/>
      <c r="BU202" s="155"/>
      <c r="BV202" s="155"/>
      <c r="BW202" s="155"/>
    </row>
    <row r="203" spans="6:75" ht="11.25" customHeight="1" x14ac:dyDescent="0.2">
      <c r="F203" s="281"/>
      <c r="G203" s="281"/>
      <c r="H203" s="281"/>
      <c r="I203" s="281"/>
      <c r="J203" s="281"/>
      <c r="K203" s="281"/>
      <c r="L203" s="281"/>
      <c r="M203" s="281"/>
      <c r="N203" s="281"/>
      <c r="O203" s="281"/>
      <c r="P203" s="281"/>
      <c r="Q203" s="281"/>
      <c r="R203" s="281"/>
      <c r="S203" s="281"/>
      <c r="T203" s="281"/>
      <c r="U203" s="281"/>
      <c r="V203" s="281"/>
      <c r="W203" s="281"/>
      <c r="X203" s="281"/>
      <c r="Y203" s="281"/>
      <c r="Z203" s="281"/>
      <c r="AA203" s="281"/>
      <c r="AB203" s="281"/>
      <c r="AC203" s="281"/>
      <c r="AD203" s="281"/>
      <c r="AE203" s="281"/>
      <c r="AF203" s="281"/>
      <c r="AG203" s="281"/>
      <c r="AH203" s="281"/>
      <c r="AI203" s="281"/>
      <c r="AJ203" s="281"/>
      <c r="AK203" s="281"/>
      <c r="AL203" s="281"/>
      <c r="AM203" s="281"/>
      <c r="AN203" s="281"/>
      <c r="AO203" s="281"/>
      <c r="AP203" s="281"/>
      <c r="AQ203" s="281"/>
      <c r="AR203" s="281"/>
      <c r="AS203" s="155"/>
      <c r="AT203" s="155"/>
      <c r="AU203" s="156"/>
      <c r="AV203" s="156"/>
      <c r="AW203" s="156"/>
      <c r="AX203" s="281"/>
      <c r="AY203" s="281"/>
      <c r="AZ203" s="281"/>
      <c r="BA203" s="281"/>
      <c r="BB203" s="281"/>
      <c r="BC203" s="281"/>
      <c r="BD203" s="281"/>
      <c r="BE203" s="281"/>
      <c r="BF203" s="281"/>
      <c r="BG203" s="281"/>
      <c r="BH203" s="281"/>
      <c r="BI203" s="281"/>
      <c r="BJ203" s="281"/>
      <c r="BK203" s="281"/>
      <c r="BL203" s="281"/>
      <c r="BM203" s="281"/>
      <c r="BN203" s="281"/>
      <c r="BO203" s="281"/>
      <c r="BP203" s="281"/>
      <c r="BQ203" s="281"/>
      <c r="BR203" s="281"/>
      <c r="BS203" s="155"/>
      <c r="BT203" s="155"/>
      <c r="BU203" s="155"/>
      <c r="BV203" s="155"/>
      <c r="BW203" s="155"/>
    </row>
    <row r="204" spans="6:75" ht="11.25" customHeight="1" x14ac:dyDescent="0.2">
      <c r="F204" s="281"/>
      <c r="G204" s="281"/>
      <c r="H204" s="281"/>
      <c r="I204" s="281"/>
      <c r="J204" s="281"/>
      <c r="K204" s="281"/>
      <c r="L204" s="281"/>
      <c r="M204" s="281"/>
      <c r="N204" s="281"/>
      <c r="O204" s="281"/>
      <c r="P204" s="281"/>
      <c r="Q204" s="281"/>
      <c r="R204" s="281"/>
      <c r="S204" s="281"/>
      <c r="T204" s="281"/>
      <c r="U204" s="281"/>
      <c r="V204" s="281"/>
      <c r="W204" s="281"/>
      <c r="X204" s="281"/>
      <c r="Y204" s="281"/>
      <c r="Z204" s="281"/>
      <c r="AA204" s="281"/>
      <c r="AB204" s="281"/>
      <c r="AC204" s="281"/>
      <c r="AD204" s="281"/>
      <c r="AE204" s="281"/>
      <c r="AF204" s="281"/>
      <c r="AG204" s="281"/>
      <c r="AH204" s="281"/>
      <c r="AI204" s="281"/>
      <c r="AJ204" s="281"/>
      <c r="AK204" s="281"/>
      <c r="AL204" s="281"/>
      <c r="AM204" s="281"/>
      <c r="AN204" s="281"/>
      <c r="AO204" s="281"/>
      <c r="AP204" s="281"/>
      <c r="AQ204" s="281"/>
      <c r="AR204" s="281"/>
      <c r="AS204" s="155"/>
      <c r="AT204" s="155"/>
      <c r="AU204" s="156"/>
      <c r="AV204" s="156"/>
      <c r="AW204" s="156"/>
      <c r="AX204" s="281"/>
      <c r="AY204" s="281"/>
      <c r="AZ204" s="281"/>
      <c r="BA204" s="281"/>
      <c r="BB204" s="281"/>
      <c r="BC204" s="281"/>
      <c r="BD204" s="281"/>
      <c r="BE204" s="281"/>
      <c r="BF204" s="281"/>
      <c r="BG204" s="281"/>
      <c r="BH204" s="281"/>
      <c r="BI204" s="281"/>
      <c r="BJ204" s="281"/>
      <c r="BK204" s="281"/>
      <c r="BL204" s="281"/>
      <c r="BM204" s="281"/>
      <c r="BN204" s="281"/>
      <c r="BO204" s="281"/>
      <c r="BP204" s="281"/>
      <c r="BQ204" s="281"/>
      <c r="BR204" s="281"/>
      <c r="BS204" s="155"/>
      <c r="BT204" s="155"/>
      <c r="BU204" s="155"/>
      <c r="BV204" s="155"/>
      <c r="BW204" s="155"/>
    </row>
    <row r="205" spans="6:75" ht="11.25" customHeight="1" x14ac:dyDescent="0.2">
      <c r="F205" s="281"/>
      <c r="G205" s="281"/>
      <c r="H205" s="281"/>
      <c r="I205" s="281"/>
      <c r="J205" s="281"/>
      <c r="K205" s="281"/>
      <c r="L205" s="281"/>
      <c r="M205" s="281"/>
      <c r="N205" s="281"/>
      <c r="O205" s="281"/>
      <c r="P205" s="281"/>
      <c r="Q205" s="281"/>
      <c r="R205" s="281"/>
      <c r="S205" s="281"/>
      <c r="T205" s="281"/>
      <c r="U205" s="281"/>
      <c r="V205" s="281"/>
      <c r="W205" s="281"/>
      <c r="X205" s="281"/>
      <c r="Y205" s="281"/>
      <c r="Z205" s="281"/>
      <c r="AA205" s="281"/>
      <c r="AB205" s="281"/>
      <c r="AC205" s="281"/>
      <c r="AD205" s="281"/>
      <c r="AE205" s="281"/>
      <c r="AF205" s="281"/>
      <c r="AG205" s="281"/>
      <c r="AH205" s="281"/>
      <c r="AI205" s="281"/>
      <c r="AJ205" s="281"/>
      <c r="AK205" s="281"/>
      <c r="AL205" s="281"/>
      <c r="AM205" s="281"/>
      <c r="AN205" s="281"/>
      <c r="AO205" s="281"/>
      <c r="AP205" s="281"/>
      <c r="AQ205" s="281"/>
      <c r="AR205" s="281"/>
      <c r="AS205" s="155"/>
      <c r="AT205" s="155"/>
      <c r="AU205" s="156"/>
      <c r="AV205" s="156"/>
      <c r="AW205" s="156"/>
      <c r="AX205" s="281"/>
      <c r="AY205" s="281"/>
      <c r="AZ205" s="281"/>
      <c r="BA205" s="281"/>
      <c r="BB205" s="281"/>
      <c r="BC205" s="281"/>
      <c r="BD205" s="281"/>
      <c r="BE205" s="281"/>
      <c r="BF205" s="281"/>
      <c r="BG205" s="281"/>
      <c r="BH205" s="281"/>
      <c r="BI205" s="281"/>
      <c r="BJ205" s="281"/>
      <c r="BK205" s="281"/>
      <c r="BL205" s="281"/>
      <c r="BM205" s="281"/>
      <c r="BN205" s="281"/>
      <c r="BO205" s="281"/>
      <c r="BP205" s="281"/>
      <c r="BQ205" s="281"/>
      <c r="BR205" s="281"/>
      <c r="BS205" s="155"/>
      <c r="BT205" s="155"/>
      <c r="BU205" s="155"/>
      <c r="BV205" s="155"/>
      <c r="BW205" s="155"/>
    </row>
    <row r="206" spans="6:75" ht="11.25" customHeight="1" x14ac:dyDescent="0.2">
      <c r="F206" s="281"/>
      <c r="G206" s="281"/>
      <c r="H206" s="281"/>
      <c r="I206" s="281"/>
      <c r="J206" s="281"/>
      <c r="K206" s="281"/>
      <c r="L206" s="281"/>
      <c r="M206" s="281"/>
      <c r="N206" s="281"/>
      <c r="O206" s="281"/>
      <c r="P206" s="281"/>
      <c r="Q206" s="281"/>
      <c r="R206" s="281"/>
      <c r="S206" s="281"/>
      <c r="T206" s="281"/>
      <c r="U206" s="281"/>
      <c r="V206" s="281"/>
      <c r="W206" s="281"/>
      <c r="X206" s="281"/>
      <c r="Y206" s="281"/>
      <c r="Z206" s="281"/>
      <c r="AA206" s="281"/>
      <c r="AB206" s="281"/>
      <c r="AC206" s="281"/>
      <c r="AD206" s="281"/>
      <c r="AE206" s="281"/>
      <c r="AF206" s="281"/>
      <c r="AG206" s="281"/>
      <c r="AH206" s="281"/>
      <c r="AI206" s="281"/>
      <c r="AJ206" s="281"/>
      <c r="AK206" s="281"/>
      <c r="AL206" s="281"/>
      <c r="AM206" s="281"/>
      <c r="AN206" s="281"/>
      <c r="AO206" s="281"/>
      <c r="AP206" s="281"/>
      <c r="AQ206" s="281"/>
      <c r="AR206" s="281"/>
      <c r="AS206" s="155"/>
      <c r="AT206" s="155"/>
      <c r="AU206" s="156"/>
      <c r="AV206" s="156"/>
      <c r="AW206" s="156"/>
      <c r="AX206" s="281"/>
      <c r="AY206" s="281"/>
      <c r="AZ206" s="281"/>
      <c r="BA206" s="281"/>
      <c r="BB206" s="281"/>
      <c r="BC206" s="281"/>
      <c r="BD206" s="281"/>
      <c r="BE206" s="281"/>
      <c r="BF206" s="281"/>
      <c r="BG206" s="281"/>
      <c r="BH206" s="281"/>
      <c r="BI206" s="281"/>
      <c r="BJ206" s="281"/>
      <c r="BK206" s="281"/>
      <c r="BL206" s="281"/>
      <c r="BM206" s="281"/>
      <c r="BN206" s="281"/>
      <c r="BO206" s="281"/>
      <c r="BP206" s="281"/>
      <c r="BQ206" s="281"/>
      <c r="BR206" s="281"/>
      <c r="BS206" s="155"/>
      <c r="BT206" s="155"/>
      <c r="BU206" s="155"/>
      <c r="BV206" s="155"/>
      <c r="BW206" s="155"/>
    </row>
    <row r="207" spans="6:75" ht="11.25" customHeight="1" x14ac:dyDescent="0.2">
      <c r="F207" s="281"/>
      <c r="G207" s="281"/>
      <c r="H207" s="281"/>
      <c r="I207" s="281"/>
      <c r="J207" s="281"/>
      <c r="K207" s="281"/>
      <c r="L207" s="281"/>
      <c r="M207" s="281"/>
      <c r="N207" s="281"/>
      <c r="O207" s="281"/>
      <c r="P207" s="281"/>
      <c r="Q207" s="281"/>
      <c r="R207" s="281"/>
      <c r="S207" s="281"/>
      <c r="T207" s="281"/>
      <c r="U207" s="281"/>
      <c r="V207" s="281"/>
      <c r="W207" s="281"/>
      <c r="X207" s="281"/>
      <c r="Y207" s="281"/>
      <c r="Z207" s="281"/>
      <c r="AA207" s="281"/>
      <c r="AB207" s="281"/>
      <c r="AC207" s="281"/>
      <c r="AD207" s="281"/>
      <c r="AE207" s="281"/>
      <c r="AF207" s="281"/>
      <c r="AG207" s="281"/>
      <c r="AH207" s="281"/>
      <c r="AI207" s="281"/>
      <c r="AJ207" s="281"/>
      <c r="AK207" s="281"/>
      <c r="AL207" s="281"/>
      <c r="AM207" s="281"/>
      <c r="AN207" s="281"/>
      <c r="AO207" s="281"/>
      <c r="AP207" s="281"/>
      <c r="AQ207" s="281"/>
      <c r="AR207" s="281"/>
      <c r="AS207" s="155"/>
      <c r="AT207" s="155"/>
      <c r="AU207" s="156"/>
      <c r="AV207" s="156"/>
      <c r="AW207" s="156"/>
      <c r="AX207" s="281"/>
      <c r="AY207" s="281"/>
      <c r="AZ207" s="281"/>
      <c r="BA207" s="281"/>
      <c r="BB207" s="281"/>
      <c r="BC207" s="281"/>
      <c r="BD207" s="281"/>
      <c r="BE207" s="281"/>
      <c r="BF207" s="281"/>
      <c r="BG207" s="281"/>
      <c r="BH207" s="281"/>
      <c r="BI207" s="281"/>
      <c r="BJ207" s="281"/>
      <c r="BK207" s="281"/>
      <c r="BL207" s="281"/>
      <c r="BM207" s="281"/>
      <c r="BN207" s="281"/>
      <c r="BO207" s="281"/>
      <c r="BP207" s="281"/>
      <c r="BQ207" s="281"/>
      <c r="BR207" s="281"/>
      <c r="BS207" s="155"/>
      <c r="BT207" s="155"/>
      <c r="BU207" s="155"/>
      <c r="BV207" s="155"/>
      <c r="BW207" s="155"/>
    </row>
    <row r="208" spans="6:75" ht="11.25" customHeight="1" x14ac:dyDescent="0.2">
      <c r="F208" s="281"/>
      <c r="G208" s="281"/>
      <c r="H208" s="281"/>
      <c r="I208" s="281"/>
      <c r="J208" s="281"/>
      <c r="K208" s="281"/>
      <c r="L208" s="281"/>
      <c r="M208" s="281"/>
      <c r="N208" s="281"/>
      <c r="O208" s="281"/>
      <c r="P208" s="281"/>
      <c r="Q208" s="281"/>
      <c r="R208" s="281"/>
      <c r="S208" s="281"/>
      <c r="T208" s="281"/>
      <c r="U208" s="281"/>
      <c r="V208" s="281"/>
      <c r="W208" s="281"/>
      <c r="X208" s="281"/>
      <c r="Y208" s="281"/>
      <c r="Z208" s="281"/>
      <c r="AA208" s="281"/>
      <c r="AB208" s="281"/>
      <c r="AC208" s="281"/>
      <c r="AD208" s="281"/>
      <c r="AE208" s="281"/>
      <c r="AF208" s="281"/>
      <c r="AG208" s="281"/>
      <c r="AH208" s="281"/>
      <c r="AI208" s="281"/>
      <c r="AJ208" s="281"/>
      <c r="AK208" s="281"/>
      <c r="AL208" s="281"/>
      <c r="AM208" s="281"/>
      <c r="AN208" s="281"/>
      <c r="AO208" s="281"/>
      <c r="AP208" s="281"/>
      <c r="AQ208" s="281"/>
      <c r="AR208" s="281"/>
      <c r="AS208" s="155"/>
      <c r="AT208" s="155"/>
      <c r="AU208" s="156"/>
      <c r="AV208" s="156"/>
      <c r="AW208" s="156"/>
      <c r="AX208" s="281"/>
      <c r="AY208" s="281"/>
      <c r="AZ208" s="281"/>
      <c r="BA208" s="281"/>
      <c r="BB208" s="281"/>
      <c r="BC208" s="281"/>
      <c r="BD208" s="281"/>
      <c r="BE208" s="281"/>
      <c r="BF208" s="281"/>
      <c r="BG208" s="281"/>
      <c r="BH208" s="281"/>
      <c r="BI208" s="281"/>
      <c r="BJ208" s="281"/>
      <c r="BK208" s="281"/>
      <c r="BL208" s="281"/>
      <c r="BM208" s="281"/>
      <c r="BN208" s="281"/>
      <c r="BO208" s="281"/>
      <c r="BP208" s="281"/>
      <c r="BQ208" s="281"/>
      <c r="BR208" s="281"/>
      <c r="BS208" s="155"/>
      <c r="BT208" s="155"/>
      <c r="BU208" s="155"/>
      <c r="BV208" s="155"/>
      <c r="BW208" s="155"/>
    </row>
    <row r="209" spans="6:75" ht="11.25" customHeight="1" x14ac:dyDescent="0.2">
      <c r="F209" s="281"/>
      <c r="G209" s="281"/>
      <c r="H209" s="281"/>
      <c r="I209" s="281"/>
      <c r="J209" s="281"/>
      <c r="K209" s="281"/>
      <c r="L209" s="281"/>
      <c r="M209" s="281"/>
      <c r="N209" s="281"/>
      <c r="O209" s="281"/>
      <c r="P209" s="281"/>
      <c r="Q209" s="281"/>
      <c r="R209" s="281"/>
      <c r="S209" s="281"/>
      <c r="T209" s="281"/>
      <c r="U209" s="281"/>
      <c r="V209" s="281"/>
      <c r="W209" s="281"/>
      <c r="X209" s="281"/>
      <c r="Y209" s="281"/>
      <c r="Z209" s="281"/>
      <c r="AA209" s="281"/>
      <c r="AB209" s="281"/>
      <c r="AC209" s="281"/>
      <c r="AD209" s="281"/>
      <c r="AE209" s="281"/>
      <c r="AF209" s="281"/>
      <c r="AG209" s="281"/>
      <c r="AH209" s="281"/>
      <c r="AI209" s="281"/>
      <c r="AJ209" s="281"/>
      <c r="AK209" s="281"/>
      <c r="AL209" s="281"/>
      <c r="AM209" s="281"/>
      <c r="AN209" s="281"/>
      <c r="AO209" s="281"/>
      <c r="AP209" s="281"/>
      <c r="AQ209" s="281"/>
      <c r="AR209" s="281"/>
      <c r="AS209" s="155"/>
      <c r="AT209" s="155"/>
      <c r="AU209" s="156"/>
      <c r="AV209" s="156"/>
      <c r="AW209" s="156"/>
      <c r="AX209" s="281"/>
      <c r="AY209" s="281"/>
      <c r="AZ209" s="281"/>
      <c r="BA209" s="281"/>
      <c r="BB209" s="281"/>
      <c r="BC209" s="281"/>
      <c r="BD209" s="281"/>
      <c r="BE209" s="281"/>
      <c r="BF209" s="281"/>
      <c r="BG209" s="281"/>
      <c r="BH209" s="281"/>
      <c r="BI209" s="281"/>
      <c r="BJ209" s="281"/>
      <c r="BK209" s="281"/>
      <c r="BL209" s="281"/>
      <c r="BM209" s="281"/>
      <c r="BN209" s="281"/>
      <c r="BO209" s="281"/>
      <c r="BP209" s="281"/>
      <c r="BQ209" s="281"/>
      <c r="BR209" s="281"/>
      <c r="BS209" s="155"/>
      <c r="BT209" s="155"/>
      <c r="BU209" s="155"/>
      <c r="BV209" s="155"/>
      <c r="BW209" s="155"/>
    </row>
    <row r="210" spans="6:75" ht="11.25" customHeight="1" x14ac:dyDescent="0.2">
      <c r="F210" s="281"/>
      <c r="G210" s="281"/>
      <c r="H210" s="281"/>
      <c r="I210" s="281"/>
      <c r="J210" s="281"/>
      <c r="K210" s="281"/>
      <c r="L210" s="281"/>
      <c r="M210" s="281"/>
      <c r="N210" s="281"/>
      <c r="O210" s="281"/>
      <c r="P210" s="281"/>
      <c r="Q210" s="281"/>
      <c r="R210" s="281"/>
      <c r="S210" s="281"/>
      <c r="T210" s="281"/>
      <c r="U210" s="281"/>
      <c r="V210" s="281"/>
      <c r="W210" s="281"/>
      <c r="X210" s="281"/>
      <c r="Y210" s="281"/>
      <c r="Z210" s="281"/>
      <c r="AA210" s="281"/>
      <c r="AB210" s="281"/>
      <c r="AC210" s="281"/>
      <c r="AD210" s="281"/>
      <c r="AE210" s="281"/>
      <c r="AF210" s="281"/>
      <c r="AG210" s="281"/>
      <c r="AH210" s="281"/>
      <c r="AI210" s="281"/>
      <c r="AJ210" s="281"/>
      <c r="AK210" s="281"/>
      <c r="AL210" s="281"/>
      <c r="AM210" s="281"/>
      <c r="AN210" s="281"/>
      <c r="AO210" s="281"/>
      <c r="AP210" s="281"/>
      <c r="AQ210" s="281"/>
      <c r="AR210" s="281"/>
      <c r="AS210" s="155"/>
      <c r="AT210" s="155"/>
      <c r="AU210" s="156"/>
      <c r="AV210" s="156"/>
      <c r="AW210" s="156"/>
      <c r="AX210" s="281"/>
      <c r="AY210" s="281"/>
      <c r="AZ210" s="281"/>
      <c r="BA210" s="281"/>
      <c r="BB210" s="281"/>
      <c r="BC210" s="281"/>
      <c r="BD210" s="281"/>
      <c r="BE210" s="281"/>
      <c r="BF210" s="281"/>
      <c r="BG210" s="281"/>
      <c r="BH210" s="281"/>
      <c r="BI210" s="281"/>
      <c r="BJ210" s="281"/>
      <c r="BK210" s="281"/>
      <c r="BL210" s="281"/>
      <c r="BM210" s="281"/>
      <c r="BN210" s="281"/>
      <c r="BO210" s="281"/>
      <c r="BP210" s="281"/>
      <c r="BQ210" s="281"/>
      <c r="BR210" s="281"/>
      <c r="BS210" s="155"/>
      <c r="BT210" s="155"/>
      <c r="BU210" s="155"/>
      <c r="BV210" s="155"/>
      <c r="BW210" s="155"/>
    </row>
    <row r="211" spans="6:75" ht="11.25" customHeight="1" x14ac:dyDescent="0.2">
      <c r="F211" s="281"/>
      <c r="G211" s="281"/>
      <c r="H211" s="281"/>
      <c r="I211" s="281"/>
      <c r="J211" s="281"/>
      <c r="K211" s="281"/>
      <c r="L211" s="281"/>
      <c r="M211" s="281"/>
      <c r="N211" s="281"/>
      <c r="O211" s="281"/>
      <c r="P211" s="281"/>
      <c r="Q211" s="281"/>
      <c r="R211" s="281"/>
      <c r="S211" s="281"/>
      <c r="T211" s="281"/>
      <c r="U211" s="281"/>
      <c r="V211" s="281"/>
      <c r="W211" s="281"/>
      <c r="X211" s="281"/>
      <c r="Y211" s="281"/>
      <c r="Z211" s="281"/>
      <c r="AA211" s="281"/>
      <c r="AB211" s="281"/>
      <c r="AC211" s="281"/>
      <c r="AD211" s="281"/>
      <c r="AE211" s="281"/>
      <c r="AF211" s="281"/>
      <c r="AG211" s="281"/>
      <c r="AH211" s="281"/>
      <c r="AI211" s="281"/>
      <c r="AJ211" s="281"/>
      <c r="AK211" s="281"/>
      <c r="AL211" s="281"/>
      <c r="AM211" s="281"/>
      <c r="AN211" s="281"/>
      <c r="AO211" s="281"/>
      <c r="AP211" s="281"/>
      <c r="AQ211" s="281"/>
      <c r="AR211" s="281"/>
      <c r="AS211" s="155"/>
      <c r="AT211" s="155"/>
      <c r="AU211" s="156"/>
      <c r="AV211" s="156"/>
      <c r="AW211" s="156"/>
      <c r="AX211" s="281"/>
      <c r="AY211" s="281"/>
      <c r="AZ211" s="281"/>
      <c r="BA211" s="281"/>
      <c r="BB211" s="281"/>
      <c r="BC211" s="281"/>
      <c r="BD211" s="281"/>
      <c r="BE211" s="281"/>
      <c r="BF211" s="281"/>
      <c r="BG211" s="281"/>
      <c r="BH211" s="281"/>
      <c r="BI211" s="281"/>
      <c r="BJ211" s="281"/>
      <c r="BK211" s="281"/>
      <c r="BL211" s="281"/>
      <c r="BM211" s="281"/>
      <c r="BN211" s="281"/>
      <c r="BO211" s="281"/>
      <c r="BP211" s="281"/>
      <c r="BQ211" s="281"/>
      <c r="BR211" s="281"/>
      <c r="BS211" s="155"/>
      <c r="BT211" s="155"/>
      <c r="BU211" s="155"/>
      <c r="BV211" s="155"/>
      <c r="BW211" s="155"/>
    </row>
    <row r="212" spans="6:75" ht="11.25" customHeight="1" x14ac:dyDescent="0.2">
      <c r="F212" s="281"/>
      <c r="G212" s="281"/>
      <c r="H212" s="281"/>
      <c r="I212" s="281"/>
      <c r="J212" s="281"/>
      <c r="K212" s="281"/>
      <c r="L212" s="281"/>
      <c r="M212" s="281"/>
      <c r="N212" s="281"/>
      <c r="O212" s="281"/>
      <c r="P212" s="281"/>
      <c r="Q212" s="281"/>
      <c r="R212" s="281"/>
      <c r="S212" s="281"/>
      <c r="T212" s="281"/>
      <c r="U212" s="281"/>
      <c r="V212" s="281"/>
      <c r="W212" s="281"/>
      <c r="X212" s="281"/>
      <c r="Y212" s="281"/>
      <c r="Z212" s="281"/>
      <c r="AA212" s="281"/>
      <c r="AB212" s="281"/>
      <c r="AC212" s="281"/>
      <c r="AD212" s="281"/>
      <c r="AE212" s="281"/>
      <c r="AF212" s="281"/>
      <c r="AG212" s="281"/>
      <c r="AH212" s="281"/>
      <c r="AI212" s="281"/>
      <c r="AJ212" s="281"/>
      <c r="AK212" s="281"/>
      <c r="AL212" s="281"/>
      <c r="AM212" s="281"/>
      <c r="AN212" s="281"/>
      <c r="AO212" s="281"/>
      <c r="AP212" s="281"/>
      <c r="AQ212" s="281"/>
      <c r="AR212" s="281"/>
      <c r="AS212" s="155"/>
      <c r="AT212" s="155"/>
      <c r="AU212" s="156"/>
      <c r="AV212" s="156"/>
      <c r="AW212" s="156"/>
      <c r="AX212" s="281"/>
      <c r="AY212" s="281"/>
      <c r="AZ212" s="281"/>
      <c r="BA212" s="281"/>
      <c r="BB212" s="281"/>
      <c r="BC212" s="281"/>
      <c r="BD212" s="281"/>
      <c r="BE212" s="281"/>
      <c r="BF212" s="281"/>
      <c r="BG212" s="281"/>
      <c r="BH212" s="281"/>
      <c r="BI212" s="281"/>
      <c r="BJ212" s="281"/>
      <c r="BK212" s="281"/>
      <c r="BL212" s="281"/>
      <c r="BM212" s="281"/>
      <c r="BN212" s="281"/>
      <c r="BO212" s="281"/>
      <c r="BP212" s="281"/>
      <c r="BQ212" s="281"/>
      <c r="BR212" s="281"/>
      <c r="BS212" s="155"/>
      <c r="BT212" s="155"/>
      <c r="BU212" s="155"/>
      <c r="BV212" s="155"/>
      <c r="BW212" s="155"/>
    </row>
    <row r="213" spans="6:75" ht="11.25" customHeight="1" x14ac:dyDescent="0.2">
      <c r="F213" s="281"/>
      <c r="G213" s="281"/>
      <c r="H213" s="281"/>
      <c r="I213" s="281"/>
      <c r="J213" s="281"/>
      <c r="K213" s="281"/>
      <c r="L213" s="281"/>
      <c r="M213" s="281"/>
      <c r="N213" s="281"/>
      <c r="O213" s="281"/>
      <c r="P213" s="281"/>
      <c r="Q213" s="281"/>
      <c r="R213" s="281"/>
      <c r="S213" s="281"/>
      <c r="T213" s="281"/>
      <c r="U213" s="281"/>
      <c r="V213" s="281"/>
      <c r="W213" s="281"/>
      <c r="X213" s="281"/>
      <c r="Y213" s="281"/>
      <c r="Z213" s="281"/>
      <c r="AA213" s="281"/>
      <c r="AB213" s="281"/>
      <c r="AC213" s="281"/>
      <c r="AD213" s="281"/>
      <c r="AE213" s="281"/>
      <c r="AF213" s="281"/>
      <c r="AG213" s="281"/>
      <c r="AH213" s="281"/>
      <c r="AI213" s="281"/>
      <c r="AJ213" s="281"/>
      <c r="AK213" s="281"/>
      <c r="AL213" s="281"/>
      <c r="AM213" s="281"/>
      <c r="AN213" s="281"/>
      <c r="AO213" s="281"/>
      <c r="AP213" s="281"/>
      <c r="AQ213" s="281"/>
      <c r="AR213" s="281"/>
      <c r="AS213" s="155"/>
      <c r="AT213" s="155"/>
      <c r="AU213" s="156"/>
      <c r="AV213" s="156"/>
      <c r="AW213" s="156"/>
      <c r="AX213" s="281"/>
      <c r="AY213" s="281"/>
      <c r="AZ213" s="281"/>
      <c r="BA213" s="281"/>
      <c r="BB213" s="281"/>
      <c r="BC213" s="281"/>
      <c r="BD213" s="281"/>
      <c r="BE213" s="281"/>
      <c r="BF213" s="281"/>
      <c r="BG213" s="281"/>
      <c r="BH213" s="281"/>
      <c r="BI213" s="281"/>
      <c r="BJ213" s="281"/>
      <c r="BK213" s="281"/>
      <c r="BL213" s="281"/>
      <c r="BM213" s="281"/>
      <c r="BN213" s="281"/>
      <c r="BO213" s="281"/>
      <c r="BP213" s="281"/>
      <c r="BQ213" s="281"/>
      <c r="BR213" s="281"/>
      <c r="BS213" s="155"/>
      <c r="BT213" s="155"/>
      <c r="BU213" s="155"/>
      <c r="BV213" s="155"/>
      <c r="BW213" s="155"/>
    </row>
    <row r="214" spans="6:75" ht="11.25" customHeight="1" x14ac:dyDescent="0.2">
      <c r="F214" s="281"/>
      <c r="G214" s="281"/>
      <c r="H214" s="281"/>
      <c r="I214" s="281"/>
      <c r="J214" s="281"/>
      <c r="K214" s="281"/>
      <c r="L214" s="281"/>
      <c r="M214" s="281"/>
      <c r="N214" s="281"/>
      <c r="O214" s="281"/>
      <c r="P214" s="281"/>
      <c r="Q214" s="281"/>
      <c r="R214" s="281"/>
      <c r="S214" s="281"/>
      <c r="T214" s="281"/>
      <c r="U214" s="281"/>
      <c r="V214" s="281"/>
      <c r="W214" s="281"/>
      <c r="X214" s="281"/>
      <c r="Y214" s="281"/>
      <c r="Z214" s="281"/>
      <c r="AA214" s="281"/>
      <c r="AB214" s="281"/>
      <c r="AC214" s="281"/>
      <c r="AD214" s="281"/>
      <c r="AE214" s="281"/>
      <c r="AF214" s="281"/>
      <c r="AG214" s="281"/>
      <c r="AH214" s="281"/>
      <c r="AI214" s="281"/>
      <c r="AJ214" s="281"/>
      <c r="AK214" s="281"/>
      <c r="AL214" s="281"/>
      <c r="AM214" s="281"/>
      <c r="AN214" s="281"/>
      <c r="AO214" s="281"/>
      <c r="AP214" s="281"/>
      <c r="AQ214" s="281"/>
      <c r="AR214" s="281"/>
      <c r="AS214" s="155"/>
      <c r="AT214" s="155"/>
      <c r="AU214" s="156"/>
      <c r="AV214" s="156"/>
      <c r="AW214" s="156"/>
      <c r="AX214" s="281"/>
      <c r="AY214" s="281"/>
      <c r="AZ214" s="281"/>
      <c r="BA214" s="281"/>
      <c r="BB214" s="281"/>
      <c r="BC214" s="281"/>
      <c r="BD214" s="281"/>
      <c r="BE214" s="281"/>
      <c r="BF214" s="281"/>
      <c r="BG214" s="281"/>
      <c r="BH214" s="281"/>
      <c r="BI214" s="281"/>
      <c r="BJ214" s="281"/>
      <c r="BK214" s="281"/>
      <c r="BL214" s="281"/>
      <c r="BM214" s="281"/>
      <c r="BN214" s="281"/>
      <c r="BO214" s="281"/>
      <c r="BP214" s="281"/>
      <c r="BQ214" s="281"/>
      <c r="BR214" s="281"/>
      <c r="BS214" s="155"/>
      <c r="BT214" s="155"/>
      <c r="BU214" s="155"/>
      <c r="BV214" s="155"/>
      <c r="BW214" s="155"/>
    </row>
    <row r="215" spans="6:75" ht="11.25" customHeight="1" x14ac:dyDescent="0.2">
      <c r="F215" s="281"/>
      <c r="G215" s="281"/>
      <c r="H215" s="281"/>
      <c r="I215" s="281"/>
      <c r="J215" s="281"/>
      <c r="K215" s="281"/>
      <c r="L215" s="281"/>
      <c r="M215" s="281"/>
      <c r="N215" s="281"/>
      <c r="O215" s="281"/>
      <c r="P215" s="281"/>
      <c r="Q215" s="281"/>
      <c r="R215" s="281"/>
      <c r="S215" s="281"/>
      <c r="T215" s="281"/>
      <c r="U215" s="281"/>
      <c r="V215" s="281"/>
      <c r="W215" s="281"/>
      <c r="X215" s="281"/>
      <c r="Y215" s="281"/>
      <c r="Z215" s="281"/>
      <c r="AA215" s="281"/>
      <c r="AB215" s="281"/>
      <c r="AC215" s="281"/>
      <c r="AD215" s="281"/>
      <c r="AE215" s="281"/>
      <c r="AF215" s="281"/>
      <c r="AG215" s="281"/>
      <c r="AH215" s="281"/>
      <c r="AI215" s="281"/>
      <c r="AJ215" s="281"/>
      <c r="AK215" s="281"/>
      <c r="AL215" s="281"/>
      <c r="AM215" s="281"/>
      <c r="AN215" s="281"/>
      <c r="AO215" s="281"/>
      <c r="AP215" s="281"/>
      <c r="AQ215" s="281"/>
      <c r="AR215" s="281"/>
      <c r="AS215" s="155"/>
      <c r="AT215" s="155"/>
      <c r="AU215" s="156"/>
      <c r="AV215" s="156"/>
      <c r="AW215" s="156"/>
      <c r="AX215" s="281"/>
      <c r="AY215" s="281"/>
      <c r="AZ215" s="281"/>
      <c r="BA215" s="281"/>
      <c r="BB215" s="281"/>
      <c r="BC215" s="281"/>
      <c r="BD215" s="281"/>
      <c r="BE215" s="281"/>
      <c r="BF215" s="281"/>
      <c r="BG215" s="281"/>
      <c r="BH215" s="281"/>
      <c r="BI215" s="281"/>
      <c r="BJ215" s="281"/>
      <c r="BK215" s="281"/>
      <c r="BL215" s="281"/>
      <c r="BM215" s="281"/>
      <c r="BN215" s="281"/>
      <c r="BO215" s="281"/>
      <c r="BP215" s="281"/>
      <c r="BQ215" s="281"/>
      <c r="BR215" s="281"/>
      <c r="BS215" s="155"/>
      <c r="BT215" s="155"/>
      <c r="BU215" s="155"/>
      <c r="BV215" s="155"/>
      <c r="BW215" s="155"/>
    </row>
    <row r="216" spans="6:75" ht="11.25" customHeight="1" x14ac:dyDescent="0.2">
      <c r="F216" s="281"/>
      <c r="G216" s="281"/>
      <c r="H216" s="281"/>
      <c r="I216" s="281"/>
      <c r="J216" s="281"/>
      <c r="K216" s="281"/>
      <c r="L216" s="281"/>
      <c r="M216" s="281"/>
      <c r="N216" s="281"/>
      <c r="O216" s="281"/>
      <c r="P216" s="281"/>
      <c r="Q216" s="281"/>
      <c r="R216" s="281"/>
      <c r="S216" s="281"/>
      <c r="T216" s="281"/>
      <c r="U216" s="281"/>
      <c r="V216" s="281"/>
      <c r="W216" s="281"/>
      <c r="X216" s="281"/>
      <c r="Y216" s="281"/>
      <c r="Z216" s="281"/>
      <c r="AA216" s="281"/>
      <c r="AB216" s="281"/>
      <c r="AC216" s="281"/>
      <c r="AD216" s="281"/>
      <c r="AE216" s="281"/>
      <c r="AF216" s="281"/>
      <c r="AG216" s="281"/>
      <c r="AH216" s="281"/>
      <c r="AI216" s="281"/>
      <c r="AJ216" s="281"/>
      <c r="AK216" s="281"/>
      <c r="AL216" s="281"/>
      <c r="AM216" s="281"/>
      <c r="AN216" s="281"/>
      <c r="AO216" s="281"/>
      <c r="AP216" s="281"/>
      <c r="AQ216" s="281"/>
      <c r="AR216" s="281"/>
      <c r="AS216" s="155"/>
      <c r="AT216" s="155"/>
      <c r="AU216" s="156"/>
      <c r="AV216" s="156"/>
      <c r="AW216" s="156"/>
      <c r="AX216" s="281"/>
      <c r="AY216" s="281"/>
      <c r="AZ216" s="281"/>
      <c r="BA216" s="281"/>
      <c r="BB216" s="281"/>
      <c r="BC216" s="281"/>
      <c r="BD216" s="281"/>
      <c r="BE216" s="281"/>
      <c r="BF216" s="281"/>
      <c r="BG216" s="281"/>
      <c r="BH216" s="281"/>
      <c r="BI216" s="281"/>
      <c r="BJ216" s="281"/>
      <c r="BK216" s="281"/>
      <c r="BL216" s="281"/>
      <c r="BM216" s="281"/>
      <c r="BN216" s="281"/>
      <c r="BO216" s="281"/>
      <c r="BP216" s="281"/>
      <c r="BQ216" s="281"/>
      <c r="BR216" s="281"/>
      <c r="BS216" s="155"/>
      <c r="BT216" s="155"/>
      <c r="BU216" s="155"/>
      <c r="BV216" s="155"/>
      <c r="BW216" s="155"/>
    </row>
    <row r="217" spans="6:75" ht="11.25" customHeight="1" x14ac:dyDescent="0.2">
      <c r="F217" s="281"/>
      <c r="G217" s="281"/>
      <c r="H217" s="281"/>
      <c r="I217" s="281"/>
      <c r="J217" s="281"/>
      <c r="K217" s="281"/>
      <c r="L217" s="281"/>
      <c r="M217" s="281"/>
      <c r="N217" s="281"/>
      <c r="O217" s="281"/>
      <c r="P217" s="281"/>
      <c r="Q217" s="281"/>
      <c r="R217" s="281"/>
      <c r="S217" s="281"/>
      <c r="T217" s="281"/>
      <c r="U217" s="281"/>
      <c r="V217" s="281"/>
      <c r="W217" s="281"/>
      <c r="X217" s="281"/>
      <c r="Y217" s="281"/>
      <c r="Z217" s="281"/>
      <c r="AA217" s="281"/>
      <c r="AB217" s="281"/>
      <c r="AC217" s="281"/>
      <c r="AD217" s="281"/>
      <c r="AE217" s="281"/>
      <c r="AF217" s="281"/>
      <c r="AG217" s="281"/>
      <c r="AH217" s="281"/>
      <c r="AI217" s="281"/>
      <c r="AJ217" s="281"/>
      <c r="AK217" s="281"/>
      <c r="AL217" s="281"/>
      <c r="AM217" s="281"/>
      <c r="AN217" s="281"/>
      <c r="AO217" s="281"/>
      <c r="AP217" s="281"/>
      <c r="AQ217" s="281"/>
      <c r="AR217" s="281"/>
      <c r="AS217" s="155"/>
      <c r="AT217" s="155"/>
      <c r="AU217" s="156"/>
      <c r="AV217" s="156"/>
      <c r="AW217" s="156"/>
      <c r="AX217" s="281"/>
      <c r="AY217" s="281"/>
      <c r="AZ217" s="281"/>
      <c r="BA217" s="281"/>
      <c r="BB217" s="281"/>
      <c r="BC217" s="281"/>
      <c r="BD217" s="281"/>
      <c r="BE217" s="281"/>
      <c r="BF217" s="281"/>
      <c r="BG217" s="281"/>
      <c r="BH217" s="281"/>
      <c r="BI217" s="281"/>
      <c r="BJ217" s="281"/>
      <c r="BK217" s="281"/>
      <c r="BL217" s="281"/>
      <c r="BM217" s="281"/>
      <c r="BN217" s="281"/>
      <c r="BO217" s="281"/>
      <c r="BP217" s="281"/>
      <c r="BQ217" s="281"/>
      <c r="BR217" s="281"/>
      <c r="BS217" s="155"/>
      <c r="BT217" s="155"/>
      <c r="BU217" s="155"/>
      <c r="BV217" s="155"/>
      <c r="BW217" s="155"/>
    </row>
    <row r="218" spans="6:75" ht="11.25" customHeight="1" x14ac:dyDescent="0.2">
      <c r="F218" s="281"/>
      <c r="G218" s="281"/>
      <c r="H218" s="281"/>
      <c r="I218" s="281"/>
      <c r="J218" s="281"/>
      <c r="K218" s="281"/>
      <c r="L218" s="281"/>
      <c r="M218" s="281"/>
      <c r="N218" s="281"/>
      <c r="O218" s="281"/>
      <c r="P218" s="281"/>
      <c r="Q218" s="281"/>
      <c r="R218" s="281"/>
      <c r="S218" s="281"/>
      <c r="T218" s="281"/>
      <c r="U218" s="281"/>
      <c r="V218" s="281"/>
      <c r="W218" s="281"/>
      <c r="X218" s="281"/>
      <c r="Y218" s="281"/>
      <c r="Z218" s="281"/>
      <c r="AA218" s="281"/>
      <c r="AB218" s="281"/>
      <c r="AC218" s="281"/>
      <c r="AD218" s="281"/>
      <c r="AE218" s="281"/>
      <c r="AF218" s="281"/>
      <c r="AG218" s="281"/>
      <c r="AH218" s="281"/>
      <c r="AI218" s="281"/>
      <c r="AJ218" s="281"/>
      <c r="AK218" s="281"/>
      <c r="AL218" s="281"/>
      <c r="AM218" s="281"/>
      <c r="AN218" s="281"/>
      <c r="AO218" s="281"/>
      <c r="AP218" s="281"/>
      <c r="AQ218" s="281"/>
      <c r="AR218" s="281"/>
      <c r="AS218" s="155"/>
      <c r="AT218" s="155"/>
      <c r="AU218" s="156"/>
      <c r="AV218" s="156"/>
      <c r="AW218" s="156"/>
      <c r="AX218" s="281"/>
      <c r="AY218" s="281"/>
      <c r="AZ218" s="281"/>
      <c r="BA218" s="281"/>
      <c r="BB218" s="281"/>
      <c r="BC218" s="281"/>
      <c r="BD218" s="281"/>
      <c r="BE218" s="281"/>
      <c r="BF218" s="281"/>
      <c r="BG218" s="281"/>
      <c r="BH218" s="281"/>
      <c r="BI218" s="281"/>
      <c r="BJ218" s="281"/>
      <c r="BK218" s="281"/>
      <c r="BL218" s="281"/>
      <c r="BM218" s="281"/>
      <c r="BN218" s="281"/>
      <c r="BO218" s="281"/>
      <c r="BP218" s="281"/>
      <c r="BQ218" s="281"/>
      <c r="BR218" s="281"/>
      <c r="BS218" s="155"/>
      <c r="BT218" s="155"/>
      <c r="BU218" s="155"/>
      <c r="BV218" s="155"/>
      <c r="BW218" s="155"/>
    </row>
    <row r="219" spans="6:75" ht="11.25" customHeight="1" x14ac:dyDescent="0.2">
      <c r="F219" s="281"/>
      <c r="G219" s="281"/>
      <c r="H219" s="281"/>
      <c r="I219" s="281"/>
      <c r="J219" s="281"/>
      <c r="K219" s="281"/>
      <c r="L219" s="281"/>
      <c r="M219" s="281"/>
      <c r="N219" s="281"/>
      <c r="O219" s="281"/>
      <c r="P219" s="281"/>
      <c r="Q219" s="281"/>
      <c r="R219" s="281"/>
      <c r="S219" s="281"/>
      <c r="T219" s="281"/>
      <c r="U219" s="281"/>
      <c r="V219" s="281"/>
      <c r="W219" s="281"/>
      <c r="X219" s="281"/>
      <c r="Y219" s="281"/>
      <c r="Z219" s="281"/>
      <c r="AA219" s="281"/>
      <c r="AB219" s="281"/>
      <c r="AC219" s="281"/>
      <c r="AD219" s="281"/>
      <c r="AE219" s="281"/>
      <c r="AF219" s="281"/>
      <c r="AG219" s="281"/>
      <c r="AH219" s="281"/>
      <c r="AI219" s="281"/>
      <c r="AJ219" s="281"/>
      <c r="AK219" s="281"/>
      <c r="AL219" s="281"/>
      <c r="AM219" s="281"/>
      <c r="AN219" s="281"/>
      <c r="AO219" s="281"/>
      <c r="AP219" s="281"/>
      <c r="AQ219" s="281"/>
      <c r="AR219" s="281"/>
      <c r="AS219" s="155"/>
      <c r="AT219" s="155"/>
      <c r="AU219" s="156"/>
      <c r="AV219" s="156"/>
      <c r="AW219" s="156"/>
      <c r="AX219" s="281"/>
      <c r="AY219" s="281"/>
      <c r="AZ219" s="281"/>
      <c r="BA219" s="281"/>
      <c r="BB219" s="281"/>
      <c r="BC219" s="281"/>
      <c r="BD219" s="281"/>
      <c r="BE219" s="281"/>
      <c r="BF219" s="281"/>
      <c r="BG219" s="281"/>
      <c r="BH219" s="281"/>
      <c r="BI219" s="281"/>
      <c r="BJ219" s="281"/>
      <c r="BK219" s="281"/>
      <c r="BL219" s="281"/>
      <c r="BM219" s="281"/>
      <c r="BN219" s="281"/>
      <c r="BO219" s="281"/>
      <c r="BP219" s="281"/>
      <c r="BQ219" s="281"/>
      <c r="BR219" s="281"/>
      <c r="BS219" s="155"/>
      <c r="BT219" s="155"/>
      <c r="BU219" s="155"/>
      <c r="BV219" s="155"/>
      <c r="BW219" s="155"/>
    </row>
    <row r="220" spans="6:75" ht="11.25" customHeight="1" x14ac:dyDescent="0.2">
      <c r="F220" s="281"/>
      <c r="G220" s="281"/>
      <c r="H220" s="281"/>
      <c r="I220" s="281"/>
      <c r="J220" s="281"/>
      <c r="K220" s="281"/>
      <c r="L220" s="281"/>
      <c r="M220" s="281"/>
      <c r="N220" s="281"/>
      <c r="O220" s="281"/>
      <c r="P220" s="281"/>
      <c r="Q220" s="281"/>
      <c r="R220" s="281"/>
      <c r="S220" s="281"/>
      <c r="T220" s="281"/>
      <c r="U220" s="281"/>
      <c r="V220" s="281"/>
      <c r="W220" s="281"/>
      <c r="X220" s="281"/>
      <c r="Y220" s="281"/>
      <c r="Z220" s="281"/>
      <c r="AA220" s="281"/>
      <c r="AB220" s="281"/>
      <c r="AC220" s="281"/>
      <c r="AD220" s="281"/>
      <c r="AE220" s="281"/>
      <c r="AF220" s="281"/>
      <c r="AG220" s="281"/>
      <c r="AH220" s="281"/>
      <c r="AI220" s="281"/>
      <c r="AJ220" s="281"/>
      <c r="AK220" s="281"/>
      <c r="AL220" s="281"/>
      <c r="AM220" s="281"/>
      <c r="AN220" s="281"/>
      <c r="AO220" s="281"/>
      <c r="AP220" s="281"/>
      <c r="AQ220" s="281"/>
      <c r="AR220" s="281"/>
      <c r="AS220" s="155"/>
      <c r="AT220" s="155"/>
      <c r="AU220" s="156"/>
      <c r="AV220" s="156"/>
      <c r="AW220" s="156"/>
      <c r="AX220" s="281"/>
      <c r="AY220" s="281"/>
      <c r="AZ220" s="281"/>
      <c r="BA220" s="281"/>
      <c r="BB220" s="281"/>
      <c r="BC220" s="281"/>
      <c r="BD220" s="281"/>
      <c r="BE220" s="281"/>
      <c r="BF220" s="281"/>
      <c r="BG220" s="281"/>
      <c r="BH220" s="281"/>
      <c r="BI220" s="281"/>
      <c r="BJ220" s="281"/>
      <c r="BK220" s="281"/>
      <c r="BL220" s="281"/>
      <c r="BM220" s="281"/>
      <c r="BN220" s="281"/>
      <c r="BO220" s="281"/>
      <c r="BP220" s="281"/>
      <c r="BQ220" s="281"/>
      <c r="BR220" s="281"/>
      <c r="BS220" s="155"/>
      <c r="BT220" s="155"/>
      <c r="BU220" s="155"/>
      <c r="BV220" s="155"/>
      <c r="BW220" s="155"/>
    </row>
    <row r="221" spans="6:75" ht="11.25" customHeight="1" x14ac:dyDescent="0.2">
      <c r="F221" s="281"/>
      <c r="G221" s="281"/>
      <c r="H221" s="281"/>
      <c r="I221" s="281"/>
      <c r="J221" s="281"/>
      <c r="K221" s="281"/>
      <c r="L221" s="281"/>
      <c r="M221" s="281"/>
      <c r="N221" s="281"/>
      <c r="O221" s="281"/>
      <c r="P221" s="281"/>
      <c r="Q221" s="281"/>
      <c r="R221" s="281"/>
      <c r="S221" s="281"/>
      <c r="T221" s="281"/>
      <c r="U221" s="281"/>
      <c r="V221" s="281"/>
      <c r="W221" s="281"/>
      <c r="X221" s="281"/>
      <c r="Y221" s="281"/>
      <c r="Z221" s="281"/>
      <c r="AA221" s="281"/>
      <c r="AB221" s="281"/>
      <c r="AC221" s="281"/>
      <c r="AD221" s="281"/>
      <c r="AE221" s="281"/>
      <c r="AF221" s="281"/>
      <c r="AG221" s="281"/>
      <c r="AH221" s="281"/>
      <c r="AI221" s="281"/>
      <c r="AJ221" s="281"/>
      <c r="AK221" s="281"/>
      <c r="AL221" s="281"/>
      <c r="AM221" s="281"/>
      <c r="AN221" s="281"/>
      <c r="AO221" s="281"/>
      <c r="AP221" s="281"/>
      <c r="AQ221" s="281"/>
      <c r="AR221" s="281"/>
      <c r="AS221" s="155"/>
      <c r="AT221" s="155"/>
      <c r="AU221" s="156"/>
      <c r="AV221" s="156"/>
      <c r="AW221" s="156"/>
      <c r="AX221" s="281"/>
      <c r="AY221" s="281"/>
      <c r="AZ221" s="281"/>
      <c r="BA221" s="281"/>
      <c r="BB221" s="281"/>
      <c r="BC221" s="281"/>
      <c r="BD221" s="281"/>
      <c r="BE221" s="281"/>
      <c r="BF221" s="281"/>
      <c r="BG221" s="281"/>
      <c r="BH221" s="281"/>
      <c r="BI221" s="281"/>
      <c r="BJ221" s="281"/>
      <c r="BK221" s="281"/>
      <c r="BL221" s="281"/>
      <c r="BM221" s="281"/>
      <c r="BN221" s="281"/>
      <c r="BO221" s="281"/>
      <c r="BP221" s="281"/>
      <c r="BQ221" s="281"/>
      <c r="BR221" s="281"/>
      <c r="BS221" s="155"/>
      <c r="BT221" s="155"/>
      <c r="BU221" s="155"/>
      <c r="BV221" s="155"/>
      <c r="BW221" s="155"/>
    </row>
    <row r="222" spans="6:75" ht="11.25" customHeight="1" x14ac:dyDescent="0.2">
      <c r="F222" s="281"/>
      <c r="G222" s="281"/>
      <c r="H222" s="281"/>
      <c r="I222" s="281"/>
      <c r="J222" s="281"/>
      <c r="K222" s="281"/>
      <c r="L222" s="281"/>
      <c r="M222" s="281"/>
      <c r="N222" s="281"/>
      <c r="O222" s="281"/>
      <c r="P222" s="281"/>
      <c r="Q222" s="281"/>
      <c r="R222" s="281"/>
      <c r="S222" s="281"/>
      <c r="T222" s="281"/>
      <c r="U222" s="281"/>
      <c r="V222" s="281"/>
      <c r="W222" s="281"/>
      <c r="X222" s="281"/>
      <c r="Y222" s="281"/>
      <c r="Z222" s="281"/>
      <c r="AA222" s="281"/>
      <c r="AB222" s="281"/>
      <c r="AC222" s="281"/>
      <c r="AD222" s="281"/>
      <c r="AE222" s="281"/>
      <c r="AF222" s="281"/>
      <c r="AG222" s="281"/>
      <c r="AH222" s="281"/>
      <c r="AI222" s="281"/>
      <c r="AJ222" s="281"/>
      <c r="AK222" s="281"/>
      <c r="AL222" s="281"/>
      <c r="AM222" s="281"/>
      <c r="AN222" s="281"/>
      <c r="AO222" s="281"/>
      <c r="AP222" s="281"/>
      <c r="AQ222" s="281"/>
      <c r="AR222" s="281"/>
      <c r="AS222" s="155"/>
      <c r="AT222" s="155"/>
      <c r="AU222" s="156"/>
      <c r="AV222" s="156"/>
      <c r="AW222" s="156"/>
      <c r="AX222" s="281"/>
      <c r="AY222" s="281"/>
      <c r="AZ222" s="281"/>
      <c r="BA222" s="281"/>
      <c r="BB222" s="281"/>
      <c r="BC222" s="281"/>
      <c r="BD222" s="281"/>
      <c r="BE222" s="281"/>
      <c r="BF222" s="281"/>
      <c r="BG222" s="281"/>
      <c r="BH222" s="281"/>
      <c r="BI222" s="281"/>
      <c r="BJ222" s="281"/>
      <c r="BK222" s="281"/>
      <c r="BL222" s="281"/>
      <c r="BM222" s="281"/>
      <c r="BN222" s="281"/>
      <c r="BO222" s="281"/>
      <c r="BP222" s="281"/>
      <c r="BQ222" s="281"/>
      <c r="BR222" s="281"/>
      <c r="BS222" s="155"/>
      <c r="BT222" s="155"/>
      <c r="BU222" s="155"/>
      <c r="BV222" s="155"/>
      <c r="BW222" s="155"/>
    </row>
    <row r="223" spans="6:75" ht="11.25" customHeight="1" x14ac:dyDescent="0.2">
      <c r="F223" s="281"/>
      <c r="G223" s="281"/>
      <c r="H223" s="281"/>
      <c r="I223" s="281"/>
      <c r="J223" s="281"/>
      <c r="K223" s="281"/>
      <c r="L223" s="281"/>
      <c r="M223" s="281"/>
      <c r="N223" s="281"/>
      <c r="O223" s="281"/>
      <c r="P223" s="281"/>
      <c r="Q223" s="281"/>
      <c r="R223" s="281"/>
      <c r="S223" s="281"/>
      <c r="T223" s="281"/>
      <c r="U223" s="281"/>
      <c r="V223" s="281"/>
      <c r="W223" s="281"/>
      <c r="X223" s="281"/>
      <c r="Y223" s="281"/>
      <c r="Z223" s="281"/>
      <c r="AA223" s="281"/>
      <c r="AB223" s="281"/>
      <c r="AC223" s="281"/>
      <c r="AD223" s="281"/>
      <c r="AE223" s="281"/>
      <c r="AF223" s="281"/>
      <c r="AG223" s="281"/>
      <c r="AH223" s="281"/>
      <c r="AI223" s="281"/>
      <c r="AJ223" s="281"/>
      <c r="AK223" s="281"/>
      <c r="AL223" s="281"/>
      <c r="AM223" s="281"/>
      <c r="AN223" s="281"/>
      <c r="AO223" s="281"/>
      <c r="AP223" s="281"/>
      <c r="AQ223" s="281"/>
      <c r="AR223" s="281"/>
      <c r="AS223" s="155"/>
      <c r="AT223" s="155"/>
      <c r="AU223" s="156"/>
      <c r="AV223" s="156"/>
      <c r="AW223" s="156"/>
      <c r="AX223" s="281"/>
      <c r="AY223" s="281"/>
      <c r="AZ223" s="281"/>
      <c r="BA223" s="281"/>
      <c r="BB223" s="281"/>
      <c r="BC223" s="281"/>
      <c r="BD223" s="281"/>
      <c r="BE223" s="281"/>
      <c r="BF223" s="281"/>
      <c r="BG223" s="281"/>
      <c r="BH223" s="281"/>
      <c r="BI223" s="281"/>
      <c r="BJ223" s="281"/>
      <c r="BK223" s="281"/>
      <c r="BL223" s="281"/>
      <c r="BM223" s="281"/>
      <c r="BN223" s="281"/>
      <c r="BO223" s="281"/>
      <c r="BP223" s="281"/>
      <c r="BQ223" s="281"/>
      <c r="BR223" s="281"/>
      <c r="BS223" s="155"/>
      <c r="BT223" s="155"/>
      <c r="BU223" s="155"/>
      <c r="BV223" s="155"/>
      <c r="BW223" s="155"/>
    </row>
    <row r="224" spans="6:75" ht="11.25" customHeight="1" x14ac:dyDescent="0.2">
      <c r="F224" s="281"/>
      <c r="G224" s="281"/>
      <c r="H224" s="281"/>
      <c r="I224" s="281"/>
      <c r="J224" s="281"/>
      <c r="K224" s="281"/>
      <c r="L224" s="281"/>
      <c r="M224" s="281"/>
      <c r="N224" s="281"/>
      <c r="O224" s="281"/>
      <c r="P224" s="281"/>
      <c r="Q224" s="281"/>
      <c r="R224" s="281"/>
      <c r="S224" s="281"/>
      <c r="T224" s="281"/>
      <c r="U224" s="281"/>
      <c r="V224" s="281"/>
      <c r="W224" s="281"/>
      <c r="X224" s="281"/>
      <c r="Y224" s="281"/>
      <c r="Z224" s="281"/>
      <c r="AA224" s="281"/>
      <c r="AB224" s="281"/>
      <c r="AC224" s="281"/>
      <c r="AD224" s="281"/>
      <c r="AE224" s="281"/>
      <c r="AF224" s="281"/>
      <c r="AG224" s="281"/>
      <c r="AH224" s="281"/>
      <c r="AI224" s="281"/>
      <c r="AJ224" s="281"/>
      <c r="AK224" s="281"/>
      <c r="AL224" s="281"/>
      <c r="AM224" s="281"/>
      <c r="AN224" s="281"/>
      <c r="AO224" s="281"/>
      <c r="AP224" s="281"/>
      <c r="AQ224" s="281"/>
      <c r="AR224" s="281"/>
      <c r="AS224" s="155"/>
      <c r="AT224" s="155"/>
      <c r="AU224" s="156"/>
      <c r="AV224" s="156"/>
      <c r="AW224" s="156"/>
      <c r="AX224" s="281"/>
      <c r="AY224" s="281"/>
      <c r="AZ224" s="281"/>
      <c r="BA224" s="281"/>
      <c r="BB224" s="281"/>
      <c r="BC224" s="281"/>
      <c r="BD224" s="281"/>
      <c r="BE224" s="281"/>
      <c r="BF224" s="281"/>
      <c r="BG224" s="281"/>
      <c r="BH224" s="281"/>
      <c r="BI224" s="281"/>
      <c r="BJ224" s="281"/>
      <c r="BK224" s="281"/>
      <c r="BL224" s="281"/>
      <c r="BM224" s="281"/>
      <c r="BN224" s="281"/>
      <c r="BO224" s="281"/>
      <c r="BP224" s="281"/>
      <c r="BQ224" s="281"/>
      <c r="BR224" s="281"/>
      <c r="BS224" s="155"/>
      <c r="BT224" s="155"/>
      <c r="BU224" s="155"/>
      <c r="BV224" s="155"/>
      <c r="BW224" s="155"/>
    </row>
    <row r="225" spans="6:75" ht="11.25" customHeight="1" x14ac:dyDescent="0.2">
      <c r="F225" s="281"/>
      <c r="G225" s="281"/>
      <c r="H225" s="281"/>
      <c r="I225" s="281"/>
      <c r="J225" s="281"/>
      <c r="K225" s="281"/>
      <c r="L225" s="281"/>
      <c r="M225" s="281"/>
      <c r="N225" s="281"/>
      <c r="O225" s="281"/>
      <c r="P225" s="281"/>
      <c r="Q225" s="281"/>
      <c r="R225" s="281"/>
      <c r="S225" s="281"/>
      <c r="T225" s="281"/>
      <c r="U225" s="281"/>
      <c r="V225" s="281"/>
      <c r="W225" s="281"/>
      <c r="X225" s="281"/>
      <c r="Y225" s="281"/>
      <c r="Z225" s="281"/>
      <c r="AA225" s="281"/>
      <c r="AB225" s="281"/>
      <c r="AC225" s="281"/>
      <c r="AD225" s="281"/>
      <c r="AE225" s="281"/>
      <c r="AF225" s="281"/>
      <c r="AG225" s="281"/>
      <c r="AH225" s="281"/>
      <c r="AI225" s="281"/>
      <c r="AJ225" s="281"/>
      <c r="AK225" s="281"/>
      <c r="AL225" s="281"/>
      <c r="AM225" s="281"/>
      <c r="AN225" s="281"/>
      <c r="AO225" s="281"/>
      <c r="AP225" s="281"/>
      <c r="AQ225" s="281"/>
      <c r="AR225" s="281"/>
      <c r="AS225" s="155"/>
      <c r="AT225" s="155"/>
      <c r="AU225" s="156"/>
      <c r="AV225" s="156"/>
      <c r="AW225" s="156"/>
      <c r="AX225" s="281"/>
      <c r="AY225" s="281"/>
      <c r="AZ225" s="281"/>
      <c r="BA225" s="281"/>
      <c r="BB225" s="281"/>
      <c r="BC225" s="281"/>
      <c r="BD225" s="281"/>
      <c r="BE225" s="281"/>
      <c r="BF225" s="281"/>
      <c r="BG225" s="281"/>
      <c r="BH225" s="281"/>
      <c r="BI225" s="281"/>
      <c r="BJ225" s="281"/>
      <c r="BK225" s="281"/>
      <c r="BL225" s="281"/>
      <c r="BM225" s="281"/>
      <c r="BN225" s="281"/>
      <c r="BO225" s="281"/>
      <c r="BP225" s="281"/>
      <c r="BQ225" s="281"/>
      <c r="BR225" s="281"/>
      <c r="BS225" s="155"/>
      <c r="BT225" s="155"/>
      <c r="BU225" s="155"/>
      <c r="BV225" s="155"/>
      <c r="BW225" s="155"/>
    </row>
    <row r="226" spans="6:75" ht="11.25" customHeight="1" x14ac:dyDescent="0.2">
      <c r="F226" s="281"/>
      <c r="G226" s="281"/>
      <c r="H226" s="281"/>
      <c r="I226" s="281"/>
      <c r="J226" s="281"/>
      <c r="K226" s="281"/>
      <c r="L226" s="281"/>
      <c r="M226" s="281"/>
      <c r="N226" s="281"/>
      <c r="O226" s="281"/>
      <c r="P226" s="281"/>
      <c r="Q226" s="281"/>
      <c r="R226" s="281"/>
      <c r="S226" s="281"/>
      <c r="T226" s="281"/>
      <c r="U226" s="281"/>
      <c r="V226" s="281"/>
      <c r="W226" s="281"/>
      <c r="X226" s="281"/>
      <c r="Y226" s="281"/>
      <c r="Z226" s="281"/>
      <c r="AA226" s="281"/>
      <c r="AB226" s="281"/>
      <c r="AC226" s="281"/>
      <c r="AD226" s="281"/>
      <c r="AE226" s="281"/>
      <c r="AF226" s="281"/>
      <c r="AG226" s="281"/>
      <c r="AH226" s="281"/>
      <c r="AI226" s="281"/>
      <c r="AJ226" s="281"/>
      <c r="AK226" s="281"/>
      <c r="AL226" s="281"/>
      <c r="AM226" s="281"/>
      <c r="AN226" s="281"/>
      <c r="AO226" s="281"/>
      <c r="AP226" s="281"/>
      <c r="AQ226" s="281"/>
      <c r="AR226" s="281"/>
      <c r="AS226" s="155"/>
      <c r="AT226" s="155"/>
      <c r="AU226" s="156"/>
      <c r="AV226" s="156"/>
      <c r="AW226" s="156"/>
      <c r="AX226" s="281"/>
      <c r="AY226" s="281"/>
      <c r="AZ226" s="281"/>
      <c r="BA226" s="281"/>
      <c r="BB226" s="281"/>
      <c r="BC226" s="281"/>
      <c r="BD226" s="281"/>
      <c r="BE226" s="281"/>
      <c r="BF226" s="281"/>
      <c r="BG226" s="281"/>
      <c r="BH226" s="281"/>
      <c r="BI226" s="281"/>
      <c r="BJ226" s="281"/>
      <c r="BK226" s="281"/>
      <c r="BL226" s="281"/>
      <c r="BM226" s="281"/>
      <c r="BN226" s="281"/>
      <c r="BO226" s="281"/>
      <c r="BP226" s="281"/>
      <c r="BQ226" s="281"/>
      <c r="BR226" s="281"/>
      <c r="BS226" s="155"/>
      <c r="BT226" s="155"/>
      <c r="BU226" s="155"/>
      <c r="BV226" s="155"/>
      <c r="BW226" s="155"/>
    </row>
    <row r="227" spans="6:75" ht="11.25" customHeight="1" x14ac:dyDescent="0.2">
      <c r="F227" s="281"/>
      <c r="G227" s="281"/>
      <c r="H227" s="281"/>
      <c r="I227" s="281"/>
      <c r="J227" s="281"/>
      <c r="K227" s="281"/>
      <c r="L227" s="281"/>
      <c r="M227" s="281"/>
      <c r="N227" s="281"/>
      <c r="O227" s="281"/>
      <c r="P227" s="281"/>
      <c r="Q227" s="281"/>
      <c r="R227" s="281"/>
      <c r="S227" s="281"/>
      <c r="T227" s="281"/>
      <c r="U227" s="281"/>
      <c r="V227" s="281"/>
      <c r="W227" s="281"/>
      <c r="X227" s="281"/>
      <c r="Y227" s="281"/>
      <c r="Z227" s="281"/>
      <c r="AA227" s="281"/>
      <c r="AB227" s="281"/>
      <c r="AC227" s="281"/>
      <c r="AD227" s="281"/>
      <c r="AE227" s="281"/>
      <c r="AF227" s="281"/>
      <c r="AG227" s="281"/>
      <c r="AH227" s="281"/>
      <c r="AI227" s="281"/>
      <c r="AJ227" s="281"/>
      <c r="AK227" s="281"/>
      <c r="AL227" s="281"/>
      <c r="AM227" s="281"/>
      <c r="AN227" s="281"/>
      <c r="AO227" s="281"/>
      <c r="AP227" s="281"/>
      <c r="AQ227" s="281"/>
      <c r="AR227" s="281"/>
      <c r="AS227" s="155"/>
      <c r="AT227" s="155"/>
      <c r="AU227" s="156"/>
      <c r="AV227" s="156"/>
      <c r="AW227" s="156"/>
      <c r="AX227" s="281"/>
      <c r="AY227" s="281"/>
      <c r="AZ227" s="281"/>
      <c r="BA227" s="281"/>
      <c r="BB227" s="281"/>
      <c r="BC227" s="281"/>
      <c r="BD227" s="281"/>
      <c r="BE227" s="281"/>
      <c r="BF227" s="281"/>
      <c r="BG227" s="281"/>
      <c r="BH227" s="281"/>
      <c r="BI227" s="281"/>
      <c r="BJ227" s="281"/>
      <c r="BK227" s="281"/>
      <c r="BL227" s="281"/>
      <c r="BM227" s="281"/>
      <c r="BN227" s="281"/>
      <c r="BO227" s="281"/>
      <c r="BP227" s="281"/>
      <c r="BQ227" s="281"/>
      <c r="BR227" s="281"/>
      <c r="BS227" s="155"/>
      <c r="BT227" s="155"/>
      <c r="BU227" s="155"/>
      <c r="BV227" s="155"/>
      <c r="BW227" s="155"/>
    </row>
    <row r="228" spans="6:75" ht="11.25" customHeight="1" x14ac:dyDescent="0.2">
      <c r="F228" s="281"/>
      <c r="G228" s="281"/>
      <c r="H228" s="281"/>
      <c r="I228" s="281"/>
      <c r="J228" s="281"/>
      <c r="K228" s="281"/>
      <c r="L228" s="281"/>
      <c r="M228" s="281"/>
      <c r="N228" s="281"/>
      <c r="O228" s="281"/>
      <c r="P228" s="281"/>
      <c r="Q228" s="281"/>
      <c r="R228" s="281"/>
      <c r="S228" s="281"/>
      <c r="T228" s="281"/>
      <c r="U228" s="281"/>
      <c r="V228" s="281"/>
      <c r="W228" s="281"/>
      <c r="X228" s="281"/>
      <c r="Y228" s="281"/>
      <c r="Z228" s="281"/>
      <c r="AA228" s="281"/>
      <c r="AB228" s="281"/>
      <c r="AC228" s="281"/>
      <c r="AD228" s="281"/>
      <c r="AE228" s="281"/>
      <c r="AF228" s="281"/>
      <c r="AG228" s="281"/>
      <c r="AH228" s="281"/>
      <c r="AI228" s="281"/>
      <c r="AJ228" s="281"/>
      <c r="AK228" s="281"/>
      <c r="AL228" s="281"/>
      <c r="AM228" s="281"/>
      <c r="AN228" s="281"/>
      <c r="AO228" s="281"/>
      <c r="AP228" s="281"/>
      <c r="AQ228" s="281"/>
      <c r="AR228" s="281"/>
      <c r="AS228" s="155"/>
      <c r="AT228" s="155"/>
      <c r="AU228" s="156"/>
      <c r="AV228" s="156"/>
      <c r="AW228" s="156"/>
      <c r="AX228" s="281"/>
      <c r="AY228" s="281"/>
      <c r="AZ228" s="281"/>
      <c r="BA228" s="281"/>
      <c r="BB228" s="281"/>
      <c r="BC228" s="281"/>
      <c r="BD228" s="281"/>
      <c r="BE228" s="281"/>
      <c r="BF228" s="281"/>
      <c r="BG228" s="281"/>
      <c r="BH228" s="281"/>
      <c r="BI228" s="281"/>
      <c r="BJ228" s="281"/>
      <c r="BK228" s="281"/>
      <c r="BL228" s="281"/>
      <c r="BM228" s="281"/>
      <c r="BN228" s="281"/>
      <c r="BO228" s="281"/>
      <c r="BP228" s="281"/>
      <c r="BQ228" s="281"/>
      <c r="BR228" s="281"/>
      <c r="BS228" s="155"/>
      <c r="BT228" s="155"/>
      <c r="BU228" s="155"/>
      <c r="BV228" s="155"/>
      <c r="BW228" s="155"/>
    </row>
    <row r="229" spans="6:75" ht="11.25" customHeight="1" x14ac:dyDescent="0.2">
      <c r="F229" s="281"/>
      <c r="G229" s="281"/>
      <c r="H229" s="281"/>
      <c r="I229" s="281"/>
      <c r="J229" s="281"/>
      <c r="K229" s="281"/>
      <c r="L229" s="281"/>
      <c r="M229" s="281"/>
      <c r="N229" s="281"/>
      <c r="O229" s="281"/>
      <c r="P229" s="281"/>
      <c r="Q229" s="281"/>
      <c r="R229" s="281"/>
      <c r="S229" s="281"/>
      <c r="T229" s="281"/>
      <c r="U229" s="281"/>
      <c r="V229" s="281"/>
      <c r="W229" s="281"/>
      <c r="X229" s="281"/>
      <c r="Y229" s="281"/>
      <c r="Z229" s="281"/>
      <c r="AA229" s="281"/>
      <c r="AB229" s="281"/>
      <c r="AC229" s="281"/>
      <c r="AD229" s="281"/>
      <c r="AE229" s="281"/>
      <c r="AF229" s="281"/>
      <c r="AG229" s="281"/>
      <c r="AH229" s="281"/>
      <c r="AI229" s="281"/>
      <c r="AJ229" s="281"/>
      <c r="AK229" s="281"/>
      <c r="AL229" s="281"/>
      <c r="AM229" s="281"/>
      <c r="AN229" s="281"/>
      <c r="AO229" s="281"/>
      <c r="AP229" s="281"/>
      <c r="AQ229" s="281"/>
      <c r="AR229" s="281"/>
      <c r="AS229" s="155"/>
      <c r="AT229" s="155"/>
      <c r="AU229" s="156"/>
      <c r="AV229" s="156"/>
      <c r="AW229" s="156"/>
      <c r="AX229" s="281"/>
      <c r="AY229" s="281"/>
      <c r="AZ229" s="281"/>
      <c r="BA229" s="281"/>
      <c r="BB229" s="281"/>
      <c r="BC229" s="281"/>
      <c r="BD229" s="281"/>
      <c r="BE229" s="281"/>
      <c r="BF229" s="281"/>
      <c r="BG229" s="281"/>
      <c r="BH229" s="281"/>
      <c r="BI229" s="281"/>
      <c r="BJ229" s="281"/>
      <c r="BK229" s="281"/>
      <c r="BL229" s="281"/>
      <c r="BM229" s="281"/>
      <c r="BN229" s="281"/>
      <c r="BO229" s="281"/>
      <c r="BP229" s="281"/>
      <c r="BQ229" s="281"/>
      <c r="BR229" s="281"/>
      <c r="BS229" s="155"/>
      <c r="BT229" s="155"/>
      <c r="BU229" s="155"/>
      <c r="BV229" s="155"/>
      <c r="BW229" s="155"/>
    </row>
    <row r="230" spans="6:75" ht="11.25" customHeight="1" x14ac:dyDescent="0.2">
      <c r="F230" s="281"/>
      <c r="G230" s="281"/>
      <c r="H230" s="281"/>
      <c r="I230" s="281"/>
      <c r="J230" s="281"/>
      <c r="K230" s="281"/>
      <c r="L230" s="281"/>
      <c r="M230" s="281"/>
      <c r="N230" s="281"/>
      <c r="O230" s="281"/>
      <c r="P230" s="281"/>
      <c r="Q230" s="281"/>
      <c r="R230" s="281"/>
      <c r="S230" s="281"/>
      <c r="T230" s="281"/>
      <c r="U230" s="281"/>
      <c r="V230" s="281"/>
      <c r="W230" s="281"/>
      <c r="X230" s="281"/>
      <c r="Y230" s="281"/>
      <c r="Z230" s="281"/>
      <c r="AA230" s="281"/>
      <c r="AB230" s="281"/>
      <c r="AC230" s="281"/>
      <c r="AD230" s="281"/>
      <c r="AE230" s="281"/>
      <c r="AF230" s="281"/>
      <c r="AG230" s="281"/>
      <c r="AH230" s="281"/>
      <c r="AI230" s="281"/>
      <c r="AJ230" s="281"/>
      <c r="AK230" s="281"/>
      <c r="AL230" s="281"/>
      <c r="AM230" s="281"/>
      <c r="AN230" s="281"/>
      <c r="AO230" s="281"/>
      <c r="AP230" s="281"/>
      <c r="AQ230" s="281"/>
      <c r="AR230" s="281"/>
      <c r="AS230" s="155"/>
      <c r="AT230" s="155"/>
      <c r="AU230" s="156"/>
      <c r="AV230" s="156"/>
      <c r="AW230" s="156"/>
      <c r="AX230" s="281"/>
      <c r="AY230" s="281"/>
      <c r="AZ230" s="281"/>
      <c r="BA230" s="281"/>
      <c r="BB230" s="281"/>
      <c r="BC230" s="281"/>
      <c r="BD230" s="281"/>
      <c r="BE230" s="281"/>
      <c r="BF230" s="281"/>
      <c r="BG230" s="281"/>
      <c r="BH230" s="281"/>
      <c r="BI230" s="281"/>
      <c r="BJ230" s="281"/>
      <c r="BK230" s="281"/>
      <c r="BL230" s="281"/>
      <c r="BM230" s="281"/>
      <c r="BN230" s="281"/>
      <c r="BO230" s="281"/>
      <c r="BP230" s="281"/>
      <c r="BQ230" s="281"/>
      <c r="BR230" s="281"/>
      <c r="BS230" s="155"/>
      <c r="BT230" s="155"/>
      <c r="BU230" s="155"/>
      <c r="BV230" s="155"/>
      <c r="BW230" s="155"/>
    </row>
    <row r="231" spans="6:75" ht="11.25" customHeight="1" x14ac:dyDescent="0.2">
      <c r="F231" s="281"/>
      <c r="G231" s="281"/>
      <c r="H231" s="281"/>
      <c r="I231" s="281"/>
      <c r="J231" s="281"/>
      <c r="K231" s="281"/>
      <c r="L231" s="281"/>
      <c r="M231" s="281"/>
      <c r="N231" s="281"/>
      <c r="O231" s="281"/>
      <c r="P231" s="281"/>
      <c r="Q231" s="281"/>
      <c r="R231" s="281"/>
      <c r="S231" s="281"/>
      <c r="T231" s="281"/>
      <c r="U231" s="281"/>
      <c r="V231" s="281"/>
      <c r="W231" s="281"/>
      <c r="X231" s="281"/>
      <c r="Y231" s="281"/>
      <c r="Z231" s="281"/>
      <c r="AA231" s="281"/>
      <c r="AB231" s="281"/>
      <c r="AC231" s="281"/>
      <c r="AD231" s="281"/>
      <c r="AE231" s="281"/>
      <c r="AF231" s="281"/>
      <c r="AG231" s="281"/>
      <c r="AH231" s="281"/>
      <c r="AI231" s="281"/>
      <c r="AJ231" s="281"/>
      <c r="AK231" s="281"/>
      <c r="AL231" s="281"/>
      <c r="AM231" s="281"/>
      <c r="AN231" s="281"/>
      <c r="AO231" s="281"/>
      <c r="AP231" s="281"/>
      <c r="AQ231" s="281"/>
      <c r="AR231" s="281"/>
      <c r="AS231" s="155"/>
      <c r="AT231" s="155"/>
      <c r="AU231" s="156"/>
      <c r="AV231" s="156"/>
      <c r="AW231" s="156"/>
      <c r="AX231" s="281"/>
      <c r="AY231" s="281"/>
      <c r="AZ231" s="281"/>
      <c r="BA231" s="281"/>
      <c r="BB231" s="281"/>
      <c r="BC231" s="281"/>
      <c r="BD231" s="281"/>
      <c r="BE231" s="281"/>
      <c r="BF231" s="281"/>
      <c r="BG231" s="281"/>
      <c r="BH231" s="281"/>
      <c r="BI231" s="281"/>
      <c r="BJ231" s="281"/>
      <c r="BK231" s="281"/>
      <c r="BL231" s="281"/>
      <c r="BM231" s="281"/>
      <c r="BN231" s="281"/>
      <c r="BO231" s="281"/>
      <c r="BP231" s="281"/>
      <c r="BQ231" s="281"/>
      <c r="BR231" s="281"/>
      <c r="BS231" s="155"/>
      <c r="BT231" s="155"/>
      <c r="BU231" s="155"/>
      <c r="BV231" s="155"/>
      <c r="BW231" s="155"/>
    </row>
    <row r="232" spans="6:75" ht="11.25" customHeight="1" x14ac:dyDescent="0.2">
      <c r="F232" s="281"/>
      <c r="G232" s="281"/>
      <c r="H232" s="281"/>
      <c r="I232" s="281"/>
      <c r="J232" s="281"/>
      <c r="K232" s="281"/>
      <c r="L232" s="281"/>
      <c r="M232" s="281"/>
      <c r="N232" s="281"/>
      <c r="O232" s="281"/>
      <c r="P232" s="281"/>
      <c r="Q232" s="281"/>
      <c r="R232" s="281"/>
      <c r="S232" s="281"/>
      <c r="T232" s="281"/>
      <c r="U232" s="281"/>
      <c r="V232" s="281"/>
      <c r="W232" s="281"/>
      <c r="X232" s="281"/>
      <c r="Y232" s="281"/>
      <c r="Z232" s="281"/>
      <c r="AA232" s="281"/>
      <c r="AB232" s="281"/>
      <c r="AC232" s="281"/>
      <c r="AD232" s="281"/>
      <c r="AE232" s="281"/>
      <c r="AF232" s="281"/>
      <c r="AG232" s="281"/>
      <c r="AH232" s="281"/>
      <c r="AI232" s="281"/>
      <c r="AJ232" s="281"/>
      <c r="AK232" s="281"/>
      <c r="AL232" s="281"/>
      <c r="AM232" s="281"/>
      <c r="AN232" s="281"/>
      <c r="AO232" s="281"/>
      <c r="AP232" s="281"/>
      <c r="AQ232" s="281"/>
      <c r="AR232" s="281"/>
      <c r="AS232" s="155"/>
      <c r="AT232" s="155"/>
      <c r="AU232" s="156"/>
      <c r="AV232" s="156"/>
      <c r="AW232" s="156"/>
      <c r="AX232" s="281"/>
      <c r="AY232" s="281"/>
      <c r="AZ232" s="281"/>
      <c r="BA232" s="281"/>
      <c r="BB232" s="281"/>
      <c r="BC232" s="281"/>
      <c r="BD232" s="281"/>
      <c r="BE232" s="281"/>
      <c r="BF232" s="281"/>
      <c r="BG232" s="281"/>
      <c r="BH232" s="281"/>
      <c r="BI232" s="281"/>
      <c r="BJ232" s="281"/>
      <c r="BK232" s="281"/>
      <c r="BL232" s="281"/>
      <c r="BM232" s="281"/>
      <c r="BN232" s="281"/>
      <c r="BO232" s="281"/>
      <c r="BP232" s="281"/>
      <c r="BQ232" s="281"/>
      <c r="BR232" s="281"/>
      <c r="BS232" s="155"/>
      <c r="BT232" s="155"/>
      <c r="BU232" s="155"/>
      <c r="BV232" s="155"/>
      <c r="BW232" s="155"/>
    </row>
    <row r="233" spans="6:75" ht="11.25" customHeight="1" x14ac:dyDescent="0.2">
      <c r="F233" s="281"/>
      <c r="G233" s="281"/>
      <c r="H233" s="281"/>
      <c r="I233" s="281"/>
      <c r="J233" s="281"/>
      <c r="K233" s="281"/>
      <c r="L233" s="281"/>
      <c r="M233" s="281"/>
      <c r="N233" s="281"/>
      <c r="O233" s="281"/>
      <c r="P233" s="281"/>
      <c r="Q233" s="281"/>
      <c r="R233" s="281"/>
      <c r="S233" s="281"/>
      <c r="T233" s="281"/>
      <c r="U233" s="281"/>
      <c r="V233" s="281"/>
      <c r="W233" s="281"/>
      <c r="X233" s="281"/>
      <c r="Y233" s="281"/>
      <c r="Z233" s="281"/>
      <c r="AA233" s="281"/>
      <c r="AB233" s="281"/>
      <c r="AC233" s="281"/>
      <c r="AD233" s="281"/>
      <c r="AE233" s="281"/>
      <c r="AF233" s="281"/>
      <c r="AG233" s="281"/>
      <c r="AH233" s="281"/>
      <c r="AI233" s="281"/>
      <c r="AJ233" s="281"/>
      <c r="AK233" s="281"/>
      <c r="AL233" s="281"/>
      <c r="AM233" s="281"/>
      <c r="AN233" s="281"/>
      <c r="AO233" s="281"/>
      <c r="AP233" s="281"/>
      <c r="AQ233" s="281"/>
      <c r="AR233" s="281"/>
      <c r="AS233" s="155"/>
      <c r="AT233" s="155"/>
      <c r="AU233" s="156"/>
      <c r="AV233" s="156"/>
      <c r="AW233" s="156"/>
      <c r="AX233" s="281"/>
      <c r="AY233" s="281"/>
      <c r="AZ233" s="281"/>
      <c r="BA233" s="281"/>
      <c r="BB233" s="281"/>
      <c r="BC233" s="281"/>
      <c r="BD233" s="281"/>
      <c r="BE233" s="281"/>
      <c r="BF233" s="281"/>
      <c r="BG233" s="281"/>
      <c r="BH233" s="281"/>
      <c r="BI233" s="281"/>
      <c r="BJ233" s="281"/>
      <c r="BK233" s="281"/>
      <c r="BL233" s="281"/>
      <c r="BM233" s="281"/>
      <c r="BN233" s="281"/>
      <c r="BO233" s="281"/>
      <c r="BP233" s="281"/>
      <c r="BQ233" s="281"/>
      <c r="BR233" s="281"/>
      <c r="BS233" s="155"/>
      <c r="BT233" s="155"/>
      <c r="BU233" s="155"/>
      <c r="BV233" s="155"/>
      <c r="BW233" s="155"/>
    </row>
    <row r="234" spans="6:75" ht="11.25" customHeight="1" x14ac:dyDescent="0.2">
      <c r="F234" s="281"/>
      <c r="G234" s="281"/>
      <c r="H234" s="281"/>
      <c r="I234" s="281"/>
      <c r="J234" s="281"/>
      <c r="K234" s="281"/>
      <c r="L234" s="281"/>
      <c r="M234" s="281"/>
      <c r="N234" s="281"/>
      <c r="O234" s="281"/>
      <c r="P234" s="281"/>
      <c r="Q234" s="281"/>
      <c r="R234" s="281"/>
      <c r="S234" s="281"/>
      <c r="T234" s="281"/>
      <c r="U234" s="281"/>
      <c r="V234" s="281"/>
      <c r="W234" s="281"/>
      <c r="X234" s="281"/>
      <c r="Y234" s="281"/>
      <c r="Z234" s="281"/>
      <c r="AA234" s="281"/>
      <c r="AB234" s="281"/>
      <c r="AC234" s="281"/>
      <c r="AD234" s="281"/>
      <c r="AE234" s="281"/>
      <c r="AF234" s="281"/>
      <c r="AG234" s="281"/>
      <c r="AH234" s="281"/>
      <c r="AI234" s="281"/>
      <c r="AJ234" s="281"/>
      <c r="AK234" s="281"/>
      <c r="AL234" s="281"/>
      <c r="AM234" s="281"/>
      <c r="AN234" s="281"/>
      <c r="AO234" s="281"/>
      <c r="AP234" s="281"/>
      <c r="AQ234" s="281"/>
      <c r="AR234" s="281"/>
      <c r="AS234" s="155"/>
      <c r="AT234" s="155"/>
      <c r="AU234" s="156"/>
      <c r="AV234" s="156"/>
      <c r="AW234" s="156"/>
      <c r="AX234" s="281"/>
      <c r="AY234" s="281"/>
      <c r="AZ234" s="281"/>
      <c r="BA234" s="281"/>
      <c r="BB234" s="281"/>
      <c r="BC234" s="281"/>
      <c r="BD234" s="281"/>
      <c r="BE234" s="281"/>
      <c r="BF234" s="281"/>
      <c r="BG234" s="281"/>
      <c r="BH234" s="281"/>
      <c r="BI234" s="281"/>
      <c r="BJ234" s="281"/>
      <c r="BK234" s="281"/>
      <c r="BL234" s="281"/>
      <c r="BM234" s="281"/>
      <c r="BN234" s="281"/>
      <c r="BO234" s="281"/>
      <c r="BP234" s="281"/>
      <c r="BQ234" s="281"/>
      <c r="BR234" s="281"/>
      <c r="BS234" s="155"/>
      <c r="BT234" s="155"/>
      <c r="BU234" s="155"/>
      <c r="BV234" s="155"/>
      <c r="BW234" s="155"/>
    </row>
    <row r="235" spans="6:75" ht="11.25" customHeight="1" x14ac:dyDescent="0.2">
      <c r="F235" s="281"/>
      <c r="G235" s="281"/>
      <c r="H235" s="281"/>
      <c r="I235" s="281"/>
      <c r="J235" s="281"/>
      <c r="K235" s="281"/>
      <c r="L235" s="281"/>
      <c r="M235" s="281"/>
      <c r="N235" s="281"/>
      <c r="O235" s="281"/>
      <c r="P235" s="281"/>
      <c r="Q235" s="281"/>
      <c r="R235" s="281"/>
      <c r="S235" s="281"/>
      <c r="T235" s="281"/>
      <c r="U235" s="281"/>
      <c r="V235" s="281"/>
      <c r="W235" s="281"/>
      <c r="X235" s="281"/>
      <c r="Y235" s="281"/>
      <c r="Z235" s="281"/>
      <c r="AA235" s="281"/>
      <c r="AB235" s="281"/>
      <c r="AC235" s="281"/>
      <c r="AD235" s="281"/>
      <c r="AE235" s="281"/>
      <c r="AF235" s="281"/>
      <c r="AG235" s="281"/>
      <c r="AH235" s="281"/>
      <c r="AI235" s="281"/>
      <c r="AJ235" s="281"/>
      <c r="AK235" s="281"/>
      <c r="AL235" s="281"/>
      <c r="AM235" s="281"/>
      <c r="AN235" s="281"/>
      <c r="AO235" s="281"/>
      <c r="AP235" s="281"/>
      <c r="AQ235" s="281"/>
      <c r="AR235" s="281"/>
      <c r="AS235" s="155"/>
      <c r="AT235" s="155"/>
      <c r="AU235" s="156"/>
      <c r="AV235" s="156"/>
      <c r="AW235" s="156"/>
      <c r="AX235" s="281"/>
      <c r="AY235" s="281"/>
      <c r="AZ235" s="281"/>
      <c r="BA235" s="281"/>
      <c r="BB235" s="281"/>
      <c r="BC235" s="281"/>
      <c r="BD235" s="281"/>
      <c r="BE235" s="281"/>
      <c r="BF235" s="281"/>
      <c r="BG235" s="281"/>
      <c r="BH235" s="281"/>
      <c r="BI235" s="281"/>
      <c r="BJ235" s="281"/>
      <c r="BK235" s="281"/>
      <c r="BL235" s="281"/>
      <c r="BM235" s="281"/>
      <c r="BN235" s="281"/>
      <c r="BO235" s="281"/>
      <c r="BP235" s="281"/>
      <c r="BQ235" s="281"/>
      <c r="BR235" s="281"/>
      <c r="BS235" s="155"/>
      <c r="BT235" s="155"/>
      <c r="BU235" s="155"/>
      <c r="BV235" s="155"/>
      <c r="BW235" s="155"/>
    </row>
    <row r="236" spans="6:75" ht="11.25" customHeight="1" x14ac:dyDescent="0.2">
      <c r="F236" s="281"/>
      <c r="G236" s="281"/>
      <c r="H236" s="281"/>
      <c r="I236" s="281"/>
      <c r="J236" s="281"/>
      <c r="K236" s="281"/>
      <c r="L236" s="281"/>
      <c r="M236" s="281"/>
      <c r="N236" s="281"/>
      <c r="O236" s="281"/>
      <c r="P236" s="281"/>
      <c r="Q236" s="281"/>
      <c r="R236" s="281"/>
      <c r="S236" s="281"/>
      <c r="T236" s="281"/>
      <c r="U236" s="281"/>
      <c r="V236" s="281"/>
      <c r="W236" s="281"/>
      <c r="X236" s="281"/>
      <c r="Y236" s="281"/>
      <c r="Z236" s="281"/>
      <c r="AA236" s="281"/>
      <c r="AB236" s="281"/>
      <c r="AC236" s="281"/>
      <c r="AD236" s="281"/>
      <c r="AE236" s="281"/>
      <c r="AF236" s="281"/>
      <c r="AG236" s="281"/>
      <c r="AH236" s="281"/>
      <c r="AI236" s="281"/>
      <c r="AJ236" s="281"/>
      <c r="AK236" s="281"/>
      <c r="AL236" s="281"/>
      <c r="AM236" s="281"/>
      <c r="AN236" s="281"/>
      <c r="AO236" s="281"/>
      <c r="AP236" s="281"/>
      <c r="AQ236" s="281"/>
      <c r="AR236" s="281"/>
      <c r="AS236" s="155"/>
      <c r="AT236" s="155"/>
      <c r="AU236" s="156"/>
      <c r="AV236" s="156"/>
      <c r="AW236" s="156"/>
      <c r="AX236" s="281"/>
      <c r="AY236" s="281"/>
      <c r="AZ236" s="281"/>
      <c r="BA236" s="281"/>
      <c r="BB236" s="281"/>
      <c r="BC236" s="281"/>
      <c r="BD236" s="281"/>
      <c r="BE236" s="281"/>
      <c r="BF236" s="281"/>
      <c r="BG236" s="281"/>
      <c r="BH236" s="281"/>
      <c r="BI236" s="281"/>
      <c r="BJ236" s="281"/>
      <c r="BK236" s="281"/>
      <c r="BL236" s="281"/>
      <c r="BM236" s="281"/>
      <c r="BN236" s="281"/>
      <c r="BO236" s="281"/>
      <c r="BP236" s="281"/>
      <c r="BQ236" s="281"/>
      <c r="BR236" s="281"/>
      <c r="BS236" s="155"/>
      <c r="BT236" s="155"/>
      <c r="BU236" s="155"/>
      <c r="BV236" s="155"/>
      <c r="BW236" s="155"/>
    </row>
    <row r="237" spans="6:75" ht="11.25" customHeight="1" x14ac:dyDescent="0.2">
      <c r="F237" s="281"/>
      <c r="G237" s="281"/>
      <c r="H237" s="281"/>
      <c r="I237" s="281"/>
      <c r="J237" s="281"/>
      <c r="K237" s="281"/>
      <c r="L237" s="281"/>
      <c r="M237" s="281"/>
      <c r="N237" s="281"/>
      <c r="O237" s="281"/>
      <c r="P237" s="281"/>
      <c r="Q237" s="281"/>
      <c r="R237" s="281"/>
      <c r="S237" s="281"/>
      <c r="T237" s="281"/>
      <c r="U237" s="281"/>
      <c r="V237" s="281"/>
      <c r="W237" s="281"/>
      <c r="X237" s="281"/>
      <c r="Y237" s="281"/>
      <c r="Z237" s="281"/>
      <c r="AA237" s="281"/>
      <c r="AB237" s="281"/>
      <c r="AC237" s="281"/>
      <c r="AD237" s="281"/>
      <c r="AE237" s="281"/>
      <c r="AF237" s="281"/>
      <c r="AG237" s="281"/>
      <c r="AH237" s="281"/>
      <c r="AI237" s="281"/>
      <c r="AJ237" s="281"/>
      <c r="AK237" s="281"/>
      <c r="AL237" s="281"/>
      <c r="AM237" s="281"/>
      <c r="AN237" s="281"/>
      <c r="AO237" s="281"/>
      <c r="AP237" s="281"/>
      <c r="AQ237" s="281"/>
      <c r="AR237" s="281"/>
      <c r="AS237" s="155"/>
      <c r="AT237" s="155"/>
      <c r="AU237" s="156"/>
      <c r="AV237" s="156"/>
      <c r="AW237" s="156"/>
      <c r="AX237" s="281"/>
      <c r="AY237" s="281"/>
      <c r="AZ237" s="281"/>
      <c r="BA237" s="281"/>
      <c r="BB237" s="281"/>
      <c r="BC237" s="281"/>
      <c r="BD237" s="281"/>
      <c r="BE237" s="281"/>
      <c r="BF237" s="281"/>
      <c r="BG237" s="281"/>
      <c r="BH237" s="281"/>
      <c r="BI237" s="281"/>
      <c r="BJ237" s="281"/>
      <c r="BK237" s="281"/>
      <c r="BL237" s="281"/>
      <c r="BM237" s="281"/>
      <c r="BN237" s="281"/>
      <c r="BO237" s="281"/>
      <c r="BP237" s="281"/>
      <c r="BQ237" s="281"/>
      <c r="BR237" s="281"/>
      <c r="BS237" s="155"/>
      <c r="BT237" s="155"/>
      <c r="BU237" s="155"/>
      <c r="BV237" s="155"/>
      <c r="BW237" s="155"/>
    </row>
    <row r="238" spans="6:75" ht="11.25" customHeight="1" x14ac:dyDescent="0.2">
      <c r="F238" s="281"/>
      <c r="G238" s="281"/>
      <c r="H238" s="281"/>
      <c r="I238" s="281"/>
      <c r="J238" s="281"/>
      <c r="K238" s="281"/>
      <c r="L238" s="281"/>
      <c r="M238" s="281"/>
      <c r="N238" s="281"/>
      <c r="O238" s="281"/>
      <c r="P238" s="281"/>
      <c r="Q238" s="281"/>
      <c r="R238" s="281"/>
      <c r="S238" s="281"/>
      <c r="T238" s="281"/>
      <c r="U238" s="281"/>
      <c r="V238" s="281"/>
      <c r="W238" s="281"/>
      <c r="X238" s="281"/>
      <c r="Y238" s="281"/>
      <c r="Z238" s="281"/>
      <c r="AA238" s="281"/>
      <c r="AB238" s="281"/>
      <c r="AC238" s="281"/>
      <c r="AD238" s="281"/>
      <c r="AE238" s="281"/>
      <c r="AF238" s="281"/>
      <c r="AG238" s="281"/>
      <c r="AH238" s="281"/>
      <c r="AI238" s="281"/>
      <c r="AJ238" s="281"/>
      <c r="AK238" s="281"/>
      <c r="AL238" s="281"/>
      <c r="AM238" s="281"/>
      <c r="AN238" s="281"/>
      <c r="AO238" s="281"/>
      <c r="AP238" s="281"/>
      <c r="AQ238" s="281"/>
      <c r="AR238" s="281"/>
      <c r="AS238" s="155"/>
      <c r="AT238" s="155"/>
      <c r="AU238" s="156"/>
      <c r="AV238" s="156"/>
      <c r="AW238" s="156"/>
      <c r="AX238" s="281"/>
      <c r="AY238" s="281"/>
      <c r="AZ238" s="281"/>
      <c r="BA238" s="281"/>
      <c r="BB238" s="281"/>
      <c r="BC238" s="281"/>
      <c r="BD238" s="281"/>
      <c r="BE238" s="281"/>
      <c r="BF238" s="281"/>
      <c r="BG238" s="281"/>
      <c r="BH238" s="281"/>
      <c r="BI238" s="281"/>
      <c r="BJ238" s="281"/>
      <c r="BK238" s="281"/>
      <c r="BL238" s="281"/>
      <c r="BM238" s="281"/>
      <c r="BN238" s="281"/>
      <c r="BO238" s="281"/>
      <c r="BP238" s="281"/>
      <c r="BQ238" s="281"/>
      <c r="BR238" s="281"/>
      <c r="BS238" s="155"/>
      <c r="BT238" s="155"/>
      <c r="BU238" s="155"/>
      <c r="BV238" s="155"/>
      <c r="BW238" s="155"/>
    </row>
    <row r="239" spans="6:75" ht="11.25" customHeight="1" x14ac:dyDescent="0.2">
      <c r="F239" s="281"/>
      <c r="G239" s="281"/>
      <c r="H239" s="281"/>
      <c r="I239" s="281"/>
      <c r="J239" s="281"/>
      <c r="K239" s="281"/>
      <c r="L239" s="281"/>
      <c r="M239" s="281"/>
      <c r="N239" s="281"/>
      <c r="O239" s="281"/>
      <c r="P239" s="281"/>
      <c r="Q239" s="281"/>
      <c r="R239" s="281"/>
      <c r="S239" s="281"/>
      <c r="T239" s="281"/>
      <c r="U239" s="281"/>
      <c r="V239" s="281"/>
      <c r="W239" s="281"/>
      <c r="X239" s="281"/>
      <c r="Y239" s="281"/>
      <c r="Z239" s="281"/>
      <c r="AA239" s="281"/>
      <c r="AB239" s="281"/>
      <c r="AC239" s="281"/>
      <c r="AD239" s="281"/>
      <c r="AE239" s="281"/>
      <c r="AF239" s="281"/>
      <c r="AG239" s="281"/>
      <c r="AH239" s="281"/>
      <c r="AI239" s="281"/>
      <c r="AJ239" s="281"/>
      <c r="AK239" s="281"/>
      <c r="AL239" s="281"/>
      <c r="AM239" s="281"/>
      <c r="AN239" s="281"/>
      <c r="AO239" s="281"/>
      <c r="AP239" s="281"/>
      <c r="AQ239" s="281"/>
      <c r="AR239" s="281"/>
      <c r="AS239" s="155"/>
      <c r="AT239" s="155"/>
      <c r="AU239" s="156"/>
      <c r="AV239" s="156"/>
      <c r="AW239" s="156"/>
      <c r="AX239" s="281"/>
      <c r="AY239" s="281"/>
      <c r="AZ239" s="281"/>
      <c r="BA239" s="281"/>
      <c r="BB239" s="281"/>
      <c r="BC239" s="281"/>
      <c r="BD239" s="281"/>
      <c r="BE239" s="281"/>
      <c r="BF239" s="281"/>
      <c r="BG239" s="281"/>
      <c r="BH239" s="281"/>
      <c r="BI239" s="281"/>
      <c r="BJ239" s="281"/>
      <c r="BK239" s="281"/>
      <c r="BL239" s="281"/>
      <c r="BM239" s="281"/>
      <c r="BN239" s="281"/>
      <c r="BO239" s="281"/>
      <c r="BP239" s="281"/>
      <c r="BQ239" s="281"/>
      <c r="BR239" s="281"/>
      <c r="BS239" s="155"/>
      <c r="BT239" s="155"/>
      <c r="BU239" s="155"/>
      <c r="BV239" s="155"/>
      <c r="BW239" s="155"/>
    </row>
    <row r="240" spans="6:75" ht="11.25" customHeight="1" x14ac:dyDescent="0.2">
      <c r="F240" s="281"/>
      <c r="G240" s="281"/>
      <c r="H240" s="281"/>
      <c r="I240" s="281"/>
      <c r="J240" s="281"/>
      <c r="K240" s="281"/>
      <c r="L240" s="281"/>
      <c r="M240" s="281"/>
      <c r="N240" s="281"/>
      <c r="O240" s="281"/>
      <c r="P240" s="281"/>
      <c r="Q240" s="281"/>
      <c r="R240" s="281"/>
      <c r="S240" s="281"/>
      <c r="T240" s="281"/>
      <c r="U240" s="281"/>
      <c r="V240" s="281"/>
      <c r="W240" s="281"/>
      <c r="X240" s="281"/>
      <c r="Y240" s="281"/>
      <c r="Z240" s="281"/>
      <c r="AA240" s="281"/>
      <c r="AB240" s="281"/>
      <c r="AC240" s="281"/>
      <c r="AD240" s="281"/>
      <c r="AE240" s="281"/>
      <c r="AF240" s="281"/>
      <c r="AG240" s="281"/>
      <c r="AH240" s="281"/>
      <c r="AI240" s="281"/>
      <c r="AJ240" s="281"/>
      <c r="AK240" s="281"/>
      <c r="AL240" s="281"/>
      <c r="AM240" s="281"/>
      <c r="AN240" s="281"/>
      <c r="AO240" s="281"/>
      <c r="AP240" s="281"/>
      <c r="AQ240" s="281"/>
      <c r="AR240" s="281"/>
      <c r="AS240" s="155"/>
      <c r="AT240" s="155"/>
      <c r="AU240" s="156"/>
      <c r="AV240" s="156"/>
      <c r="AW240" s="156"/>
      <c r="AX240" s="281"/>
      <c r="AY240" s="281"/>
      <c r="AZ240" s="281"/>
      <c r="BA240" s="281"/>
      <c r="BB240" s="281"/>
      <c r="BC240" s="281"/>
      <c r="BD240" s="281"/>
      <c r="BE240" s="281"/>
      <c r="BF240" s="281"/>
      <c r="BG240" s="281"/>
      <c r="BH240" s="281"/>
      <c r="BI240" s="281"/>
      <c r="BJ240" s="281"/>
      <c r="BK240" s="281"/>
      <c r="BL240" s="281"/>
      <c r="BM240" s="281"/>
      <c r="BN240" s="281"/>
      <c r="BO240" s="281"/>
      <c r="BP240" s="281"/>
      <c r="BQ240" s="281"/>
      <c r="BR240" s="281"/>
      <c r="BS240" s="155"/>
      <c r="BT240" s="155"/>
      <c r="BU240" s="155"/>
      <c r="BV240" s="155"/>
      <c r="BW240" s="155"/>
    </row>
    <row r="241" spans="6:75" ht="11.25" customHeight="1" x14ac:dyDescent="0.2">
      <c r="F241" s="281"/>
      <c r="G241" s="281"/>
      <c r="H241" s="281"/>
      <c r="I241" s="281"/>
      <c r="J241" s="281"/>
      <c r="K241" s="281"/>
      <c r="L241" s="281"/>
      <c r="M241" s="281"/>
      <c r="N241" s="281"/>
      <c r="O241" s="281"/>
      <c r="P241" s="281"/>
      <c r="Q241" s="281"/>
      <c r="R241" s="281"/>
      <c r="S241" s="281"/>
      <c r="T241" s="281"/>
      <c r="U241" s="281"/>
      <c r="V241" s="281"/>
      <c r="W241" s="281"/>
      <c r="X241" s="281"/>
      <c r="Y241" s="281"/>
      <c r="Z241" s="281"/>
      <c r="AA241" s="281"/>
      <c r="AB241" s="281"/>
      <c r="AC241" s="281"/>
      <c r="AD241" s="281"/>
      <c r="AE241" s="281"/>
      <c r="AF241" s="281"/>
      <c r="AG241" s="281"/>
      <c r="AH241" s="281"/>
      <c r="AI241" s="281"/>
      <c r="AJ241" s="281"/>
      <c r="AK241" s="281"/>
      <c r="AL241" s="281"/>
      <c r="AM241" s="281"/>
      <c r="AN241" s="281"/>
      <c r="AO241" s="281"/>
      <c r="AP241" s="281"/>
      <c r="AQ241" s="281"/>
      <c r="AR241" s="281"/>
      <c r="AS241" s="155"/>
      <c r="AT241" s="155"/>
      <c r="AU241" s="156"/>
      <c r="AV241" s="156"/>
      <c r="AW241" s="156"/>
      <c r="AX241" s="281"/>
      <c r="AY241" s="281"/>
      <c r="AZ241" s="281"/>
      <c r="BA241" s="281"/>
      <c r="BB241" s="281"/>
      <c r="BC241" s="281"/>
      <c r="BD241" s="281"/>
      <c r="BE241" s="281"/>
      <c r="BF241" s="281"/>
      <c r="BG241" s="281"/>
      <c r="BH241" s="281"/>
      <c r="BI241" s="281"/>
      <c r="BJ241" s="281"/>
      <c r="BK241" s="281"/>
      <c r="BL241" s="281"/>
      <c r="BM241" s="281"/>
      <c r="BN241" s="281"/>
      <c r="BO241" s="281"/>
      <c r="BP241" s="281"/>
      <c r="BQ241" s="281"/>
      <c r="BR241" s="281"/>
      <c r="BS241" s="155"/>
      <c r="BT241" s="155"/>
      <c r="BU241" s="155"/>
      <c r="BV241" s="155"/>
      <c r="BW241" s="155"/>
    </row>
    <row r="242" spans="6:75" ht="11.25" customHeight="1" x14ac:dyDescent="0.2">
      <c r="F242" s="281"/>
      <c r="G242" s="281"/>
      <c r="H242" s="281"/>
      <c r="I242" s="281"/>
      <c r="J242" s="281"/>
      <c r="K242" s="281"/>
      <c r="L242" s="281"/>
      <c r="M242" s="281"/>
      <c r="N242" s="281"/>
      <c r="O242" s="281"/>
      <c r="P242" s="281"/>
      <c r="Q242" s="281"/>
      <c r="R242" s="281"/>
      <c r="S242" s="281"/>
      <c r="T242" s="281"/>
      <c r="U242" s="281"/>
      <c r="V242" s="281"/>
      <c r="W242" s="281"/>
      <c r="X242" s="281"/>
      <c r="Y242" s="281"/>
      <c r="Z242" s="281"/>
      <c r="AA242" s="281"/>
      <c r="AB242" s="281"/>
      <c r="AC242" s="281"/>
      <c r="AD242" s="281"/>
      <c r="AE242" s="281"/>
      <c r="AF242" s="281"/>
      <c r="AG242" s="281"/>
      <c r="AH242" s="281"/>
      <c r="AI242" s="281"/>
      <c r="AJ242" s="281"/>
      <c r="AK242" s="281"/>
      <c r="AL242" s="281"/>
      <c r="AM242" s="281"/>
      <c r="AN242" s="281"/>
      <c r="AO242" s="281"/>
      <c r="AP242" s="281"/>
      <c r="AQ242" s="281"/>
      <c r="AR242" s="281"/>
      <c r="AS242" s="155"/>
      <c r="AT242" s="155"/>
      <c r="AU242" s="156"/>
      <c r="AV242" s="156"/>
      <c r="AW242" s="156"/>
      <c r="AX242" s="281"/>
      <c r="AY242" s="281"/>
      <c r="AZ242" s="281"/>
      <c r="BA242" s="281"/>
      <c r="BB242" s="281"/>
      <c r="BC242" s="281"/>
      <c r="BD242" s="281"/>
      <c r="BE242" s="281"/>
      <c r="BF242" s="281"/>
      <c r="BG242" s="281"/>
      <c r="BH242" s="281"/>
      <c r="BI242" s="281"/>
      <c r="BJ242" s="281"/>
      <c r="BK242" s="281"/>
      <c r="BL242" s="281"/>
      <c r="BM242" s="281"/>
      <c r="BN242" s="281"/>
      <c r="BO242" s="281"/>
      <c r="BP242" s="281"/>
      <c r="BQ242" s="281"/>
      <c r="BR242" s="281"/>
      <c r="BS242" s="155"/>
      <c r="BT242" s="155"/>
      <c r="BU242" s="155"/>
      <c r="BV242" s="155"/>
      <c r="BW242" s="155"/>
    </row>
    <row r="243" spans="6:75" ht="11.25" customHeight="1" x14ac:dyDescent="0.2"/>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sheetData>
  <mergeCells count="4566">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6:BO26"/>
    <mergeCell ref="BP26:BR26"/>
    <mergeCell ref="A28:B28"/>
    <mergeCell ref="C28:D28"/>
    <mergeCell ref="F28:H28"/>
    <mergeCell ref="I28:K28"/>
    <mergeCell ref="L28:N28"/>
    <mergeCell ref="O28:Q28"/>
    <mergeCell ref="R28:T28"/>
    <mergeCell ref="U28:W28"/>
    <mergeCell ref="AP26:AR26"/>
    <mergeCell ref="AX26:AZ26"/>
    <mergeCell ref="BA26:BC26"/>
    <mergeCell ref="BD26:BF26"/>
    <mergeCell ref="BG26:BI26"/>
    <mergeCell ref="BJ26:BL26"/>
    <mergeCell ref="X26:Z26"/>
    <mergeCell ref="AA26:AC26"/>
    <mergeCell ref="AD26:AF26"/>
    <mergeCell ref="AG26:AI26"/>
    <mergeCell ref="AJ26:AL26"/>
    <mergeCell ref="AM26:AO26"/>
    <mergeCell ref="BM28:BO28"/>
    <mergeCell ref="BP28:BR28"/>
    <mergeCell ref="A29:B29"/>
    <mergeCell ref="C29:D29"/>
    <mergeCell ref="F29:H29"/>
    <mergeCell ref="I29:K29"/>
    <mergeCell ref="L29:N29"/>
    <mergeCell ref="O29:Q29"/>
    <mergeCell ref="R29:T29"/>
    <mergeCell ref="U29:W29"/>
    <mergeCell ref="AP28:AR28"/>
    <mergeCell ref="AX28:AZ28"/>
    <mergeCell ref="BA28:BC28"/>
    <mergeCell ref="BD28:BF28"/>
    <mergeCell ref="BG28:BI28"/>
    <mergeCell ref="BJ28:BL28"/>
    <mergeCell ref="X28:Z28"/>
    <mergeCell ref="AA28:AC28"/>
    <mergeCell ref="AD28:AF28"/>
    <mergeCell ref="AG28:AI28"/>
    <mergeCell ref="AJ28:AL28"/>
    <mergeCell ref="AM28:AO28"/>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4:BO34"/>
    <mergeCell ref="BP34:BR34"/>
    <mergeCell ref="A36:B36"/>
    <mergeCell ref="C36:D36"/>
    <mergeCell ref="F36:H36"/>
    <mergeCell ref="I36:K36"/>
    <mergeCell ref="L36:N36"/>
    <mergeCell ref="O36:Q36"/>
    <mergeCell ref="R36:T36"/>
    <mergeCell ref="U36:W36"/>
    <mergeCell ref="AP34:AR34"/>
    <mergeCell ref="AX34:AZ34"/>
    <mergeCell ref="BA34:BC34"/>
    <mergeCell ref="BD34:BF34"/>
    <mergeCell ref="BG34:BI34"/>
    <mergeCell ref="BJ34:BL34"/>
    <mergeCell ref="X34:Z34"/>
    <mergeCell ref="AA34:AC34"/>
    <mergeCell ref="AD34:AF34"/>
    <mergeCell ref="AG34:AI34"/>
    <mergeCell ref="AJ34:AL34"/>
    <mergeCell ref="AM34:AO34"/>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7:BO37"/>
    <mergeCell ref="BP37:BR37"/>
    <mergeCell ref="A38:B38"/>
    <mergeCell ref="C38:D38"/>
    <mergeCell ref="F38:H38"/>
    <mergeCell ref="I38:K38"/>
    <mergeCell ref="L38:N38"/>
    <mergeCell ref="O38:Q38"/>
    <mergeCell ref="R38:T38"/>
    <mergeCell ref="U38:W38"/>
    <mergeCell ref="AP37:AR37"/>
    <mergeCell ref="AX37:AZ37"/>
    <mergeCell ref="BA37:BC37"/>
    <mergeCell ref="BD37:BF37"/>
    <mergeCell ref="BG37:BI37"/>
    <mergeCell ref="BJ37:BL37"/>
    <mergeCell ref="X37:Z37"/>
    <mergeCell ref="AA37:AC37"/>
    <mergeCell ref="AD37:AF37"/>
    <mergeCell ref="AG37:AI37"/>
    <mergeCell ref="AJ37:AL37"/>
    <mergeCell ref="AM37:AO37"/>
    <mergeCell ref="BM38:BO38"/>
    <mergeCell ref="BP38:BR38"/>
    <mergeCell ref="A40:B40"/>
    <mergeCell ref="C40:D40"/>
    <mergeCell ref="F40:H40"/>
    <mergeCell ref="I40:K40"/>
    <mergeCell ref="L40:N40"/>
    <mergeCell ref="O40:Q40"/>
    <mergeCell ref="R40:T40"/>
    <mergeCell ref="U40:W40"/>
    <mergeCell ref="AP38:AR38"/>
    <mergeCell ref="AX38:AZ38"/>
    <mergeCell ref="BA38:BC38"/>
    <mergeCell ref="BD38:BF38"/>
    <mergeCell ref="BG38:BI38"/>
    <mergeCell ref="BJ38:BL38"/>
    <mergeCell ref="X38:Z38"/>
    <mergeCell ref="AA38:AC38"/>
    <mergeCell ref="AD38:AF38"/>
    <mergeCell ref="AG38:AI38"/>
    <mergeCell ref="AJ38:AL38"/>
    <mergeCell ref="AM38:AO38"/>
    <mergeCell ref="BM40:BO40"/>
    <mergeCell ref="BP40:BR40"/>
    <mergeCell ref="A41:B41"/>
    <mergeCell ref="C41:D41"/>
    <mergeCell ref="F41:H41"/>
    <mergeCell ref="I41:K41"/>
    <mergeCell ref="L41:N41"/>
    <mergeCell ref="O41:Q41"/>
    <mergeCell ref="R41:T41"/>
    <mergeCell ref="U41:W41"/>
    <mergeCell ref="AP40:AR40"/>
    <mergeCell ref="AX40:AZ40"/>
    <mergeCell ref="BA40:BC40"/>
    <mergeCell ref="BD40:BF40"/>
    <mergeCell ref="BG40:BI40"/>
    <mergeCell ref="BJ40:BL40"/>
    <mergeCell ref="X40:Z40"/>
    <mergeCell ref="AA40:AC40"/>
    <mergeCell ref="AD40:AF40"/>
    <mergeCell ref="AG40:AI40"/>
    <mergeCell ref="AJ40:AL40"/>
    <mergeCell ref="AM40:AO40"/>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2:BO52"/>
    <mergeCell ref="BP52:BR52"/>
    <mergeCell ref="A54:B54"/>
    <mergeCell ref="C54:D54"/>
    <mergeCell ref="F54:H54"/>
    <mergeCell ref="I54:K54"/>
    <mergeCell ref="L54:N54"/>
    <mergeCell ref="O54:Q54"/>
    <mergeCell ref="R54:T54"/>
    <mergeCell ref="U54:W54"/>
    <mergeCell ref="AP52:AR52"/>
    <mergeCell ref="AX52:AZ52"/>
    <mergeCell ref="BA52:BC52"/>
    <mergeCell ref="BD52:BF52"/>
    <mergeCell ref="BG52:BI52"/>
    <mergeCell ref="BJ52:BL52"/>
    <mergeCell ref="X52:Z52"/>
    <mergeCell ref="AA52:AC52"/>
    <mergeCell ref="AD52:AF52"/>
    <mergeCell ref="AG52:AI52"/>
    <mergeCell ref="AJ52:AL52"/>
    <mergeCell ref="AM52:AO52"/>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4:BO64"/>
    <mergeCell ref="BP64:BR64"/>
    <mergeCell ref="A66:B66"/>
    <mergeCell ref="C66:D66"/>
    <mergeCell ref="F66:H66"/>
    <mergeCell ref="I66:K66"/>
    <mergeCell ref="L66:N66"/>
    <mergeCell ref="O66:Q66"/>
    <mergeCell ref="R66:T66"/>
    <mergeCell ref="U66:W66"/>
    <mergeCell ref="AP64:AR64"/>
    <mergeCell ref="AX64:AZ64"/>
    <mergeCell ref="BA64:BC64"/>
    <mergeCell ref="BD64:BF64"/>
    <mergeCell ref="BG64:BI64"/>
    <mergeCell ref="BJ64:BL64"/>
    <mergeCell ref="X64:Z64"/>
    <mergeCell ref="AA64:AC64"/>
    <mergeCell ref="AD64:AF64"/>
    <mergeCell ref="AG64:AI64"/>
    <mergeCell ref="AJ64:AL64"/>
    <mergeCell ref="AM64:AO64"/>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6:BO76"/>
    <mergeCell ref="BP76:BR76"/>
    <mergeCell ref="A78:B78"/>
    <mergeCell ref="C78:D78"/>
    <mergeCell ref="F78:H78"/>
    <mergeCell ref="I78:K78"/>
    <mergeCell ref="L78:N78"/>
    <mergeCell ref="O78:Q78"/>
    <mergeCell ref="R78:T78"/>
    <mergeCell ref="U78:W78"/>
    <mergeCell ref="AP76:AR76"/>
    <mergeCell ref="AX76:AZ76"/>
    <mergeCell ref="BA76:BC76"/>
    <mergeCell ref="BD76:BF76"/>
    <mergeCell ref="BG76:BI76"/>
    <mergeCell ref="BJ76:BL76"/>
    <mergeCell ref="X76:Z76"/>
    <mergeCell ref="AA76:AC76"/>
    <mergeCell ref="AD76:AF76"/>
    <mergeCell ref="AG76:AI76"/>
    <mergeCell ref="AJ76:AL76"/>
    <mergeCell ref="AM76:AO76"/>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7:BO87"/>
    <mergeCell ref="BP87:BR87"/>
    <mergeCell ref="A89:B89"/>
    <mergeCell ref="C89:D89"/>
    <mergeCell ref="F89:H89"/>
    <mergeCell ref="I89:K89"/>
    <mergeCell ref="L89:N89"/>
    <mergeCell ref="O89:Q89"/>
    <mergeCell ref="R89:T89"/>
    <mergeCell ref="U89:W89"/>
    <mergeCell ref="AP87:AR87"/>
    <mergeCell ref="AX87:AZ87"/>
    <mergeCell ref="BA87:BC87"/>
    <mergeCell ref="BD87:BF87"/>
    <mergeCell ref="BG87:BI87"/>
    <mergeCell ref="BJ87:BL87"/>
    <mergeCell ref="X87:Z87"/>
    <mergeCell ref="AA87:AC87"/>
    <mergeCell ref="AD87:AF87"/>
    <mergeCell ref="AG87:AI87"/>
    <mergeCell ref="AJ87:AL87"/>
    <mergeCell ref="AM87:AO87"/>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8:BO98"/>
    <mergeCell ref="BP98:BR98"/>
    <mergeCell ref="A100:B100"/>
    <mergeCell ref="C100:D100"/>
    <mergeCell ref="F100:H100"/>
    <mergeCell ref="I100:K100"/>
    <mergeCell ref="L100:N100"/>
    <mergeCell ref="O100:Q100"/>
    <mergeCell ref="R100:T100"/>
    <mergeCell ref="U100:W100"/>
    <mergeCell ref="AP98:AR98"/>
    <mergeCell ref="AX98:AZ98"/>
    <mergeCell ref="BA98:BC98"/>
    <mergeCell ref="BD98:BF98"/>
    <mergeCell ref="BG98:BI98"/>
    <mergeCell ref="BJ98:BL98"/>
    <mergeCell ref="X98:Z98"/>
    <mergeCell ref="AA98:AC98"/>
    <mergeCell ref="AD98:AF98"/>
    <mergeCell ref="AG98:AI98"/>
    <mergeCell ref="AJ98:AL98"/>
    <mergeCell ref="AM98:AO98"/>
    <mergeCell ref="BM100:BO100"/>
    <mergeCell ref="BP100:BR100"/>
    <mergeCell ref="A101:B101"/>
    <mergeCell ref="C101:D101"/>
    <mergeCell ref="F101:H101"/>
    <mergeCell ref="I101:K101"/>
    <mergeCell ref="L101:N101"/>
    <mergeCell ref="O101:Q101"/>
    <mergeCell ref="R101:T101"/>
    <mergeCell ref="U101:W101"/>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101:BO101"/>
    <mergeCell ref="BP101:BR101"/>
    <mergeCell ref="A102:B102"/>
    <mergeCell ref="C102:D102"/>
    <mergeCell ref="F102:H102"/>
    <mergeCell ref="I102:K102"/>
    <mergeCell ref="L102:N102"/>
    <mergeCell ref="O102:Q102"/>
    <mergeCell ref="R102:T102"/>
    <mergeCell ref="U102:W102"/>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102:BO102"/>
    <mergeCell ref="BP102:BR102"/>
    <mergeCell ref="A104:B104"/>
    <mergeCell ref="C104:D104"/>
    <mergeCell ref="F104:H104"/>
    <mergeCell ref="I104:K104"/>
    <mergeCell ref="L104:N104"/>
    <mergeCell ref="O104:Q104"/>
    <mergeCell ref="R104:T104"/>
    <mergeCell ref="U104:W104"/>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8:BO108"/>
    <mergeCell ref="BP108:BR108"/>
    <mergeCell ref="A109:B109"/>
    <mergeCell ref="C109:D109"/>
    <mergeCell ref="F109:H109"/>
    <mergeCell ref="I109:K109"/>
    <mergeCell ref="L109:N109"/>
    <mergeCell ref="O109:Q109"/>
    <mergeCell ref="R109:T109"/>
    <mergeCell ref="U109:W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9:BO109"/>
    <mergeCell ref="BP109:BR109"/>
    <mergeCell ref="A111:B111"/>
    <mergeCell ref="C111:D111"/>
    <mergeCell ref="F111:H111"/>
    <mergeCell ref="I111:K111"/>
    <mergeCell ref="L111:N111"/>
    <mergeCell ref="O111:Q111"/>
    <mergeCell ref="R111:T111"/>
    <mergeCell ref="U111:W111"/>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11:BO111"/>
    <mergeCell ref="BP111:BR111"/>
    <mergeCell ref="I112:K112"/>
    <mergeCell ref="L112:N112"/>
    <mergeCell ref="O112:Q112"/>
    <mergeCell ref="R112:T112"/>
    <mergeCell ref="U112:W112"/>
    <mergeCell ref="X112:Z112"/>
    <mergeCell ref="AA112:AC112"/>
    <mergeCell ref="AD112:AF112"/>
    <mergeCell ref="AP111:AR111"/>
    <mergeCell ref="AX111:AZ111"/>
    <mergeCell ref="BA111:BC111"/>
    <mergeCell ref="BD111:BF111"/>
    <mergeCell ref="BG111:BI111"/>
    <mergeCell ref="BJ111:BL111"/>
    <mergeCell ref="X111:Z111"/>
    <mergeCell ref="AA111:AC111"/>
    <mergeCell ref="AD111:AF111"/>
    <mergeCell ref="AG111:AI111"/>
    <mergeCell ref="AJ111:AL111"/>
    <mergeCell ref="AM111:AO111"/>
    <mergeCell ref="BG113:BI113"/>
    <mergeCell ref="BJ113:BL113"/>
    <mergeCell ref="BM113:BO113"/>
    <mergeCell ref="BP113:BR113"/>
    <mergeCell ref="F114:H114"/>
    <mergeCell ref="I114:K114"/>
    <mergeCell ref="L114:N114"/>
    <mergeCell ref="O114:Q114"/>
    <mergeCell ref="R114:T114"/>
    <mergeCell ref="U114:W114"/>
    <mergeCell ref="AJ113:AL113"/>
    <mergeCell ref="AM113:AO113"/>
    <mergeCell ref="AP113:AR113"/>
    <mergeCell ref="AX113:AZ113"/>
    <mergeCell ref="BA113:BC113"/>
    <mergeCell ref="BD113:BF113"/>
    <mergeCell ref="BD112:BF112"/>
    <mergeCell ref="BG112:BI112"/>
    <mergeCell ref="BJ112:BL112"/>
    <mergeCell ref="BM112:BO112"/>
    <mergeCell ref="BP112:BR112"/>
    <mergeCell ref="U113:W113"/>
    <mergeCell ref="X113:Z113"/>
    <mergeCell ref="AA113:AC113"/>
    <mergeCell ref="AD113:AF113"/>
    <mergeCell ref="AG113:AI113"/>
    <mergeCell ref="AG112:AI112"/>
    <mergeCell ref="AJ112:AL112"/>
    <mergeCell ref="AM112:AO112"/>
    <mergeCell ref="AP112:AR112"/>
    <mergeCell ref="AX112:AZ112"/>
    <mergeCell ref="BA112:BC112"/>
    <mergeCell ref="BM114:BO114"/>
    <mergeCell ref="BP114:BR114"/>
    <mergeCell ref="F115:H115"/>
    <mergeCell ref="I115:K115"/>
    <mergeCell ref="L115:N115"/>
    <mergeCell ref="O115:Q115"/>
    <mergeCell ref="R115:T115"/>
    <mergeCell ref="U115:W115"/>
    <mergeCell ref="X115:Z115"/>
    <mergeCell ref="AA115:AC115"/>
    <mergeCell ref="AP114:AR114"/>
    <mergeCell ref="AX114:AZ114"/>
    <mergeCell ref="BA114:BC114"/>
    <mergeCell ref="BD114:BF114"/>
    <mergeCell ref="BG114:BI114"/>
    <mergeCell ref="BJ114:BL114"/>
    <mergeCell ref="X114:Z114"/>
    <mergeCell ref="AA114:AC114"/>
    <mergeCell ref="AD114:AF114"/>
    <mergeCell ref="AG114:AI114"/>
    <mergeCell ref="AJ114:AL114"/>
    <mergeCell ref="AM114:AO114"/>
    <mergeCell ref="AJ116:AL116"/>
    <mergeCell ref="AM116:AO116"/>
    <mergeCell ref="F116:H116"/>
    <mergeCell ref="I116:K116"/>
    <mergeCell ref="L116:N116"/>
    <mergeCell ref="O116:Q116"/>
    <mergeCell ref="R116:T116"/>
    <mergeCell ref="U116:W116"/>
    <mergeCell ref="BA115:BC115"/>
    <mergeCell ref="BD115:BF115"/>
    <mergeCell ref="BG115:BI115"/>
    <mergeCell ref="BJ115:BL115"/>
    <mergeCell ref="BM115:BO115"/>
    <mergeCell ref="BP115:BR115"/>
    <mergeCell ref="AD115:AF115"/>
    <mergeCell ref="AG115:AI115"/>
    <mergeCell ref="AJ115:AL115"/>
    <mergeCell ref="AM115:AO115"/>
    <mergeCell ref="AP115:AR115"/>
    <mergeCell ref="AX115:AZ115"/>
    <mergeCell ref="BA117:BC117"/>
    <mergeCell ref="BD117:BF117"/>
    <mergeCell ref="BG117:BI117"/>
    <mergeCell ref="BJ117:BL117"/>
    <mergeCell ref="BM117:BO117"/>
    <mergeCell ref="BP117:BR117"/>
    <mergeCell ref="AD117:AF117"/>
    <mergeCell ref="AG117:AI117"/>
    <mergeCell ref="AJ117:AL117"/>
    <mergeCell ref="AM117:AO117"/>
    <mergeCell ref="AP117:AR117"/>
    <mergeCell ref="AX117:AZ117"/>
    <mergeCell ref="BM116:BO116"/>
    <mergeCell ref="BP116:BR116"/>
    <mergeCell ref="F117:H117"/>
    <mergeCell ref="I117:K117"/>
    <mergeCell ref="L117:N117"/>
    <mergeCell ref="O117:Q117"/>
    <mergeCell ref="R117:T117"/>
    <mergeCell ref="U117:W117"/>
    <mergeCell ref="X117:Z117"/>
    <mergeCell ref="AA117:AC117"/>
    <mergeCell ref="AP116:AR116"/>
    <mergeCell ref="AX116:AZ116"/>
    <mergeCell ref="BA116:BC116"/>
    <mergeCell ref="BD116:BF116"/>
    <mergeCell ref="BG116:BI116"/>
    <mergeCell ref="BJ116:BL116"/>
    <mergeCell ref="X116:Z116"/>
    <mergeCell ref="AA116:AC116"/>
    <mergeCell ref="AD116:AF116"/>
    <mergeCell ref="AG116:AI116"/>
    <mergeCell ref="BM118:BO118"/>
    <mergeCell ref="BP118:BR118"/>
    <mergeCell ref="F119:H119"/>
    <mergeCell ref="I119:K119"/>
    <mergeCell ref="L119:N119"/>
    <mergeCell ref="O119:Q119"/>
    <mergeCell ref="R119:T119"/>
    <mergeCell ref="U119:W119"/>
    <mergeCell ref="X119:Z119"/>
    <mergeCell ref="AA119:AC119"/>
    <mergeCell ref="AP118:AR118"/>
    <mergeCell ref="AX118:AZ118"/>
    <mergeCell ref="BA118:BC118"/>
    <mergeCell ref="BD118:BF118"/>
    <mergeCell ref="BG118:BI118"/>
    <mergeCell ref="BJ118:BL118"/>
    <mergeCell ref="X118:Z118"/>
    <mergeCell ref="AA118:AC118"/>
    <mergeCell ref="AD118:AF118"/>
    <mergeCell ref="AG118:AI118"/>
    <mergeCell ref="AJ118:AL118"/>
    <mergeCell ref="AM118:AO118"/>
    <mergeCell ref="F118:H118"/>
    <mergeCell ref="I118:K118"/>
    <mergeCell ref="L118:N118"/>
    <mergeCell ref="O118:Q118"/>
    <mergeCell ref="R118:T118"/>
    <mergeCell ref="U118:W118"/>
    <mergeCell ref="AJ120:AL120"/>
    <mergeCell ref="AM120:AO120"/>
    <mergeCell ref="F120:H120"/>
    <mergeCell ref="I120:K120"/>
    <mergeCell ref="L120:N120"/>
    <mergeCell ref="O120:Q120"/>
    <mergeCell ref="R120:T120"/>
    <mergeCell ref="U120:W120"/>
    <mergeCell ref="BA119:BC119"/>
    <mergeCell ref="BD119:BF119"/>
    <mergeCell ref="BG119:BI119"/>
    <mergeCell ref="BJ119:BL119"/>
    <mergeCell ref="BM119:BO119"/>
    <mergeCell ref="BP119:BR119"/>
    <mergeCell ref="AD119:AF119"/>
    <mergeCell ref="AG119:AI119"/>
    <mergeCell ref="AJ119:AL119"/>
    <mergeCell ref="AM119:AO119"/>
    <mergeCell ref="AP119:AR119"/>
    <mergeCell ref="AX119:AZ119"/>
    <mergeCell ref="BA121:BC121"/>
    <mergeCell ref="BD121:BF121"/>
    <mergeCell ref="BG121:BI121"/>
    <mergeCell ref="BJ121:BL121"/>
    <mergeCell ref="BM121:BO121"/>
    <mergeCell ref="BP121:BR121"/>
    <mergeCell ref="AD121:AF121"/>
    <mergeCell ref="AG121:AI121"/>
    <mergeCell ref="AJ121:AL121"/>
    <mergeCell ref="AM121:AO121"/>
    <mergeCell ref="AP121:AR121"/>
    <mergeCell ref="AX121:AZ121"/>
    <mergeCell ref="BM120:BO120"/>
    <mergeCell ref="BP120:BR120"/>
    <mergeCell ref="F121:H121"/>
    <mergeCell ref="I121:K121"/>
    <mergeCell ref="L121:N121"/>
    <mergeCell ref="O121:Q121"/>
    <mergeCell ref="R121:T121"/>
    <mergeCell ref="U121:W121"/>
    <mergeCell ref="X121:Z121"/>
    <mergeCell ref="AA121:AC121"/>
    <mergeCell ref="AP120:AR120"/>
    <mergeCell ref="AX120:AZ120"/>
    <mergeCell ref="BA120:BC120"/>
    <mergeCell ref="BD120:BF120"/>
    <mergeCell ref="BG120:BI120"/>
    <mergeCell ref="BJ120:BL120"/>
    <mergeCell ref="X120:Z120"/>
    <mergeCell ref="AA120:AC120"/>
    <mergeCell ref="AD120:AF120"/>
    <mergeCell ref="AG120:AI120"/>
    <mergeCell ref="BM122:BO122"/>
    <mergeCell ref="BP122:BR122"/>
    <mergeCell ref="F123:H123"/>
    <mergeCell ref="I123:K123"/>
    <mergeCell ref="L123:N123"/>
    <mergeCell ref="O123:Q123"/>
    <mergeCell ref="R123:T123"/>
    <mergeCell ref="U123:W123"/>
    <mergeCell ref="X123:Z123"/>
    <mergeCell ref="AA123:AC123"/>
    <mergeCell ref="AP122:AR122"/>
    <mergeCell ref="AX122:AZ122"/>
    <mergeCell ref="BA122:BC122"/>
    <mergeCell ref="BD122:BF122"/>
    <mergeCell ref="BG122:BI122"/>
    <mergeCell ref="BJ122:BL122"/>
    <mergeCell ref="X122:Z122"/>
    <mergeCell ref="AA122:AC122"/>
    <mergeCell ref="AD122:AF122"/>
    <mergeCell ref="AG122:AI122"/>
    <mergeCell ref="AJ122:AL122"/>
    <mergeCell ref="AM122:AO122"/>
    <mergeCell ref="F122:H122"/>
    <mergeCell ref="I122:K122"/>
    <mergeCell ref="L122:N122"/>
    <mergeCell ref="O122:Q122"/>
    <mergeCell ref="R122:T122"/>
    <mergeCell ref="U122:W122"/>
    <mergeCell ref="AJ124:AL124"/>
    <mergeCell ref="AM124:AO124"/>
    <mergeCell ref="F124:H124"/>
    <mergeCell ref="I124:K124"/>
    <mergeCell ref="L124:N124"/>
    <mergeCell ref="O124:Q124"/>
    <mergeCell ref="R124:T124"/>
    <mergeCell ref="U124:W124"/>
    <mergeCell ref="BA123:BC123"/>
    <mergeCell ref="BD123:BF123"/>
    <mergeCell ref="BG123:BI123"/>
    <mergeCell ref="BJ123:BL123"/>
    <mergeCell ref="BM123:BO123"/>
    <mergeCell ref="BP123:BR123"/>
    <mergeCell ref="AD123:AF123"/>
    <mergeCell ref="AG123:AI123"/>
    <mergeCell ref="AJ123:AL123"/>
    <mergeCell ref="AM123:AO123"/>
    <mergeCell ref="AP123:AR123"/>
    <mergeCell ref="AX123:AZ123"/>
    <mergeCell ref="BA125:BC125"/>
    <mergeCell ref="BD125:BF125"/>
    <mergeCell ref="BG125:BI125"/>
    <mergeCell ref="BJ125:BL125"/>
    <mergeCell ref="BM125:BO125"/>
    <mergeCell ref="BP125:BR125"/>
    <mergeCell ref="AD125:AF125"/>
    <mergeCell ref="AG125:AI125"/>
    <mergeCell ref="AJ125:AL125"/>
    <mergeCell ref="AM125:AO125"/>
    <mergeCell ref="AP125:AR125"/>
    <mergeCell ref="AX125:AZ125"/>
    <mergeCell ref="BM124:BO124"/>
    <mergeCell ref="BP124:BR124"/>
    <mergeCell ref="F125:H125"/>
    <mergeCell ref="I125:K125"/>
    <mergeCell ref="L125:N125"/>
    <mergeCell ref="O125:Q125"/>
    <mergeCell ref="R125:T125"/>
    <mergeCell ref="U125:W125"/>
    <mergeCell ref="X125:Z125"/>
    <mergeCell ref="AA125:AC125"/>
    <mergeCell ref="AP124:AR124"/>
    <mergeCell ref="AX124:AZ124"/>
    <mergeCell ref="BA124:BC124"/>
    <mergeCell ref="BD124:BF124"/>
    <mergeCell ref="BG124:BI124"/>
    <mergeCell ref="BJ124:BL124"/>
    <mergeCell ref="X124:Z124"/>
    <mergeCell ref="AA124:AC124"/>
    <mergeCell ref="AD124:AF124"/>
    <mergeCell ref="AG124:AI124"/>
    <mergeCell ref="BM126:BO126"/>
    <mergeCell ref="BP126:BR126"/>
    <mergeCell ref="F127:H127"/>
    <mergeCell ref="I127:K127"/>
    <mergeCell ref="L127:N127"/>
    <mergeCell ref="O127:Q127"/>
    <mergeCell ref="R127:T127"/>
    <mergeCell ref="U127:W127"/>
    <mergeCell ref="X127:Z127"/>
    <mergeCell ref="AA127:AC127"/>
    <mergeCell ref="AP126:AR126"/>
    <mergeCell ref="AX126:AZ126"/>
    <mergeCell ref="BA126:BC126"/>
    <mergeCell ref="BD126:BF126"/>
    <mergeCell ref="BG126:BI126"/>
    <mergeCell ref="BJ126:BL126"/>
    <mergeCell ref="X126:Z126"/>
    <mergeCell ref="AA126:AC126"/>
    <mergeCell ref="AD126:AF126"/>
    <mergeCell ref="AG126:AI126"/>
    <mergeCell ref="AJ126:AL126"/>
    <mergeCell ref="AM126:AO126"/>
    <mergeCell ref="F126:H126"/>
    <mergeCell ref="I126:K126"/>
    <mergeCell ref="L126:N126"/>
    <mergeCell ref="O126:Q126"/>
    <mergeCell ref="R126:T126"/>
    <mergeCell ref="U126:W126"/>
    <mergeCell ref="AJ128:AL128"/>
    <mergeCell ref="AM128:AO128"/>
    <mergeCell ref="F128:H128"/>
    <mergeCell ref="I128:K128"/>
    <mergeCell ref="L128:N128"/>
    <mergeCell ref="O128:Q128"/>
    <mergeCell ref="R128:T128"/>
    <mergeCell ref="U128:W128"/>
    <mergeCell ref="BA127:BC127"/>
    <mergeCell ref="BD127:BF127"/>
    <mergeCell ref="BG127:BI127"/>
    <mergeCell ref="BJ127:BL127"/>
    <mergeCell ref="BM127:BO127"/>
    <mergeCell ref="BP127:BR127"/>
    <mergeCell ref="AD127:AF127"/>
    <mergeCell ref="AG127:AI127"/>
    <mergeCell ref="AJ127:AL127"/>
    <mergeCell ref="AM127:AO127"/>
    <mergeCell ref="AP127:AR127"/>
    <mergeCell ref="AX127:AZ127"/>
    <mergeCell ref="BA129:BC129"/>
    <mergeCell ref="BD129:BF129"/>
    <mergeCell ref="BG129:BI129"/>
    <mergeCell ref="BJ129:BL129"/>
    <mergeCell ref="BM129:BO129"/>
    <mergeCell ref="BP129:BR129"/>
    <mergeCell ref="AD129:AF129"/>
    <mergeCell ref="AG129:AI129"/>
    <mergeCell ref="AJ129:AL129"/>
    <mergeCell ref="AM129:AO129"/>
    <mergeCell ref="AP129:AR129"/>
    <mergeCell ref="AX129:AZ129"/>
    <mergeCell ref="BM128:BO128"/>
    <mergeCell ref="BP128:BR128"/>
    <mergeCell ref="F129:H129"/>
    <mergeCell ref="I129:K129"/>
    <mergeCell ref="L129:N129"/>
    <mergeCell ref="O129:Q129"/>
    <mergeCell ref="R129:T129"/>
    <mergeCell ref="U129:W129"/>
    <mergeCell ref="X129:Z129"/>
    <mergeCell ref="AA129:AC129"/>
    <mergeCell ref="AP128:AR128"/>
    <mergeCell ref="AX128:AZ128"/>
    <mergeCell ref="BA128:BC128"/>
    <mergeCell ref="BD128:BF128"/>
    <mergeCell ref="BG128:BI128"/>
    <mergeCell ref="BJ128:BL128"/>
    <mergeCell ref="X128:Z128"/>
    <mergeCell ref="AA128:AC128"/>
    <mergeCell ref="AD128:AF128"/>
    <mergeCell ref="AG128:AI128"/>
    <mergeCell ref="BM130:BO130"/>
    <mergeCell ref="BP130:BR130"/>
    <mergeCell ref="F131:H131"/>
    <mergeCell ref="I131:K131"/>
    <mergeCell ref="L131:N131"/>
    <mergeCell ref="O131:Q131"/>
    <mergeCell ref="R131:T131"/>
    <mergeCell ref="U131:W131"/>
    <mergeCell ref="X131:Z131"/>
    <mergeCell ref="AA131:AC131"/>
    <mergeCell ref="AP130:AR130"/>
    <mergeCell ref="AX130:AZ130"/>
    <mergeCell ref="BA130:BC130"/>
    <mergeCell ref="BD130:BF130"/>
    <mergeCell ref="BG130:BI130"/>
    <mergeCell ref="BJ130:BL130"/>
    <mergeCell ref="X130:Z130"/>
    <mergeCell ref="AA130:AC130"/>
    <mergeCell ref="AD130:AF130"/>
    <mergeCell ref="AG130:AI130"/>
    <mergeCell ref="AJ130:AL130"/>
    <mergeCell ref="AM130:AO130"/>
    <mergeCell ref="F130:H130"/>
    <mergeCell ref="I130:K130"/>
    <mergeCell ref="L130:N130"/>
    <mergeCell ref="O130:Q130"/>
    <mergeCell ref="R130:T130"/>
    <mergeCell ref="U130:W130"/>
    <mergeCell ref="AJ132:AL132"/>
    <mergeCell ref="AM132:AO132"/>
    <mergeCell ref="F132:H132"/>
    <mergeCell ref="I132:K132"/>
    <mergeCell ref="L132:N132"/>
    <mergeCell ref="O132:Q132"/>
    <mergeCell ref="R132:T132"/>
    <mergeCell ref="U132:W132"/>
    <mergeCell ref="BA131:BC131"/>
    <mergeCell ref="BD131:BF131"/>
    <mergeCell ref="BG131:BI131"/>
    <mergeCell ref="BJ131:BL131"/>
    <mergeCell ref="BM131:BO131"/>
    <mergeCell ref="BP131:BR131"/>
    <mergeCell ref="AD131:AF131"/>
    <mergeCell ref="AG131:AI131"/>
    <mergeCell ref="AJ131:AL131"/>
    <mergeCell ref="AM131:AO131"/>
    <mergeCell ref="AP131:AR131"/>
    <mergeCell ref="AX131:AZ131"/>
    <mergeCell ref="BA133:BC133"/>
    <mergeCell ref="BD133:BF133"/>
    <mergeCell ref="BG133:BI133"/>
    <mergeCell ref="BJ133:BL133"/>
    <mergeCell ref="BM133:BO133"/>
    <mergeCell ref="BP133:BR133"/>
    <mergeCell ref="AD133:AF133"/>
    <mergeCell ref="AG133:AI133"/>
    <mergeCell ref="AJ133:AL133"/>
    <mergeCell ref="AM133:AO133"/>
    <mergeCell ref="AP133:AR133"/>
    <mergeCell ref="AX133:AZ133"/>
    <mergeCell ref="BM132:BO132"/>
    <mergeCell ref="BP132:BR132"/>
    <mergeCell ref="F133:H133"/>
    <mergeCell ref="I133:K133"/>
    <mergeCell ref="L133:N133"/>
    <mergeCell ref="O133:Q133"/>
    <mergeCell ref="R133:T133"/>
    <mergeCell ref="U133:W133"/>
    <mergeCell ref="X133:Z133"/>
    <mergeCell ref="AA133:AC133"/>
    <mergeCell ref="AP132:AR132"/>
    <mergeCell ref="AX132:AZ132"/>
    <mergeCell ref="BA132:BC132"/>
    <mergeCell ref="BD132:BF132"/>
    <mergeCell ref="BG132:BI132"/>
    <mergeCell ref="BJ132:BL132"/>
    <mergeCell ref="X132:Z132"/>
    <mergeCell ref="AA132:AC132"/>
    <mergeCell ref="AD132:AF132"/>
    <mergeCell ref="AG132:AI132"/>
    <mergeCell ref="BM134:BO134"/>
    <mergeCell ref="BP134:BR134"/>
    <mergeCell ref="F135:H135"/>
    <mergeCell ref="I135:K135"/>
    <mergeCell ref="L135:N135"/>
    <mergeCell ref="O135:Q135"/>
    <mergeCell ref="R135:T135"/>
    <mergeCell ref="U135:W135"/>
    <mergeCell ref="X135:Z135"/>
    <mergeCell ref="AA135:AC135"/>
    <mergeCell ref="AP134:AR134"/>
    <mergeCell ref="AX134:AZ134"/>
    <mergeCell ref="BA134:BC134"/>
    <mergeCell ref="BD134:BF134"/>
    <mergeCell ref="BG134:BI134"/>
    <mergeCell ref="BJ134:BL134"/>
    <mergeCell ref="X134:Z134"/>
    <mergeCell ref="AA134:AC134"/>
    <mergeCell ref="AD134:AF134"/>
    <mergeCell ref="AG134:AI134"/>
    <mergeCell ref="AJ134:AL134"/>
    <mergeCell ref="AM134:AO134"/>
    <mergeCell ref="F134:H134"/>
    <mergeCell ref="I134:K134"/>
    <mergeCell ref="L134:N134"/>
    <mergeCell ref="O134:Q134"/>
    <mergeCell ref="R134:T134"/>
    <mergeCell ref="U134:W134"/>
    <mergeCell ref="AJ136:AL136"/>
    <mergeCell ref="AM136:AO136"/>
    <mergeCell ref="F136:H136"/>
    <mergeCell ref="I136:K136"/>
    <mergeCell ref="L136:N136"/>
    <mergeCell ref="O136:Q136"/>
    <mergeCell ref="R136:T136"/>
    <mergeCell ref="U136:W136"/>
    <mergeCell ref="BA135:BC135"/>
    <mergeCell ref="BD135:BF135"/>
    <mergeCell ref="BG135:BI135"/>
    <mergeCell ref="BJ135:BL135"/>
    <mergeCell ref="BM135:BO135"/>
    <mergeCell ref="BP135:BR135"/>
    <mergeCell ref="AD135:AF135"/>
    <mergeCell ref="AG135:AI135"/>
    <mergeCell ref="AJ135:AL135"/>
    <mergeCell ref="AM135:AO135"/>
    <mergeCell ref="AP135:AR135"/>
    <mergeCell ref="AX135:AZ135"/>
    <mergeCell ref="BA137:BC137"/>
    <mergeCell ref="BD137:BF137"/>
    <mergeCell ref="BG137:BI137"/>
    <mergeCell ref="BJ137:BL137"/>
    <mergeCell ref="BM137:BO137"/>
    <mergeCell ref="BP137:BR137"/>
    <mergeCell ref="AD137:AF137"/>
    <mergeCell ref="AG137:AI137"/>
    <mergeCell ref="AJ137:AL137"/>
    <mergeCell ref="AM137:AO137"/>
    <mergeCell ref="AP137:AR137"/>
    <mergeCell ref="AX137:AZ137"/>
    <mergeCell ref="BM136:BO136"/>
    <mergeCell ref="BP136:BR136"/>
    <mergeCell ref="F137:H137"/>
    <mergeCell ref="I137:K137"/>
    <mergeCell ref="L137:N137"/>
    <mergeCell ref="O137:Q137"/>
    <mergeCell ref="R137:T137"/>
    <mergeCell ref="U137:W137"/>
    <mergeCell ref="X137:Z137"/>
    <mergeCell ref="AA137:AC137"/>
    <mergeCell ref="AP136:AR136"/>
    <mergeCell ref="AX136:AZ136"/>
    <mergeCell ref="BA136:BC136"/>
    <mergeCell ref="BD136:BF136"/>
    <mergeCell ref="BG136:BI136"/>
    <mergeCell ref="BJ136:BL136"/>
    <mergeCell ref="X136:Z136"/>
    <mergeCell ref="AA136:AC136"/>
    <mergeCell ref="AD136:AF136"/>
    <mergeCell ref="AG136:AI136"/>
    <mergeCell ref="BM138:BO138"/>
    <mergeCell ref="BP138:BR138"/>
    <mergeCell ref="F139:H139"/>
    <mergeCell ref="I139:K139"/>
    <mergeCell ref="L139:N139"/>
    <mergeCell ref="O139:Q139"/>
    <mergeCell ref="R139:T139"/>
    <mergeCell ref="U139:W139"/>
    <mergeCell ref="X139:Z139"/>
    <mergeCell ref="AA139:AC139"/>
    <mergeCell ref="AP138:AR138"/>
    <mergeCell ref="AX138:AZ138"/>
    <mergeCell ref="BA138:BC138"/>
    <mergeCell ref="BD138:BF138"/>
    <mergeCell ref="BG138:BI138"/>
    <mergeCell ref="BJ138:BL138"/>
    <mergeCell ref="X138:Z138"/>
    <mergeCell ref="AA138:AC138"/>
    <mergeCell ref="AD138:AF138"/>
    <mergeCell ref="AG138:AI138"/>
    <mergeCell ref="AJ138:AL138"/>
    <mergeCell ref="AM138:AO138"/>
    <mergeCell ref="F138:H138"/>
    <mergeCell ref="I138:K138"/>
    <mergeCell ref="L138:N138"/>
    <mergeCell ref="O138:Q138"/>
    <mergeCell ref="R138:T138"/>
    <mergeCell ref="U138:W138"/>
    <mergeCell ref="AJ140:AL140"/>
    <mergeCell ref="AM140:AO140"/>
    <mergeCell ref="F140:H140"/>
    <mergeCell ref="I140:K140"/>
    <mergeCell ref="L140:N140"/>
    <mergeCell ref="O140:Q140"/>
    <mergeCell ref="R140:T140"/>
    <mergeCell ref="U140:W140"/>
    <mergeCell ref="BA139:BC139"/>
    <mergeCell ref="BD139:BF139"/>
    <mergeCell ref="BG139:BI139"/>
    <mergeCell ref="BJ139:BL139"/>
    <mergeCell ref="BM139:BO139"/>
    <mergeCell ref="BP139:BR139"/>
    <mergeCell ref="AD139:AF139"/>
    <mergeCell ref="AG139:AI139"/>
    <mergeCell ref="AJ139:AL139"/>
    <mergeCell ref="AM139:AO139"/>
    <mergeCell ref="AP139:AR139"/>
    <mergeCell ref="AX139:AZ139"/>
    <mergeCell ref="BA141:BC141"/>
    <mergeCell ref="BD141:BF141"/>
    <mergeCell ref="BG141:BI141"/>
    <mergeCell ref="BJ141:BL141"/>
    <mergeCell ref="BM141:BO141"/>
    <mergeCell ref="BP141:BR141"/>
    <mergeCell ref="AD141:AF141"/>
    <mergeCell ref="AG141:AI141"/>
    <mergeCell ref="AJ141:AL141"/>
    <mergeCell ref="AM141:AO141"/>
    <mergeCell ref="AP141:AR141"/>
    <mergeCell ref="AX141:AZ141"/>
    <mergeCell ref="BM140:BO140"/>
    <mergeCell ref="BP140:BR140"/>
    <mergeCell ref="F141:H141"/>
    <mergeCell ref="I141:K141"/>
    <mergeCell ref="L141:N141"/>
    <mergeCell ref="O141:Q141"/>
    <mergeCell ref="R141:T141"/>
    <mergeCell ref="U141:W141"/>
    <mergeCell ref="X141:Z141"/>
    <mergeCell ref="AA141:AC141"/>
    <mergeCell ref="AP140:AR140"/>
    <mergeCell ref="AX140:AZ140"/>
    <mergeCell ref="BA140:BC140"/>
    <mergeCell ref="BD140:BF140"/>
    <mergeCell ref="BG140:BI140"/>
    <mergeCell ref="BJ140:BL140"/>
    <mergeCell ref="X140:Z140"/>
    <mergeCell ref="AA140:AC140"/>
    <mergeCell ref="AD140:AF140"/>
    <mergeCell ref="AG140:AI140"/>
    <mergeCell ref="BM142:BO142"/>
    <mergeCell ref="BP142:BR142"/>
    <mergeCell ref="F143:H143"/>
    <mergeCell ref="I143:K143"/>
    <mergeCell ref="L143:N143"/>
    <mergeCell ref="O143:Q143"/>
    <mergeCell ref="R143:T143"/>
    <mergeCell ref="U143:W143"/>
    <mergeCell ref="X143:Z143"/>
    <mergeCell ref="AA143:AC143"/>
    <mergeCell ref="AP142:AR142"/>
    <mergeCell ref="AX142:AZ142"/>
    <mergeCell ref="BA142:BC142"/>
    <mergeCell ref="BD142:BF142"/>
    <mergeCell ref="BG142:BI142"/>
    <mergeCell ref="BJ142:BL142"/>
    <mergeCell ref="X142:Z142"/>
    <mergeCell ref="AA142:AC142"/>
    <mergeCell ref="AD142:AF142"/>
    <mergeCell ref="AG142:AI142"/>
    <mergeCell ref="AJ142:AL142"/>
    <mergeCell ref="AM142:AO142"/>
    <mergeCell ref="F142:H142"/>
    <mergeCell ref="I142:K142"/>
    <mergeCell ref="L142:N142"/>
    <mergeCell ref="O142:Q142"/>
    <mergeCell ref="R142:T142"/>
    <mergeCell ref="U142:W142"/>
    <mergeCell ref="AJ144:AL144"/>
    <mergeCell ref="AM144:AO144"/>
    <mergeCell ref="F144:H144"/>
    <mergeCell ref="I144:K144"/>
    <mergeCell ref="L144:N144"/>
    <mergeCell ref="O144:Q144"/>
    <mergeCell ref="R144:T144"/>
    <mergeCell ref="U144:W144"/>
    <mergeCell ref="BA143:BC143"/>
    <mergeCell ref="BD143:BF143"/>
    <mergeCell ref="BG143:BI143"/>
    <mergeCell ref="BJ143:BL143"/>
    <mergeCell ref="BM143:BO143"/>
    <mergeCell ref="BP143:BR143"/>
    <mergeCell ref="AD143:AF143"/>
    <mergeCell ref="AG143:AI143"/>
    <mergeCell ref="AJ143:AL143"/>
    <mergeCell ref="AM143:AO143"/>
    <mergeCell ref="AP143:AR143"/>
    <mergeCell ref="AX143:AZ143"/>
    <mergeCell ref="BA145:BC145"/>
    <mergeCell ref="BD145:BF145"/>
    <mergeCell ref="BG145:BI145"/>
    <mergeCell ref="BJ145:BL145"/>
    <mergeCell ref="BM145:BO145"/>
    <mergeCell ref="BP145:BR145"/>
    <mergeCell ref="AD145:AF145"/>
    <mergeCell ref="AG145:AI145"/>
    <mergeCell ref="AJ145:AL145"/>
    <mergeCell ref="AM145:AO145"/>
    <mergeCell ref="AP145:AR145"/>
    <mergeCell ref="AX145:AZ145"/>
    <mergeCell ref="BM144:BO144"/>
    <mergeCell ref="BP144:BR144"/>
    <mergeCell ref="F145:H145"/>
    <mergeCell ref="I145:K145"/>
    <mergeCell ref="L145:N145"/>
    <mergeCell ref="O145:Q145"/>
    <mergeCell ref="R145:T145"/>
    <mergeCell ref="U145:W145"/>
    <mergeCell ref="X145:Z145"/>
    <mergeCell ref="AA145:AC145"/>
    <mergeCell ref="AP144:AR144"/>
    <mergeCell ref="AX144:AZ144"/>
    <mergeCell ref="BA144:BC144"/>
    <mergeCell ref="BD144:BF144"/>
    <mergeCell ref="BG144:BI144"/>
    <mergeCell ref="BJ144:BL144"/>
    <mergeCell ref="X144:Z144"/>
    <mergeCell ref="AA144:AC144"/>
    <mergeCell ref="AD144:AF144"/>
    <mergeCell ref="AG144:AI144"/>
    <mergeCell ref="BM146:BO146"/>
    <mergeCell ref="BP146:BR146"/>
    <mergeCell ref="F147:H147"/>
    <mergeCell ref="I147:K147"/>
    <mergeCell ref="L147:N147"/>
    <mergeCell ref="O147:Q147"/>
    <mergeCell ref="R147:T147"/>
    <mergeCell ref="U147:W147"/>
    <mergeCell ref="X147:Z147"/>
    <mergeCell ref="AA147:AC147"/>
    <mergeCell ref="AP146:AR146"/>
    <mergeCell ref="AX146:AZ146"/>
    <mergeCell ref="BA146:BC146"/>
    <mergeCell ref="BD146:BF146"/>
    <mergeCell ref="BG146:BI146"/>
    <mergeCell ref="BJ146:BL146"/>
    <mergeCell ref="X146:Z146"/>
    <mergeCell ref="AA146:AC146"/>
    <mergeCell ref="AD146:AF146"/>
    <mergeCell ref="AG146:AI146"/>
    <mergeCell ref="AJ146:AL146"/>
    <mergeCell ref="AM146:AO146"/>
    <mergeCell ref="F146:H146"/>
    <mergeCell ref="I146:K146"/>
    <mergeCell ref="L146:N146"/>
    <mergeCell ref="O146:Q146"/>
    <mergeCell ref="R146:T146"/>
    <mergeCell ref="U146:W146"/>
    <mergeCell ref="AJ148:AL148"/>
    <mergeCell ref="AM148:AO148"/>
    <mergeCell ref="F148:H148"/>
    <mergeCell ref="I148:K148"/>
    <mergeCell ref="L148:N148"/>
    <mergeCell ref="O148:Q148"/>
    <mergeCell ref="R148:T148"/>
    <mergeCell ref="U148:W148"/>
    <mergeCell ref="BA147:BC147"/>
    <mergeCell ref="BD147:BF147"/>
    <mergeCell ref="BG147:BI147"/>
    <mergeCell ref="BJ147:BL147"/>
    <mergeCell ref="BM147:BO147"/>
    <mergeCell ref="BP147:BR147"/>
    <mergeCell ref="AD147:AF147"/>
    <mergeCell ref="AG147:AI147"/>
    <mergeCell ref="AJ147:AL147"/>
    <mergeCell ref="AM147:AO147"/>
    <mergeCell ref="AP147:AR147"/>
    <mergeCell ref="AX147:AZ147"/>
    <mergeCell ref="BA149:BC149"/>
    <mergeCell ref="BD149:BF149"/>
    <mergeCell ref="BG149:BI149"/>
    <mergeCell ref="BJ149:BL149"/>
    <mergeCell ref="BM149:BO149"/>
    <mergeCell ref="BP149:BR149"/>
    <mergeCell ref="AD149:AF149"/>
    <mergeCell ref="AG149:AI149"/>
    <mergeCell ref="AJ149:AL149"/>
    <mergeCell ref="AM149:AO149"/>
    <mergeCell ref="AP149:AR149"/>
    <mergeCell ref="AX149:AZ149"/>
    <mergeCell ref="BM148:BO148"/>
    <mergeCell ref="BP148:BR148"/>
    <mergeCell ref="F149:H149"/>
    <mergeCell ref="I149:K149"/>
    <mergeCell ref="L149:N149"/>
    <mergeCell ref="O149:Q149"/>
    <mergeCell ref="R149:T149"/>
    <mergeCell ref="U149:W149"/>
    <mergeCell ref="X149:Z149"/>
    <mergeCell ref="AA149:AC149"/>
    <mergeCell ref="AP148:AR148"/>
    <mergeCell ref="AX148:AZ148"/>
    <mergeCell ref="BA148:BC148"/>
    <mergeCell ref="BD148:BF148"/>
    <mergeCell ref="BG148:BI148"/>
    <mergeCell ref="BJ148:BL148"/>
    <mergeCell ref="X148:Z148"/>
    <mergeCell ref="AA148:AC148"/>
    <mergeCell ref="AD148:AF148"/>
    <mergeCell ref="AG148:AI148"/>
    <mergeCell ref="BM150:BO150"/>
    <mergeCell ref="BP150:BR150"/>
    <mergeCell ref="F151:H151"/>
    <mergeCell ref="I151:K151"/>
    <mergeCell ref="L151:N151"/>
    <mergeCell ref="O151:Q151"/>
    <mergeCell ref="R151:T151"/>
    <mergeCell ref="U151:W151"/>
    <mergeCell ref="X151:Z151"/>
    <mergeCell ref="AA151:AC151"/>
    <mergeCell ref="AP150:AR150"/>
    <mergeCell ref="AX150:AZ150"/>
    <mergeCell ref="BA150:BC150"/>
    <mergeCell ref="BD150:BF150"/>
    <mergeCell ref="BG150:BI150"/>
    <mergeCell ref="BJ150:BL150"/>
    <mergeCell ref="X150:Z150"/>
    <mergeCell ref="AA150:AC150"/>
    <mergeCell ref="AD150:AF150"/>
    <mergeCell ref="AG150:AI150"/>
    <mergeCell ref="AJ150:AL150"/>
    <mergeCell ref="AM150:AO150"/>
    <mergeCell ref="F150:H150"/>
    <mergeCell ref="I150:K150"/>
    <mergeCell ref="L150:N150"/>
    <mergeCell ref="O150:Q150"/>
    <mergeCell ref="R150:T150"/>
    <mergeCell ref="U150:W150"/>
    <mergeCell ref="AJ152:AL152"/>
    <mergeCell ref="AM152:AO152"/>
    <mergeCell ref="F152:H152"/>
    <mergeCell ref="I152:K152"/>
    <mergeCell ref="L152:N152"/>
    <mergeCell ref="O152:Q152"/>
    <mergeCell ref="R152:T152"/>
    <mergeCell ref="U152:W152"/>
    <mergeCell ref="BA151:BC151"/>
    <mergeCell ref="BD151:BF151"/>
    <mergeCell ref="BG151:BI151"/>
    <mergeCell ref="BJ151:BL151"/>
    <mergeCell ref="BM151:BO151"/>
    <mergeCell ref="BP151:BR151"/>
    <mergeCell ref="AD151:AF151"/>
    <mergeCell ref="AG151:AI151"/>
    <mergeCell ref="AJ151:AL151"/>
    <mergeCell ref="AM151:AO151"/>
    <mergeCell ref="AP151:AR151"/>
    <mergeCell ref="AX151:AZ151"/>
    <mergeCell ref="BA153:BC153"/>
    <mergeCell ref="BD153:BF153"/>
    <mergeCell ref="BG153:BI153"/>
    <mergeCell ref="BJ153:BL153"/>
    <mergeCell ref="BM153:BO153"/>
    <mergeCell ref="BP153:BR153"/>
    <mergeCell ref="AD153:AF153"/>
    <mergeCell ref="AG153:AI153"/>
    <mergeCell ref="AJ153:AL153"/>
    <mergeCell ref="AM153:AO153"/>
    <mergeCell ref="AP153:AR153"/>
    <mergeCell ref="AX153:AZ153"/>
    <mergeCell ref="BM152:BO152"/>
    <mergeCell ref="BP152:BR152"/>
    <mergeCell ref="F153:H153"/>
    <mergeCell ref="I153:K153"/>
    <mergeCell ref="L153:N153"/>
    <mergeCell ref="O153:Q153"/>
    <mergeCell ref="R153:T153"/>
    <mergeCell ref="U153:W153"/>
    <mergeCell ref="X153:Z153"/>
    <mergeCell ref="AA153:AC153"/>
    <mergeCell ref="AP152:AR152"/>
    <mergeCell ref="AX152:AZ152"/>
    <mergeCell ref="BA152:BC152"/>
    <mergeCell ref="BD152:BF152"/>
    <mergeCell ref="BG152:BI152"/>
    <mergeCell ref="BJ152:BL152"/>
    <mergeCell ref="X152:Z152"/>
    <mergeCell ref="AA152:AC152"/>
    <mergeCell ref="AD152:AF152"/>
    <mergeCell ref="AG152:AI152"/>
    <mergeCell ref="BM154:BO154"/>
    <mergeCell ref="BP154:BR154"/>
    <mergeCell ref="F155:H155"/>
    <mergeCell ref="I155:K155"/>
    <mergeCell ref="L155:N155"/>
    <mergeCell ref="O155:Q155"/>
    <mergeCell ref="R155:T155"/>
    <mergeCell ref="U155:W155"/>
    <mergeCell ref="X155:Z155"/>
    <mergeCell ref="AA155:AC155"/>
    <mergeCell ref="AP154:AR154"/>
    <mergeCell ref="AX154:AZ154"/>
    <mergeCell ref="BA154:BC154"/>
    <mergeCell ref="BD154:BF154"/>
    <mergeCell ref="BG154:BI154"/>
    <mergeCell ref="BJ154:BL154"/>
    <mergeCell ref="X154:Z154"/>
    <mergeCell ref="AA154:AC154"/>
    <mergeCell ref="AD154:AF154"/>
    <mergeCell ref="AG154:AI154"/>
    <mergeCell ref="AJ154:AL154"/>
    <mergeCell ref="AM154:AO154"/>
    <mergeCell ref="F154:H154"/>
    <mergeCell ref="I154:K154"/>
    <mergeCell ref="L154:N154"/>
    <mergeCell ref="O154:Q154"/>
    <mergeCell ref="R154:T154"/>
    <mergeCell ref="U154:W154"/>
    <mergeCell ref="AJ156:AL156"/>
    <mergeCell ref="AM156:AO156"/>
    <mergeCell ref="F156:H156"/>
    <mergeCell ref="I156:K156"/>
    <mergeCell ref="L156:N156"/>
    <mergeCell ref="O156:Q156"/>
    <mergeCell ref="R156:T156"/>
    <mergeCell ref="U156:W156"/>
    <mergeCell ref="BA155:BC155"/>
    <mergeCell ref="BD155:BF155"/>
    <mergeCell ref="BG155:BI155"/>
    <mergeCell ref="BJ155:BL155"/>
    <mergeCell ref="BM155:BO155"/>
    <mergeCell ref="BP155:BR155"/>
    <mergeCell ref="AD155:AF155"/>
    <mergeCell ref="AG155:AI155"/>
    <mergeCell ref="AJ155:AL155"/>
    <mergeCell ref="AM155:AO155"/>
    <mergeCell ref="AP155:AR155"/>
    <mergeCell ref="AX155:AZ155"/>
    <mergeCell ref="BA157:BC157"/>
    <mergeCell ref="BD157:BF157"/>
    <mergeCell ref="BG157:BI157"/>
    <mergeCell ref="BJ157:BL157"/>
    <mergeCell ref="BM157:BO157"/>
    <mergeCell ref="BP157:BR157"/>
    <mergeCell ref="AD157:AF157"/>
    <mergeCell ref="AG157:AI157"/>
    <mergeCell ref="AJ157:AL157"/>
    <mergeCell ref="AM157:AO157"/>
    <mergeCell ref="AP157:AR157"/>
    <mergeCell ref="AX157:AZ157"/>
    <mergeCell ref="BM156:BO156"/>
    <mergeCell ref="BP156:BR156"/>
    <mergeCell ref="F157:H157"/>
    <mergeCell ref="I157:K157"/>
    <mergeCell ref="L157:N157"/>
    <mergeCell ref="O157:Q157"/>
    <mergeCell ref="R157:T157"/>
    <mergeCell ref="U157:W157"/>
    <mergeCell ref="X157:Z157"/>
    <mergeCell ref="AA157:AC157"/>
    <mergeCell ref="AP156:AR156"/>
    <mergeCell ref="AX156:AZ156"/>
    <mergeCell ref="BA156:BC156"/>
    <mergeCell ref="BD156:BF156"/>
    <mergeCell ref="BG156:BI156"/>
    <mergeCell ref="BJ156:BL156"/>
    <mergeCell ref="X156:Z156"/>
    <mergeCell ref="AA156:AC156"/>
    <mergeCell ref="AD156:AF156"/>
    <mergeCell ref="AG156:AI156"/>
    <mergeCell ref="BM158:BO158"/>
    <mergeCell ref="BP158:BR158"/>
    <mergeCell ref="F159:H159"/>
    <mergeCell ref="I159:K159"/>
    <mergeCell ref="L159:N159"/>
    <mergeCell ref="O159:Q159"/>
    <mergeCell ref="R159:T159"/>
    <mergeCell ref="U159:W159"/>
    <mergeCell ref="X159:Z159"/>
    <mergeCell ref="AA159:AC159"/>
    <mergeCell ref="AP158:AR158"/>
    <mergeCell ref="AX158:AZ158"/>
    <mergeCell ref="BA158:BC158"/>
    <mergeCell ref="BD158:BF158"/>
    <mergeCell ref="BG158:BI158"/>
    <mergeCell ref="BJ158:BL158"/>
    <mergeCell ref="X158:Z158"/>
    <mergeCell ref="AA158:AC158"/>
    <mergeCell ref="AD158:AF158"/>
    <mergeCell ref="AG158:AI158"/>
    <mergeCell ref="AJ158:AL158"/>
    <mergeCell ref="AM158:AO158"/>
    <mergeCell ref="F158:H158"/>
    <mergeCell ref="I158:K158"/>
    <mergeCell ref="L158:N158"/>
    <mergeCell ref="O158:Q158"/>
    <mergeCell ref="R158:T158"/>
    <mergeCell ref="U158:W158"/>
    <mergeCell ref="AJ160:AL160"/>
    <mergeCell ref="AM160:AO160"/>
    <mergeCell ref="F160:H160"/>
    <mergeCell ref="I160:K160"/>
    <mergeCell ref="L160:N160"/>
    <mergeCell ref="O160:Q160"/>
    <mergeCell ref="R160:T160"/>
    <mergeCell ref="U160:W160"/>
    <mergeCell ref="BA159:BC159"/>
    <mergeCell ref="BD159:BF159"/>
    <mergeCell ref="BG159:BI159"/>
    <mergeCell ref="BJ159:BL159"/>
    <mergeCell ref="BM159:BO159"/>
    <mergeCell ref="BP159:BR159"/>
    <mergeCell ref="AD159:AF159"/>
    <mergeCell ref="AG159:AI159"/>
    <mergeCell ref="AJ159:AL159"/>
    <mergeCell ref="AM159:AO159"/>
    <mergeCell ref="AP159:AR159"/>
    <mergeCell ref="AX159:AZ159"/>
    <mergeCell ref="BA161:BC161"/>
    <mergeCell ref="BD161:BF161"/>
    <mergeCell ref="BG161:BI161"/>
    <mergeCell ref="BJ161:BL161"/>
    <mergeCell ref="BM161:BO161"/>
    <mergeCell ref="BP161:BR161"/>
    <mergeCell ref="AD161:AF161"/>
    <mergeCell ref="AG161:AI161"/>
    <mergeCell ref="AJ161:AL161"/>
    <mergeCell ref="AM161:AO161"/>
    <mergeCell ref="AP161:AR161"/>
    <mergeCell ref="AX161:AZ161"/>
    <mergeCell ref="BM160:BO160"/>
    <mergeCell ref="BP160:BR160"/>
    <mergeCell ref="F161:H161"/>
    <mergeCell ref="I161:K161"/>
    <mergeCell ref="L161:N161"/>
    <mergeCell ref="O161:Q161"/>
    <mergeCell ref="R161:T161"/>
    <mergeCell ref="U161:W161"/>
    <mergeCell ref="X161:Z161"/>
    <mergeCell ref="AA161:AC161"/>
    <mergeCell ref="AP160:AR160"/>
    <mergeCell ref="AX160:AZ160"/>
    <mergeCell ref="BA160:BC160"/>
    <mergeCell ref="BD160:BF160"/>
    <mergeCell ref="BG160:BI160"/>
    <mergeCell ref="BJ160:BL160"/>
    <mergeCell ref="X160:Z160"/>
    <mergeCell ref="AA160:AC160"/>
    <mergeCell ref="AD160:AF160"/>
    <mergeCell ref="AG160:AI160"/>
    <mergeCell ref="BM162:BO162"/>
    <mergeCell ref="BP162:BR162"/>
    <mergeCell ref="F163:H163"/>
    <mergeCell ref="I163:K163"/>
    <mergeCell ref="L163:N163"/>
    <mergeCell ref="O163:Q163"/>
    <mergeCell ref="R163:T163"/>
    <mergeCell ref="U163:W163"/>
    <mergeCell ref="X163:Z163"/>
    <mergeCell ref="AA163:AC163"/>
    <mergeCell ref="AP162:AR162"/>
    <mergeCell ref="AX162:AZ162"/>
    <mergeCell ref="BA162:BC162"/>
    <mergeCell ref="BD162:BF162"/>
    <mergeCell ref="BG162:BI162"/>
    <mergeCell ref="BJ162:BL162"/>
    <mergeCell ref="X162:Z162"/>
    <mergeCell ref="AA162:AC162"/>
    <mergeCell ref="AD162:AF162"/>
    <mergeCell ref="AG162:AI162"/>
    <mergeCell ref="AJ162:AL162"/>
    <mergeCell ref="AM162:AO162"/>
    <mergeCell ref="F162:H162"/>
    <mergeCell ref="I162:K162"/>
    <mergeCell ref="L162:N162"/>
    <mergeCell ref="O162:Q162"/>
    <mergeCell ref="R162:T162"/>
    <mergeCell ref="U162:W162"/>
    <mergeCell ref="AJ164:AL164"/>
    <mergeCell ref="AM164:AO164"/>
    <mergeCell ref="F164:H164"/>
    <mergeCell ref="I164:K164"/>
    <mergeCell ref="L164:N164"/>
    <mergeCell ref="O164:Q164"/>
    <mergeCell ref="R164:T164"/>
    <mergeCell ref="U164:W164"/>
    <mergeCell ref="BA163:BC163"/>
    <mergeCell ref="BD163:BF163"/>
    <mergeCell ref="BG163:BI163"/>
    <mergeCell ref="BJ163:BL163"/>
    <mergeCell ref="BM163:BO163"/>
    <mergeCell ref="BP163:BR163"/>
    <mergeCell ref="AD163:AF163"/>
    <mergeCell ref="AG163:AI163"/>
    <mergeCell ref="AJ163:AL163"/>
    <mergeCell ref="AM163:AO163"/>
    <mergeCell ref="AP163:AR163"/>
    <mergeCell ref="AX163:AZ163"/>
    <mergeCell ref="BA165:BC165"/>
    <mergeCell ref="BD165:BF165"/>
    <mergeCell ref="BG165:BI165"/>
    <mergeCell ref="BJ165:BL165"/>
    <mergeCell ref="BM165:BO165"/>
    <mergeCell ref="BP165:BR165"/>
    <mergeCell ref="AD165:AF165"/>
    <mergeCell ref="AG165:AI165"/>
    <mergeCell ref="AJ165:AL165"/>
    <mergeCell ref="AM165:AO165"/>
    <mergeCell ref="AP165:AR165"/>
    <mergeCell ref="AX165:AZ165"/>
    <mergeCell ref="BM164:BO164"/>
    <mergeCell ref="BP164:BR164"/>
    <mergeCell ref="F165:H165"/>
    <mergeCell ref="I165:K165"/>
    <mergeCell ref="L165:N165"/>
    <mergeCell ref="O165:Q165"/>
    <mergeCell ref="R165:T165"/>
    <mergeCell ref="U165:W165"/>
    <mergeCell ref="X165:Z165"/>
    <mergeCell ref="AA165:AC165"/>
    <mergeCell ref="AP164:AR164"/>
    <mergeCell ref="AX164:AZ164"/>
    <mergeCell ref="BA164:BC164"/>
    <mergeCell ref="BD164:BF164"/>
    <mergeCell ref="BG164:BI164"/>
    <mergeCell ref="BJ164:BL164"/>
    <mergeCell ref="X164:Z164"/>
    <mergeCell ref="AA164:AC164"/>
    <mergeCell ref="AD164:AF164"/>
    <mergeCell ref="AG164:AI164"/>
    <mergeCell ref="BM166:BO166"/>
    <mergeCell ref="BP166:BR166"/>
    <mergeCell ref="F167:H167"/>
    <mergeCell ref="I167:K167"/>
    <mergeCell ref="L167:N167"/>
    <mergeCell ref="O167:Q167"/>
    <mergeCell ref="R167:T167"/>
    <mergeCell ref="U167:W167"/>
    <mergeCell ref="X167:Z167"/>
    <mergeCell ref="AA167:AC167"/>
    <mergeCell ref="AP166:AR166"/>
    <mergeCell ref="AX166:AZ166"/>
    <mergeCell ref="BA166:BC166"/>
    <mergeCell ref="BD166:BF166"/>
    <mergeCell ref="BG166:BI166"/>
    <mergeCell ref="BJ166:BL166"/>
    <mergeCell ref="X166:Z166"/>
    <mergeCell ref="AA166:AC166"/>
    <mergeCell ref="AD166:AF166"/>
    <mergeCell ref="AG166:AI166"/>
    <mergeCell ref="AJ166:AL166"/>
    <mergeCell ref="AM166:AO166"/>
    <mergeCell ref="F166:H166"/>
    <mergeCell ref="I166:K166"/>
    <mergeCell ref="L166:N166"/>
    <mergeCell ref="O166:Q166"/>
    <mergeCell ref="R166:T166"/>
    <mergeCell ref="U166:W166"/>
    <mergeCell ref="AJ168:AL168"/>
    <mergeCell ref="AM168:AO168"/>
    <mergeCell ref="F168:H168"/>
    <mergeCell ref="I168:K168"/>
    <mergeCell ref="L168:N168"/>
    <mergeCell ref="O168:Q168"/>
    <mergeCell ref="R168:T168"/>
    <mergeCell ref="U168:W168"/>
    <mergeCell ref="BA167:BC167"/>
    <mergeCell ref="BD167:BF167"/>
    <mergeCell ref="BG167:BI167"/>
    <mergeCell ref="BJ167:BL167"/>
    <mergeCell ref="BM167:BO167"/>
    <mergeCell ref="BP167:BR167"/>
    <mergeCell ref="AD167:AF167"/>
    <mergeCell ref="AG167:AI167"/>
    <mergeCell ref="AJ167:AL167"/>
    <mergeCell ref="AM167:AO167"/>
    <mergeCell ref="AP167:AR167"/>
    <mergeCell ref="AX167:AZ167"/>
    <mergeCell ref="BA169:BC169"/>
    <mergeCell ref="BD169:BF169"/>
    <mergeCell ref="BG169:BI169"/>
    <mergeCell ref="BJ169:BL169"/>
    <mergeCell ref="BM169:BO169"/>
    <mergeCell ref="BP169:BR169"/>
    <mergeCell ref="AD169:AF169"/>
    <mergeCell ref="AG169:AI169"/>
    <mergeCell ref="AJ169:AL169"/>
    <mergeCell ref="AM169:AO169"/>
    <mergeCell ref="AP169:AR169"/>
    <mergeCell ref="AX169:AZ169"/>
    <mergeCell ref="BM168:BO168"/>
    <mergeCell ref="BP168:BR168"/>
    <mergeCell ref="F169:H169"/>
    <mergeCell ref="I169:K169"/>
    <mergeCell ref="L169:N169"/>
    <mergeCell ref="O169:Q169"/>
    <mergeCell ref="R169:T169"/>
    <mergeCell ref="U169:W169"/>
    <mergeCell ref="X169:Z169"/>
    <mergeCell ref="AA169:AC169"/>
    <mergeCell ref="AP168:AR168"/>
    <mergeCell ref="AX168:AZ168"/>
    <mergeCell ref="BA168:BC168"/>
    <mergeCell ref="BD168:BF168"/>
    <mergeCell ref="BG168:BI168"/>
    <mergeCell ref="BJ168:BL168"/>
    <mergeCell ref="X168:Z168"/>
    <mergeCell ref="AA168:AC168"/>
    <mergeCell ref="AD168:AF168"/>
    <mergeCell ref="AG168:AI168"/>
    <mergeCell ref="BM170:BO170"/>
    <mergeCell ref="BP170:BR170"/>
    <mergeCell ref="F171:H171"/>
    <mergeCell ref="I171:K171"/>
    <mergeCell ref="L171:N171"/>
    <mergeCell ref="O171:Q171"/>
    <mergeCell ref="R171:T171"/>
    <mergeCell ref="U171:W171"/>
    <mergeCell ref="X171:Z171"/>
    <mergeCell ref="AA171:AC171"/>
    <mergeCell ref="AP170:AR170"/>
    <mergeCell ref="AX170:AZ170"/>
    <mergeCell ref="BA170:BC170"/>
    <mergeCell ref="BD170:BF170"/>
    <mergeCell ref="BG170:BI170"/>
    <mergeCell ref="BJ170:BL170"/>
    <mergeCell ref="X170:Z170"/>
    <mergeCell ref="AA170:AC170"/>
    <mergeCell ref="AD170:AF170"/>
    <mergeCell ref="AG170:AI170"/>
    <mergeCell ref="AJ170:AL170"/>
    <mergeCell ref="AM170:AO170"/>
    <mergeCell ref="F170:H170"/>
    <mergeCell ref="I170:K170"/>
    <mergeCell ref="L170:N170"/>
    <mergeCell ref="O170:Q170"/>
    <mergeCell ref="R170:T170"/>
    <mergeCell ref="U170:W170"/>
    <mergeCell ref="AJ172:AL172"/>
    <mergeCell ref="AM172:AO172"/>
    <mergeCell ref="F172:H172"/>
    <mergeCell ref="I172:K172"/>
    <mergeCell ref="L172:N172"/>
    <mergeCell ref="O172:Q172"/>
    <mergeCell ref="R172:T172"/>
    <mergeCell ref="U172:W172"/>
    <mergeCell ref="BA171:BC171"/>
    <mergeCell ref="BD171:BF171"/>
    <mergeCell ref="BG171:BI171"/>
    <mergeCell ref="BJ171:BL171"/>
    <mergeCell ref="BM171:BO171"/>
    <mergeCell ref="BP171:BR171"/>
    <mergeCell ref="AD171:AF171"/>
    <mergeCell ref="AG171:AI171"/>
    <mergeCell ref="AJ171:AL171"/>
    <mergeCell ref="AM171:AO171"/>
    <mergeCell ref="AP171:AR171"/>
    <mergeCell ref="AX171:AZ171"/>
    <mergeCell ref="BA173:BC173"/>
    <mergeCell ref="BD173:BF173"/>
    <mergeCell ref="BG173:BI173"/>
    <mergeCell ref="BJ173:BL173"/>
    <mergeCell ref="BM173:BO173"/>
    <mergeCell ref="BP173:BR173"/>
    <mergeCell ref="AD173:AF173"/>
    <mergeCell ref="AG173:AI173"/>
    <mergeCell ref="AJ173:AL173"/>
    <mergeCell ref="AM173:AO173"/>
    <mergeCell ref="AP173:AR173"/>
    <mergeCell ref="AX173:AZ173"/>
    <mergeCell ref="BM172:BO172"/>
    <mergeCell ref="BP172:BR172"/>
    <mergeCell ref="F173:H173"/>
    <mergeCell ref="I173:K173"/>
    <mergeCell ref="L173:N173"/>
    <mergeCell ref="O173:Q173"/>
    <mergeCell ref="R173:T173"/>
    <mergeCell ref="U173:W173"/>
    <mergeCell ref="X173:Z173"/>
    <mergeCell ref="AA173:AC173"/>
    <mergeCell ref="AP172:AR172"/>
    <mergeCell ref="AX172:AZ172"/>
    <mergeCell ref="BA172:BC172"/>
    <mergeCell ref="BD172:BF172"/>
    <mergeCell ref="BG172:BI172"/>
    <mergeCell ref="BJ172:BL172"/>
    <mergeCell ref="X172:Z172"/>
    <mergeCell ref="AA172:AC172"/>
    <mergeCell ref="AD172:AF172"/>
    <mergeCell ref="AG172:AI172"/>
    <mergeCell ref="BM174:BO174"/>
    <mergeCell ref="BP174:BR174"/>
    <mergeCell ref="F175:H175"/>
    <mergeCell ref="I175:K175"/>
    <mergeCell ref="L175:N175"/>
    <mergeCell ref="O175:Q175"/>
    <mergeCell ref="R175:T175"/>
    <mergeCell ref="U175:W175"/>
    <mergeCell ref="X175:Z175"/>
    <mergeCell ref="AA175:AC175"/>
    <mergeCell ref="AP174:AR174"/>
    <mergeCell ref="AX174:AZ174"/>
    <mergeCell ref="BA174:BC174"/>
    <mergeCell ref="BD174:BF174"/>
    <mergeCell ref="BG174:BI174"/>
    <mergeCell ref="BJ174:BL174"/>
    <mergeCell ref="X174:Z174"/>
    <mergeCell ref="AA174:AC174"/>
    <mergeCell ref="AD174:AF174"/>
    <mergeCell ref="AG174:AI174"/>
    <mergeCell ref="AJ174:AL174"/>
    <mergeCell ref="AM174:AO174"/>
    <mergeCell ref="F174:H174"/>
    <mergeCell ref="I174:K174"/>
    <mergeCell ref="L174:N174"/>
    <mergeCell ref="O174:Q174"/>
    <mergeCell ref="R174:T174"/>
    <mergeCell ref="U174:W174"/>
    <mergeCell ref="AJ176:AL176"/>
    <mergeCell ref="AM176:AO176"/>
    <mergeCell ref="F176:H176"/>
    <mergeCell ref="I176:K176"/>
    <mergeCell ref="L176:N176"/>
    <mergeCell ref="O176:Q176"/>
    <mergeCell ref="R176:T176"/>
    <mergeCell ref="U176:W176"/>
    <mergeCell ref="BA175:BC175"/>
    <mergeCell ref="BD175:BF175"/>
    <mergeCell ref="BG175:BI175"/>
    <mergeCell ref="BJ175:BL175"/>
    <mergeCell ref="BM175:BO175"/>
    <mergeCell ref="BP175:BR175"/>
    <mergeCell ref="AD175:AF175"/>
    <mergeCell ref="AG175:AI175"/>
    <mergeCell ref="AJ175:AL175"/>
    <mergeCell ref="AM175:AO175"/>
    <mergeCell ref="AP175:AR175"/>
    <mergeCell ref="AX175:AZ175"/>
    <mergeCell ref="BA177:BC177"/>
    <mergeCell ref="BD177:BF177"/>
    <mergeCell ref="BG177:BI177"/>
    <mergeCell ref="BJ177:BL177"/>
    <mergeCell ref="BM177:BO177"/>
    <mergeCell ref="BP177:BR177"/>
    <mergeCell ref="AD177:AF177"/>
    <mergeCell ref="AG177:AI177"/>
    <mergeCell ref="AJ177:AL177"/>
    <mergeCell ref="AM177:AO177"/>
    <mergeCell ref="AP177:AR177"/>
    <mergeCell ref="AX177:AZ177"/>
    <mergeCell ref="BM176:BO176"/>
    <mergeCell ref="BP176:BR176"/>
    <mergeCell ref="F177:H177"/>
    <mergeCell ref="I177:K177"/>
    <mergeCell ref="L177:N177"/>
    <mergeCell ref="O177:Q177"/>
    <mergeCell ref="R177:T177"/>
    <mergeCell ref="U177:W177"/>
    <mergeCell ref="X177:Z177"/>
    <mergeCell ref="AA177:AC177"/>
    <mergeCell ref="AP176:AR176"/>
    <mergeCell ref="AX176:AZ176"/>
    <mergeCell ref="BA176:BC176"/>
    <mergeCell ref="BD176:BF176"/>
    <mergeCell ref="BG176:BI176"/>
    <mergeCell ref="BJ176:BL176"/>
    <mergeCell ref="X176:Z176"/>
    <mergeCell ref="AA176:AC176"/>
    <mergeCell ref="AD176:AF176"/>
    <mergeCell ref="AG176:AI176"/>
    <mergeCell ref="BM178:BO178"/>
    <mergeCell ref="BP178:BR178"/>
    <mergeCell ref="F179:H179"/>
    <mergeCell ref="I179:K179"/>
    <mergeCell ref="L179:N179"/>
    <mergeCell ref="O179:Q179"/>
    <mergeCell ref="R179:T179"/>
    <mergeCell ref="U179:W179"/>
    <mergeCell ref="X179:Z179"/>
    <mergeCell ref="AA179:AC179"/>
    <mergeCell ref="AP178:AR178"/>
    <mergeCell ref="AX178:AZ178"/>
    <mergeCell ref="BA178:BC178"/>
    <mergeCell ref="BD178:BF178"/>
    <mergeCell ref="BG178:BI178"/>
    <mergeCell ref="BJ178:BL178"/>
    <mergeCell ref="X178:Z178"/>
    <mergeCell ref="AA178:AC178"/>
    <mergeCell ref="AD178:AF178"/>
    <mergeCell ref="AG178:AI178"/>
    <mergeCell ref="AJ178:AL178"/>
    <mergeCell ref="AM178:AO178"/>
    <mergeCell ref="F178:H178"/>
    <mergeCell ref="I178:K178"/>
    <mergeCell ref="L178:N178"/>
    <mergeCell ref="O178:Q178"/>
    <mergeCell ref="R178:T178"/>
    <mergeCell ref="U178:W178"/>
    <mergeCell ref="AJ180:AL180"/>
    <mergeCell ref="AM180:AO180"/>
    <mergeCell ref="F180:H180"/>
    <mergeCell ref="I180:K180"/>
    <mergeCell ref="L180:N180"/>
    <mergeCell ref="O180:Q180"/>
    <mergeCell ref="R180:T180"/>
    <mergeCell ref="U180:W180"/>
    <mergeCell ref="BA179:BC179"/>
    <mergeCell ref="BD179:BF179"/>
    <mergeCell ref="BG179:BI179"/>
    <mergeCell ref="BJ179:BL179"/>
    <mergeCell ref="BM179:BO179"/>
    <mergeCell ref="BP179:BR179"/>
    <mergeCell ref="AD179:AF179"/>
    <mergeCell ref="AG179:AI179"/>
    <mergeCell ref="AJ179:AL179"/>
    <mergeCell ref="AM179:AO179"/>
    <mergeCell ref="AP179:AR179"/>
    <mergeCell ref="AX179:AZ179"/>
    <mergeCell ref="BA181:BC181"/>
    <mergeCell ref="BD181:BF181"/>
    <mergeCell ref="BG181:BI181"/>
    <mergeCell ref="BJ181:BL181"/>
    <mergeCell ref="BM181:BO181"/>
    <mergeCell ref="BP181:BR181"/>
    <mergeCell ref="AD181:AF181"/>
    <mergeCell ref="AG181:AI181"/>
    <mergeCell ref="AJ181:AL181"/>
    <mergeCell ref="AM181:AO181"/>
    <mergeCell ref="AP181:AR181"/>
    <mergeCell ref="AX181:AZ181"/>
    <mergeCell ref="BM180:BO180"/>
    <mergeCell ref="BP180:BR180"/>
    <mergeCell ref="F181:H181"/>
    <mergeCell ref="I181:K181"/>
    <mergeCell ref="L181:N181"/>
    <mergeCell ref="O181:Q181"/>
    <mergeCell ref="R181:T181"/>
    <mergeCell ref="U181:W181"/>
    <mergeCell ref="X181:Z181"/>
    <mergeCell ref="AA181:AC181"/>
    <mergeCell ref="AP180:AR180"/>
    <mergeCell ref="AX180:AZ180"/>
    <mergeCell ref="BA180:BC180"/>
    <mergeCell ref="BD180:BF180"/>
    <mergeCell ref="BG180:BI180"/>
    <mergeCell ref="BJ180:BL180"/>
    <mergeCell ref="X180:Z180"/>
    <mergeCell ref="AA180:AC180"/>
    <mergeCell ref="AD180:AF180"/>
    <mergeCell ref="AG180:AI180"/>
    <mergeCell ref="BM182:BO182"/>
    <mergeCell ref="BP182:BR182"/>
    <mergeCell ref="F183:H183"/>
    <mergeCell ref="I183:K183"/>
    <mergeCell ref="L183:N183"/>
    <mergeCell ref="O183:Q183"/>
    <mergeCell ref="R183:T183"/>
    <mergeCell ref="U183:W183"/>
    <mergeCell ref="X183:Z183"/>
    <mergeCell ref="AA183:AC183"/>
    <mergeCell ref="AP182:AR182"/>
    <mergeCell ref="AX182:AZ182"/>
    <mergeCell ref="BA182:BC182"/>
    <mergeCell ref="BD182:BF182"/>
    <mergeCell ref="BG182:BI182"/>
    <mergeCell ref="BJ182:BL182"/>
    <mergeCell ref="X182:Z182"/>
    <mergeCell ref="AA182:AC182"/>
    <mergeCell ref="AD182:AF182"/>
    <mergeCell ref="AG182:AI182"/>
    <mergeCell ref="AJ182:AL182"/>
    <mergeCell ref="AM182:AO182"/>
    <mergeCell ref="F182:H182"/>
    <mergeCell ref="I182:K182"/>
    <mergeCell ref="L182:N182"/>
    <mergeCell ref="O182:Q182"/>
    <mergeCell ref="R182:T182"/>
    <mergeCell ref="U182:W182"/>
    <mergeCell ref="AJ184:AL184"/>
    <mergeCell ref="AM184:AO184"/>
    <mergeCell ref="F184:H184"/>
    <mergeCell ref="I184:K184"/>
    <mergeCell ref="L184:N184"/>
    <mergeCell ref="O184:Q184"/>
    <mergeCell ref="R184:T184"/>
    <mergeCell ref="U184:W184"/>
    <mergeCell ref="BA183:BC183"/>
    <mergeCell ref="BD183:BF183"/>
    <mergeCell ref="BG183:BI183"/>
    <mergeCell ref="BJ183:BL183"/>
    <mergeCell ref="BM183:BO183"/>
    <mergeCell ref="BP183:BR183"/>
    <mergeCell ref="AD183:AF183"/>
    <mergeCell ref="AG183:AI183"/>
    <mergeCell ref="AJ183:AL183"/>
    <mergeCell ref="AM183:AO183"/>
    <mergeCell ref="AP183:AR183"/>
    <mergeCell ref="AX183:AZ183"/>
    <mergeCell ref="BA185:BC185"/>
    <mergeCell ref="BD185:BF185"/>
    <mergeCell ref="BG185:BI185"/>
    <mergeCell ref="BJ185:BL185"/>
    <mergeCell ref="BM185:BO185"/>
    <mergeCell ref="BP185:BR185"/>
    <mergeCell ref="AD185:AF185"/>
    <mergeCell ref="AG185:AI185"/>
    <mergeCell ref="AJ185:AL185"/>
    <mergeCell ref="AM185:AO185"/>
    <mergeCell ref="AP185:AR185"/>
    <mergeCell ref="AX185:AZ185"/>
    <mergeCell ref="BM184:BO184"/>
    <mergeCell ref="BP184:BR184"/>
    <mergeCell ref="F185:H185"/>
    <mergeCell ref="I185:K185"/>
    <mergeCell ref="L185:N185"/>
    <mergeCell ref="O185:Q185"/>
    <mergeCell ref="R185:T185"/>
    <mergeCell ref="U185:W185"/>
    <mergeCell ref="X185:Z185"/>
    <mergeCell ref="AA185:AC185"/>
    <mergeCell ref="AP184:AR184"/>
    <mergeCell ref="AX184:AZ184"/>
    <mergeCell ref="BA184:BC184"/>
    <mergeCell ref="BD184:BF184"/>
    <mergeCell ref="BG184:BI184"/>
    <mergeCell ref="BJ184:BL184"/>
    <mergeCell ref="X184:Z184"/>
    <mergeCell ref="AA184:AC184"/>
    <mergeCell ref="AD184:AF184"/>
    <mergeCell ref="AG184:AI184"/>
    <mergeCell ref="BM186:BO186"/>
    <mergeCell ref="BP186:BR186"/>
    <mergeCell ref="F187:H187"/>
    <mergeCell ref="I187:K187"/>
    <mergeCell ref="L187:N187"/>
    <mergeCell ref="O187:Q187"/>
    <mergeCell ref="R187:T187"/>
    <mergeCell ref="U187:W187"/>
    <mergeCell ref="X187:Z187"/>
    <mergeCell ref="AA187:AC187"/>
    <mergeCell ref="AP186:AR186"/>
    <mergeCell ref="AX186:AZ186"/>
    <mergeCell ref="BA186:BC186"/>
    <mergeCell ref="BD186:BF186"/>
    <mergeCell ref="BG186:BI186"/>
    <mergeCell ref="BJ186:BL186"/>
    <mergeCell ref="X186:Z186"/>
    <mergeCell ref="AA186:AC186"/>
    <mergeCell ref="AD186:AF186"/>
    <mergeCell ref="AG186:AI186"/>
    <mergeCell ref="AJ186:AL186"/>
    <mergeCell ref="AM186:AO186"/>
    <mergeCell ref="F186:H186"/>
    <mergeCell ref="I186:K186"/>
    <mergeCell ref="L186:N186"/>
    <mergeCell ref="O186:Q186"/>
    <mergeCell ref="R186:T186"/>
    <mergeCell ref="U186:W186"/>
    <mergeCell ref="AJ188:AL188"/>
    <mergeCell ref="AM188:AO188"/>
    <mergeCell ref="F188:H188"/>
    <mergeCell ref="I188:K188"/>
    <mergeCell ref="L188:N188"/>
    <mergeCell ref="O188:Q188"/>
    <mergeCell ref="R188:T188"/>
    <mergeCell ref="U188:W188"/>
    <mergeCell ref="BA187:BC187"/>
    <mergeCell ref="BD187:BF187"/>
    <mergeCell ref="BG187:BI187"/>
    <mergeCell ref="BJ187:BL187"/>
    <mergeCell ref="BM187:BO187"/>
    <mergeCell ref="BP187:BR187"/>
    <mergeCell ref="AD187:AF187"/>
    <mergeCell ref="AG187:AI187"/>
    <mergeCell ref="AJ187:AL187"/>
    <mergeCell ref="AM187:AO187"/>
    <mergeCell ref="AP187:AR187"/>
    <mergeCell ref="AX187:AZ187"/>
    <mergeCell ref="BA189:BC189"/>
    <mergeCell ref="BD189:BF189"/>
    <mergeCell ref="BG189:BI189"/>
    <mergeCell ref="BJ189:BL189"/>
    <mergeCell ref="BM189:BO189"/>
    <mergeCell ref="BP189:BR189"/>
    <mergeCell ref="AD189:AF189"/>
    <mergeCell ref="AG189:AI189"/>
    <mergeCell ref="AJ189:AL189"/>
    <mergeCell ref="AM189:AO189"/>
    <mergeCell ref="AP189:AR189"/>
    <mergeCell ref="AX189:AZ189"/>
    <mergeCell ref="BM188:BO188"/>
    <mergeCell ref="BP188:BR188"/>
    <mergeCell ref="F189:H189"/>
    <mergeCell ref="I189:K189"/>
    <mergeCell ref="L189:N189"/>
    <mergeCell ref="O189:Q189"/>
    <mergeCell ref="R189:T189"/>
    <mergeCell ref="U189:W189"/>
    <mergeCell ref="X189:Z189"/>
    <mergeCell ref="AA189:AC189"/>
    <mergeCell ref="AP188:AR188"/>
    <mergeCell ref="AX188:AZ188"/>
    <mergeCell ref="BA188:BC188"/>
    <mergeCell ref="BD188:BF188"/>
    <mergeCell ref="BG188:BI188"/>
    <mergeCell ref="BJ188:BL188"/>
    <mergeCell ref="X188:Z188"/>
    <mergeCell ref="AA188:AC188"/>
    <mergeCell ref="AD188:AF188"/>
    <mergeCell ref="AG188:AI188"/>
    <mergeCell ref="BM190:BO190"/>
    <mergeCell ref="BP190:BR190"/>
    <mergeCell ref="F191:H191"/>
    <mergeCell ref="I191:K191"/>
    <mergeCell ref="L191:N191"/>
    <mergeCell ref="O191:Q191"/>
    <mergeCell ref="R191:T191"/>
    <mergeCell ref="U191:W191"/>
    <mergeCell ref="X191:Z191"/>
    <mergeCell ref="AA191:AC191"/>
    <mergeCell ref="AP190:AR190"/>
    <mergeCell ref="AX190:AZ190"/>
    <mergeCell ref="BA190:BC190"/>
    <mergeCell ref="BD190:BF190"/>
    <mergeCell ref="BG190:BI190"/>
    <mergeCell ref="BJ190:BL190"/>
    <mergeCell ref="X190:Z190"/>
    <mergeCell ref="AA190:AC190"/>
    <mergeCell ref="AD190:AF190"/>
    <mergeCell ref="AG190:AI190"/>
    <mergeCell ref="AJ190:AL190"/>
    <mergeCell ref="AM190:AO190"/>
    <mergeCell ref="F190:H190"/>
    <mergeCell ref="I190:K190"/>
    <mergeCell ref="L190:N190"/>
    <mergeCell ref="O190:Q190"/>
    <mergeCell ref="R190:T190"/>
    <mergeCell ref="U190:W190"/>
    <mergeCell ref="AJ192:AL192"/>
    <mergeCell ref="AM192:AO192"/>
    <mergeCell ref="F192:H192"/>
    <mergeCell ref="I192:K192"/>
    <mergeCell ref="L192:N192"/>
    <mergeCell ref="O192:Q192"/>
    <mergeCell ref="R192:T192"/>
    <mergeCell ref="U192:W192"/>
    <mergeCell ref="BA191:BC191"/>
    <mergeCell ref="BD191:BF191"/>
    <mergeCell ref="BG191:BI191"/>
    <mergeCell ref="BJ191:BL191"/>
    <mergeCell ref="BM191:BO191"/>
    <mergeCell ref="BP191:BR191"/>
    <mergeCell ref="AD191:AF191"/>
    <mergeCell ref="AG191:AI191"/>
    <mergeCell ref="AJ191:AL191"/>
    <mergeCell ref="AM191:AO191"/>
    <mergeCell ref="AP191:AR191"/>
    <mergeCell ref="AX191:AZ191"/>
    <mergeCell ref="BA193:BC193"/>
    <mergeCell ref="BD193:BF193"/>
    <mergeCell ref="BG193:BI193"/>
    <mergeCell ref="BJ193:BL193"/>
    <mergeCell ref="BM193:BO193"/>
    <mergeCell ref="BP193:BR193"/>
    <mergeCell ref="AD193:AF193"/>
    <mergeCell ref="AG193:AI193"/>
    <mergeCell ref="AJ193:AL193"/>
    <mergeCell ref="AM193:AO193"/>
    <mergeCell ref="AP193:AR193"/>
    <mergeCell ref="AX193:AZ193"/>
    <mergeCell ref="BM192:BO192"/>
    <mergeCell ref="BP192:BR192"/>
    <mergeCell ref="F193:H193"/>
    <mergeCell ref="I193:K193"/>
    <mergeCell ref="L193:N193"/>
    <mergeCell ref="O193:Q193"/>
    <mergeCell ref="R193:T193"/>
    <mergeCell ref="U193:W193"/>
    <mergeCell ref="X193:Z193"/>
    <mergeCell ref="AA193:AC193"/>
    <mergeCell ref="AP192:AR192"/>
    <mergeCell ref="AX192:AZ192"/>
    <mergeCell ref="BA192:BC192"/>
    <mergeCell ref="BD192:BF192"/>
    <mergeCell ref="BG192:BI192"/>
    <mergeCell ref="BJ192:BL192"/>
    <mergeCell ref="X192:Z192"/>
    <mergeCell ref="AA192:AC192"/>
    <mergeCell ref="AD192:AF192"/>
    <mergeCell ref="AG192:AI192"/>
    <mergeCell ref="BM194:BO194"/>
    <mergeCell ref="BP194:BR194"/>
    <mergeCell ref="F195:H195"/>
    <mergeCell ref="I195:K195"/>
    <mergeCell ref="L195:N195"/>
    <mergeCell ref="O195:Q195"/>
    <mergeCell ref="R195:T195"/>
    <mergeCell ref="U195:W195"/>
    <mergeCell ref="X195:Z195"/>
    <mergeCell ref="AA195:AC195"/>
    <mergeCell ref="AP194:AR194"/>
    <mergeCell ref="AX194:AZ194"/>
    <mergeCell ref="BA194:BC194"/>
    <mergeCell ref="BD194:BF194"/>
    <mergeCell ref="BG194:BI194"/>
    <mergeCell ref="BJ194:BL194"/>
    <mergeCell ref="X194:Z194"/>
    <mergeCell ref="AA194:AC194"/>
    <mergeCell ref="AD194:AF194"/>
    <mergeCell ref="AG194:AI194"/>
    <mergeCell ref="AJ194:AL194"/>
    <mergeCell ref="AM194:AO194"/>
    <mergeCell ref="F194:H194"/>
    <mergeCell ref="I194:K194"/>
    <mergeCell ref="L194:N194"/>
    <mergeCell ref="O194:Q194"/>
    <mergeCell ref="R194:T194"/>
    <mergeCell ref="U194:W194"/>
    <mergeCell ref="AJ196:AL196"/>
    <mergeCell ref="AM196:AO196"/>
    <mergeCell ref="F196:H196"/>
    <mergeCell ref="I196:K196"/>
    <mergeCell ref="L196:N196"/>
    <mergeCell ref="O196:Q196"/>
    <mergeCell ref="R196:T196"/>
    <mergeCell ref="U196:W196"/>
    <mergeCell ref="BA195:BC195"/>
    <mergeCell ref="BD195:BF195"/>
    <mergeCell ref="BG195:BI195"/>
    <mergeCell ref="BJ195:BL195"/>
    <mergeCell ref="BM195:BO195"/>
    <mergeCell ref="BP195:BR195"/>
    <mergeCell ref="AD195:AF195"/>
    <mergeCell ref="AG195:AI195"/>
    <mergeCell ref="AJ195:AL195"/>
    <mergeCell ref="AM195:AO195"/>
    <mergeCell ref="AP195:AR195"/>
    <mergeCell ref="AX195:AZ195"/>
    <mergeCell ref="BA197:BC197"/>
    <mergeCell ref="BD197:BF197"/>
    <mergeCell ref="BG197:BI197"/>
    <mergeCell ref="BJ197:BL197"/>
    <mergeCell ref="BM197:BO197"/>
    <mergeCell ref="BP197:BR197"/>
    <mergeCell ref="AD197:AF197"/>
    <mergeCell ref="AG197:AI197"/>
    <mergeCell ref="AJ197:AL197"/>
    <mergeCell ref="AM197:AO197"/>
    <mergeCell ref="AP197:AR197"/>
    <mergeCell ref="AX197:AZ197"/>
    <mergeCell ref="BM196:BO196"/>
    <mergeCell ref="BP196:BR196"/>
    <mergeCell ref="F197:H197"/>
    <mergeCell ref="I197:K197"/>
    <mergeCell ref="L197:N197"/>
    <mergeCell ref="O197:Q197"/>
    <mergeCell ref="R197:T197"/>
    <mergeCell ref="U197:W197"/>
    <mergeCell ref="X197:Z197"/>
    <mergeCell ref="AA197:AC197"/>
    <mergeCell ref="AP196:AR196"/>
    <mergeCell ref="AX196:AZ196"/>
    <mergeCell ref="BA196:BC196"/>
    <mergeCell ref="BD196:BF196"/>
    <mergeCell ref="BG196:BI196"/>
    <mergeCell ref="BJ196:BL196"/>
    <mergeCell ref="X196:Z196"/>
    <mergeCell ref="AA196:AC196"/>
    <mergeCell ref="AD196:AF196"/>
    <mergeCell ref="AG196:AI196"/>
    <mergeCell ref="BM198:BO198"/>
    <mergeCell ref="BP198:BR198"/>
    <mergeCell ref="F199:H199"/>
    <mergeCell ref="I199:K199"/>
    <mergeCell ref="L199:N199"/>
    <mergeCell ref="O199:Q199"/>
    <mergeCell ref="R199:T199"/>
    <mergeCell ref="U199:W199"/>
    <mergeCell ref="X199:Z199"/>
    <mergeCell ref="AA199:AC199"/>
    <mergeCell ref="AP198:AR198"/>
    <mergeCell ref="AX198:AZ198"/>
    <mergeCell ref="BA198:BC198"/>
    <mergeCell ref="BD198:BF198"/>
    <mergeCell ref="BG198:BI198"/>
    <mergeCell ref="BJ198:BL198"/>
    <mergeCell ref="X198:Z198"/>
    <mergeCell ref="AA198:AC198"/>
    <mergeCell ref="AD198:AF198"/>
    <mergeCell ref="AG198:AI198"/>
    <mergeCell ref="AJ198:AL198"/>
    <mergeCell ref="AM198:AO198"/>
    <mergeCell ref="F198:H198"/>
    <mergeCell ref="I198:K198"/>
    <mergeCell ref="L198:N198"/>
    <mergeCell ref="O198:Q198"/>
    <mergeCell ref="R198:T198"/>
    <mergeCell ref="U198:W198"/>
    <mergeCell ref="AJ200:AL200"/>
    <mergeCell ref="AM200:AO200"/>
    <mergeCell ref="F200:H200"/>
    <mergeCell ref="I200:K200"/>
    <mergeCell ref="L200:N200"/>
    <mergeCell ref="O200:Q200"/>
    <mergeCell ref="R200:T200"/>
    <mergeCell ref="U200:W200"/>
    <mergeCell ref="BA199:BC199"/>
    <mergeCell ref="BD199:BF199"/>
    <mergeCell ref="BG199:BI199"/>
    <mergeCell ref="BJ199:BL199"/>
    <mergeCell ref="BM199:BO199"/>
    <mergeCell ref="BP199:BR199"/>
    <mergeCell ref="AD199:AF199"/>
    <mergeCell ref="AG199:AI199"/>
    <mergeCell ref="AJ199:AL199"/>
    <mergeCell ref="AM199:AO199"/>
    <mergeCell ref="AP199:AR199"/>
    <mergeCell ref="AX199:AZ199"/>
    <mergeCell ref="BA201:BC201"/>
    <mergeCell ref="BD201:BF201"/>
    <mergeCell ref="BG201:BI201"/>
    <mergeCell ref="BJ201:BL201"/>
    <mergeCell ref="BM201:BO201"/>
    <mergeCell ref="BP201:BR201"/>
    <mergeCell ref="AD201:AF201"/>
    <mergeCell ref="AG201:AI201"/>
    <mergeCell ref="AJ201:AL201"/>
    <mergeCell ref="AM201:AO201"/>
    <mergeCell ref="AP201:AR201"/>
    <mergeCell ref="AX201:AZ201"/>
    <mergeCell ref="BM200:BO200"/>
    <mergeCell ref="BP200:BR200"/>
    <mergeCell ref="F201:H201"/>
    <mergeCell ref="I201:K201"/>
    <mergeCell ref="L201:N201"/>
    <mergeCell ref="O201:Q201"/>
    <mergeCell ref="R201:T201"/>
    <mergeCell ref="U201:W201"/>
    <mergeCell ref="X201:Z201"/>
    <mergeCell ref="AA201:AC201"/>
    <mergeCell ref="AP200:AR200"/>
    <mergeCell ref="AX200:AZ200"/>
    <mergeCell ref="BA200:BC200"/>
    <mergeCell ref="BD200:BF200"/>
    <mergeCell ref="BG200:BI200"/>
    <mergeCell ref="BJ200:BL200"/>
    <mergeCell ref="X200:Z200"/>
    <mergeCell ref="AA200:AC200"/>
    <mergeCell ref="AD200:AF200"/>
    <mergeCell ref="AG200:AI200"/>
    <mergeCell ref="BM202:BO202"/>
    <mergeCell ref="BP202:BR202"/>
    <mergeCell ref="F203:H203"/>
    <mergeCell ref="I203:K203"/>
    <mergeCell ref="L203:N203"/>
    <mergeCell ref="O203:Q203"/>
    <mergeCell ref="R203:T203"/>
    <mergeCell ref="U203:W203"/>
    <mergeCell ref="X203:Z203"/>
    <mergeCell ref="AA203:AC203"/>
    <mergeCell ref="AP202:AR202"/>
    <mergeCell ref="AX202:AZ202"/>
    <mergeCell ref="BA202:BC202"/>
    <mergeCell ref="BD202:BF202"/>
    <mergeCell ref="BG202:BI202"/>
    <mergeCell ref="BJ202:BL202"/>
    <mergeCell ref="X202:Z202"/>
    <mergeCell ref="AA202:AC202"/>
    <mergeCell ref="AD202:AF202"/>
    <mergeCell ref="AG202:AI202"/>
    <mergeCell ref="AJ202:AL202"/>
    <mergeCell ref="AM202:AO202"/>
    <mergeCell ref="F202:H202"/>
    <mergeCell ref="I202:K202"/>
    <mergeCell ref="L202:N202"/>
    <mergeCell ref="O202:Q202"/>
    <mergeCell ref="R202:T202"/>
    <mergeCell ref="U202:W202"/>
    <mergeCell ref="AJ204:AL204"/>
    <mergeCell ref="AM204:AO204"/>
    <mergeCell ref="F204:H204"/>
    <mergeCell ref="I204:K204"/>
    <mergeCell ref="L204:N204"/>
    <mergeCell ref="O204:Q204"/>
    <mergeCell ref="R204:T204"/>
    <mergeCell ref="U204:W204"/>
    <mergeCell ref="BA203:BC203"/>
    <mergeCell ref="BD203:BF203"/>
    <mergeCell ref="BG203:BI203"/>
    <mergeCell ref="BJ203:BL203"/>
    <mergeCell ref="BM203:BO203"/>
    <mergeCell ref="BP203:BR203"/>
    <mergeCell ref="AD203:AF203"/>
    <mergeCell ref="AG203:AI203"/>
    <mergeCell ref="AJ203:AL203"/>
    <mergeCell ref="AM203:AO203"/>
    <mergeCell ref="AP203:AR203"/>
    <mergeCell ref="AX203:AZ203"/>
    <mergeCell ref="BA205:BC205"/>
    <mergeCell ref="BD205:BF205"/>
    <mergeCell ref="BG205:BI205"/>
    <mergeCell ref="BJ205:BL205"/>
    <mergeCell ref="BM205:BO205"/>
    <mergeCell ref="BP205:BR205"/>
    <mergeCell ref="AD205:AF205"/>
    <mergeCell ref="AG205:AI205"/>
    <mergeCell ref="AJ205:AL205"/>
    <mergeCell ref="AM205:AO205"/>
    <mergeCell ref="AP205:AR205"/>
    <mergeCell ref="AX205:AZ205"/>
    <mergeCell ref="BM204:BO204"/>
    <mergeCell ref="BP204:BR204"/>
    <mergeCell ref="F205:H205"/>
    <mergeCell ref="I205:K205"/>
    <mergeCell ref="L205:N205"/>
    <mergeCell ref="O205:Q205"/>
    <mergeCell ref="R205:T205"/>
    <mergeCell ref="U205:W205"/>
    <mergeCell ref="X205:Z205"/>
    <mergeCell ref="AA205:AC205"/>
    <mergeCell ref="AP204:AR204"/>
    <mergeCell ref="AX204:AZ204"/>
    <mergeCell ref="BA204:BC204"/>
    <mergeCell ref="BD204:BF204"/>
    <mergeCell ref="BG204:BI204"/>
    <mergeCell ref="BJ204:BL204"/>
    <mergeCell ref="X204:Z204"/>
    <mergeCell ref="AA204:AC204"/>
    <mergeCell ref="AD204:AF204"/>
    <mergeCell ref="AG204:AI204"/>
    <mergeCell ref="BM206:BO206"/>
    <mergeCell ref="BP206:BR206"/>
    <mergeCell ref="F207:H207"/>
    <mergeCell ref="I207:K207"/>
    <mergeCell ref="L207:N207"/>
    <mergeCell ref="O207:Q207"/>
    <mergeCell ref="R207:T207"/>
    <mergeCell ref="U207:W207"/>
    <mergeCell ref="X207:Z207"/>
    <mergeCell ref="AA207:AC207"/>
    <mergeCell ref="AP206:AR206"/>
    <mergeCell ref="AX206:AZ206"/>
    <mergeCell ref="BA206:BC206"/>
    <mergeCell ref="BD206:BF206"/>
    <mergeCell ref="BG206:BI206"/>
    <mergeCell ref="BJ206:BL206"/>
    <mergeCell ref="X206:Z206"/>
    <mergeCell ref="AA206:AC206"/>
    <mergeCell ref="AD206:AF206"/>
    <mergeCell ref="AG206:AI206"/>
    <mergeCell ref="AJ206:AL206"/>
    <mergeCell ref="AM206:AO206"/>
    <mergeCell ref="F206:H206"/>
    <mergeCell ref="I206:K206"/>
    <mergeCell ref="L206:N206"/>
    <mergeCell ref="O206:Q206"/>
    <mergeCell ref="R206:T206"/>
    <mergeCell ref="U206:W206"/>
    <mergeCell ref="AJ208:AL208"/>
    <mergeCell ref="AM208:AO208"/>
    <mergeCell ref="F208:H208"/>
    <mergeCell ref="I208:K208"/>
    <mergeCell ref="L208:N208"/>
    <mergeCell ref="O208:Q208"/>
    <mergeCell ref="R208:T208"/>
    <mergeCell ref="U208:W208"/>
    <mergeCell ref="BA207:BC207"/>
    <mergeCell ref="BD207:BF207"/>
    <mergeCell ref="BG207:BI207"/>
    <mergeCell ref="BJ207:BL207"/>
    <mergeCell ref="BM207:BO207"/>
    <mergeCell ref="BP207:BR207"/>
    <mergeCell ref="AD207:AF207"/>
    <mergeCell ref="AG207:AI207"/>
    <mergeCell ref="AJ207:AL207"/>
    <mergeCell ref="AM207:AO207"/>
    <mergeCell ref="AP207:AR207"/>
    <mergeCell ref="AX207:AZ207"/>
    <mergeCell ref="BA209:BC209"/>
    <mergeCell ref="BD209:BF209"/>
    <mergeCell ref="BG209:BI209"/>
    <mergeCell ref="BJ209:BL209"/>
    <mergeCell ref="BM209:BO209"/>
    <mergeCell ref="BP209:BR209"/>
    <mergeCell ref="AD209:AF209"/>
    <mergeCell ref="AG209:AI209"/>
    <mergeCell ref="AJ209:AL209"/>
    <mergeCell ref="AM209:AO209"/>
    <mergeCell ref="AP209:AR209"/>
    <mergeCell ref="AX209:AZ209"/>
    <mergeCell ref="BM208:BO208"/>
    <mergeCell ref="BP208:BR208"/>
    <mergeCell ref="F209:H209"/>
    <mergeCell ref="I209:K209"/>
    <mergeCell ref="L209:N209"/>
    <mergeCell ref="O209:Q209"/>
    <mergeCell ref="R209:T209"/>
    <mergeCell ref="U209:W209"/>
    <mergeCell ref="X209:Z209"/>
    <mergeCell ref="AA209:AC209"/>
    <mergeCell ref="AP208:AR208"/>
    <mergeCell ref="AX208:AZ208"/>
    <mergeCell ref="BA208:BC208"/>
    <mergeCell ref="BD208:BF208"/>
    <mergeCell ref="BG208:BI208"/>
    <mergeCell ref="BJ208:BL208"/>
    <mergeCell ref="X208:Z208"/>
    <mergeCell ref="AA208:AC208"/>
    <mergeCell ref="AD208:AF208"/>
    <mergeCell ref="AG208:AI208"/>
    <mergeCell ref="BM210:BO210"/>
    <mergeCell ref="BP210:BR210"/>
    <mergeCell ref="F211:H211"/>
    <mergeCell ref="I211:K211"/>
    <mergeCell ref="L211:N211"/>
    <mergeCell ref="O211:Q211"/>
    <mergeCell ref="R211:T211"/>
    <mergeCell ref="U211:W211"/>
    <mergeCell ref="X211:Z211"/>
    <mergeCell ref="AA211:AC211"/>
    <mergeCell ref="AP210:AR210"/>
    <mergeCell ref="AX210:AZ210"/>
    <mergeCell ref="BA210:BC210"/>
    <mergeCell ref="BD210:BF210"/>
    <mergeCell ref="BG210:BI210"/>
    <mergeCell ref="BJ210:BL210"/>
    <mergeCell ref="X210:Z210"/>
    <mergeCell ref="AA210:AC210"/>
    <mergeCell ref="AD210:AF210"/>
    <mergeCell ref="AG210:AI210"/>
    <mergeCell ref="AJ210:AL210"/>
    <mergeCell ref="AM210:AO210"/>
    <mergeCell ref="F210:H210"/>
    <mergeCell ref="I210:K210"/>
    <mergeCell ref="L210:N210"/>
    <mergeCell ref="O210:Q210"/>
    <mergeCell ref="R210:T210"/>
    <mergeCell ref="U210:W210"/>
    <mergeCell ref="AJ212:AL212"/>
    <mergeCell ref="AM212:AO212"/>
    <mergeCell ref="F212:H212"/>
    <mergeCell ref="I212:K212"/>
    <mergeCell ref="L212:N212"/>
    <mergeCell ref="O212:Q212"/>
    <mergeCell ref="R212:T212"/>
    <mergeCell ref="U212:W212"/>
    <mergeCell ref="BA211:BC211"/>
    <mergeCell ref="BD211:BF211"/>
    <mergeCell ref="BG211:BI211"/>
    <mergeCell ref="BJ211:BL211"/>
    <mergeCell ref="BM211:BO211"/>
    <mergeCell ref="BP211:BR211"/>
    <mergeCell ref="AD211:AF211"/>
    <mergeCell ref="AG211:AI211"/>
    <mergeCell ref="AJ211:AL211"/>
    <mergeCell ref="AM211:AO211"/>
    <mergeCell ref="AP211:AR211"/>
    <mergeCell ref="AX211:AZ211"/>
    <mergeCell ref="BA213:BC213"/>
    <mergeCell ref="BD213:BF213"/>
    <mergeCell ref="BG213:BI213"/>
    <mergeCell ref="BJ213:BL213"/>
    <mergeCell ref="BM213:BO213"/>
    <mergeCell ref="BP213:BR213"/>
    <mergeCell ref="AD213:AF213"/>
    <mergeCell ref="AG213:AI213"/>
    <mergeCell ref="AJ213:AL213"/>
    <mergeCell ref="AM213:AO213"/>
    <mergeCell ref="AP213:AR213"/>
    <mergeCell ref="AX213:AZ213"/>
    <mergeCell ref="BM212:BO212"/>
    <mergeCell ref="BP212:BR212"/>
    <mergeCell ref="F213:H213"/>
    <mergeCell ref="I213:K213"/>
    <mergeCell ref="L213:N213"/>
    <mergeCell ref="O213:Q213"/>
    <mergeCell ref="R213:T213"/>
    <mergeCell ref="U213:W213"/>
    <mergeCell ref="X213:Z213"/>
    <mergeCell ref="AA213:AC213"/>
    <mergeCell ref="AP212:AR212"/>
    <mergeCell ref="AX212:AZ212"/>
    <mergeCell ref="BA212:BC212"/>
    <mergeCell ref="BD212:BF212"/>
    <mergeCell ref="BG212:BI212"/>
    <mergeCell ref="BJ212:BL212"/>
    <mergeCell ref="X212:Z212"/>
    <mergeCell ref="AA212:AC212"/>
    <mergeCell ref="AD212:AF212"/>
    <mergeCell ref="AG212:AI212"/>
    <mergeCell ref="BM214:BO214"/>
    <mergeCell ref="BP214:BR214"/>
    <mergeCell ref="F215:H215"/>
    <mergeCell ref="I215:K215"/>
    <mergeCell ref="L215:N215"/>
    <mergeCell ref="O215:Q215"/>
    <mergeCell ref="R215:T215"/>
    <mergeCell ref="U215:W215"/>
    <mergeCell ref="X215:Z215"/>
    <mergeCell ref="AA215:AC215"/>
    <mergeCell ref="AP214:AR214"/>
    <mergeCell ref="AX214:AZ214"/>
    <mergeCell ref="BA214:BC214"/>
    <mergeCell ref="BD214:BF214"/>
    <mergeCell ref="BG214:BI214"/>
    <mergeCell ref="BJ214:BL214"/>
    <mergeCell ref="X214:Z214"/>
    <mergeCell ref="AA214:AC214"/>
    <mergeCell ref="AD214:AF214"/>
    <mergeCell ref="AG214:AI214"/>
    <mergeCell ref="AJ214:AL214"/>
    <mergeCell ref="AM214:AO214"/>
    <mergeCell ref="F214:H214"/>
    <mergeCell ref="I214:K214"/>
    <mergeCell ref="L214:N214"/>
    <mergeCell ref="O214:Q214"/>
    <mergeCell ref="R214:T214"/>
    <mergeCell ref="U214:W214"/>
    <mergeCell ref="AJ216:AL216"/>
    <mergeCell ref="AM216:AO216"/>
    <mergeCell ref="F216:H216"/>
    <mergeCell ref="I216:K216"/>
    <mergeCell ref="L216:N216"/>
    <mergeCell ref="O216:Q216"/>
    <mergeCell ref="R216:T216"/>
    <mergeCell ref="U216:W216"/>
    <mergeCell ref="BA215:BC215"/>
    <mergeCell ref="BD215:BF215"/>
    <mergeCell ref="BG215:BI215"/>
    <mergeCell ref="BJ215:BL215"/>
    <mergeCell ref="BM215:BO215"/>
    <mergeCell ref="BP215:BR215"/>
    <mergeCell ref="AD215:AF215"/>
    <mergeCell ref="AG215:AI215"/>
    <mergeCell ref="AJ215:AL215"/>
    <mergeCell ref="AM215:AO215"/>
    <mergeCell ref="AP215:AR215"/>
    <mergeCell ref="AX215:AZ215"/>
    <mergeCell ref="BA217:BC217"/>
    <mergeCell ref="BD217:BF217"/>
    <mergeCell ref="BG217:BI217"/>
    <mergeCell ref="BJ217:BL217"/>
    <mergeCell ref="BM217:BO217"/>
    <mergeCell ref="BP217:BR217"/>
    <mergeCell ref="AD217:AF217"/>
    <mergeCell ref="AG217:AI217"/>
    <mergeCell ref="AJ217:AL217"/>
    <mergeCell ref="AM217:AO217"/>
    <mergeCell ref="AP217:AR217"/>
    <mergeCell ref="AX217:AZ217"/>
    <mergeCell ref="BM216:BO216"/>
    <mergeCell ref="BP216:BR216"/>
    <mergeCell ref="F217:H217"/>
    <mergeCell ref="I217:K217"/>
    <mergeCell ref="L217:N217"/>
    <mergeCell ref="O217:Q217"/>
    <mergeCell ref="R217:T217"/>
    <mergeCell ref="U217:W217"/>
    <mergeCell ref="X217:Z217"/>
    <mergeCell ref="AA217:AC217"/>
    <mergeCell ref="AP216:AR216"/>
    <mergeCell ref="AX216:AZ216"/>
    <mergeCell ref="BA216:BC216"/>
    <mergeCell ref="BD216:BF216"/>
    <mergeCell ref="BG216:BI216"/>
    <mergeCell ref="BJ216:BL216"/>
    <mergeCell ref="X216:Z216"/>
    <mergeCell ref="AA216:AC216"/>
    <mergeCell ref="AD216:AF216"/>
    <mergeCell ref="AG216:AI216"/>
    <mergeCell ref="BM218:BO218"/>
    <mergeCell ref="BP218:BR218"/>
    <mergeCell ref="F219:H219"/>
    <mergeCell ref="I219:K219"/>
    <mergeCell ref="L219:N219"/>
    <mergeCell ref="O219:Q219"/>
    <mergeCell ref="R219:T219"/>
    <mergeCell ref="U219:W219"/>
    <mergeCell ref="X219:Z219"/>
    <mergeCell ref="AA219:AC219"/>
    <mergeCell ref="AP218:AR218"/>
    <mergeCell ref="AX218:AZ218"/>
    <mergeCell ref="BA218:BC218"/>
    <mergeCell ref="BD218:BF218"/>
    <mergeCell ref="BG218:BI218"/>
    <mergeCell ref="BJ218:BL218"/>
    <mergeCell ref="X218:Z218"/>
    <mergeCell ref="AA218:AC218"/>
    <mergeCell ref="AD218:AF218"/>
    <mergeCell ref="AG218:AI218"/>
    <mergeCell ref="AJ218:AL218"/>
    <mergeCell ref="AM218:AO218"/>
    <mergeCell ref="F218:H218"/>
    <mergeCell ref="I218:K218"/>
    <mergeCell ref="L218:N218"/>
    <mergeCell ref="O218:Q218"/>
    <mergeCell ref="R218:T218"/>
    <mergeCell ref="U218:W218"/>
    <mergeCell ref="AJ220:AL220"/>
    <mergeCell ref="AM220:AO220"/>
    <mergeCell ref="F220:H220"/>
    <mergeCell ref="I220:K220"/>
    <mergeCell ref="L220:N220"/>
    <mergeCell ref="O220:Q220"/>
    <mergeCell ref="R220:T220"/>
    <mergeCell ref="U220:W220"/>
    <mergeCell ref="BA219:BC219"/>
    <mergeCell ref="BD219:BF219"/>
    <mergeCell ref="BG219:BI219"/>
    <mergeCell ref="BJ219:BL219"/>
    <mergeCell ref="BM219:BO219"/>
    <mergeCell ref="BP219:BR219"/>
    <mergeCell ref="AD219:AF219"/>
    <mergeCell ref="AG219:AI219"/>
    <mergeCell ref="AJ219:AL219"/>
    <mergeCell ref="AM219:AO219"/>
    <mergeCell ref="AP219:AR219"/>
    <mergeCell ref="AX219:AZ219"/>
    <mergeCell ref="BA221:BC221"/>
    <mergeCell ref="BD221:BF221"/>
    <mergeCell ref="BG221:BI221"/>
    <mergeCell ref="BJ221:BL221"/>
    <mergeCell ref="BM221:BO221"/>
    <mergeCell ref="BP221:BR221"/>
    <mergeCell ref="AD221:AF221"/>
    <mergeCell ref="AG221:AI221"/>
    <mergeCell ref="AJ221:AL221"/>
    <mergeCell ref="AM221:AO221"/>
    <mergeCell ref="AP221:AR221"/>
    <mergeCell ref="AX221:AZ221"/>
    <mergeCell ref="BM220:BO220"/>
    <mergeCell ref="BP220:BR220"/>
    <mergeCell ref="F221:H221"/>
    <mergeCell ref="I221:K221"/>
    <mergeCell ref="L221:N221"/>
    <mergeCell ref="O221:Q221"/>
    <mergeCell ref="R221:T221"/>
    <mergeCell ref="U221:W221"/>
    <mergeCell ref="X221:Z221"/>
    <mergeCell ref="AA221:AC221"/>
    <mergeCell ref="AP220:AR220"/>
    <mergeCell ref="AX220:AZ220"/>
    <mergeCell ref="BA220:BC220"/>
    <mergeCell ref="BD220:BF220"/>
    <mergeCell ref="BG220:BI220"/>
    <mergeCell ref="BJ220:BL220"/>
    <mergeCell ref="X220:Z220"/>
    <mergeCell ref="AA220:AC220"/>
    <mergeCell ref="AD220:AF220"/>
    <mergeCell ref="AG220:AI220"/>
    <mergeCell ref="BM222:BO222"/>
    <mergeCell ref="BP222:BR222"/>
    <mergeCell ref="F223:H223"/>
    <mergeCell ref="I223:K223"/>
    <mergeCell ref="L223:N223"/>
    <mergeCell ref="O223:Q223"/>
    <mergeCell ref="R223:T223"/>
    <mergeCell ref="U223:W223"/>
    <mergeCell ref="X223:Z223"/>
    <mergeCell ref="AA223:AC223"/>
    <mergeCell ref="AP222:AR222"/>
    <mergeCell ref="AX222:AZ222"/>
    <mergeCell ref="BA222:BC222"/>
    <mergeCell ref="BD222:BF222"/>
    <mergeCell ref="BG222:BI222"/>
    <mergeCell ref="BJ222:BL222"/>
    <mergeCell ref="X222:Z222"/>
    <mergeCell ref="AA222:AC222"/>
    <mergeCell ref="AD222:AF222"/>
    <mergeCell ref="AG222:AI222"/>
    <mergeCell ref="AJ222:AL222"/>
    <mergeCell ref="AM222:AO222"/>
    <mergeCell ref="F222:H222"/>
    <mergeCell ref="I222:K222"/>
    <mergeCell ref="L222:N222"/>
    <mergeCell ref="O222:Q222"/>
    <mergeCell ref="R222:T222"/>
    <mergeCell ref="U222:W222"/>
    <mergeCell ref="AJ224:AL224"/>
    <mergeCell ref="AM224:AO224"/>
    <mergeCell ref="F224:H224"/>
    <mergeCell ref="I224:K224"/>
    <mergeCell ref="L224:N224"/>
    <mergeCell ref="O224:Q224"/>
    <mergeCell ref="R224:T224"/>
    <mergeCell ref="U224:W224"/>
    <mergeCell ref="BA223:BC223"/>
    <mergeCell ref="BD223:BF223"/>
    <mergeCell ref="BG223:BI223"/>
    <mergeCell ref="BJ223:BL223"/>
    <mergeCell ref="BM223:BO223"/>
    <mergeCell ref="BP223:BR223"/>
    <mergeCell ref="AD223:AF223"/>
    <mergeCell ref="AG223:AI223"/>
    <mergeCell ref="AJ223:AL223"/>
    <mergeCell ref="AM223:AO223"/>
    <mergeCell ref="AP223:AR223"/>
    <mergeCell ref="AX223:AZ223"/>
    <mergeCell ref="BA225:BC225"/>
    <mergeCell ref="BD225:BF225"/>
    <mergeCell ref="BG225:BI225"/>
    <mergeCell ref="BJ225:BL225"/>
    <mergeCell ref="BM225:BO225"/>
    <mergeCell ref="BP225:BR225"/>
    <mergeCell ref="AD225:AF225"/>
    <mergeCell ref="AG225:AI225"/>
    <mergeCell ref="AJ225:AL225"/>
    <mergeCell ref="AM225:AO225"/>
    <mergeCell ref="AP225:AR225"/>
    <mergeCell ref="AX225:AZ225"/>
    <mergeCell ref="BM224:BO224"/>
    <mergeCell ref="BP224:BR224"/>
    <mergeCell ref="F225:H225"/>
    <mergeCell ref="I225:K225"/>
    <mergeCell ref="L225:N225"/>
    <mergeCell ref="O225:Q225"/>
    <mergeCell ref="R225:T225"/>
    <mergeCell ref="U225:W225"/>
    <mergeCell ref="X225:Z225"/>
    <mergeCell ref="AA225:AC225"/>
    <mergeCell ref="AP224:AR224"/>
    <mergeCell ref="AX224:AZ224"/>
    <mergeCell ref="BA224:BC224"/>
    <mergeCell ref="BD224:BF224"/>
    <mergeCell ref="BG224:BI224"/>
    <mergeCell ref="BJ224:BL224"/>
    <mergeCell ref="X224:Z224"/>
    <mergeCell ref="AA224:AC224"/>
    <mergeCell ref="AD224:AF224"/>
    <mergeCell ref="AG224:AI224"/>
    <mergeCell ref="BM226:BO226"/>
    <mergeCell ref="BP226:BR226"/>
    <mergeCell ref="F227:H227"/>
    <mergeCell ref="I227:K227"/>
    <mergeCell ref="L227:N227"/>
    <mergeCell ref="O227:Q227"/>
    <mergeCell ref="R227:T227"/>
    <mergeCell ref="U227:W227"/>
    <mergeCell ref="X227:Z227"/>
    <mergeCell ref="AA227:AC227"/>
    <mergeCell ref="AP226:AR226"/>
    <mergeCell ref="AX226:AZ226"/>
    <mergeCell ref="BA226:BC226"/>
    <mergeCell ref="BD226:BF226"/>
    <mergeCell ref="BG226:BI226"/>
    <mergeCell ref="BJ226:BL226"/>
    <mergeCell ref="X226:Z226"/>
    <mergeCell ref="AA226:AC226"/>
    <mergeCell ref="AD226:AF226"/>
    <mergeCell ref="AG226:AI226"/>
    <mergeCell ref="AJ226:AL226"/>
    <mergeCell ref="AM226:AO226"/>
    <mergeCell ref="F226:H226"/>
    <mergeCell ref="I226:K226"/>
    <mergeCell ref="L226:N226"/>
    <mergeCell ref="O226:Q226"/>
    <mergeCell ref="R226:T226"/>
    <mergeCell ref="U226:W226"/>
    <mergeCell ref="AJ228:AL228"/>
    <mergeCell ref="AM228:AO228"/>
    <mergeCell ref="F228:H228"/>
    <mergeCell ref="I228:K228"/>
    <mergeCell ref="L228:N228"/>
    <mergeCell ref="O228:Q228"/>
    <mergeCell ref="R228:T228"/>
    <mergeCell ref="U228:W228"/>
    <mergeCell ref="BA227:BC227"/>
    <mergeCell ref="BD227:BF227"/>
    <mergeCell ref="BG227:BI227"/>
    <mergeCell ref="BJ227:BL227"/>
    <mergeCell ref="BM227:BO227"/>
    <mergeCell ref="BP227:BR227"/>
    <mergeCell ref="AD227:AF227"/>
    <mergeCell ref="AG227:AI227"/>
    <mergeCell ref="AJ227:AL227"/>
    <mergeCell ref="AM227:AO227"/>
    <mergeCell ref="AP227:AR227"/>
    <mergeCell ref="AX227:AZ227"/>
    <mergeCell ref="BA229:BC229"/>
    <mergeCell ref="BD229:BF229"/>
    <mergeCell ref="BG229:BI229"/>
    <mergeCell ref="BJ229:BL229"/>
    <mergeCell ref="BM229:BO229"/>
    <mergeCell ref="BP229:BR229"/>
    <mergeCell ref="AD229:AF229"/>
    <mergeCell ref="AG229:AI229"/>
    <mergeCell ref="AJ229:AL229"/>
    <mergeCell ref="AM229:AO229"/>
    <mergeCell ref="AP229:AR229"/>
    <mergeCell ref="AX229:AZ229"/>
    <mergeCell ref="BM228:BO228"/>
    <mergeCell ref="BP228:BR228"/>
    <mergeCell ref="F229:H229"/>
    <mergeCell ref="I229:K229"/>
    <mergeCell ref="L229:N229"/>
    <mergeCell ref="O229:Q229"/>
    <mergeCell ref="R229:T229"/>
    <mergeCell ref="U229:W229"/>
    <mergeCell ref="X229:Z229"/>
    <mergeCell ref="AA229:AC229"/>
    <mergeCell ref="AP228:AR228"/>
    <mergeCell ref="AX228:AZ228"/>
    <mergeCell ref="BA228:BC228"/>
    <mergeCell ref="BD228:BF228"/>
    <mergeCell ref="BG228:BI228"/>
    <mergeCell ref="BJ228:BL228"/>
    <mergeCell ref="X228:Z228"/>
    <mergeCell ref="AA228:AC228"/>
    <mergeCell ref="AD228:AF228"/>
    <mergeCell ref="AG228:AI228"/>
    <mergeCell ref="BM230:BO230"/>
    <mergeCell ref="BP230:BR230"/>
    <mergeCell ref="F231:H231"/>
    <mergeCell ref="I231:K231"/>
    <mergeCell ref="L231:N231"/>
    <mergeCell ref="O231:Q231"/>
    <mergeCell ref="R231:T231"/>
    <mergeCell ref="U231:W231"/>
    <mergeCell ref="X231:Z231"/>
    <mergeCell ref="AA231:AC231"/>
    <mergeCell ref="AP230:AR230"/>
    <mergeCell ref="AX230:AZ230"/>
    <mergeCell ref="BA230:BC230"/>
    <mergeCell ref="BD230:BF230"/>
    <mergeCell ref="BG230:BI230"/>
    <mergeCell ref="BJ230:BL230"/>
    <mergeCell ref="X230:Z230"/>
    <mergeCell ref="AA230:AC230"/>
    <mergeCell ref="AD230:AF230"/>
    <mergeCell ref="AG230:AI230"/>
    <mergeCell ref="AJ230:AL230"/>
    <mergeCell ref="AM230:AO230"/>
    <mergeCell ref="F230:H230"/>
    <mergeCell ref="I230:K230"/>
    <mergeCell ref="L230:N230"/>
    <mergeCell ref="O230:Q230"/>
    <mergeCell ref="R230:T230"/>
    <mergeCell ref="U230:W230"/>
    <mergeCell ref="AJ232:AL232"/>
    <mergeCell ref="AM232:AO232"/>
    <mergeCell ref="F232:H232"/>
    <mergeCell ref="I232:K232"/>
    <mergeCell ref="L232:N232"/>
    <mergeCell ref="O232:Q232"/>
    <mergeCell ref="R232:T232"/>
    <mergeCell ref="U232:W232"/>
    <mergeCell ref="BA231:BC231"/>
    <mergeCell ref="BD231:BF231"/>
    <mergeCell ref="BG231:BI231"/>
    <mergeCell ref="BJ231:BL231"/>
    <mergeCell ref="BM231:BO231"/>
    <mergeCell ref="BP231:BR231"/>
    <mergeCell ref="AD231:AF231"/>
    <mergeCell ref="AG231:AI231"/>
    <mergeCell ref="AJ231:AL231"/>
    <mergeCell ref="AM231:AO231"/>
    <mergeCell ref="AP231:AR231"/>
    <mergeCell ref="AX231:AZ231"/>
    <mergeCell ref="BA233:BC233"/>
    <mergeCell ref="BD233:BF233"/>
    <mergeCell ref="BG233:BI233"/>
    <mergeCell ref="BJ233:BL233"/>
    <mergeCell ref="BM233:BO233"/>
    <mergeCell ref="BP233:BR233"/>
    <mergeCell ref="AD233:AF233"/>
    <mergeCell ref="AG233:AI233"/>
    <mergeCell ref="AJ233:AL233"/>
    <mergeCell ref="AM233:AO233"/>
    <mergeCell ref="AP233:AR233"/>
    <mergeCell ref="AX233:AZ233"/>
    <mergeCell ref="BM232:BO232"/>
    <mergeCell ref="BP232:BR232"/>
    <mergeCell ref="F233:H233"/>
    <mergeCell ref="I233:K233"/>
    <mergeCell ref="L233:N233"/>
    <mergeCell ref="O233:Q233"/>
    <mergeCell ref="R233:T233"/>
    <mergeCell ref="U233:W233"/>
    <mergeCell ref="X233:Z233"/>
    <mergeCell ref="AA233:AC233"/>
    <mergeCell ref="AP232:AR232"/>
    <mergeCell ref="AX232:AZ232"/>
    <mergeCell ref="BA232:BC232"/>
    <mergeCell ref="BD232:BF232"/>
    <mergeCell ref="BG232:BI232"/>
    <mergeCell ref="BJ232:BL232"/>
    <mergeCell ref="X232:Z232"/>
    <mergeCell ref="AA232:AC232"/>
    <mergeCell ref="AD232:AF232"/>
    <mergeCell ref="AG232:AI232"/>
    <mergeCell ref="BM234:BO234"/>
    <mergeCell ref="BP234:BR234"/>
    <mergeCell ref="F235:H235"/>
    <mergeCell ref="I235:K235"/>
    <mergeCell ref="L235:N235"/>
    <mergeCell ref="O235:Q235"/>
    <mergeCell ref="R235:T235"/>
    <mergeCell ref="U235:W235"/>
    <mergeCell ref="X235:Z235"/>
    <mergeCell ref="AA235:AC235"/>
    <mergeCell ref="AP234:AR234"/>
    <mergeCell ref="AX234:AZ234"/>
    <mergeCell ref="BA234:BC234"/>
    <mergeCell ref="BD234:BF234"/>
    <mergeCell ref="BG234:BI234"/>
    <mergeCell ref="BJ234:BL234"/>
    <mergeCell ref="X234:Z234"/>
    <mergeCell ref="AA234:AC234"/>
    <mergeCell ref="AD234:AF234"/>
    <mergeCell ref="AG234:AI234"/>
    <mergeCell ref="AJ234:AL234"/>
    <mergeCell ref="AM234:AO234"/>
    <mergeCell ref="F234:H234"/>
    <mergeCell ref="I234:K234"/>
    <mergeCell ref="L234:N234"/>
    <mergeCell ref="O234:Q234"/>
    <mergeCell ref="R234:T234"/>
    <mergeCell ref="U234:W234"/>
    <mergeCell ref="AJ236:AL236"/>
    <mergeCell ref="AM236:AO236"/>
    <mergeCell ref="F236:H236"/>
    <mergeCell ref="I236:K236"/>
    <mergeCell ref="L236:N236"/>
    <mergeCell ref="O236:Q236"/>
    <mergeCell ref="R236:T236"/>
    <mergeCell ref="U236:W236"/>
    <mergeCell ref="BA235:BC235"/>
    <mergeCell ref="BD235:BF235"/>
    <mergeCell ref="BG235:BI235"/>
    <mergeCell ref="BJ235:BL235"/>
    <mergeCell ref="BM235:BO235"/>
    <mergeCell ref="BP235:BR235"/>
    <mergeCell ref="AD235:AF235"/>
    <mergeCell ref="AG235:AI235"/>
    <mergeCell ref="AJ235:AL235"/>
    <mergeCell ref="AM235:AO235"/>
    <mergeCell ref="AP235:AR235"/>
    <mergeCell ref="AX235:AZ235"/>
    <mergeCell ref="BA237:BC237"/>
    <mergeCell ref="BD237:BF237"/>
    <mergeCell ref="BG237:BI237"/>
    <mergeCell ref="BJ237:BL237"/>
    <mergeCell ref="BM237:BO237"/>
    <mergeCell ref="BP237:BR237"/>
    <mergeCell ref="AD237:AF237"/>
    <mergeCell ref="AG237:AI237"/>
    <mergeCell ref="AJ237:AL237"/>
    <mergeCell ref="AM237:AO237"/>
    <mergeCell ref="AP237:AR237"/>
    <mergeCell ref="AX237:AZ237"/>
    <mergeCell ref="BM236:BO236"/>
    <mergeCell ref="BP236:BR236"/>
    <mergeCell ref="F237:H237"/>
    <mergeCell ref="I237:K237"/>
    <mergeCell ref="L237:N237"/>
    <mergeCell ref="O237:Q237"/>
    <mergeCell ref="R237:T237"/>
    <mergeCell ref="U237:W237"/>
    <mergeCell ref="X237:Z237"/>
    <mergeCell ref="AA237:AC237"/>
    <mergeCell ref="AP236:AR236"/>
    <mergeCell ref="AX236:AZ236"/>
    <mergeCell ref="BA236:BC236"/>
    <mergeCell ref="BD236:BF236"/>
    <mergeCell ref="BG236:BI236"/>
    <mergeCell ref="BJ236:BL236"/>
    <mergeCell ref="X236:Z236"/>
    <mergeCell ref="AA236:AC236"/>
    <mergeCell ref="AD236:AF236"/>
    <mergeCell ref="AG236:AI236"/>
    <mergeCell ref="BM238:BO238"/>
    <mergeCell ref="BP238:BR238"/>
    <mergeCell ref="F239:H239"/>
    <mergeCell ref="I239:K239"/>
    <mergeCell ref="L239:N239"/>
    <mergeCell ref="O239:Q239"/>
    <mergeCell ref="R239:T239"/>
    <mergeCell ref="U239:W239"/>
    <mergeCell ref="X239:Z239"/>
    <mergeCell ref="AA239:AC239"/>
    <mergeCell ref="AP238:AR238"/>
    <mergeCell ref="AX238:AZ238"/>
    <mergeCell ref="BA238:BC238"/>
    <mergeCell ref="BD238:BF238"/>
    <mergeCell ref="BG238:BI238"/>
    <mergeCell ref="BJ238:BL238"/>
    <mergeCell ref="X238:Z238"/>
    <mergeCell ref="AA238:AC238"/>
    <mergeCell ref="AD238:AF238"/>
    <mergeCell ref="AG238:AI238"/>
    <mergeCell ref="AJ238:AL238"/>
    <mergeCell ref="AM238:AO238"/>
    <mergeCell ref="F238:H238"/>
    <mergeCell ref="I238:K238"/>
    <mergeCell ref="L238:N238"/>
    <mergeCell ref="O238:Q238"/>
    <mergeCell ref="R238:T238"/>
    <mergeCell ref="U238:W238"/>
    <mergeCell ref="AJ240:AL240"/>
    <mergeCell ref="AM240:AO240"/>
    <mergeCell ref="F240:H240"/>
    <mergeCell ref="I240:K240"/>
    <mergeCell ref="L240:N240"/>
    <mergeCell ref="O240:Q240"/>
    <mergeCell ref="R240:T240"/>
    <mergeCell ref="U240:W240"/>
    <mergeCell ref="BA239:BC239"/>
    <mergeCell ref="BD239:BF239"/>
    <mergeCell ref="BG239:BI239"/>
    <mergeCell ref="BJ239:BL239"/>
    <mergeCell ref="BM239:BO239"/>
    <mergeCell ref="BP239:BR239"/>
    <mergeCell ref="AD239:AF239"/>
    <mergeCell ref="AG239:AI239"/>
    <mergeCell ref="AJ239:AL239"/>
    <mergeCell ref="AM239:AO239"/>
    <mergeCell ref="AP239:AR239"/>
    <mergeCell ref="AX239:AZ239"/>
    <mergeCell ref="BA241:BC241"/>
    <mergeCell ref="BD241:BF241"/>
    <mergeCell ref="BG241:BI241"/>
    <mergeCell ref="BJ241:BL241"/>
    <mergeCell ref="BM241:BO241"/>
    <mergeCell ref="BP241:BR241"/>
    <mergeCell ref="AD241:AF241"/>
    <mergeCell ref="AG241:AI241"/>
    <mergeCell ref="AJ241:AL241"/>
    <mergeCell ref="AM241:AO241"/>
    <mergeCell ref="AP241:AR241"/>
    <mergeCell ref="AX241:AZ241"/>
    <mergeCell ref="BM240:BO240"/>
    <mergeCell ref="BP240:BR240"/>
    <mergeCell ref="F241:H241"/>
    <mergeCell ref="I241:K241"/>
    <mergeCell ref="L241:N241"/>
    <mergeCell ref="O241:Q241"/>
    <mergeCell ref="R241:T241"/>
    <mergeCell ref="U241:W241"/>
    <mergeCell ref="X241:Z241"/>
    <mergeCell ref="AA241:AC241"/>
    <mergeCell ref="AP240:AR240"/>
    <mergeCell ref="AX240:AZ240"/>
    <mergeCell ref="BA240:BC240"/>
    <mergeCell ref="BD240:BF240"/>
    <mergeCell ref="BG240:BI240"/>
    <mergeCell ref="BJ240:BL240"/>
    <mergeCell ref="X240:Z240"/>
    <mergeCell ref="AA240:AC240"/>
    <mergeCell ref="AD240:AF240"/>
    <mergeCell ref="AG240:AI240"/>
    <mergeCell ref="BM242:BO242"/>
    <mergeCell ref="BP242:BR242"/>
    <mergeCell ref="AP242:AR242"/>
    <mergeCell ref="AX242:AZ242"/>
    <mergeCell ref="BA242:BC242"/>
    <mergeCell ref="BD242:BF242"/>
    <mergeCell ref="BG242:BI242"/>
    <mergeCell ref="BJ242:BL242"/>
    <mergeCell ref="X242:Z242"/>
    <mergeCell ref="AA242:AC242"/>
    <mergeCell ref="AD242:AF242"/>
    <mergeCell ref="AG242:AI242"/>
    <mergeCell ref="AJ242:AL242"/>
    <mergeCell ref="AM242:AO242"/>
    <mergeCell ref="F242:H242"/>
    <mergeCell ref="I242:K242"/>
    <mergeCell ref="L242:N242"/>
    <mergeCell ref="O242:Q242"/>
    <mergeCell ref="R242:T242"/>
    <mergeCell ref="U242:W242"/>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4" max="74" man="1"/>
  </rowBreaks>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AV9" sqref="AV9"/>
    </sheetView>
  </sheetViews>
  <sheetFormatPr baseColWidth="10" defaultRowHeight="12.75" customHeight="1" x14ac:dyDescent="0.2"/>
  <cols>
    <col min="1" max="4" width="3.28515625" style="160" customWidth="1"/>
    <col min="5" max="5" width="4.42578125" style="160" customWidth="1"/>
    <col min="6" max="7" width="3.28515625" style="160" customWidth="1"/>
    <col min="8" max="8" width="2.28515625" style="160" customWidth="1"/>
    <col min="9" max="9" width="5.42578125" style="216" customWidth="1"/>
    <col min="10" max="10" width="3.28515625" style="160" customWidth="1"/>
    <col min="11" max="11" width="5.85546875" style="160" customWidth="1"/>
    <col min="12" max="13" width="3.28515625" style="160" customWidth="1"/>
    <col min="14" max="14" width="1.28515625" style="160" customWidth="1"/>
    <col min="15" max="25" width="3.28515625" style="160" customWidth="1"/>
    <col min="26" max="26" width="3.42578125" style="160" customWidth="1"/>
    <col min="27" max="32" width="3.28515625" style="160" customWidth="1"/>
    <col min="33" max="33" width="4.5703125" style="160" customWidth="1"/>
    <col min="34" max="34" width="3.28515625" style="160" customWidth="1"/>
    <col min="35" max="35" width="3" style="160" customWidth="1"/>
    <col min="36" max="40" width="3.28515625" style="160" customWidth="1"/>
    <col min="41" max="41" width="4" style="160" customWidth="1"/>
    <col min="42" max="43" width="3.28515625" style="160" customWidth="1"/>
    <col min="44" max="44" width="3.42578125" style="160" customWidth="1"/>
    <col min="45" max="45" width="8.140625" style="160" customWidth="1"/>
    <col min="46" max="46" width="8.28515625" style="160" customWidth="1"/>
    <col min="47" max="47" width="6.140625" style="160" customWidth="1"/>
    <col min="48" max="48" width="3.28515625" style="160" customWidth="1"/>
    <col min="49" max="49" width="5.140625" style="160" customWidth="1"/>
    <col min="50" max="50" width="4.42578125" style="160" customWidth="1"/>
    <col min="51" max="51" width="11.42578125" style="160"/>
    <col min="52" max="52" width="3.140625" style="160" customWidth="1"/>
    <col min="53" max="54" width="11.42578125" style="160"/>
    <col min="55" max="55" width="2.42578125" style="160" customWidth="1"/>
    <col min="56" max="63" width="11.42578125" style="160"/>
    <col min="64" max="64" width="2.42578125" style="160" customWidth="1"/>
    <col min="65" max="72" width="11.42578125" style="160"/>
    <col min="73" max="73" width="6.140625" style="160" customWidth="1"/>
    <col min="74" max="74" width="9.5703125" style="160" customWidth="1"/>
    <col min="75" max="81" width="11.42578125" style="160"/>
    <col min="82" max="82" width="5.28515625" style="160" customWidth="1"/>
    <col min="83" max="278" width="11.42578125" style="160"/>
    <col min="279" max="279" width="14.5703125" style="160" customWidth="1"/>
    <col min="280" max="280" width="12.7109375" style="160" customWidth="1"/>
    <col min="281" max="281" width="1.5703125" style="160" customWidth="1"/>
    <col min="282" max="282" width="18.28515625" style="160" customWidth="1"/>
    <col min="283" max="283" width="11" style="160" customWidth="1"/>
    <col min="284" max="284" width="13.28515625" style="160" bestFit="1" customWidth="1"/>
    <col min="285" max="285" width="18" style="160" customWidth="1"/>
    <col min="286" max="286" width="11.42578125" style="160"/>
    <col min="287" max="287" width="11.140625" style="160" customWidth="1"/>
    <col min="288" max="288" width="11.42578125" style="160"/>
    <col min="289" max="289" width="17.42578125" style="160" customWidth="1"/>
    <col min="290" max="534" width="11.42578125" style="160"/>
    <col min="535" max="535" width="14.5703125" style="160" customWidth="1"/>
    <col min="536" max="536" width="12.7109375" style="160" customWidth="1"/>
    <col min="537" max="537" width="1.5703125" style="160" customWidth="1"/>
    <col min="538" max="538" width="18.28515625" style="160" customWidth="1"/>
    <col min="539" max="539" width="11" style="160" customWidth="1"/>
    <col min="540" max="540" width="13.28515625" style="160" bestFit="1" customWidth="1"/>
    <col min="541" max="541" width="18" style="160" customWidth="1"/>
    <col min="542" max="542" width="11.42578125" style="160"/>
    <col min="543" max="543" width="11.140625" style="160" customWidth="1"/>
    <col min="544" max="544" width="11.42578125" style="160"/>
    <col min="545" max="545" width="17.42578125" style="160" customWidth="1"/>
    <col min="546" max="790" width="11.42578125" style="160"/>
    <col min="791" max="791" width="14.5703125" style="160" customWidth="1"/>
    <col min="792" max="792" width="12.7109375" style="160" customWidth="1"/>
    <col min="793" max="793" width="1.5703125" style="160" customWidth="1"/>
    <col min="794" max="794" width="18.28515625" style="160" customWidth="1"/>
    <col min="795" max="795" width="11" style="160" customWidth="1"/>
    <col min="796" max="796" width="13.28515625" style="160" bestFit="1" customWidth="1"/>
    <col min="797" max="797" width="18" style="160" customWidth="1"/>
    <col min="798" max="798" width="11.42578125" style="160"/>
    <col min="799" max="799" width="11.140625" style="160" customWidth="1"/>
    <col min="800" max="800" width="11.42578125" style="160"/>
    <col min="801" max="801" width="17.42578125" style="160" customWidth="1"/>
    <col min="802" max="1046" width="11.42578125" style="160"/>
    <col min="1047" max="1047" width="14.5703125" style="160" customWidth="1"/>
    <col min="1048" max="1048" width="12.7109375" style="160" customWidth="1"/>
    <col min="1049" max="1049" width="1.5703125" style="160" customWidth="1"/>
    <col min="1050" max="1050" width="18.28515625" style="160" customWidth="1"/>
    <col min="1051" max="1051" width="11" style="160" customWidth="1"/>
    <col min="1052" max="1052" width="13.28515625" style="160" bestFit="1" customWidth="1"/>
    <col min="1053" max="1053" width="18" style="160" customWidth="1"/>
    <col min="1054" max="1054" width="11.42578125" style="160"/>
    <col min="1055" max="1055" width="11.140625" style="160" customWidth="1"/>
    <col min="1056" max="1056" width="11.42578125" style="160"/>
    <col min="1057" max="1057" width="17.42578125" style="160" customWidth="1"/>
    <col min="1058" max="1302" width="11.42578125" style="160"/>
    <col min="1303" max="1303" width="14.5703125" style="160" customWidth="1"/>
    <col min="1304" max="1304" width="12.7109375" style="160" customWidth="1"/>
    <col min="1305" max="1305" width="1.5703125" style="160" customWidth="1"/>
    <col min="1306" max="1306" width="18.28515625" style="160" customWidth="1"/>
    <col min="1307" max="1307" width="11" style="160" customWidth="1"/>
    <col min="1308" max="1308" width="13.28515625" style="160" bestFit="1" customWidth="1"/>
    <col min="1309" max="1309" width="18" style="160" customWidth="1"/>
    <col min="1310" max="1310" width="11.42578125" style="160"/>
    <col min="1311" max="1311" width="11.140625" style="160" customWidth="1"/>
    <col min="1312" max="1312" width="11.42578125" style="160"/>
    <col min="1313" max="1313" width="17.42578125" style="160" customWidth="1"/>
    <col min="1314" max="1558" width="11.42578125" style="160"/>
    <col min="1559" max="1559" width="14.5703125" style="160" customWidth="1"/>
    <col min="1560" max="1560" width="12.7109375" style="160" customWidth="1"/>
    <col min="1561" max="1561" width="1.5703125" style="160" customWidth="1"/>
    <col min="1562" max="1562" width="18.28515625" style="160" customWidth="1"/>
    <col min="1563" max="1563" width="11" style="160" customWidth="1"/>
    <col min="1564" max="1564" width="13.28515625" style="160" bestFit="1" customWidth="1"/>
    <col min="1565" max="1565" width="18" style="160" customWidth="1"/>
    <col min="1566" max="1566" width="11.42578125" style="160"/>
    <col min="1567" max="1567" width="11.140625" style="160" customWidth="1"/>
    <col min="1568" max="1568" width="11.42578125" style="160"/>
    <col min="1569" max="1569" width="17.42578125" style="160" customWidth="1"/>
    <col min="1570" max="1814" width="11.42578125" style="160"/>
    <col min="1815" max="1815" width="14.5703125" style="160" customWidth="1"/>
    <col min="1816" max="1816" width="12.7109375" style="160" customWidth="1"/>
    <col min="1817" max="1817" width="1.5703125" style="160" customWidth="1"/>
    <col min="1818" max="1818" width="18.28515625" style="160" customWidth="1"/>
    <col min="1819" max="1819" width="11" style="160" customWidth="1"/>
    <col min="1820" max="1820" width="13.28515625" style="160" bestFit="1" customWidth="1"/>
    <col min="1821" max="1821" width="18" style="160" customWidth="1"/>
    <col min="1822" max="1822" width="11.42578125" style="160"/>
    <col min="1823" max="1823" width="11.140625" style="160" customWidth="1"/>
    <col min="1824" max="1824" width="11.42578125" style="160"/>
    <col min="1825" max="1825" width="17.42578125" style="160" customWidth="1"/>
    <col min="1826" max="2070" width="11.42578125" style="160"/>
    <col min="2071" max="2071" width="14.5703125" style="160" customWidth="1"/>
    <col min="2072" max="2072" width="12.7109375" style="160" customWidth="1"/>
    <col min="2073" max="2073" width="1.5703125" style="160" customWidth="1"/>
    <col min="2074" max="2074" width="18.28515625" style="160" customWidth="1"/>
    <col min="2075" max="2075" width="11" style="160" customWidth="1"/>
    <col min="2076" max="2076" width="13.28515625" style="160" bestFit="1" customWidth="1"/>
    <col min="2077" max="2077" width="18" style="160" customWidth="1"/>
    <col min="2078" max="2078" width="11.42578125" style="160"/>
    <col min="2079" max="2079" width="11.140625" style="160" customWidth="1"/>
    <col min="2080" max="2080" width="11.42578125" style="160"/>
    <col min="2081" max="2081" width="17.42578125" style="160" customWidth="1"/>
    <col min="2082" max="2326" width="11.42578125" style="160"/>
    <col min="2327" max="2327" width="14.5703125" style="160" customWidth="1"/>
    <col min="2328" max="2328" width="12.7109375" style="160" customWidth="1"/>
    <col min="2329" max="2329" width="1.5703125" style="160" customWidth="1"/>
    <col min="2330" max="2330" width="18.28515625" style="160" customWidth="1"/>
    <col min="2331" max="2331" width="11" style="160" customWidth="1"/>
    <col min="2332" max="2332" width="13.28515625" style="160" bestFit="1" customWidth="1"/>
    <col min="2333" max="2333" width="18" style="160" customWidth="1"/>
    <col min="2334" max="2334" width="11.42578125" style="160"/>
    <col min="2335" max="2335" width="11.140625" style="160" customWidth="1"/>
    <col min="2336" max="2336" width="11.42578125" style="160"/>
    <col min="2337" max="2337" width="17.42578125" style="160" customWidth="1"/>
    <col min="2338" max="2582" width="11.42578125" style="160"/>
    <col min="2583" max="2583" width="14.5703125" style="160" customWidth="1"/>
    <col min="2584" max="2584" width="12.7109375" style="160" customWidth="1"/>
    <col min="2585" max="2585" width="1.5703125" style="160" customWidth="1"/>
    <col min="2586" max="2586" width="18.28515625" style="160" customWidth="1"/>
    <col min="2587" max="2587" width="11" style="160" customWidth="1"/>
    <col min="2588" max="2588" width="13.28515625" style="160" bestFit="1" customWidth="1"/>
    <col min="2589" max="2589" width="18" style="160" customWidth="1"/>
    <col min="2590" max="2590" width="11.42578125" style="160"/>
    <col min="2591" max="2591" width="11.140625" style="160" customWidth="1"/>
    <col min="2592" max="2592" width="11.42578125" style="160"/>
    <col min="2593" max="2593" width="17.42578125" style="160" customWidth="1"/>
    <col min="2594" max="2838" width="11.42578125" style="160"/>
    <col min="2839" max="2839" width="14.5703125" style="160" customWidth="1"/>
    <col min="2840" max="2840" width="12.7109375" style="160" customWidth="1"/>
    <col min="2841" max="2841" width="1.5703125" style="160" customWidth="1"/>
    <col min="2842" max="2842" width="18.28515625" style="160" customWidth="1"/>
    <col min="2843" max="2843" width="11" style="160" customWidth="1"/>
    <col min="2844" max="2844" width="13.28515625" style="160" bestFit="1" customWidth="1"/>
    <col min="2845" max="2845" width="18" style="160" customWidth="1"/>
    <col min="2846" max="2846" width="11.42578125" style="160"/>
    <col min="2847" max="2847" width="11.140625" style="160" customWidth="1"/>
    <col min="2848" max="2848" width="11.42578125" style="160"/>
    <col min="2849" max="2849" width="17.42578125" style="160" customWidth="1"/>
    <col min="2850" max="3094" width="11.42578125" style="160"/>
    <col min="3095" max="3095" width="14.5703125" style="160" customWidth="1"/>
    <col min="3096" max="3096" width="12.7109375" style="160" customWidth="1"/>
    <col min="3097" max="3097" width="1.5703125" style="160" customWidth="1"/>
    <col min="3098" max="3098" width="18.28515625" style="160" customWidth="1"/>
    <col min="3099" max="3099" width="11" style="160" customWidth="1"/>
    <col min="3100" max="3100" width="13.28515625" style="160" bestFit="1" customWidth="1"/>
    <col min="3101" max="3101" width="18" style="160" customWidth="1"/>
    <col min="3102" max="3102" width="11.42578125" style="160"/>
    <col min="3103" max="3103" width="11.140625" style="160" customWidth="1"/>
    <col min="3104" max="3104" width="11.42578125" style="160"/>
    <col min="3105" max="3105" width="17.42578125" style="160" customWidth="1"/>
    <col min="3106" max="3350" width="11.42578125" style="160"/>
    <col min="3351" max="3351" width="14.5703125" style="160" customWidth="1"/>
    <col min="3352" max="3352" width="12.7109375" style="160" customWidth="1"/>
    <col min="3353" max="3353" width="1.5703125" style="160" customWidth="1"/>
    <col min="3354" max="3354" width="18.28515625" style="160" customWidth="1"/>
    <col min="3355" max="3355" width="11" style="160" customWidth="1"/>
    <col min="3356" max="3356" width="13.28515625" style="160" bestFit="1" customWidth="1"/>
    <col min="3357" max="3357" width="18" style="160" customWidth="1"/>
    <col min="3358" max="3358" width="11.42578125" style="160"/>
    <col min="3359" max="3359" width="11.140625" style="160" customWidth="1"/>
    <col min="3360" max="3360" width="11.42578125" style="160"/>
    <col min="3361" max="3361" width="17.42578125" style="160" customWidth="1"/>
    <col min="3362" max="3606" width="11.42578125" style="160"/>
    <col min="3607" max="3607" width="14.5703125" style="160" customWidth="1"/>
    <col min="3608" max="3608" width="12.7109375" style="160" customWidth="1"/>
    <col min="3609" max="3609" width="1.5703125" style="160" customWidth="1"/>
    <col min="3610" max="3610" width="18.28515625" style="160" customWidth="1"/>
    <col min="3611" max="3611" width="11" style="160" customWidth="1"/>
    <col min="3612" max="3612" width="13.28515625" style="160" bestFit="1" customWidth="1"/>
    <col min="3613" max="3613" width="18" style="160" customWidth="1"/>
    <col min="3614" max="3614" width="11.42578125" style="160"/>
    <col min="3615" max="3615" width="11.140625" style="160" customWidth="1"/>
    <col min="3616" max="3616" width="11.42578125" style="160"/>
    <col min="3617" max="3617" width="17.42578125" style="160" customWidth="1"/>
    <col min="3618" max="3862" width="11.42578125" style="160"/>
    <col min="3863" max="3863" width="14.5703125" style="160" customWidth="1"/>
    <col min="3864" max="3864" width="12.7109375" style="160" customWidth="1"/>
    <col min="3865" max="3865" width="1.5703125" style="160" customWidth="1"/>
    <col min="3866" max="3866" width="18.28515625" style="160" customWidth="1"/>
    <col min="3867" max="3867" width="11" style="160" customWidth="1"/>
    <col min="3868" max="3868" width="13.28515625" style="160" bestFit="1" customWidth="1"/>
    <col min="3869" max="3869" width="18" style="160" customWidth="1"/>
    <col min="3870" max="3870" width="11.42578125" style="160"/>
    <col min="3871" max="3871" width="11.140625" style="160" customWidth="1"/>
    <col min="3872" max="3872" width="11.42578125" style="160"/>
    <col min="3873" max="3873" width="17.42578125" style="160" customWidth="1"/>
    <col min="3874" max="4118" width="11.42578125" style="160"/>
    <col min="4119" max="4119" width="14.5703125" style="160" customWidth="1"/>
    <col min="4120" max="4120" width="12.7109375" style="160" customWidth="1"/>
    <col min="4121" max="4121" width="1.5703125" style="160" customWidth="1"/>
    <col min="4122" max="4122" width="18.28515625" style="160" customWidth="1"/>
    <col min="4123" max="4123" width="11" style="160" customWidth="1"/>
    <col min="4124" max="4124" width="13.28515625" style="160" bestFit="1" customWidth="1"/>
    <col min="4125" max="4125" width="18" style="160" customWidth="1"/>
    <col min="4126" max="4126" width="11.42578125" style="160"/>
    <col min="4127" max="4127" width="11.140625" style="160" customWidth="1"/>
    <col min="4128" max="4128" width="11.42578125" style="160"/>
    <col min="4129" max="4129" width="17.42578125" style="160" customWidth="1"/>
    <col min="4130" max="4374" width="11.42578125" style="160"/>
    <col min="4375" max="4375" width="14.5703125" style="160" customWidth="1"/>
    <col min="4376" max="4376" width="12.7109375" style="160" customWidth="1"/>
    <col min="4377" max="4377" width="1.5703125" style="160" customWidth="1"/>
    <col min="4378" max="4378" width="18.28515625" style="160" customWidth="1"/>
    <col min="4379" max="4379" width="11" style="160" customWidth="1"/>
    <col min="4380" max="4380" width="13.28515625" style="160" bestFit="1" customWidth="1"/>
    <col min="4381" max="4381" width="18" style="160" customWidth="1"/>
    <col min="4382" max="4382" width="11.42578125" style="160"/>
    <col min="4383" max="4383" width="11.140625" style="160" customWidth="1"/>
    <col min="4384" max="4384" width="11.42578125" style="160"/>
    <col min="4385" max="4385" width="17.42578125" style="160" customWidth="1"/>
    <col min="4386" max="4630" width="11.42578125" style="160"/>
    <col min="4631" max="4631" width="14.5703125" style="160" customWidth="1"/>
    <col min="4632" max="4632" width="12.7109375" style="160" customWidth="1"/>
    <col min="4633" max="4633" width="1.5703125" style="160" customWidth="1"/>
    <col min="4634" max="4634" width="18.28515625" style="160" customWidth="1"/>
    <col min="4635" max="4635" width="11" style="160" customWidth="1"/>
    <col min="4636" max="4636" width="13.28515625" style="160" bestFit="1" customWidth="1"/>
    <col min="4637" max="4637" width="18" style="160" customWidth="1"/>
    <col min="4638" max="4638" width="11.42578125" style="160"/>
    <col min="4639" max="4639" width="11.140625" style="160" customWidth="1"/>
    <col min="4640" max="4640" width="11.42578125" style="160"/>
    <col min="4641" max="4641" width="17.42578125" style="160" customWidth="1"/>
    <col min="4642" max="4886" width="11.42578125" style="160"/>
    <col min="4887" max="4887" width="14.5703125" style="160" customWidth="1"/>
    <col min="4888" max="4888" width="12.7109375" style="160" customWidth="1"/>
    <col min="4889" max="4889" width="1.5703125" style="160" customWidth="1"/>
    <col min="4890" max="4890" width="18.28515625" style="160" customWidth="1"/>
    <col min="4891" max="4891" width="11" style="160" customWidth="1"/>
    <col min="4892" max="4892" width="13.28515625" style="160" bestFit="1" customWidth="1"/>
    <col min="4893" max="4893" width="18" style="160" customWidth="1"/>
    <col min="4894" max="4894" width="11.42578125" style="160"/>
    <col min="4895" max="4895" width="11.140625" style="160" customWidth="1"/>
    <col min="4896" max="4896" width="11.42578125" style="160"/>
    <col min="4897" max="4897" width="17.42578125" style="160" customWidth="1"/>
    <col min="4898" max="5142" width="11.42578125" style="160"/>
    <col min="5143" max="5143" width="14.5703125" style="160" customWidth="1"/>
    <col min="5144" max="5144" width="12.7109375" style="160" customWidth="1"/>
    <col min="5145" max="5145" width="1.5703125" style="160" customWidth="1"/>
    <col min="5146" max="5146" width="18.28515625" style="160" customWidth="1"/>
    <col min="5147" max="5147" width="11" style="160" customWidth="1"/>
    <col min="5148" max="5148" width="13.28515625" style="160" bestFit="1" customWidth="1"/>
    <col min="5149" max="5149" width="18" style="160" customWidth="1"/>
    <col min="5150" max="5150" width="11.42578125" style="160"/>
    <col min="5151" max="5151" width="11.140625" style="160" customWidth="1"/>
    <col min="5152" max="5152" width="11.42578125" style="160"/>
    <col min="5153" max="5153" width="17.42578125" style="160" customWidth="1"/>
    <col min="5154" max="5398" width="11.42578125" style="160"/>
    <col min="5399" max="5399" width="14.5703125" style="160" customWidth="1"/>
    <col min="5400" max="5400" width="12.7109375" style="160" customWidth="1"/>
    <col min="5401" max="5401" width="1.5703125" style="160" customWidth="1"/>
    <col min="5402" max="5402" width="18.28515625" style="160" customWidth="1"/>
    <col min="5403" max="5403" width="11" style="160" customWidth="1"/>
    <col min="5404" max="5404" width="13.28515625" style="160" bestFit="1" customWidth="1"/>
    <col min="5405" max="5405" width="18" style="160" customWidth="1"/>
    <col min="5406" max="5406" width="11.42578125" style="160"/>
    <col min="5407" max="5407" width="11.140625" style="160" customWidth="1"/>
    <col min="5408" max="5408" width="11.42578125" style="160"/>
    <col min="5409" max="5409" width="17.42578125" style="160" customWidth="1"/>
    <col min="5410" max="5654" width="11.42578125" style="160"/>
    <col min="5655" max="5655" width="14.5703125" style="160" customWidth="1"/>
    <col min="5656" max="5656" width="12.7109375" style="160" customWidth="1"/>
    <col min="5657" max="5657" width="1.5703125" style="160" customWidth="1"/>
    <col min="5658" max="5658" width="18.28515625" style="160" customWidth="1"/>
    <col min="5659" max="5659" width="11" style="160" customWidth="1"/>
    <col min="5660" max="5660" width="13.28515625" style="160" bestFit="1" customWidth="1"/>
    <col min="5661" max="5661" width="18" style="160" customWidth="1"/>
    <col min="5662" max="5662" width="11.42578125" style="160"/>
    <col min="5663" max="5663" width="11.140625" style="160" customWidth="1"/>
    <col min="5664" max="5664" width="11.42578125" style="160"/>
    <col min="5665" max="5665" width="17.42578125" style="160" customWidth="1"/>
    <col min="5666" max="5910" width="11.42578125" style="160"/>
    <col min="5911" max="5911" width="14.5703125" style="160" customWidth="1"/>
    <col min="5912" max="5912" width="12.7109375" style="160" customWidth="1"/>
    <col min="5913" max="5913" width="1.5703125" style="160" customWidth="1"/>
    <col min="5914" max="5914" width="18.28515625" style="160" customWidth="1"/>
    <col min="5915" max="5915" width="11" style="160" customWidth="1"/>
    <col min="5916" max="5916" width="13.28515625" style="160" bestFit="1" customWidth="1"/>
    <col min="5917" max="5917" width="18" style="160" customWidth="1"/>
    <col min="5918" max="5918" width="11.42578125" style="160"/>
    <col min="5919" max="5919" width="11.140625" style="160" customWidth="1"/>
    <col min="5920" max="5920" width="11.42578125" style="160"/>
    <col min="5921" max="5921" width="17.42578125" style="160" customWidth="1"/>
    <col min="5922" max="6166" width="11.42578125" style="160"/>
    <col min="6167" max="6167" width="14.5703125" style="160" customWidth="1"/>
    <col min="6168" max="6168" width="12.7109375" style="160" customWidth="1"/>
    <col min="6169" max="6169" width="1.5703125" style="160" customWidth="1"/>
    <col min="6170" max="6170" width="18.28515625" style="160" customWidth="1"/>
    <col min="6171" max="6171" width="11" style="160" customWidth="1"/>
    <col min="6172" max="6172" width="13.28515625" style="160" bestFit="1" customWidth="1"/>
    <col min="6173" max="6173" width="18" style="160" customWidth="1"/>
    <col min="6174" max="6174" width="11.42578125" style="160"/>
    <col min="6175" max="6175" width="11.140625" style="160" customWidth="1"/>
    <col min="6176" max="6176" width="11.42578125" style="160"/>
    <col min="6177" max="6177" width="17.42578125" style="160" customWidth="1"/>
    <col min="6178" max="6422" width="11.42578125" style="160"/>
    <col min="6423" max="6423" width="14.5703125" style="160" customWidth="1"/>
    <col min="6424" max="6424" width="12.7109375" style="160" customWidth="1"/>
    <col min="6425" max="6425" width="1.5703125" style="160" customWidth="1"/>
    <col min="6426" max="6426" width="18.28515625" style="160" customWidth="1"/>
    <col min="6427" max="6427" width="11" style="160" customWidth="1"/>
    <col min="6428" max="6428" width="13.28515625" style="160" bestFit="1" customWidth="1"/>
    <col min="6429" max="6429" width="18" style="160" customWidth="1"/>
    <col min="6430" max="6430" width="11.42578125" style="160"/>
    <col min="6431" max="6431" width="11.140625" style="160" customWidth="1"/>
    <col min="6432" max="6432" width="11.42578125" style="160"/>
    <col min="6433" max="6433" width="17.42578125" style="160" customWidth="1"/>
    <col min="6434" max="6678" width="11.42578125" style="160"/>
    <col min="6679" max="6679" width="14.5703125" style="160" customWidth="1"/>
    <col min="6680" max="6680" width="12.7109375" style="160" customWidth="1"/>
    <col min="6681" max="6681" width="1.5703125" style="160" customWidth="1"/>
    <col min="6682" max="6682" width="18.28515625" style="160" customWidth="1"/>
    <col min="6683" max="6683" width="11" style="160" customWidth="1"/>
    <col min="6684" max="6684" width="13.28515625" style="160" bestFit="1" customWidth="1"/>
    <col min="6685" max="6685" width="18" style="160" customWidth="1"/>
    <col min="6686" max="6686" width="11.42578125" style="160"/>
    <col min="6687" max="6687" width="11.140625" style="160" customWidth="1"/>
    <col min="6688" max="6688" width="11.42578125" style="160"/>
    <col min="6689" max="6689" width="17.42578125" style="160" customWidth="1"/>
    <col min="6690" max="6934" width="11.42578125" style="160"/>
    <col min="6935" max="6935" width="14.5703125" style="160" customWidth="1"/>
    <col min="6936" max="6936" width="12.7109375" style="160" customWidth="1"/>
    <col min="6937" max="6937" width="1.5703125" style="160" customWidth="1"/>
    <col min="6938" max="6938" width="18.28515625" style="160" customWidth="1"/>
    <col min="6939" max="6939" width="11" style="160" customWidth="1"/>
    <col min="6940" max="6940" width="13.28515625" style="160" bestFit="1" customWidth="1"/>
    <col min="6941" max="6941" width="18" style="160" customWidth="1"/>
    <col min="6942" max="6942" width="11.42578125" style="160"/>
    <col min="6943" max="6943" width="11.140625" style="160" customWidth="1"/>
    <col min="6944" max="6944" width="11.42578125" style="160"/>
    <col min="6945" max="6945" width="17.42578125" style="160" customWidth="1"/>
    <col min="6946" max="7190" width="11.42578125" style="160"/>
    <col min="7191" max="7191" width="14.5703125" style="160" customWidth="1"/>
    <col min="7192" max="7192" width="12.7109375" style="160" customWidth="1"/>
    <col min="7193" max="7193" width="1.5703125" style="160" customWidth="1"/>
    <col min="7194" max="7194" width="18.28515625" style="160" customWidth="1"/>
    <col min="7195" max="7195" width="11" style="160" customWidth="1"/>
    <col min="7196" max="7196" width="13.28515625" style="160" bestFit="1" customWidth="1"/>
    <col min="7197" max="7197" width="18" style="160" customWidth="1"/>
    <col min="7198" max="7198" width="11.42578125" style="160"/>
    <col min="7199" max="7199" width="11.140625" style="160" customWidth="1"/>
    <col min="7200" max="7200" width="11.42578125" style="160"/>
    <col min="7201" max="7201" width="17.42578125" style="160" customWidth="1"/>
    <col min="7202" max="7446" width="11.42578125" style="160"/>
    <col min="7447" max="7447" width="14.5703125" style="160" customWidth="1"/>
    <col min="7448" max="7448" width="12.7109375" style="160" customWidth="1"/>
    <col min="7449" max="7449" width="1.5703125" style="160" customWidth="1"/>
    <col min="7450" max="7450" width="18.28515625" style="160" customWidth="1"/>
    <col min="7451" max="7451" width="11" style="160" customWidth="1"/>
    <col min="7452" max="7452" width="13.28515625" style="160" bestFit="1" customWidth="1"/>
    <col min="7453" max="7453" width="18" style="160" customWidth="1"/>
    <col min="7454" max="7454" width="11.42578125" style="160"/>
    <col min="7455" max="7455" width="11.140625" style="160" customWidth="1"/>
    <col min="7456" max="7456" width="11.42578125" style="160"/>
    <col min="7457" max="7457" width="17.42578125" style="160" customWidth="1"/>
    <col min="7458" max="7702" width="11.42578125" style="160"/>
    <col min="7703" max="7703" width="14.5703125" style="160" customWidth="1"/>
    <col min="7704" max="7704" width="12.7109375" style="160" customWidth="1"/>
    <col min="7705" max="7705" width="1.5703125" style="160" customWidth="1"/>
    <col min="7706" max="7706" width="18.28515625" style="160" customWidth="1"/>
    <col min="7707" max="7707" width="11" style="160" customWidth="1"/>
    <col min="7708" max="7708" width="13.28515625" style="160" bestFit="1" customWidth="1"/>
    <col min="7709" max="7709" width="18" style="160" customWidth="1"/>
    <col min="7710" max="7710" width="11.42578125" style="160"/>
    <col min="7711" max="7711" width="11.140625" style="160" customWidth="1"/>
    <col min="7712" max="7712" width="11.42578125" style="160"/>
    <col min="7713" max="7713" width="17.42578125" style="160" customWidth="1"/>
    <col min="7714" max="7958" width="11.42578125" style="160"/>
    <col min="7959" max="7959" width="14.5703125" style="160" customWidth="1"/>
    <col min="7960" max="7960" width="12.7109375" style="160" customWidth="1"/>
    <col min="7961" max="7961" width="1.5703125" style="160" customWidth="1"/>
    <col min="7962" max="7962" width="18.28515625" style="160" customWidth="1"/>
    <col min="7963" max="7963" width="11" style="160" customWidth="1"/>
    <col min="7964" max="7964" width="13.28515625" style="160" bestFit="1" customWidth="1"/>
    <col min="7965" max="7965" width="18" style="160" customWidth="1"/>
    <col min="7966" max="7966" width="11.42578125" style="160"/>
    <col min="7967" max="7967" width="11.140625" style="160" customWidth="1"/>
    <col min="7968" max="7968" width="11.42578125" style="160"/>
    <col min="7969" max="7969" width="17.42578125" style="160" customWidth="1"/>
    <col min="7970" max="8214" width="11.42578125" style="160"/>
    <col min="8215" max="8215" width="14.5703125" style="160" customWidth="1"/>
    <col min="8216" max="8216" width="12.7109375" style="160" customWidth="1"/>
    <col min="8217" max="8217" width="1.5703125" style="160" customWidth="1"/>
    <col min="8218" max="8218" width="18.28515625" style="160" customWidth="1"/>
    <col min="8219" max="8219" width="11" style="160" customWidth="1"/>
    <col min="8220" max="8220" width="13.28515625" style="160" bestFit="1" customWidth="1"/>
    <col min="8221" max="8221" width="18" style="160" customWidth="1"/>
    <col min="8222" max="8222" width="11.42578125" style="160"/>
    <col min="8223" max="8223" width="11.140625" style="160" customWidth="1"/>
    <col min="8224" max="8224" width="11.42578125" style="160"/>
    <col min="8225" max="8225" width="17.42578125" style="160" customWidth="1"/>
    <col min="8226" max="8470" width="11.42578125" style="160"/>
    <col min="8471" max="8471" width="14.5703125" style="160" customWidth="1"/>
    <col min="8472" max="8472" width="12.7109375" style="160" customWidth="1"/>
    <col min="8473" max="8473" width="1.5703125" style="160" customWidth="1"/>
    <col min="8474" max="8474" width="18.28515625" style="160" customWidth="1"/>
    <col min="8475" max="8475" width="11" style="160" customWidth="1"/>
    <col min="8476" max="8476" width="13.28515625" style="160" bestFit="1" customWidth="1"/>
    <col min="8477" max="8477" width="18" style="160" customWidth="1"/>
    <col min="8478" max="8478" width="11.42578125" style="160"/>
    <col min="8479" max="8479" width="11.140625" style="160" customWidth="1"/>
    <col min="8480" max="8480" width="11.42578125" style="160"/>
    <col min="8481" max="8481" width="17.42578125" style="160" customWidth="1"/>
    <col min="8482" max="8726" width="11.42578125" style="160"/>
    <col min="8727" max="8727" width="14.5703125" style="160" customWidth="1"/>
    <col min="8728" max="8728" width="12.7109375" style="160" customWidth="1"/>
    <col min="8729" max="8729" width="1.5703125" style="160" customWidth="1"/>
    <col min="8730" max="8730" width="18.28515625" style="160" customWidth="1"/>
    <col min="8731" max="8731" width="11" style="160" customWidth="1"/>
    <col min="8732" max="8732" width="13.28515625" style="160" bestFit="1" customWidth="1"/>
    <col min="8733" max="8733" width="18" style="160" customWidth="1"/>
    <col min="8734" max="8734" width="11.42578125" style="160"/>
    <col min="8735" max="8735" width="11.140625" style="160" customWidth="1"/>
    <col min="8736" max="8736" width="11.42578125" style="160"/>
    <col min="8737" max="8737" width="17.42578125" style="160" customWidth="1"/>
    <col min="8738" max="8982" width="11.42578125" style="160"/>
    <col min="8983" max="8983" width="14.5703125" style="160" customWidth="1"/>
    <col min="8984" max="8984" width="12.7109375" style="160" customWidth="1"/>
    <col min="8985" max="8985" width="1.5703125" style="160" customWidth="1"/>
    <col min="8986" max="8986" width="18.28515625" style="160" customWidth="1"/>
    <col min="8987" max="8987" width="11" style="160" customWidth="1"/>
    <col min="8988" max="8988" width="13.28515625" style="160" bestFit="1" customWidth="1"/>
    <col min="8989" max="8989" width="18" style="160" customWidth="1"/>
    <col min="8990" max="8990" width="11.42578125" style="160"/>
    <col min="8991" max="8991" width="11.140625" style="160" customWidth="1"/>
    <col min="8992" max="8992" width="11.42578125" style="160"/>
    <col min="8993" max="8993" width="17.42578125" style="160" customWidth="1"/>
    <col min="8994" max="9238" width="11.42578125" style="160"/>
    <col min="9239" max="9239" width="14.5703125" style="160" customWidth="1"/>
    <col min="9240" max="9240" width="12.7109375" style="160" customWidth="1"/>
    <col min="9241" max="9241" width="1.5703125" style="160" customWidth="1"/>
    <col min="9242" max="9242" width="18.28515625" style="160" customWidth="1"/>
    <col min="9243" max="9243" width="11" style="160" customWidth="1"/>
    <col min="9244" max="9244" width="13.28515625" style="160" bestFit="1" customWidth="1"/>
    <col min="9245" max="9245" width="18" style="160" customWidth="1"/>
    <col min="9246" max="9246" width="11.42578125" style="160"/>
    <col min="9247" max="9247" width="11.140625" style="160" customWidth="1"/>
    <col min="9248" max="9248" width="11.42578125" style="160"/>
    <col min="9249" max="9249" width="17.42578125" style="160" customWidth="1"/>
    <col min="9250" max="9494" width="11.42578125" style="160"/>
    <col min="9495" max="9495" width="14.5703125" style="160" customWidth="1"/>
    <col min="9496" max="9496" width="12.7109375" style="160" customWidth="1"/>
    <col min="9497" max="9497" width="1.5703125" style="160" customWidth="1"/>
    <col min="9498" max="9498" width="18.28515625" style="160" customWidth="1"/>
    <col min="9499" max="9499" width="11" style="160" customWidth="1"/>
    <col min="9500" max="9500" width="13.28515625" style="160" bestFit="1" customWidth="1"/>
    <col min="9501" max="9501" width="18" style="160" customWidth="1"/>
    <col min="9502" max="9502" width="11.42578125" style="160"/>
    <col min="9503" max="9503" width="11.140625" style="160" customWidth="1"/>
    <col min="9504" max="9504" width="11.42578125" style="160"/>
    <col min="9505" max="9505" width="17.42578125" style="160" customWidth="1"/>
    <col min="9506" max="9750" width="11.42578125" style="160"/>
    <col min="9751" max="9751" width="14.5703125" style="160" customWidth="1"/>
    <col min="9752" max="9752" width="12.7109375" style="160" customWidth="1"/>
    <col min="9753" max="9753" width="1.5703125" style="160" customWidth="1"/>
    <col min="9754" max="9754" width="18.28515625" style="160" customWidth="1"/>
    <col min="9755" max="9755" width="11" style="160" customWidth="1"/>
    <col min="9756" max="9756" width="13.28515625" style="160" bestFit="1" customWidth="1"/>
    <col min="9757" max="9757" width="18" style="160" customWidth="1"/>
    <col min="9758" max="9758" width="11.42578125" style="160"/>
    <col min="9759" max="9759" width="11.140625" style="160" customWidth="1"/>
    <col min="9760" max="9760" width="11.42578125" style="160"/>
    <col min="9761" max="9761" width="17.42578125" style="160" customWidth="1"/>
    <col min="9762" max="10006" width="11.42578125" style="160"/>
    <col min="10007" max="10007" width="14.5703125" style="160" customWidth="1"/>
    <col min="10008" max="10008" width="12.7109375" style="160" customWidth="1"/>
    <col min="10009" max="10009" width="1.5703125" style="160" customWidth="1"/>
    <col min="10010" max="10010" width="18.28515625" style="160" customWidth="1"/>
    <col min="10011" max="10011" width="11" style="160" customWidth="1"/>
    <col min="10012" max="10012" width="13.28515625" style="160" bestFit="1" customWidth="1"/>
    <col min="10013" max="10013" width="18" style="160" customWidth="1"/>
    <col min="10014" max="10014" width="11.42578125" style="160"/>
    <col min="10015" max="10015" width="11.140625" style="160" customWidth="1"/>
    <col min="10016" max="10016" width="11.42578125" style="160"/>
    <col min="10017" max="10017" width="17.42578125" style="160" customWidth="1"/>
    <col min="10018" max="10262" width="11.42578125" style="160"/>
    <col min="10263" max="10263" width="14.5703125" style="160" customWidth="1"/>
    <col min="10264" max="10264" width="12.7109375" style="160" customWidth="1"/>
    <col min="10265" max="10265" width="1.5703125" style="160" customWidth="1"/>
    <col min="10266" max="10266" width="18.28515625" style="160" customWidth="1"/>
    <col min="10267" max="10267" width="11" style="160" customWidth="1"/>
    <col min="10268" max="10268" width="13.28515625" style="160" bestFit="1" customWidth="1"/>
    <col min="10269" max="10269" width="18" style="160" customWidth="1"/>
    <col min="10270" max="10270" width="11.42578125" style="160"/>
    <col min="10271" max="10271" width="11.140625" style="160" customWidth="1"/>
    <col min="10272" max="10272" width="11.42578125" style="160"/>
    <col min="10273" max="10273" width="17.42578125" style="160" customWidth="1"/>
    <col min="10274" max="10518" width="11.42578125" style="160"/>
    <col min="10519" max="10519" width="14.5703125" style="160" customWidth="1"/>
    <col min="10520" max="10520" width="12.7109375" style="160" customWidth="1"/>
    <col min="10521" max="10521" width="1.5703125" style="160" customWidth="1"/>
    <col min="10522" max="10522" width="18.28515625" style="160" customWidth="1"/>
    <col min="10523" max="10523" width="11" style="160" customWidth="1"/>
    <col min="10524" max="10524" width="13.28515625" style="160" bestFit="1" customWidth="1"/>
    <col min="10525" max="10525" width="18" style="160" customWidth="1"/>
    <col min="10526" max="10526" width="11.42578125" style="160"/>
    <col min="10527" max="10527" width="11.140625" style="160" customWidth="1"/>
    <col min="10528" max="10528" width="11.42578125" style="160"/>
    <col min="10529" max="10529" width="17.42578125" style="160" customWidth="1"/>
    <col min="10530" max="10774" width="11.42578125" style="160"/>
    <col min="10775" max="10775" width="14.5703125" style="160" customWidth="1"/>
    <col min="10776" max="10776" width="12.7109375" style="160" customWidth="1"/>
    <col min="10777" max="10777" width="1.5703125" style="160" customWidth="1"/>
    <col min="10778" max="10778" width="18.28515625" style="160" customWidth="1"/>
    <col min="10779" max="10779" width="11" style="160" customWidth="1"/>
    <col min="10780" max="10780" width="13.28515625" style="160" bestFit="1" customWidth="1"/>
    <col min="10781" max="10781" width="18" style="160" customWidth="1"/>
    <col min="10782" max="10782" width="11.42578125" style="160"/>
    <col min="10783" max="10783" width="11.140625" style="160" customWidth="1"/>
    <col min="10784" max="10784" width="11.42578125" style="160"/>
    <col min="10785" max="10785" width="17.42578125" style="160" customWidth="1"/>
    <col min="10786" max="11030" width="11.42578125" style="160"/>
    <col min="11031" max="11031" width="14.5703125" style="160" customWidth="1"/>
    <col min="11032" max="11032" width="12.7109375" style="160" customWidth="1"/>
    <col min="11033" max="11033" width="1.5703125" style="160" customWidth="1"/>
    <col min="11034" max="11034" width="18.28515625" style="160" customWidth="1"/>
    <col min="11035" max="11035" width="11" style="160" customWidth="1"/>
    <col min="11036" max="11036" width="13.28515625" style="160" bestFit="1" customWidth="1"/>
    <col min="11037" max="11037" width="18" style="160" customWidth="1"/>
    <col min="11038" max="11038" width="11.42578125" style="160"/>
    <col min="11039" max="11039" width="11.140625" style="160" customWidth="1"/>
    <col min="11040" max="11040" width="11.42578125" style="160"/>
    <col min="11041" max="11041" width="17.42578125" style="160" customWidth="1"/>
    <col min="11042" max="11286" width="11.42578125" style="160"/>
    <col min="11287" max="11287" width="14.5703125" style="160" customWidth="1"/>
    <col min="11288" max="11288" width="12.7109375" style="160" customWidth="1"/>
    <col min="11289" max="11289" width="1.5703125" style="160" customWidth="1"/>
    <col min="11290" max="11290" width="18.28515625" style="160" customWidth="1"/>
    <col min="11291" max="11291" width="11" style="160" customWidth="1"/>
    <col min="11292" max="11292" width="13.28515625" style="160" bestFit="1" customWidth="1"/>
    <col min="11293" max="11293" width="18" style="160" customWidth="1"/>
    <col min="11294" max="11294" width="11.42578125" style="160"/>
    <col min="11295" max="11295" width="11.140625" style="160" customWidth="1"/>
    <col min="11296" max="11296" width="11.42578125" style="160"/>
    <col min="11297" max="11297" width="17.42578125" style="160" customWidth="1"/>
    <col min="11298" max="11542" width="11.42578125" style="160"/>
    <col min="11543" max="11543" width="14.5703125" style="160" customWidth="1"/>
    <col min="11544" max="11544" width="12.7109375" style="160" customWidth="1"/>
    <col min="11545" max="11545" width="1.5703125" style="160" customWidth="1"/>
    <col min="11546" max="11546" width="18.28515625" style="160" customWidth="1"/>
    <col min="11547" max="11547" width="11" style="160" customWidth="1"/>
    <col min="11548" max="11548" width="13.28515625" style="160" bestFit="1" customWidth="1"/>
    <col min="11549" max="11549" width="18" style="160" customWidth="1"/>
    <col min="11550" max="11550" width="11.42578125" style="160"/>
    <col min="11551" max="11551" width="11.140625" style="160" customWidth="1"/>
    <col min="11552" max="11552" width="11.42578125" style="160"/>
    <col min="11553" max="11553" width="17.42578125" style="160" customWidth="1"/>
    <col min="11554" max="11798" width="11.42578125" style="160"/>
    <col min="11799" max="11799" width="14.5703125" style="160" customWidth="1"/>
    <col min="11800" max="11800" width="12.7109375" style="160" customWidth="1"/>
    <col min="11801" max="11801" width="1.5703125" style="160" customWidth="1"/>
    <col min="11802" max="11802" width="18.28515625" style="160" customWidth="1"/>
    <col min="11803" max="11803" width="11" style="160" customWidth="1"/>
    <col min="11804" max="11804" width="13.28515625" style="160" bestFit="1" customWidth="1"/>
    <col min="11805" max="11805" width="18" style="160" customWidth="1"/>
    <col min="11806" max="11806" width="11.42578125" style="160"/>
    <col min="11807" max="11807" width="11.140625" style="160" customWidth="1"/>
    <col min="11808" max="11808" width="11.42578125" style="160"/>
    <col min="11809" max="11809" width="17.42578125" style="160" customWidth="1"/>
    <col min="11810" max="12054" width="11.42578125" style="160"/>
    <col min="12055" max="12055" width="14.5703125" style="160" customWidth="1"/>
    <col min="12056" max="12056" width="12.7109375" style="160" customWidth="1"/>
    <col min="12057" max="12057" width="1.5703125" style="160" customWidth="1"/>
    <col min="12058" max="12058" width="18.28515625" style="160" customWidth="1"/>
    <col min="12059" max="12059" width="11" style="160" customWidth="1"/>
    <col min="12060" max="12060" width="13.28515625" style="160" bestFit="1" customWidth="1"/>
    <col min="12061" max="12061" width="18" style="160" customWidth="1"/>
    <col min="12062" max="12062" width="11.42578125" style="160"/>
    <col min="12063" max="12063" width="11.140625" style="160" customWidth="1"/>
    <col min="12064" max="12064" width="11.42578125" style="160"/>
    <col min="12065" max="12065" width="17.42578125" style="160" customWidth="1"/>
    <col min="12066" max="12310" width="11.42578125" style="160"/>
    <col min="12311" max="12311" width="14.5703125" style="160" customWidth="1"/>
    <col min="12312" max="12312" width="12.7109375" style="160" customWidth="1"/>
    <col min="12313" max="12313" width="1.5703125" style="160" customWidth="1"/>
    <col min="12314" max="12314" width="18.28515625" style="160" customWidth="1"/>
    <col min="12315" max="12315" width="11" style="160" customWidth="1"/>
    <col min="12316" max="12316" width="13.28515625" style="160" bestFit="1" customWidth="1"/>
    <col min="12317" max="12317" width="18" style="160" customWidth="1"/>
    <col min="12318" max="12318" width="11.42578125" style="160"/>
    <col min="12319" max="12319" width="11.140625" style="160" customWidth="1"/>
    <col min="12320" max="12320" width="11.42578125" style="160"/>
    <col min="12321" max="12321" width="17.42578125" style="160" customWidth="1"/>
    <col min="12322" max="12566" width="11.42578125" style="160"/>
    <col min="12567" max="12567" width="14.5703125" style="160" customWidth="1"/>
    <col min="12568" max="12568" width="12.7109375" style="160" customWidth="1"/>
    <col min="12569" max="12569" width="1.5703125" style="160" customWidth="1"/>
    <col min="12570" max="12570" width="18.28515625" style="160" customWidth="1"/>
    <col min="12571" max="12571" width="11" style="160" customWidth="1"/>
    <col min="12572" max="12572" width="13.28515625" style="160" bestFit="1" customWidth="1"/>
    <col min="12573" max="12573" width="18" style="160" customWidth="1"/>
    <col min="12574" max="12574" width="11.42578125" style="160"/>
    <col min="12575" max="12575" width="11.140625" style="160" customWidth="1"/>
    <col min="12576" max="12576" width="11.42578125" style="160"/>
    <col min="12577" max="12577" width="17.42578125" style="160" customWidth="1"/>
    <col min="12578" max="12822" width="11.42578125" style="160"/>
    <col min="12823" max="12823" width="14.5703125" style="160" customWidth="1"/>
    <col min="12824" max="12824" width="12.7109375" style="160" customWidth="1"/>
    <col min="12825" max="12825" width="1.5703125" style="160" customWidth="1"/>
    <col min="12826" max="12826" width="18.28515625" style="160" customWidth="1"/>
    <col min="12827" max="12827" width="11" style="160" customWidth="1"/>
    <col min="12828" max="12828" width="13.28515625" style="160" bestFit="1" customWidth="1"/>
    <col min="12829" max="12829" width="18" style="160" customWidth="1"/>
    <col min="12830" max="12830" width="11.42578125" style="160"/>
    <col min="12831" max="12831" width="11.140625" style="160" customWidth="1"/>
    <col min="12832" max="12832" width="11.42578125" style="160"/>
    <col min="12833" max="12833" width="17.42578125" style="160" customWidth="1"/>
    <col min="12834" max="13078" width="11.42578125" style="160"/>
    <col min="13079" max="13079" width="14.5703125" style="160" customWidth="1"/>
    <col min="13080" max="13080" width="12.7109375" style="160" customWidth="1"/>
    <col min="13081" max="13081" width="1.5703125" style="160" customWidth="1"/>
    <col min="13082" max="13082" width="18.28515625" style="160" customWidth="1"/>
    <col min="13083" max="13083" width="11" style="160" customWidth="1"/>
    <col min="13084" max="13084" width="13.28515625" style="160" bestFit="1" customWidth="1"/>
    <col min="13085" max="13085" width="18" style="160" customWidth="1"/>
    <col min="13086" max="13086" width="11.42578125" style="160"/>
    <col min="13087" max="13087" width="11.140625" style="160" customWidth="1"/>
    <col min="13088" max="13088" width="11.42578125" style="160"/>
    <col min="13089" max="13089" width="17.42578125" style="160" customWidth="1"/>
    <col min="13090" max="13334" width="11.42578125" style="160"/>
    <col min="13335" max="13335" width="14.5703125" style="160" customWidth="1"/>
    <col min="13336" max="13336" width="12.7109375" style="160" customWidth="1"/>
    <col min="13337" max="13337" width="1.5703125" style="160" customWidth="1"/>
    <col min="13338" max="13338" width="18.28515625" style="160" customWidth="1"/>
    <col min="13339" max="13339" width="11" style="160" customWidth="1"/>
    <col min="13340" max="13340" width="13.28515625" style="160" bestFit="1" customWidth="1"/>
    <col min="13341" max="13341" width="18" style="160" customWidth="1"/>
    <col min="13342" max="13342" width="11.42578125" style="160"/>
    <col min="13343" max="13343" width="11.140625" style="160" customWidth="1"/>
    <col min="13344" max="13344" width="11.42578125" style="160"/>
    <col min="13345" max="13345" width="17.42578125" style="160" customWidth="1"/>
    <col min="13346" max="13590" width="11.42578125" style="160"/>
    <col min="13591" max="13591" width="14.5703125" style="160" customWidth="1"/>
    <col min="13592" max="13592" width="12.7109375" style="160" customWidth="1"/>
    <col min="13593" max="13593" width="1.5703125" style="160" customWidth="1"/>
    <col min="13594" max="13594" width="18.28515625" style="160" customWidth="1"/>
    <col min="13595" max="13595" width="11" style="160" customWidth="1"/>
    <col min="13596" max="13596" width="13.28515625" style="160" bestFit="1" customWidth="1"/>
    <col min="13597" max="13597" width="18" style="160" customWidth="1"/>
    <col min="13598" max="13598" width="11.42578125" style="160"/>
    <col min="13599" max="13599" width="11.140625" style="160" customWidth="1"/>
    <col min="13600" max="13600" width="11.42578125" style="160"/>
    <col min="13601" max="13601" width="17.42578125" style="160" customWidth="1"/>
    <col min="13602" max="13846" width="11.42578125" style="160"/>
    <col min="13847" max="13847" width="14.5703125" style="160" customWidth="1"/>
    <col min="13848" max="13848" width="12.7109375" style="160" customWidth="1"/>
    <col min="13849" max="13849" width="1.5703125" style="160" customWidth="1"/>
    <col min="13850" max="13850" width="18.28515625" style="160" customWidth="1"/>
    <col min="13851" max="13851" width="11" style="160" customWidth="1"/>
    <col min="13852" max="13852" width="13.28515625" style="160" bestFit="1" customWidth="1"/>
    <col min="13853" max="13853" width="18" style="160" customWidth="1"/>
    <col min="13854" max="13854" width="11.42578125" style="160"/>
    <col min="13855" max="13855" width="11.140625" style="160" customWidth="1"/>
    <col min="13856" max="13856" width="11.42578125" style="160"/>
    <col min="13857" max="13857" width="17.42578125" style="160" customWidth="1"/>
    <col min="13858" max="14102" width="11.42578125" style="160"/>
    <col min="14103" max="14103" width="14.5703125" style="160" customWidth="1"/>
    <col min="14104" max="14104" width="12.7109375" style="160" customWidth="1"/>
    <col min="14105" max="14105" width="1.5703125" style="160" customWidth="1"/>
    <col min="14106" max="14106" width="18.28515625" style="160" customWidth="1"/>
    <col min="14107" max="14107" width="11" style="160" customWidth="1"/>
    <col min="14108" max="14108" width="13.28515625" style="160" bestFit="1" customWidth="1"/>
    <col min="14109" max="14109" width="18" style="160" customWidth="1"/>
    <col min="14110" max="14110" width="11.42578125" style="160"/>
    <col min="14111" max="14111" width="11.140625" style="160" customWidth="1"/>
    <col min="14112" max="14112" width="11.42578125" style="160"/>
    <col min="14113" max="14113" width="17.42578125" style="160" customWidth="1"/>
    <col min="14114" max="14358" width="11.42578125" style="160"/>
    <col min="14359" max="14359" width="14.5703125" style="160" customWidth="1"/>
    <col min="14360" max="14360" width="12.7109375" style="160" customWidth="1"/>
    <col min="14361" max="14361" width="1.5703125" style="160" customWidth="1"/>
    <col min="14362" max="14362" width="18.28515625" style="160" customWidth="1"/>
    <col min="14363" max="14363" width="11" style="160" customWidth="1"/>
    <col min="14364" max="14364" width="13.28515625" style="160" bestFit="1" customWidth="1"/>
    <col min="14365" max="14365" width="18" style="160" customWidth="1"/>
    <col min="14366" max="14366" width="11.42578125" style="160"/>
    <col min="14367" max="14367" width="11.140625" style="160" customWidth="1"/>
    <col min="14368" max="14368" width="11.42578125" style="160"/>
    <col min="14369" max="14369" width="17.42578125" style="160" customWidth="1"/>
    <col min="14370" max="14614" width="11.42578125" style="160"/>
    <col min="14615" max="14615" width="14.5703125" style="160" customWidth="1"/>
    <col min="14616" max="14616" width="12.7109375" style="160" customWidth="1"/>
    <col min="14617" max="14617" width="1.5703125" style="160" customWidth="1"/>
    <col min="14618" max="14618" width="18.28515625" style="160" customWidth="1"/>
    <col min="14619" max="14619" width="11" style="160" customWidth="1"/>
    <col min="14620" max="14620" width="13.28515625" style="160" bestFit="1" customWidth="1"/>
    <col min="14621" max="14621" width="18" style="160" customWidth="1"/>
    <col min="14622" max="14622" width="11.42578125" style="160"/>
    <col min="14623" max="14623" width="11.140625" style="160" customWidth="1"/>
    <col min="14624" max="14624" width="11.42578125" style="160"/>
    <col min="14625" max="14625" width="17.42578125" style="160" customWidth="1"/>
    <col min="14626" max="14870" width="11.42578125" style="160"/>
    <col min="14871" max="14871" width="14.5703125" style="160" customWidth="1"/>
    <col min="14872" max="14872" width="12.7109375" style="160" customWidth="1"/>
    <col min="14873" max="14873" width="1.5703125" style="160" customWidth="1"/>
    <col min="14874" max="14874" width="18.28515625" style="160" customWidth="1"/>
    <col min="14875" max="14875" width="11" style="160" customWidth="1"/>
    <col min="14876" max="14876" width="13.28515625" style="160" bestFit="1" customWidth="1"/>
    <col min="14877" max="14877" width="18" style="160" customWidth="1"/>
    <col min="14878" max="14878" width="11.42578125" style="160"/>
    <col min="14879" max="14879" width="11.140625" style="160" customWidth="1"/>
    <col min="14880" max="14880" width="11.42578125" style="160"/>
    <col min="14881" max="14881" width="17.42578125" style="160" customWidth="1"/>
    <col min="14882" max="15126" width="11.42578125" style="160"/>
    <col min="15127" max="15127" width="14.5703125" style="160" customWidth="1"/>
    <col min="15128" max="15128" width="12.7109375" style="160" customWidth="1"/>
    <col min="15129" max="15129" width="1.5703125" style="160" customWidth="1"/>
    <col min="15130" max="15130" width="18.28515625" style="160" customWidth="1"/>
    <col min="15131" max="15131" width="11" style="160" customWidth="1"/>
    <col min="15132" max="15132" width="13.28515625" style="160" bestFit="1" customWidth="1"/>
    <col min="15133" max="15133" width="18" style="160" customWidth="1"/>
    <col min="15134" max="15134" width="11.42578125" style="160"/>
    <col min="15135" max="15135" width="11.140625" style="160" customWidth="1"/>
    <col min="15136" max="15136" width="11.42578125" style="160"/>
    <col min="15137" max="15137" width="17.42578125" style="160" customWidth="1"/>
    <col min="15138" max="15382" width="11.42578125" style="160"/>
    <col min="15383" max="15383" width="14.5703125" style="160" customWidth="1"/>
    <col min="15384" max="15384" width="12.7109375" style="160" customWidth="1"/>
    <col min="15385" max="15385" width="1.5703125" style="160" customWidth="1"/>
    <col min="15386" max="15386" width="18.28515625" style="160" customWidth="1"/>
    <col min="15387" max="15387" width="11" style="160" customWidth="1"/>
    <col min="15388" max="15388" width="13.28515625" style="160" bestFit="1" customWidth="1"/>
    <col min="15389" max="15389" width="18" style="160" customWidth="1"/>
    <col min="15390" max="15390" width="11.42578125" style="160"/>
    <col min="15391" max="15391" width="11.140625" style="160" customWidth="1"/>
    <col min="15392" max="15392" width="11.42578125" style="160"/>
    <col min="15393" max="15393" width="17.42578125" style="160" customWidth="1"/>
    <col min="15394" max="15638" width="11.42578125" style="160"/>
    <col min="15639" max="15639" width="14.5703125" style="160" customWidth="1"/>
    <col min="15640" max="15640" width="12.7109375" style="160" customWidth="1"/>
    <col min="15641" max="15641" width="1.5703125" style="160" customWidth="1"/>
    <col min="15642" max="15642" width="18.28515625" style="160" customWidth="1"/>
    <col min="15643" max="15643" width="11" style="160" customWidth="1"/>
    <col min="15644" max="15644" width="13.28515625" style="160" bestFit="1" customWidth="1"/>
    <col min="15645" max="15645" width="18" style="160" customWidth="1"/>
    <col min="15646" max="15646" width="11.42578125" style="160"/>
    <col min="15647" max="15647" width="11.140625" style="160" customWidth="1"/>
    <col min="15648" max="15648" width="11.42578125" style="160"/>
    <col min="15649" max="15649" width="17.42578125" style="160" customWidth="1"/>
    <col min="15650" max="15894" width="11.42578125" style="160"/>
    <col min="15895" max="15895" width="14.5703125" style="160" customWidth="1"/>
    <col min="15896" max="15896" width="12.7109375" style="160" customWidth="1"/>
    <col min="15897" max="15897" width="1.5703125" style="160" customWidth="1"/>
    <col min="15898" max="15898" width="18.28515625" style="160" customWidth="1"/>
    <col min="15899" max="15899" width="11" style="160" customWidth="1"/>
    <col min="15900" max="15900" width="13.28515625" style="160" bestFit="1" customWidth="1"/>
    <col min="15901" max="15901" width="18" style="160" customWidth="1"/>
    <col min="15902" max="15902" width="11.42578125" style="160"/>
    <col min="15903" max="15903" width="11.140625" style="160" customWidth="1"/>
    <col min="15904" max="15904" width="11.42578125" style="160"/>
    <col min="15905" max="15905" width="17.42578125" style="160" customWidth="1"/>
    <col min="15906" max="16150" width="11.42578125" style="160"/>
    <col min="16151" max="16151" width="14.5703125" style="160" customWidth="1"/>
    <col min="16152" max="16152" width="12.7109375" style="160" customWidth="1"/>
    <col min="16153" max="16153" width="1.5703125" style="160" customWidth="1"/>
    <col min="16154" max="16154" width="18.28515625" style="160" customWidth="1"/>
    <col min="16155" max="16155" width="11" style="160" customWidth="1"/>
    <col min="16156" max="16156" width="13.28515625" style="160" bestFit="1" customWidth="1"/>
    <col min="16157" max="16157" width="18" style="160" customWidth="1"/>
    <col min="16158" max="16158" width="11.42578125" style="160"/>
    <col min="16159" max="16159" width="11.140625" style="160" customWidth="1"/>
    <col min="16160" max="16160" width="11.42578125" style="160"/>
    <col min="16161" max="16161" width="17.42578125" style="160" customWidth="1"/>
    <col min="16162" max="16384" width="11.42578125" style="160"/>
  </cols>
  <sheetData>
    <row r="1" spans="1:74" ht="12.75" customHeight="1" x14ac:dyDescent="0.2">
      <c r="A1" s="517" t="s">
        <v>135</v>
      </c>
      <c r="B1" s="517"/>
      <c r="C1" s="517"/>
      <c r="D1" s="517"/>
      <c r="E1" s="517"/>
      <c r="F1" s="517"/>
      <c r="G1" s="517"/>
      <c r="H1" s="517"/>
      <c r="I1" s="517"/>
      <c r="J1" s="517"/>
      <c r="K1" s="517"/>
      <c r="L1" s="517"/>
      <c r="M1" s="158"/>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L1" s="161"/>
      <c r="BM1" s="162" t="s">
        <v>1</v>
      </c>
    </row>
    <row r="2" spans="1:74" ht="12.75" customHeight="1" x14ac:dyDescent="0.2">
      <c r="A2" s="517"/>
      <c r="B2" s="517"/>
      <c r="C2" s="517"/>
      <c r="D2" s="517"/>
      <c r="E2" s="517"/>
      <c r="F2" s="517"/>
      <c r="G2" s="517"/>
      <c r="H2" s="517"/>
      <c r="I2" s="517"/>
      <c r="J2" s="517"/>
      <c r="K2" s="517"/>
      <c r="L2" s="517"/>
      <c r="M2" s="158"/>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L2" s="161"/>
    </row>
    <row r="3" spans="1:74" ht="12.75" customHeight="1" x14ac:dyDescent="0.2">
      <c r="A3" s="517"/>
      <c r="B3" s="518"/>
      <c r="C3" s="518"/>
      <c r="D3" s="518"/>
      <c r="E3" s="518"/>
      <c r="F3" s="518"/>
      <c r="G3" s="518"/>
      <c r="H3" s="518"/>
      <c r="I3" s="518"/>
      <c r="J3" s="518"/>
      <c r="K3" s="518"/>
      <c r="L3" s="518"/>
      <c r="M3" s="163"/>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c r="AO3" s="159"/>
      <c r="AP3" s="159"/>
      <c r="AQ3" s="159"/>
      <c r="AR3" s="159"/>
      <c r="AS3" s="159"/>
      <c r="AT3" s="159"/>
      <c r="AU3" s="159"/>
      <c r="AV3" s="159"/>
      <c r="AW3" s="159"/>
      <c r="AX3" s="159"/>
      <c r="AY3" s="159"/>
      <c r="AZ3" s="159"/>
      <c r="BA3" s="159"/>
      <c r="BB3" s="159"/>
      <c r="BC3" s="159"/>
      <c r="BD3" s="159"/>
      <c r="BE3" s="159"/>
      <c r="BF3" s="159"/>
      <c r="BG3" s="159"/>
      <c r="BH3" s="159"/>
      <c r="BI3" s="159"/>
      <c r="BL3" s="161"/>
    </row>
    <row r="4" spans="1:74" ht="12.75" customHeight="1" x14ac:dyDescent="0.2">
      <c r="A4" s="164"/>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5"/>
      <c r="BL4" s="161"/>
    </row>
    <row r="5" spans="1:74" ht="12.75" customHeight="1" x14ac:dyDescent="0.2">
      <c r="A5" s="166" t="s">
        <v>136</v>
      </c>
      <c r="B5" s="166"/>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5"/>
      <c r="BL5" s="161"/>
    </row>
    <row r="6" spans="1:74" ht="20.100000000000001" customHeight="1" x14ac:dyDescent="0.2">
      <c r="A6" s="167" t="s">
        <v>137</v>
      </c>
      <c r="B6" s="166"/>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8"/>
      <c r="BD6" s="169"/>
      <c r="BE6" s="169"/>
      <c r="BF6" s="169"/>
      <c r="BG6" s="169"/>
      <c r="BH6" s="169"/>
      <c r="BI6" s="169"/>
      <c r="BJ6" s="169"/>
      <c r="BK6" s="169"/>
      <c r="BL6" s="169"/>
      <c r="BM6" s="169"/>
      <c r="BN6" s="169"/>
      <c r="BO6" s="169"/>
      <c r="BP6" s="169"/>
      <c r="BQ6" s="169"/>
      <c r="BR6" s="169"/>
      <c r="BS6" s="169"/>
      <c r="BT6" s="169"/>
      <c r="BU6" s="169"/>
      <c r="BV6" s="169"/>
    </row>
    <row r="7" spans="1:74" ht="27" customHeight="1" x14ac:dyDescent="0.2">
      <c r="A7" s="170" t="s">
        <v>138</v>
      </c>
      <c r="B7" s="170"/>
      <c r="C7" s="170"/>
      <c r="D7" s="170"/>
      <c r="E7" s="170"/>
      <c r="F7" s="170"/>
      <c r="G7" s="170"/>
      <c r="H7" s="170"/>
      <c r="I7" s="170"/>
      <c r="J7" s="170"/>
      <c r="K7" s="170"/>
      <c r="L7" s="170"/>
      <c r="M7" s="170"/>
      <c r="N7" s="170"/>
      <c r="O7" s="170"/>
      <c r="P7" s="170"/>
      <c r="Q7" s="170"/>
      <c r="R7" s="170"/>
      <c r="S7" s="170"/>
      <c r="T7" s="170"/>
      <c r="U7" s="170"/>
      <c r="V7" s="170"/>
      <c r="W7" s="170"/>
      <c r="X7" s="170"/>
      <c r="Y7" s="170"/>
      <c r="Z7" s="170"/>
      <c r="AA7" s="170"/>
      <c r="AB7" s="170"/>
      <c r="AC7" s="170"/>
      <c r="AD7" s="170"/>
      <c r="AE7" s="170"/>
      <c r="AF7" s="170"/>
      <c r="AG7" s="170"/>
      <c r="AH7" s="170"/>
      <c r="AI7" s="170"/>
      <c r="AJ7" s="170"/>
      <c r="AK7" s="170"/>
      <c r="AL7" s="170"/>
      <c r="AM7" s="170"/>
      <c r="AN7" s="170"/>
      <c r="AO7" s="170"/>
      <c r="AP7" s="170"/>
      <c r="AQ7" s="170"/>
      <c r="AR7" s="170"/>
      <c r="AS7" s="170"/>
      <c r="AT7" s="170"/>
      <c r="AU7" s="170"/>
      <c r="AV7" s="170"/>
      <c r="AW7" s="170"/>
      <c r="AX7" s="170"/>
      <c r="AY7" s="170"/>
      <c r="AZ7" s="170"/>
      <c r="BA7" s="170"/>
      <c r="BB7" s="170"/>
      <c r="BC7" s="168"/>
      <c r="BD7" s="169"/>
      <c r="BE7" s="169"/>
      <c r="BF7" s="169"/>
      <c r="BG7" s="169"/>
      <c r="BH7" s="169"/>
      <c r="BI7" s="169"/>
      <c r="BJ7" s="169"/>
      <c r="BK7" s="169"/>
      <c r="BL7" s="169"/>
      <c r="BM7" s="169"/>
      <c r="BN7" s="169"/>
      <c r="BO7" s="169"/>
      <c r="BP7" s="169"/>
      <c r="BQ7" s="169"/>
      <c r="BR7" s="169"/>
      <c r="BS7" s="169"/>
      <c r="BT7" s="169"/>
      <c r="BU7" s="169"/>
      <c r="BV7" s="169"/>
    </row>
    <row r="8" spans="1:74" ht="20.100000000000001" customHeight="1" x14ac:dyDescent="0.2">
      <c r="A8" s="170" t="s">
        <v>139</v>
      </c>
      <c r="B8" s="170"/>
      <c r="C8" s="170"/>
      <c r="D8" s="170"/>
      <c r="E8" s="170"/>
      <c r="F8" s="170"/>
      <c r="G8" s="170"/>
      <c r="H8" s="170"/>
      <c r="I8" s="170"/>
      <c r="J8" s="170"/>
      <c r="K8" s="170"/>
      <c r="L8" s="170"/>
      <c r="M8" s="170"/>
      <c r="N8" s="170"/>
      <c r="O8" s="170"/>
      <c r="P8" s="170"/>
      <c r="Q8" s="170"/>
      <c r="R8" s="170"/>
      <c r="S8" s="170"/>
      <c r="T8" s="170"/>
      <c r="U8" s="170"/>
      <c r="V8" s="170"/>
      <c r="W8" s="170"/>
      <c r="X8" s="170"/>
      <c r="Y8" s="170"/>
      <c r="Z8" s="170"/>
      <c r="AA8" s="170"/>
      <c r="AB8" s="170"/>
      <c r="AC8" s="170"/>
      <c r="AD8" s="170"/>
      <c r="AE8" s="170"/>
      <c r="AF8" s="170"/>
      <c r="AG8" s="170"/>
      <c r="AH8" s="170"/>
      <c r="AI8" s="170"/>
      <c r="AJ8" s="170"/>
      <c r="AK8" s="170"/>
      <c r="AL8" s="170"/>
      <c r="AM8" s="170"/>
      <c r="AN8" s="170"/>
      <c r="AO8" s="170"/>
      <c r="AP8" s="170"/>
      <c r="AQ8" s="170"/>
      <c r="AR8" s="170"/>
      <c r="AS8" s="170"/>
      <c r="AT8" s="170"/>
      <c r="AU8" s="170"/>
      <c r="AV8" s="170"/>
      <c r="AW8" s="170"/>
      <c r="AX8" s="170"/>
      <c r="AY8" s="170"/>
      <c r="AZ8" s="170"/>
      <c r="BA8" s="170"/>
      <c r="BB8" s="170"/>
      <c r="BC8" s="168"/>
      <c r="BL8" s="161"/>
    </row>
    <row r="9" spans="1:74" ht="20.100000000000001" customHeight="1" x14ac:dyDescent="0.2">
      <c r="A9" s="171" t="s">
        <v>140</v>
      </c>
      <c r="B9" s="171"/>
      <c r="C9" s="171"/>
      <c r="D9" s="171"/>
      <c r="E9" s="171"/>
      <c r="F9" s="171"/>
      <c r="G9" s="171"/>
      <c r="H9" s="171"/>
      <c r="I9" s="171"/>
      <c r="J9" s="171"/>
      <c r="K9" s="171"/>
      <c r="L9" s="171"/>
      <c r="M9" s="171"/>
      <c r="N9" s="171"/>
      <c r="O9" s="171"/>
      <c r="P9" s="171"/>
      <c r="Q9" s="171"/>
      <c r="R9" s="171"/>
      <c r="S9" s="171"/>
      <c r="T9" s="171"/>
      <c r="U9" s="171"/>
      <c r="V9" s="171"/>
      <c r="W9" s="171"/>
      <c r="X9" s="171"/>
      <c r="Y9" s="171"/>
      <c r="Z9" s="171"/>
      <c r="AA9" s="171"/>
      <c r="AB9" s="171"/>
      <c r="AC9" s="171"/>
      <c r="AD9" s="171"/>
      <c r="AE9" s="171"/>
      <c r="AF9" s="171"/>
      <c r="AG9" s="171"/>
      <c r="AH9" s="171"/>
      <c r="AI9" s="171"/>
      <c r="AJ9" s="171"/>
      <c r="AK9" s="171"/>
      <c r="AL9" s="171"/>
      <c r="AM9" s="171"/>
      <c r="AN9" s="171"/>
      <c r="AO9" s="171"/>
      <c r="AP9" s="171"/>
      <c r="AQ9" s="171"/>
      <c r="AR9" s="171"/>
      <c r="AS9" s="171"/>
      <c r="AT9" s="171"/>
      <c r="AU9" s="171"/>
      <c r="AV9" s="171"/>
      <c r="AW9" s="171"/>
      <c r="AX9" s="171"/>
      <c r="AY9" s="171"/>
      <c r="AZ9" s="171"/>
      <c r="BA9" s="171"/>
      <c r="BB9" s="171"/>
      <c r="BC9" s="168"/>
      <c r="BL9" s="161"/>
    </row>
    <row r="10" spans="1:74" ht="20.100000000000001" customHeight="1" x14ac:dyDescent="0.2">
      <c r="A10" s="170" t="s">
        <v>141</v>
      </c>
      <c r="B10" s="170"/>
      <c r="C10" s="170"/>
      <c r="D10" s="170"/>
      <c r="E10" s="170"/>
      <c r="F10" s="170"/>
      <c r="G10" s="170"/>
      <c r="H10" s="170"/>
      <c r="I10" s="170"/>
      <c r="J10" s="170"/>
      <c r="K10" s="170"/>
      <c r="L10" s="170"/>
      <c r="M10" s="170"/>
      <c r="N10" s="170"/>
      <c r="O10" s="170"/>
      <c r="P10" s="170"/>
      <c r="Q10" s="170"/>
      <c r="R10" s="170"/>
      <c r="S10" s="170"/>
      <c r="T10" s="170"/>
      <c r="U10" s="170"/>
      <c r="V10" s="170"/>
      <c r="W10" s="170"/>
      <c r="X10" s="170"/>
      <c r="Y10" s="170"/>
      <c r="Z10" s="170"/>
      <c r="AA10" s="170"/>
      <c r="AB10" s="170"/>
      <c r="AC10" s="170"/>
      <c r="AD10" s="170"/>
      <c r="AE10" s="170"/>
      <c r="AF10" s="170"/>
      <c r="AG10" s="170"/>
      <c r="AH10" s="170"/>
      <c r="AI10" s="170"/>
      <c r="AJ10" s="170"/>
      <c r="AK10" s="170"/>
      <c r="AL10" s="170"/>
      <c r="AM10" s="170"/>
      <c r="AN10" s="170"/>
      <c r="AO10" s="170"/>
      <c r="AP10" s="170"/>
      <c r="AQ10" s="170"/>
      <c r="AR10" s="170"/>
      <c r="AS10" s="170"/>
      <c r="AT10" s="170"/>
      <c r="AU10" s="170"/>
      <c r="AV10" s="170"/>
      <c r="AW10" s="170"/>
      <c r="AX10" s="170"/>
      <c r="AY10" s="170"/>
      <c r="AZ10" s="170"/>
      <c r="BA10" s="170"/>
      <c r="BB10" s="170"/>
      <c r="BC10" s="168"/>
      <c r="BL10" s="161"/>
    </row>
    <row r="11" spans="1:74" ht="20.100000000000001" customHeight="1" x14ac:dyDescent="0.2">
      <c r="A11" s="170" t="s">
        <v>142</v>
      </c>
      <c r="B11" s="170"/>
      <c r="C11" s="170"/>
      <c r="D11" s="170"/>
      <c r="E11" s="170"/>
      <c r="F11" s="170"/>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68"/>
      <c r="BL11" s="161"/>
    </row>
    <row r="12" spans="1:74" ht="20.100000000000001" customHeight="1" x14ac:dyDescent="0.2">
      <c r="A12" s="170" t="s">
        <v>143</v>
      </c>
      <c r="B12" s="170"/>
      <c r="C12" s="170"/>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c r="AI12" s="170"/>
      <c r="AJ12" s="170"/>
      <c r="AK12" s="170"/>
      <c r="AL12" s="170"/>
      <c r="AM12" s="170"/>
      <c r="AN12" s="170"/>
      <c r="AO12" s="170"/>
      <c r="AP12" s="170"/>
      <c r="AQ12" s="170"/>
      <c r="AR12" s="170"/>
      <c r="AS12" s="170"/>
      <c r="AT12" s="170"/>
      <c r="AU12" s="170"/>
      <c r="AV12" s="170"/>
      <c r="AW12" s="170"/>
      <c r="AX12" s="170"/>
      <c r="AY12" s="170"/>
      <c r="AZ12" s="170"/>
      <c r="BA12" s="170"/>
      <c r="BB12" s="170"/>
      <c r="BC12" s="168"/>
      <c r="BL12" s="161"/>
    </row>
    <row r="13" spans="1:74" ht="20.100000000000001" customHeight="1" x14ac:dyDescent="0.2">
      <c r="A13" s="171" t="s">
        <v>144</v>
      </c>
      <c r="B13" s="171"/>
      <c r="C13" s="171"/>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68"/>
      <c r="BD13" s="160" t="str">
        <f ca="1">IFERROR(_xll.BDP($BW13,"CUR_MKT_CAP")/1000000000,"-")</f>
        <v>-</v>
      </c>
      <c r="BG13" s="160" t="s">
        <v>39</v>
      </c>
      <c r="BJ13" s="160" t="str">
        <f ca="1">IFERROR(_xll.BDP($BW13,"PX_TO_BOOK_RATIO")*1,"-")</f>
        <v>-</v>
      </c>
      <c r="BL13" s="161"/>
      <c r="BM13" s="160" t="str">
        <f ca="1">IFERROR(_xll.BDP($BW13,"PE_RATIO")*1,"-")</f>
        <v>-</v>
      </c>
      <c r="BP13" s="160" t="str">
        <f ca="1">IFERROR(_xll.BDP($BW13,"PX_TO_SALES_RATIO")*1,"-")</f>
        <v>-</v>
      </c>
      <c r="BS13" s="160" t="str">
        <f ca="1">IFERROR(_xll.BDP($BW13,"PX_TO_FREE_CASH_FLOW")*1,"-")</f>
        <v>-</v>
      </c>
    </row>
    <row r="14" spans="1:74" ht="20.100000000000001" customHeight="1" x14ac:dyDescent="0.2">
      <c r="A14" s="513" t="s">
        <v>145</v>
      </c>
      <c r="B14" s="513"/>
      <c r="C14" s="513"/>
      <c r="D14" s="513"/>
      <c r="E14" s="513"/>
      <c r="F14" s="513"/>
      <c r="G14" s="513"/>
      <c r="H14" s="513"/>
      <c r="I14" s="513"/>
      <c r="J14" s="513"/>
      <c r="K14" s="513"/>
      <c r="L14" s="513"/>
      <c r="M14" s="513"/>
      <c r="N14" s="513"/>
      <c r="O14" s="513"/>
      <c r="P14" s="513"/>
      <c r="Q14" s="513"/>
      <c r="R14" s="513"/>
      <c r="S14" s="513"/>
      <c r="T14" s="513"/>
      <c r="U14" s="513"/>
      <c r="V14" s="513"/>
      <c r="W14" s="513"/>
      <c r="X14" s="513"/>
      <c r="Y14" s="513"/>
      <c r="Z14" s="513"/>
      <c r="AA14" s="513"/>
      <c r="AB14" s="513"/>
      <c r="AC14" s="513"/>
      <c r="AD14" s="513"/>
      <c r="AE14" s="513"/>
      <c r="AF14" s="513"/>
      <c r="AG14" s="513"/>
      <c r="AH14" s="513"/>
      <c r="AI14" s="513"/>
      <c r="AJ14" s="513"/>
      <c r="AK14" s="513"/>
      <c r="AL14" s="513"/>
      <c r="AM14" s="513"/>
      <c r="AN14" s="513"/>
      <c r="AO14" s="513"/>
      <c r="AP14" s="513"/>
      <c r="AQ14" s="513"/>
      <c r="AR14" s="513"/>
      <c r="AS14" s="513"/>
      <c r="AT14" s="513"/>
      <c r="AU14" s="513"/>
      <c r="AV14" s="513"/>
      <c r="AW14" s="513"/>
      <c r="AX14" s="513"/>
      <c r="AY14" s="513"/>
      <c r="AZ14" s="513"/>
      <c r="BA14" s="513"/>
      <c r="BB14" s="513"/>
      <c r="BC14" s="168"/>
    </row>
    <row r="15" spans="1:74" ht="20.100000000000001" customHeight="1" x14ac:dyDescent="0.2">
      <c r="A15" s="507" t="s">
        <v>146</v>
      </c>
      <c r="B15" s="507"/>
      <c r="C15" s="507"/>
      <c r="D15" s="507"/>
      <c r="E15" s="507"/>
      <c r="F15" s="507"/>
      <c r="G15" s="507"/>
      <c r="H15" s="507"/>
      <c r="I15" s="507"/>
      <c r="J15" s="507"/>
      <c r="K15" s="507"/>
      <c r="L15" s="507"/>
      <c r="M15" s="507"/>
      <c r="N15" s="507"/>
      <c r="O15" s="507"/>
      <c r="P15" s="507"/>
      <c r="Q15" s="507"/>
      <c r="R15" s="507"/>
      <c r="S15" s="507"/>
      <c r="T15" s="507"/>
      <c r="U15" s="507"/>
      <c r="V15" s="507"/>
      <c r="W15" s="507"/>
      <c r="X15" s="507"/>
      <c r="Y15" s="507"/>
      <c r="Z15" s="507"/>
      <c r="AA15" s="507"/>
      <c r="AB15" s="507"/>
      <c r="AC15" s="507"/>
      <c r="AD15" s="507"/>
      <c r="AE15" s="507"/>
      <c r="AF15" s="507"/>
      <c r="AG15" s="507"/>
      <c r="AH15" s="507"/>
      <c r="AI15" s="507"/>
      <c r="AJ15" s="507"/>
      <c r="AK15" s="507"/>
      <c r="AL15" s="507"/>
      <c r="AM15" s="507"/>
      <c r="AN15" s="507"/>
      <c r="AO15" s="507"/>
      <c r="AP15" s="507"/>
      <c r="AQ15" s="507"/>
      <c r="AR15" s="507"/>
      <c r="AS15" s="507"/>
      <c r="AT15" s="507"/>
      <c r="AU15" s="507"/>
      <c r="AV15" s="507"/>
      <c r="AW15" s="507"/>
      <c r="AX15" s="507"/>
      <c r="AY15" s="507"/>
      <c r="AZ15" s="507"/>
      <c r="BA15" s="507"/>
      <c r="BB15" s="507"/>
      <c r="BC15" s="168"/>
      <c r="BD15" s="172"/>
      <c r="BE15" s="172"/>
      <c r="BF15" s="172"/>
      <c r="BG15" s="172"/>
      <c r="BH15" s="172"/>
      <c r="BI15" s="172"/>
      <c r="BJ15" s="172"/>
      <c r="BK15" s="172"/>
      <c r="BL15" s="172"/>
      <c r="BM15" s="172"/>
      <c r="BN15" s="172"/>
      <c r="BO15" s="172"/>
      <c r="BP15" s="172"/>
      <c r="BQ15" s="172"/>
      <c r="BR15" s="172"/>
      <c r="BS15" s="172"/>
      <c r="BT15" s="172"/>
      <c r="BU15" s="172"/>
      <c r="BV15" s="172"/>
    </row>
    <row r="16" spans="1:74" ht="20.100000000000001" customHeight="1" x14ac:dyDescent="0.2">
      <c r="A16" s="171" t="s">
        <v>147</v>
      </c>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171"/>
      <c r="AK16" s="171"/>
      <c r="AL16" s="171"/>
      <c r="AM16" s="171"/>
      <c r="AN16" s="171"/>
      <c r="AO16" s="171"/>
      <c r="AP16" s="171"/>
      <c r="AQ16" s="171"/>
      <c r="AR16" s="171"/>
      <c r="AS16" s="171"/>
      <c r="AT16" s="171"/>
      <c r="AU16" s="171"/>
      <c r="AV16" s="171"/>
      <c r="AW16" s="171"/>
      <c r="AX16" s="171"/>
      <c r="AY16" s="171"/>
      <c r="AZ16" s="171"/>
      <c r="BA16" s="171"/>
      <c r="BB16" s="171"/>
      <c r="BC16" s="168"/>
      <c r="BD16" s="172"/>
      <c r="BE16" s="172"/>
      <c r="BF16" s="172"/>
      <c r="BG16" s="172"/>
      <c r="BH16" s="172"/>
      <c r="BI16" s="172"/>
      <c r="BJ16" s="172"/>
      <c r="BK16" s="172"/>
      <c r="BL16" s="172"/>
      <c r="BM16" s="172"/>
      <c r="BN16" s="172"/>
      <c r="BO16" s="172"/>
      <c r="BP16" s="172"/>
      <c r="BQ16" s="172" t="str">
        <f>IF(OR(IFERROR(VLOOKUP(CA16,[1]ARS!A:EL,MATCH("Price To Earnings",[1]ARS!$4:$4,0),FALSE),"-")&lt;0,IFERROR(VLOOKUP(CA16,[1]ARS!A:EL,MATCH("Price To Earnings",[1]ARS!$4:$4,0),FALSE),"-")&gt;500),"-",IFERROR(VLOOKUP(CA16,[1]ARS!A:EL,MATCH("Price To Earnings",[1]ARS!$4:$4,0),FALSE),"-"))</f>
        <v>-</v>
      </c>
      <c r="BR16" s="172"/>
      <c r="BS16" s="172"/>
      <c r="BT16" s="172"/>
      <c r="BU16" s="172"/>
      <c r="BV16" s="172"/>
    </row>
    <row r="17" spans="1:82" ht="20.100000000000001" customHeight="1" x14ac:dyDescent="0.2">
      <c r="A17" s="170" t="s">
        <v>148</v>
      </c>
      <c r="B17" s="170"/>
      <c r="C17" s="170"/>
      <c r="D17" s="170"/>
      <c r="E17" s="170"/>
      <c r="F17" s="170"/>
      <c r="G17" s="170"/>
      <c r="H17" s="170"/>
      <c r="I17" s="170"/>
      <c r="J17" s="170"/>
      <c r="K17" s="170"/>
      <c r="L17" s="170"/>
      <c r="M17" s="170"/>
      <c r="N17" s="170"/>
      <c r="O17" s="170"/>
      <c r="P17" s="170"/>
      <c r="Q17" s="170"/>
      <c r="R17" s="170"/>
      <c r="S17" s="170"/>
      <c r="T17" s="170"/>
      <c r="U17" s="170"/>
      <c r="V17" s="170"/>
      <c r="W17" s="170"/>
      <c r="X17" s="170"/>
      <c r="Y17" s="170"/>
      <c r="Z17" s="170"/>
      <c r="AA17" s="170"/>
      <c r="AB17" s="170"/>
      <c r="AC17" s="170"/>
      <c r="AD17" s="170"/>
      <c r="AE17" s="170"/>
      <c r="AF17" s="170"/>
      <c r="AG17" s="170"/>
      <c r="AH17" s="170"/>
      <c r="AI17" s="170"/>
      <c r="AJ17" s="170"/>
      <c r="AK17" s="170"/>
      <c r="AL17" s="170"/>
      <c r="AM17" s="170"/>
      <c r="AN17" s="170"/>
      <c r="AO17" s="170"/>
      <c r="AP17" s="170"/>
      <c r="AQ17" s="170"/>
      <c r="AR17" s="170"/>
      <c r="AS17" s="170"/>
      <c r="AT17" s="170"/>
      <c r="AU17" s="170"/>
      <c r="AV17" s="170"/>
      <c r="AW17" s="170"/>
      <c r="AX17" s="170"/>
      <c r="AY17" s="170"/>
      <c r="AZ17" s="170"/>
      <c r="BA17" s="170"/>
      <c r="BB17" s="170"/>
      <c r="BC17" s="168"/>
      <c r="BD17" s="172"/>
      <c r="BE17" s="172"/>
      <c r="BF17" s="172"/>
      <c r="BG17" s="172"/>
      <c r="BH17" s="172"/>
      <c r="BI17" s="172"/>
      <c r="BJ17" s="172"/>
      <c r="BK17" s="172"/>
      <c r="BL17" s="172"/>
      <c r="BM17" s="172"/>
      <c r="BN17" s="172"/>
      <c r="BO17" s="172"/>
      <c r="BP17" s="172"/>
      <c r="BQ17" s="172" t="str">
        <f>IF(OR(IFERROR(VLOOKUP(CA17,[1]ARS!A:EL,MATCH("Price To Earnings",[1]ARS!$4:$4,0),FALSE),"-")&lt;0,IFERROR(VLOOKUP(CA17,[1]ARS!A:EL,MATCH("Price To Earnings",[1]ARS!$4:$4,0),FALSE),"-")&gt;500),"-",IFERROR(VLOOKUP(CA17,[1]ARS!A:EL,MATCH("Price To Earnings",[1]ARS!$4:$4,0),FALSE),"-"))</f>
        <v>-</v>
      </c>
      <c r="BR17" s="172"/>
      <c r="BS17" s="172"/>
      <c r="BT17" s="172"/>
      <c r="BU17" s="172"/>
      <c r="BV17" s="172"/>
    </row>
    <row r="18" spans="1:82" ht="20.100000000000001" customHeight="1" x14ac:dyDescent="0.2">
      <c r="A18" s="170" t="s">
        <v>149</v>
      </c>
      <c r="B18" s="170"/>
      <c r="C18" s="170"/>
      <c r="D18" s="170"/>
      <c r="E18" s="170"/>
      <c r="F18" s="170"/>
      <c r="G18" s="170"/>
      <c r="H18" s="170"/>
      <c r="I18" s="170"/>
      <c r="J18" s="170"/>
      <c r="K18" s="170"/>
      <c r="L18" s="170"/>
      <c r="M18" s="170"/>
      <c r="N18" s="170"/>
      <c r="O18" s="170"/>
      <c r="P18" s="170"/>
      <c r="Q18" s="170"/>
      <c r="R18" s="170"/>
      <c r="S18" s="170"/>
      <c r="T18" s="170"/>
      <c r="U18" s="170"/>
      <c r="V18" s="170"/>
      <c r="W18" s="170"/>
      <c r="X18" s="170"/>
      <c r="Y18" s="170"/>
      <c r="Z18" s="170"/>
      <c r="AA18" s="170"/>
      <c r="AB18" s="170"/>
      <c r="AC18" s="170"/>
      <c r="AD18" s="170"/>
      <c r="AE18" s="170"/>
      <c r="AF18" s="170"/>
      <c r="AG18" s="170"/>
      <c r="AH18" s="170"/>
      <c r="AI18" s="170"/>
      <c r="AJ18" s="170"/>
      <c r="AK18" s="170"/>
      <c r="AL18" s="170"/>
      <c r="AM18" s="170"/>
      <c r="AN18" s="170"/>
      <c r="AO18" s="170"/>
      <c r="AP18" s="170"/>
      <c r="AQ18" s="170"/>
      <c r="AR18" s="170"/>
      <c r="AS18" s="170"/>
      <c r="AT18" s="170"/>
      <c r="AU18" s="170"/>
      <c r="AV18" s="170"/>
      <c r="AW18" s="170"/>
      <c r="AX18" s="170"/>
      <c r="AY18" s="170"/>
      <c r="AZ18" s="170"/>
      <c r="BA18" s="170"/>
      <c r="BB18" s="170"/>
      <c r="BC18" s="168"/>
      <c r="BD18" s="172"/>
      <c r="BE18" s="172"/>
      <c r="BF18" s="172"/>
      <c r="BG18" s="172"/>
      <c r="BH18" s="172"/>
      <c r="BI18" s="172"/>
      <c r="BJ18" s="172"/>
      <c r="BK18" s="172"/>
      <c r="BL18" s="172"/>
      <c r="BM18" s="172"/>
      <c r="BN18" s="172"/>
      <c r="BO18" s="172"/>
      <c r="BP18" s="172"/>
      <c r="BQ18" s="172" t="str">
        <f>IF(OR(IFERROR(VLOOKUP(CA18,[1]ARS!A:EL,MATCH("Price To Earnings",[1]ARS!$4:$4,0),FALSE),"-")&lt;0,IFERROR(VLOOKUP(CA18,[1]ARS!A:EL,MATCH("Price To Earnings",[1]ARS!$4:$4,0),FALSE),"-")&gt;500),"-",IFERROR(VLOOKUP(CA18,[1]ARS!A:EL,MATCH("Price To Earnings",[1]ARS!$4:$4,0),FALSE),"-"))</f>
        <v>-</v>
      </c>
      <c r="BR18" s="172"/>
      <c r="BS18" s="172"/>
      <c r="BT18" s="172"/>
      <c r="BU18" s="172"/>
      <c r="BV18" s="172"/>
    </row>
    <row r="19" spans="1:82" ht="20.100000000000001" customHeight="1" x14ac:dyDescent="0.2">
      <c r="A19" s="170" t="s">
        <v>150</v>
      </c>
      <c r="B19" s="170"/>
      <c r="C19" s="170"/>
      <c r="D19" s="170"/>
      <c r="E19" s="170"/>
      <c r="F19" s="170"/>
      <c r="G19" s="170"/>
      <c r="H19" s="170"/>
      <c r="I19" s="170"/>
      <c r="J19" s="170"/>
      <c r="K19" s="170"/>
      <c r="L19" s="170"/>
      <c r="M19" s="170"/>
      <c r="N19" s="170"/>
      <c r="O19" s="170"/>
      <c r="P19" s="170"/>
      <c r="Q19" s="170"/>
      <c r="R19" s="170"/>
      <c r="S19" s="170"/>
      <c r="T19" s="170"/>
      <c r="U19" s="170"/>
      <c r="V19" s="170"/>
      <c r="W19" s="170"/>
      <c r="X19" s="170"/>
      <c r="Y19" s="170"/>
      <c r="Z19" s="170"/>
      <c r="AA19" s="170"/>
      <c r="AB19" s="170"/>
      <c r="AC19" s="170"/>
      <c r="AD19" s="170"/>
      <c r="AE19" s="170"/>
      <c r="AF19" s="170"/>
      <c r="AG19" s="170"/>
      <c r="AH19" s="170"/>
      <c r="AI19" s="170"/>
      <c r="AJ19" s="170"/>
      <c r="AK19" s="170"/>
      <c r="AL19" s="170"/>
      <c r="AM19" s="170"/>
      <c r="AN19" s="170"/>
      <c r="AO19" s="170"/>
      <c r="AP19" s="170"/>
      <c r="AQ19" s="170"/>
      <c r="AR19" s="170"/>
      <c r="AS19" s="170"/>
      <c r="AT19" s="170"/>
      <c r="AU19" s="170"/>
      <c r="AV19" s="170"/>
      <c r="AW19" s="170"/>
      <c r="AX19" s="170"/>
      <c r="AY19" s="170"/>
      <c r="AZ19" s="170"/>
      <c r="BA19" s="170"/>
      <c r="BB19" s="170"/>
      <c r="BC19" s="168"/>
      <c r="BD19" s="172"/>
      <c r="BE19" s="172"/>
      <c r="BF19" s="172"/>
      <c r="BG19" s="172"/>
      <c r="BH19" s="172"/>
      <c r="BI19" s="172"/>
      <c r="BJ19" s="172"/>
      <c r="BK19" s="172"/>
      <c r="BL19" s="172"/>
      <c r="BM19" s="172"/>
      <c r="BN19" s="172"/>
      <c r="BO19" s="172"/>
      <c r="BP19" s="172"/>
      <c r="BQ19" s="172" t="str">
        <f>IF(OR(IFERROR(VLOOKUP(CA19,[1]ARS!A:EL,MATCH("Price To Earnings",[1]ARS!$4:$4,0),FALSE),"-")&lt;0,IFERROR(VLOOKUP(CA19,[1]ARS!A:EL,MATCH("Price To Earnings",[1]ARS!$4:$4,0),FALSE),"-")&gt;500),"-",IFERROR(VLOOKUP(CA19,[1]ARS!A:EL,MATCH("Price To Earnings",[1]ARS!$4:$4,0),FALSE),"-"))</f>
        <v>-</v>
      </c>
      <c r="BR19" s="172"/>
      <c r="BS19" s="172"/>
      <c r="BT19" s="172"/>
      <c r="BU19" s="172"/>
      <c r="BV19" s="172"/>
    </row>
    <row r="20" spans="1:82" ht="20.100000000000001" customHeight="1" x14ac:dyDescent="0.2">
      <c r="A20" s="170" t="s">
        <v>151</v>
      </c>
      <c r="B20" s="170"/>
      <c r="C20" s="170"/>
      <c r="D20" s="170"/>
      <c r="E20" s="170"/>
      <c r="F20" s="170"/>
      <c r="G20" s="170"/>
      <c r="H20" s="170"/>
      <c r="I20" s="170"/>
      <c r="J20" s="170"/>
      <c r="K20" s="170"/>
      <c r="L20" s="170"/>
      <c r="M20" s="170"/>
      <c r="N20" s="170"/>
      <c r="O20" s="170"/>
      <c r="P20" s="170"/>
      <c r="Q20" s="170"/>
      <c r="R20" s="170"/>
      <c r="S20" s="170"/>
      <c r="T20" s="170"/>
      <c r="U20" s="170"/>
      <c r="V20" s="170"/>
      <c r="W20" s="170"/>
      <c r="X20" s="170"/>
      <c r="Y20" s="170"/>
      <c r="Z20" s="170"/>
      <c r="AA20" s="170"/>
      <c r="AB20" s="170"/>
      <c r="AC20" s="170"/>
      <c r="AD20" s="170"/>
      <c r="AE20" s="170"/>
      <c r="AF20" s="170"/>
      <c r="AG20" s="170"/>
      <c r="AH20" s="170"/>
      <c r="AI20" s="170"/>
      <c r="AJ20" s="170"/>
      <c r="AK20" s="170"/>
      <c r="AL20" s="170"/>
      <c r="AM20" s="170"/>
      <c r="AN20" s="170"/>
      <c r="AO20" s="170"/>
      <c r="AP20" s="170"/>
      <c r="AQ20" s="170"/>
      <c r="AR20" s="170"/>
      <c r="AS20" s="170"/>
      <c r="AT20" s="170"/>
      <c r="AU20" s="170"/>
      <c r="AV20" s="170"/>
      <c r="AW20" s="170"/>
      <c r="AX20" s="170"/>
      <c r="AY20" s="170"/>
      <c r="AZ20" s="170"/>
      <c r="BA20" s="170"/>
      <c r="BB20" s="170"/>
      <c r="BC20" s="168"/>
      <c r="BD20" s="172"/>
      <c r="BE20" s="172"/>
      <c r="BF20" s="172"/>
      <c r="BG20" s="172"/>
      <c r="BH20" s="172"/>
      <c r="BI20" s="172"/>
      <c r="BJ20" s="172"/>
      <c r="BK20" s="172"/>
      <c r="BL20" s="172"/>
      <c r="BM20" s="172"/>
      <c r="BN20" s="172"/>
      <c r="BO20" s="172"/>
      <c r="BP20" s="172"/>
      <c r="BQ20" s="172" t="str">
        <f>IF(OR(IFERROR(VLOOKUP(CA20,[1]ARS!A:EL,MATCH("Price To Earnings",[1]ARS!$4:$4,0),FALSE),"-")&lt;0,IFERROR(VLOOKUP(CA20,[1]ARS!A:EL,MATCH("Price To Earnings",[1]ARS!$4:$4,0),FALSE),"-")&gt;500),"-",IFERROR(VLOOKUP(CA20,[1]ARS!A:EL,MATCH("Price To Earnings",[1]ARS!$4:$4,0),FALSE),"-"))</f>
        <v>-</v>
      </c>
      <c r="BR20" s="172"/>
      <c r="BS20" s="172"/>
      <c r="BT20" s="172"/>
      <c r="BU20" s="172"/>
      <c r="BV20" s="172"/>
    </row>
    <row r="21" spans="1:82" ht="36" customHeight="1" x14ac:dyDescent="0.2">
      <c r="A21" s="513" t="s">
        <v>152</v>
      </c>
      <c r="B21" s="513"/>
      <c r="C21" s="513"/>
      <c r="D21" s="513"/>
      <c r="E21" s="513"/>
      <c r="F21" s="513"/>
      <c r="G21" s="513"/>
      <c r="H21" s="513"/>
      <c r="I21" s="513"/>
      <c r="J21" s="513"/>
      <c r="K21" s="513"/>
      <c r="L21" s="513"/>
      <c r="M21" s="513"/>
      <c r="N21" s="513"/>
      <c r="O21" s="513"/>
      <c r="P21" s="513"/>
      <c r="Q21" s="513"/>
      <c r="R21" s="513"/>
      <c r="S21" s="513"/>
      <c r="T21" s="513"/>
      <c r="U21" s="513"/>
      <c r="V21" s="513"/>
      <c r="W21" s="513"/>
      <c r="X21" s="513"/>
      <c r="Y21" s="513"/>
      <c r="Z21" s="513"/>
      <c r="AA21" s="513"/>
      <c r="AB21" s="513"/>
      <c r="AC21" s="513"/>
      <c r="AD21" s="513"/>
      <c r="AE21" s="513"/>
      <c r="AF21" s="513"/>
      <c r="AG21" s="513"/>
      <c r="AH21" s="513"/>
      <c r="AI21" s="513"/>
      <c r="AJ21" s="513"/>
      <c r="AK21" s="513"/>
      <c r="AL21" s="513"/>
      <c r="AM21" s="513"/>
      <c r="AN21" s="513"/>
      <c r="AO21" s="513"/>
      <c r="AP21" s="513"/>
      <c r="AQ21" s="513"/>
      <c r="AR21" s="513"/>
      <c r="AS21" s="513"/>
      <c r="AT21" s="513"/>
      <c r="AU21" s="513"/>
      <c r="AV21" s="513"/>
      <c r="AW21" s="513"/>
      <c r="AX21" s="513"/>
      <c r="AY21" s="513"/>
      <c r="AZ21" s="513"/>
      <c r="BA21" s="513"/>
      <c r="BB21" s="513"/>
      <c r="BC21" s="168"/>
      <c r="BD21" s="172"/>
      <c r="BE21" s="172"/>
      <c r="BF21" s="172"/>
      <c r="BG21" s="172"/>
      <c r="BH21" s="172"/>
      <c r="BI21" s="172"/>
      <c r="BJ21" s="172"/>
      <c r="BK21" s="172"/>
      <c r="BL21" s="173"/>
      <c r="BM21" s="172"/>
      <c r="BN21" s="172"/>
      <c r="BO21" s="172"/>
      <c r="BP21" s="172"/>
      <c r="BQ21" s="172" t="str">
        <f>IF(OR(IFERROR(VLOOKUP(CA21,[1]ARS!A:EL,MATCH("Price To Earnings",[1]ARS!$4:$4,0),FALSE),"-")&lt;0,IFERROR(VLOOKUP(CA21,[1]ARS!A:EL,MATCH("Price To Earnings",[1]ARS!$4:$4,0),FALSE),"-")&gt;500),"-",IFERROR(VLOOKUP(CA21,[1]ARS!A:EL,MATCH("Price To Earnings",[1]ARS!$4:$4,0),FALSE),"-"))</f>
        <v>-</v>
      </c>
      <c r="BR21" s="172"/>
      <c r="BS21" s="172"/>
      <c r="BT21" s="172"/>
      <c r="BU21" s="172"/>
      <c r="BV21" s="172"/>
    </row>
    <row r="22" spans="1:82" ht="20.100000000000001" customHeight="1" x14ac:dyDescent="0.2">
      <c r="A22" s="513" t="s">
        <v>153</v>
      </c>
      <c r="B22" s="513"/>
      <c r="C22" s="513"/>
      <c r="D22" s="513"/>
      <c r="E22" s="513"/>
      <c r="F22" s="513"/>
      <c r="G22" s="513"/>
      <c r="H22" s="513"/>
      <c r="I22" s="513"/>
      <c r="J22" s="513"/>
      <c r="K22" s="513"/>
      <c r="L22" s="513"/>
      <c r="M22" s="519"/>
      <c r="N22" s="513"/>
      <c r="O22" s="513"/>
      <c r="P22" s="513"/>
      <c r="Q22" s="513"/>
      <c r="R22" s="513"/>
      <c r="S22" s="513"/>
      <c r="T22" s="513"/>
      <c r="U22" s="513"/>
      <c r="V22" s="513"/>
      <c r="W22" s="513"/>
      <c r="X22" s="513"/>
      <c r="Y22" s="513"/>
      <c r="Z22" s="513"/>
      <c r="AA22" s="513"/>
      <c r="AB22" s="513"/>
      <c r="AC22" s="513"/>
      <c r="AD22" s="513"/>
      <c r="AE22" s="513"/>
      <c r="AF22" s="513"/>
      <c r="AG22" s="513"/>
      <c r="AH22" s="513"/>
      <c r="AI22" s="513"/>
      <c r="AJ22" s="513"/>
      <c r="AK22" s="513"/>
      <c r="AL22" s="513"/>
      <c r="AM22" s="513"/>
      <c r="AN22" s="513"/>
      <c r="AO22" s="513"/>
      <c r="AP22" s="513"/>
      <c r="AQ22" s="513"/>
      <c r="AR22" s="513"/>
      <c r="AS22" s="513"/>
      <c r="AT22" s="513"/>
      <c r="AU22" s="513"/>
      <c r="AV22" s="513"/>
      <c r="AW22" s="513"/>
      <c r="AX22" s="513"/>
      <c r="AY22" s="513"/>
      <c r="AZ22" s="513"/>
      <c r="BA22" s="513"/>
      <c r="BB22" s="513"/>
      <c r="BC22" s="168"/>
      <c r="BD22" s="172"/>
      <c r="BE22" s="172"/>
      <c r="BF22" s="172"/>
      <c r="BG22" s="172"/>
      <c r="BH22" s="172"/>
      <c r="BI22" s="172"/>
      <c r="BJ22" s="172"/>
      <c r="BK22" s="172"/>
      <c r="BL22" s="173"/>
      <c r="BM22" s="172"/>
      <c r="BN22" s="172"/>
      <c r="BO22" s="172"/>
      <c r="BP22" s="172"/>
      <c r="BQ22" s="172" t="str">
        <f>IF(OR(IFERROR(VLOOKUP(CA22,[1]ARS!A:EL,MATCH("Price To Earnings",[1]ARS!$4:$4,0),FALSE),"-")&lt;0,IFERROR(VLOOKUP(CA22,[1]ARS!A:EL,MATCH("Price To Earnings",[1]ARS!$4:$4,0),FALSE),"-")&gt;500),"-",IFERROR(VLOOKUP(CA22,[1]ARS!A:EL,MATCH("Price To Earnings",[1]ARS!$4:$4,0),FALSE),"-"))</f>
        <v>-</v>
      </c>
      <c r="BR22" s="172"/>
      <c r="BS22" s="172"/>
      <c r="BT22" s="172"/>
      <c r="BU22" s="172"/>
      <c r="BV22" s="172"/>
    </row>
    <row r="23" spans="1:82" s="176" customFormat="1" ht="20.100000000000001" customHeight="1" x14ac:dyDescent="0.2">
      <c r="A23" s="513" t="s">
        <v>154</v>
      </c>
      <c r="B23" s="513"/>
      <c r="C23" s="513"/>
      <c r="D23" s="513"/>
      <c r="E23" s="513"/>
      <c r="F23" s="513"/>
      <c r="G23" s="513"/>
      <c r="H23" s="513"/>
      <c r="I23" s="513"/>
      <c r="J23" s="513"/>
      <c r="K23" s="513"/>
      <c r="L23" s="513"/>
      <c r="M23" s="513"/>
      <c r="N23" s="513"/>
      <c r="O23" s="513"/>
      <c r="P23" s="513"/>
      <c r="Q23" s="513"/>
      <c r="R23" s="513"/>
      <c r="S23" s="513"/>
      <c r="T23" s="513"/>
      <c r="U23" s="513"/>
      <c r="V23" s="513"/>
      <c r="W23" s="513"/>
      <c r="X23" s="513"/>
      <c r="Y23" s="513"/>
      <c r="Z23" s="513"/>
      <c r="AA23" s="513"/>
      <c r="AB23" s="513"/>
      <c r="AC23" s="513"/>
      <c r="AD23" s="513"/>
      <c r="AE23" s="513"/>
      <c r="AF23" s="513"/>
      <c r="AG23" s="513"/>
      <c r="AH23" s="513"/>
      <c r="AI23" s="513"/>
      <c r="AJ23" s="513"/>
      <c r="AK23" s="513"/>
      <c r="AL23" s="513"/>
      <c r="AM23" s="513"/>
      <c r="AN23" s="513"/>
      <c r="AO23" s="513"/>
      <c r="AP23" s="513"/>
      <c r="AQ23" s="513"/>
      <c r="AR23" s="513"/>
      <c r="AS23" s="513"/>
      <c r="AT23" s="513"/>
      <c r="AU23" s="513"/>
      <c r="AV23" s="513"/>
      <c r="AW23" s="513"/>
      <c r="AX23" s="513"/>
      <c r="AY23" s="513"/>
      <c r="AZ23" s="513"/>
      <c r="BA23" s="513"/>
      <c r="BB23" s="513"/>
      <c r="BC23" s="168"/>
      <c r="BD23" s="174"/>
      <c r="BE23" s="174"/>
      <c r="BF23" s="174"/>
      <c r="BG23" s="174"/>
      <c r="BH23" s="174"/>
      <c r="BI23" s="174"/>
      <c r="BJ23" s="174"/>
      <c r="BK23" s="174"/>
      <c r="BL23" s="175"/>
      <c r="BM23" s="174"/>
      <c r="BN23" s="174"/>
      <c r="BO23" s="174"/>
      <c r="BP23" s="174"/>
      <c r="BQ23" s="174" t="str">
        <f>IF(OR(IFERROR(VLOOKUP(CA23,[1]ARS!A:EL,MATCH("Price To Earnings",[1]ARS!$4:$4,0),FALSE),"-")&lt;0,IFERROR(VLOOKUP(CA23,[1]ARS!A:EL,MATCH("Price To Earnings",[1]ARS!$4:$4,0),FALSE),"-")&gt;500),"-",IFERROR(VLOOKUP(CA23,[1]ARS!A:EL,MATCH("Price To Earnings",[1]ARS!$4:$4,0),FALSE),"-"))</f>
        <v>-</v>
      </c>
      <c r="BR23" s="174"/>
      <c r="BS23" s="174"/>
      <c r="BT23" s="174"/>
      <c r="BU23" s="174"/>
      <c r="BV23" s="174"/>
      <c r="CD23" s="177"/>
    </row>
    <row r="24" spans="1:82" ht="20.100000000000001" customHeight="1" x14ac:dyDescent="0.2">
      <c r="A24" s="507" t="s">
        <v>155</v>
      </c>
      <c r="B24" s="507"/>
      <c r="C24" s="507"/>
      <c r="D24" s="507"/>
      <c r="E24" s="507"/>
      <c r="F24" s="507"/>
      <c r="G24" s="507"/>
      <c r="H24" s="507"/>
      <c r="I24" s="507"/>
      <c r="J24" s="507"/>
      <c r="K24" s="507"/>
      <c r="L24" s="507"/>
      <c r="M24" s="515"/>
      <c r="N24" s="507"/>
      <c r="O24" s="507"/>
      <c r="P24" s="507"/>
      <c r="Q24" s="507"/>
      <c r="R24" s="507"/>
      <c r="S24" s="507"/>
      <c r="T24" s="507"/>
      <c r="U24" s="507"/>
      <c r="V24" s="507"/>
      <c r="W24" s="507"/>
      <c r="X24" s="507"/>
      <c r="Y24" s="507"/>
      <c r="Z24" s="507"/>
      <c r="AA24" s="507"/>
      <c r="AB24" s="507"/>
      <c r="AC24" s="507"/>
      <c r="AD24" s="507"/>
      <c r="AE24" s="507"/>
      <c r="AF24" s="507"/>
      <c r="AG24" s="507"/>
      <c r="AH24" s="507"/>
      <c r="AI24" s="507"/>
      <c r="AJ24" s="507"/>
      <c r="AK24" s="507"/>
      <c r="AL24" s="507"/>
      <c r="AM24" s="507"/>
      <c r="AN24" s="507"/>
      <c r="AO24" s="507"/>
      <c r="AP24" s="507"/>
      <c r="AQ24" s="507"/>
      <c r="AR24" s="507"/>
      <c r="AS24" s="507"/>
      <c r="AT24" s="507"/>
      <c r="AU24" s="507"/>
      <c r="AV24" s="507"/>
      <c r="AW24" s="507"/>
      <c r="AX24" s="507"/>
      <c r="AY24" s="507"/>
      <c r="AZ24" s="507"/>
      <c r="BA24" s="507"/>
      <c r="BB24" s="507"/>
      <c r="BC24" s="168"/>
      <c r="BD24" s="172"/>
      <c r="BE24" s="172"/>
      <c r="BF24" s="172"/>
      <c r="BG24" s="172"/>
      <c r="BH24" s="172"/>
      <c r="BI24" s="172"/>
      <c r="BJ24" s="172"/>
      <c r="BK24" s="172"/>
      <c r="BL24" s="173"/>
      <c r="BM24" s="172"/>
      <c r="BN24" s="172"/>
      <c r="BO24" s="172"/>
      <c r="BP24" s="172"/>
      <c r="BQ24" s="172" t="str">
        <f>IF(OR(IFERROR(VLOOKUP(CA24,[1]ARS!A:EL,MATCH("Price To Earnings",[1]ARS!$4:$4,0),FALSE),"-")&lt;0,IFERROR(VLOOKUP(CA24,[1]ARS!A:EL,MATCH("Price To Earnings",[1]ARS!$4:$4,0),FALSE),"-")&gt;500),"-",IFERROR(VLOOKUP(CA24,[1]ARS!A:EL,MATCH("Price To Earnings",[1]ARS!$4:$4,0),FALSE),"-"))</f>
        <v>-</v>
      </c>
      <c r="BR24" s="172"/>
      <c r="BS24" s="172"/>
      <c r="BT24" s="172"/>
      <c r="BU24" s="172"/>
      <c r="BV24" s="172"/>
      <c r="CD24" s="177"/>
    </row>
    <row r="25" spans="1:82" ht="20.100000000000001" customHeight="1" x14ac:dyDescent="0.2">
      <c r="A25" s="507" t="s">
        <v>156</v>
      </c>
      <c r="B25" s="507"/>
      <c r="C25" s="507"/>
      <c r="D25" s="507"/>
      <c r="E25" s="507"/>
      <c r="F25" s="507"/>
      <c r="G25" s="507"/>
      <c r="H25" s="507"/>
      <c r="I25" s="507"/>
      <c r="J25" s="507"/>
      <c r="K25" s="507"/>
      <c r="L25" s="507"/>
      <c r="M25" s="507"/>
      <c r="N25" s="507"/>
      <c r="O25" s="507"/>
      <c r="P25" s="507"/>
      <c r="Q25" s="507"/>
      <c r="R25" s="507"/>
      <c r="S25" s="507"/>
      <c r="T25" s="507"/>
      <c r="U25" s="507"/>
      <c r="V25" s="507"/>
      <c r="W25" s="507"/>
      <c r="X25" s="507"/>
      <c r="Y25" s="507"/>
      <c r="Z25" s="507"/>
      <c r="AA25" s="507"/>
      <c r="AB25" s="507"/>
      <c r="AC25" s="507"/>
      <c r="AD25" s="507"/>
      <c r="AE25" s="507"/>
      <c r="AF25" s="507"/>
      <c r="AG25" s="507"/>
      <c r="AH25" s="507"/>
      <c r="AI25" s="507"/>
      <c r="AJ25" s="507"/>
      <c r="AK25" s="507"/>
      <c r="AL25" s="507"/>
      <c r="AM25" s="507"/>
      <c r="AN25" s="507"/>
      <c r="AO25" s="507"/>
      <c r="AP25" s="507"/>
      <c r="AQ25" s="507"/>
      <c r="AR25" s="507"/>
      <c r="AS25" s="507"/>
      <c r="AT25" s="507"/>
      <c r="AU25" s="507"/>
      <c r="AV25" s="507"/>
      <c r="AW25" s="507"/>
      <c r="AX25" s="507"/>
      <c r="AY25" s="507"/>
      <c r="AZ25" s="507"/>
      <c r="BA25" s="507"/>
      <c r="BB25" s="507"/>
      <c r="BC25" s="168"/>
      <c r="BD25" s="174"/>
      <c r="BE25" s="174"/>
      <c r="BF25" s="174"/>
      <c r="BG25" s="174"/>
      <c r="BH25" s="174"/>
      <c r="BI25" s="174"/>
      <c r="BJ25" s="174"/>
      <c r="BK25" s="174"/>
      <c r="BL25" s="175"/>
      <c r="BM25" s="174"/>
      <c r="BN25" s="174"/>
      <c r="BO25" s="174"/>
      <c r="BP25" s="174"/>
      <c r="BQ25" s="174" t="str">
        <f>IF(OR(IFERROR(VLOOKUP(CA25,[1]ARS!A:EL,MATCH("Price To Earnings",[1]ARS!$4:$4,0),FALSE),"-")&lt;0,IFERROR(VLOOKUP(CA25,[1]ARS!A:EL,MATCH("Price To Earnings",[1]ARS!$4:$4,0),FALSE),"-")&gt;500),"-",IFERROR(VLOOKUP(CA25,[1]ARS!A:EL,MATCH("Price To Earnings",[1]ARS!$4:$4,0),FALSE),"-"))</f>
        <v>-</v>
      </c>
      <c r="BR25" s="174"/>
      <c r="BS25" s="174"/>
      <c r="BT25" s="174"/>
      <c r="BU25" s="174"/>
      <c r="BV25" s="174"/>
      <c r="BX25" s="160" t="s">
        <v>157</v>
      </c>
      <c r="CD25" s="177"/>
    </row>
    <row r="26" spans="1:82" ht="20.100000000000001" customHeight="1" x14ac:dyDescent="0.2">
      <c r="A26" s="512" t="s">
        <v>158</v>
      </c>
      <c r="B26" s="512"/>
      <c r="C26" s="512"/>
      <c r="D26" s="512"/>
      <c r="E26" s="512"/>
      <c r="F26" s="512"/>
      <c r="G26" s="512"/>
      <c r="H26" s="512"/>
      <c r="I26" s="512"/>
      <c r="J26" s="512"/>
      <c r="K26" s="512"/>
      <c r="L26" s="512"/>
      <c r="M26" s="516"/>
      <c r="N26" s="512"/>
      <c r="O26" s="512"/>
      <c r="P26" s="512"/>
      <c r="Q26" s="512"/>
      <c r="R26" s="512"/>
      <c r="S26" s="512"/>
      <c r="T26" s="512"/>
      <c r="U26" s="512"/>
      <c r="V26" s="512"/>
      <c r="W26" s="512"/>
      <c r="X26" s="512"/>
      <c r="Y26" s="512"/>
      <c r="Z26" s="512"/>
      <c r="AA26" s="512"/>
      <c r="AB26" s="512"/>
      <c r="AC26" s="512"/>
      <c r="AD26" s="512"/>
      <c r="AE26" s="512"/>
      <c r="AF26" s="512"/>
      <c r="AG26" s="512"/>
      <c r="AH26" s="512"/>
      <c r="AI26" s="512"/>
      <c r="AJ26" s="512"/>
      <c r="AK26" s="512"/>
      <c r="AL26" s="512"/>
      <c r="AM26" s="512"/>
      <c r="AN26" s="512"/>
      <c r="AO26" s="512"/>
      <c r="AP26" s="512"/>
      <c r="AQ26" s="512"/>
      <c r="AR26" s="512"/>
      <c r="AS26" s="512"/>
      <c r="AT26" s="512"/>
      <c r="AU26" s="512"/>
      <c r="AV26" s="512"/>
      <c r="AW26" s="512"/>
      <c r="AX26" s="512"/>
      <c r="AY26" s="512"/>
      <c r="AZ26" s="512"/>
      <c r="BA26" s="512"/>
      <c r="BB26" s="512"/>
      <c r="BC26" s="168"/>
      <c r="BD26" s="172"/>
      <c r="BE26" s="172"/>
      <c r="BF26" s="172"/>
      <c r="BG26" s="172"/>
      <c r="BH26" s="172"/>
      <c r="BI26" s="172"/>
      <c r="BJ26" s="172"/>
      <c r="BK26" s="172"/>
      <c r="BL26" s="173"/>
      <c r="BM26" s="172"/>
      <c r="BN26" s="172"/>
      <c r="BO26" s="172"/>
      <c r="BP26" s="172"/>
      <c r="BQ26" s="172" t="str">
        <f>IF(OR(IFERROR(VLOOKUP(CA26,[1]ARS!A:EL,MATCH("Price To Earnings",[1]ARS!$4:$4,0),FALSE),"-")&lt;0,IFERROR(VLOOKUP(CA26,[1]ARS!A:EL,MATCH("Price To Earnings",[1]ARS!$4:$4,0),FALSE),"-")&gt;500),"-",IFERROR(VLOOKUP(CA26,[1]ARS!A:EL,MATCH("Price To Earnings",[1]ARS!$4:$4,0),FALSE),"-"))</f>
        <v>-</v>
      </c>
      <c r="BR26" s="172"/>
      <c r="BS26" s="172"/>
      <c r="BT26" s="172"/>
      <c r="BU26" s="172"/>
      <c r="BV26" s="172"/>
      <c r="BX26" s="160" t="s">
        <v>47</v>
      </c>
      <c r="CD26" s="177"/>
    </row>
    <row r="27" spans="1:82" s="180" customFormat="1" ht="20.100000000000001" customHeight="1" x14ac:dyDescent="0.2">
      <c r="A27" s="513" t="s">
        <v>57</v>
      </c>
      <c r="B27" s="513"/>
      <c r="C27" s="513"/>
      <c r="D27" s="513"/>
      <c r="E27" s="513"/>
      <c r="F27" s="513"/>
      <c r="G27" s="513"/>
      <c r="H27" s="513"/>
      <c r="I27" s="513"/>
      <c r="J27" s="513"/>
      <c r="K27" s="513"/>
      <c r="L27" s="513"/>
      <c r="M27" s="513"/>
      <c r="N27" s="513"/>
      <c r="O27" s="513"/>
      <c r="P27" s="513"/>
      <c r="Q27" s="513"/>
      <c r="R27" s="513"/>
      <c r="S27" s="513"/>
      <c r="T27" s="513"/>
      <c r="U27" s="513"/>
      <c r="V27" s="513"/>
      <c r="W27" s="513"/>
      <c r="X27" s="513"/>
      <c r="Y27" s="513"/>
      <c r="Z27" s="513"/>
      <c r="AA27" s="513"/>
      <c r="AB27" s="513"/>
      <c r="AC27" s="513"/>
      <c r="AD27" s="513"/>
      <c r="AE27" s="513"/>
      <c r="AF27" s="513"/>
      <c r="AG27" s="513"/>
      <c r="AH27" s="513"/>
      <c r="AI27" s="513"/>
      <c r="AJ27" s="513"/>
      <c r="AK27" s="513"/>
      <c r="AL27" s="513"/>
      <c r="AM27" s="513"/>
      <c r="AN27" s="513"/>
      <c r="AO27" s="513"/>
      <c r="AP27" s="513"/>
      <c r="AQ27" s="513"/>
      <c r="AR27" s="513"/>
      <c r="AS27" s="513"/>
      <c r="AT27" s="513"/>
      <c r="AU27" s="513"/>
      <c r="AV27" s="513"/>
      <c r="AW27" s="513"/>
      <c r="AX27" s="513"/>
      <c r="AY27" s="513"/>
      <c r="AZ27" s="513"/>
      <c r="BA27" s="513"/>
      <c r="BB27" s="513"/>
      <c r="BC27" s="168"/>
      <c r="BD27" s="178"/>
      <c r="BE27" s="178"/>
      <c r="BF27" s="178"/>
      <c r="BG27" s="178"/>
      <c r="BH27" s="178"/>
      <c r="BI27" s="178"/>
      <c r="BJ27" s="178"/>
      <c r="BK27" s="178"/>
      <c r="BL27" s="179"/>
      <c r="BM27" s="178"/>
      <c r="BN27" s="178"/>
      <c r="BO27" s="178"/>
      <c r="BP27" s="178"/>
      <c r="BQ27" s="178" t="str">
        <f>IF(OR(IFERROR(VLOOKUP(CA27,[1]ARS!A:EL,MATCH("Price To Earnings",[1]ARS!$4:$4,0),FALSE),"-")&lt;0,IFERROR(VLOOKUP(CA27,[1]ARS!A:EL,MATCH("Price To Earnings",[1]ARS!$4:$4,0),FALSE),"-")&gt;500),"-",IFERROR(VLOOKUP(CA27,[1]ARS!A:EL,MATCH("Price To Earnings",[1]ARS!$4:$4,0),FALSE),"-"))</f>
        <v>-</v>
      </c>
      <c r="BR27" s="178"/>
      <c r="BS27" s="178"/>
      <c r="BT27" s="178"/>
      <c r="BU27" s="178"/>
      <c r="BV27" s="178"/>
      <c r="BW27" s="178"/>
      <c r="CD27" s="177"/>
    </row>
    <row r="28" spans="1:82" ht="20.100000000000001" customHeight="1" x14ac:dyDescent="0.2">
      <c r="A28" s="507" t="s">
        <v>159</v>
      </c>
      <c r="B28" s="507"/>
      <c r="C28" s="507"/>
      <c r="D28" s="507"/>
      <c r="E28" s="507"/>
      <c r="F28" s="507"/>
      <c r="G28" s="507"/>
      <c r="H28" s="507"/>
      <c r="I28" s="507"/>
      <c r="J28" s="507"/>
      <c r="K28" s="507"/>
      <c r="L28" s="507"/>
      <c r="M28" s="507"/>
      <c r="N28" s="507"/>
      <c r="O28" s="507"/>
      <c r="P28" s="507"/>
      <c r="Q28" s="507"/>
      <c r="R28" s="507"/>
      <c r="S28" s="507"/>
      <c r="T28" s="507"/>
      <c r="U28" s="507"/>
      <c r="V28" s="507"/>
      <c r="W28" s="507"/>
      <c r="X28" s="507"/>
      <c r="Y28" s="507"/>
      <c r="Z28" s="507"/>
      <c r="AA28" s="507"/>
      <c r="AB28" s="507"/>
      <c r="AC28" s="507"/>
      <c r="AD28" s="507"/>
      <c r="AE28" s="507"/>
      <c r="AF28" s="507"/>
      <c r="AG28" s="507"/>
      <c r="AH28" s="507"/>
      <c r="AI28" s="507"/>
      <c r="AJ28" s="507"/>
      <c r="AK28" s="507"/>
      <c r="AL28" s="507"/>
      <c r="AM28" s="507"/>
      <c r="AN28" s="507"/>
      <c r="AO28" s="507"/>
      <c r="AP28" s="507"/>
      <c r="AQ28" s="507"/>
      <c r="AR28" s="507"/>
      <c r="AS28" s="507"/>
      <c r="AT28" s="507"/>
      <c r="AU28" s="507"/>
      <c r="AV28" s="507"/>
      <c r="AW28" s="507"/>
      <c r="AX28" s="507"/>
      <c r="AY28" s="507"/>
      <c r="AZ28" s="507"/>
      <c r="BA28" s="507"/>
      <c r="BB28" s="507"/>
      <c r="BC28" s="168"/>
      <c r="BD28" s="172"/>
      <c r="BE28" s="172"/>
      <c r="BF28" s="172"/>
      <c r="BG28" s="172"/>
      <c r="BH28" s="172"/>
      <c r="BI28" s="172"/>
      <c r="BJ28" s="172"/>
      <c r="BK28" s="172"/>
      <c r="BL28" s="173"/>
      <c r="BM28" s="172"/>
      <c r="BN28" s="172"/>
      <c r="BO28" s="172"/>
      <c r="BP28" s="172"/>
      <c r="BQ28" s="172"/>
      <c r="BR28" s="172"/>
      <c r="BS28" s="172"/>
      <c r="BT28" s="172"/>
      <c r="BU28" s="172"/>
      <c r="BV28" s="172"/>
      <c r="CD28" s="177"/>
    </row>
    <row r="29" spans="1:82" ht="20.100000000000001" customHeight="1" x14ac:dyDescent="0.2">
      <c r="A29" s="170" t="s">
        <v>160</v>
      </c>
      <c r="B29" s="170"/>
      <c r="C29" s="170"/>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70"/>
      <c r="AB29" s="170"/>
      <c r="AC29" s="170"/>
      <c r="AD29" s="170"/>
      <c r="AE29" s="170"/>
      <c r="AF29" s="170"/>
      <c r="AG29" s="170"/>
      <c r="AH29" s="170"/>
      <c r="AI29" s="170"/>
      <c r="AJ29" s="170"/>
      <c r="AK29" s="170"/>
      <c r="AL29" s="170"/>
      <c r="AM29" s="170"/>
      <c r="AN29" s="170"/>
      <c r="AO29" s="170"/>
      <c r="AP29" s="170"/>
      <c r="AQ29" s="170"/>
      <c r="AR29" s="170"/>
      <c r="AS29" s="170"/>
      <c r="AT29" s="170"/>
      <c r="AU29" s="170"/>
      <c r="AV29" s="170"/>
      <c r="AW29" s="170"/>
      <c r="AX29" s="170"/>
      <c r="AY29" s="170"/>
      <c r="AZ29" s="170"/>
      <c r="BA29" s="170"/>
      <c r="BB29" s="170"/>
      <c r="BC29" s="168"/>
      <c r="BD29" s="172"/>
      <c r="BE29" s="172"/>
      <c r="BF29" s="172"/>
      <c r="BG29" s="172"/>
      <c r="BH29" s="172"/>
      <c r="BI29" s="172"/>
      <c r="BJ29" s="172"/>
      <c r="BK29" s="172"/>
      <c r="BL29" s="173"/>
      <c r="BM29" s="172"/>
      <c r="BN29" s="172"/>
      <c r="BO29" s="172"/>
      <c r="BP29" s="172"/>
      <c r="BQ29" s="172"/>
      <c r="BR29" s="172"/>
      <c r="BS29" s="172"/>
      <c r="BT29" s="172"/>
      <c r="BU29" s="172"/>
      <c r="BV29" s="172"/>
      <c r="CD29" s="177"/>
    </row>
    <row r="30" spans="1:82" ht="20.100000000000001" customHeight="1" x14ac:dyDescent="0.2">
      <c r="A30" s="507" t="s">
        <v>161</v>
      </c>
      <c r="B30" s="507"/>
      <c r="C30" s="507"/>
      <c r="D30" s="507"/>
      <c r="E30" s="507"/>
      <c r="F30" s="507"/>
      <c r="G30" s="507"/>
      <c r="H30" s="507"/>
      <c r="I30" s="507"/>
      <c r="J30" s="507"/>
      <c r="K30" s="507"/>
      <c r="L30" s="507"/>
      <c r="M30" s="507"/>
      <c r="N30" s="507"/>
      <c r="O30" s="507"/>
      <c r="P30" s="507"/>
      <c r="Q30" s="507"/>
      <c r="R30" s="507"/>
      <c r="S30" s="507"/>
      <c r="T30" s="507"/>
      <c r="U30" s="507"/>
      <c r="V30" s="507"/>
      <c r="W30" s="507"/>
      <c r="X30" s="507"/>
      <c r="Y30" s="507"/>
      <c r="Z30" s="507"/>
      <c r="AA30" s="507"/>
      <c r="AB30" s="507"/>
      <c r="AC30" s="507"/>
      <c r="AD30" s="507"/>
      <c r="AE30" s="507"/>
      <c r="AF30" s="507"/>
      <c r="AG30" s="507"/>
      <c r="AH30" s="507"/>
      <c r="AI30" s="507"/>
      <c r="AJ30" s="507"/>
      <c r="AK30" s="507"/>
      <c r="AL30" s="507"/>
      <c r="AM30" s="507"/>
      <c r="AN30" s="507"/>
      <c r="AO30" s="507"/>
      <c r="AP30" s="507"/>
      <c r="AQ30" s="507"/>
      <c r="AR30" s="507"/>
      <c r="AS30" s="507"/>
      <c r="AT30" s="507"/>
      <c r="AU30" s="507"/>
      <c r="AV30" s="507"/>
      <c r="AW30" s="507"/>
      <c r="AX30" s="507"/>
      <c r="AY30" s="507"/>
      <c r="AZ30" s="507"/>
      <c r="BA30" s="507"/>
      <c r="BB30" s="507"/>
      <c r="BC30" s="168"/>
      <c r="BD30" s="172"/>
      <c r="BE30" s="172"/>
      <c r="BF30" s="172"/>
      <c r="BG30" s="172"/>
      <c r="BH30" s="172"/>
      <c r="BI30" s="172"/>
      <c r="BJ30" s="172"/>
      <c r="BK30" s="172"/>
      <c r="BL30" s="173"/>
      <c r="BM30" s="172"/>
      <c r="BN30" s="172"/>
      <c r="BO30" s="172"/>
      <c r="BP30" s="172"/>
      <c r="BQ30" s="172" t="str">
        <f>IF(OR(IFERROR(VLOOKUP(CA30,[1]ARS!A:EL,MATCH("Price To Earnings",[1]ARS!$4:$4,0),FALSE),"-")&lt;0,IFERROR(VLOOKUP(CA30,[1]ARS!A:EL,MATCH("Price To Earnings",[1]ARS!$4:$4,0),FALSE),"-")&gt;500),"-",IFERROR(VLOOKUP(CA30,[1]ARS!A:EL,MATCH("Price To Earnings",[1]ARS!$4:$4,0),FALSE),"-"))</f>
        <v>-</v>
      </c>
      <c r="BR30" s="172"/>
      <c r="BS30" s="172"/>
      <c r="BT30" s="172"/>
      <c r="BU30" s="172"/>
      <c r="BV30" s="172"/>
      <c r="CD30" s="177"/>
    </row>
    <row r="31" spans="1:82" ht="20.100000000000001" customHeight="1" x14ac:dyDescent="0.2">
      <c r="A31" s="512" t="s">
        <v>162</v>
      </c>
      <c r="B31" s="512"/>
      <c r="C31" s="512"/>
      <c r="D31" s="512"/>
      <c r="E31" s="512"/>
      <c r="F31" s="512"/>
      <c r="G31" s="512"/>
      <c r="H31" s="512"/>
      <c r="I31" s="512"/>
      <c r="J31" s="512"/>
      <c r="K31" s="512"/>
      <c r="L31" s="512"/>
      <c r="M31" s="512"/>
      <c r="N31" s="512"/>
      <c r="O31" s="512"/>
      <c r="P31" s="512"/>
      <c r="Q31" s="512"/>
      <c r="R31" s="512"/>
      <c r="S31" s="512"/>
      <c r="T31" s="512"/>
      <c r="U31" s="512"/>
      <c r="V31" s="512"/>
      <c r="W31" s="512"/>
      <c r="X31" s="512"/>
      <c r="Y31" s="512"/>
      <c r="Z31" s="512"/>
      <c r="AA31" s="512"/>
      <c r="AB31" s="512"/>
      <c r="AC31" s="512"/>
      <c r="AD31" s="512"/>
      <c r="AE31" s="512"/>
      <c r="AF31" s="512"/>
      <c r="AG31" s="512"/>
      <c r="AH31" s="512"/>
      <c r="AI31" s="512"/>
      <c r="AJ31" s="512"/>
      <c r="AK31" s="512"/>
      <c r="AL31" s="512"/>
      <c r="AM31" s="512"/>
      <c r="AN31" s="512"/>
      <c r="AO31" s="512"/>
      <c r="AP31" s="512"/>
      <c r="AQ31" s="512"/>
      <c r="AR31" s="512"/>
      <c r="AS31" s="512"/>
      <c r="AT31" s="512"/>
      <c r="AU31" s="512"/>
      <c r="AV31" s="512"/>
      <c r="AW31" s="512"/>
      <c r="AX31" s="512"/>
      <c r="AY31" s="512"/>
      <c r="AZ31" s="512"/>
      <c r="BA31" s="512"/>
      <c r="BB31" s="512"/>
      <c r="BC31" s="168"/>
      <c r="BD31" s="172"/>
      <c r="BE31" s="172"/>
      <c r="BF31" s="172"/>
      <c r="BG31" s="172"/>
      <c r="BH31" s="172"/>
      <c r="BI31" s="172"/>
      <c r="BJ31" s="172"/>
      <c r="BK31" s="172"/>
      <c r="BL31" s="173"/>
      <c r="BM31" s="172"/>
      <c r="BN31" s="172"/>
      <c r="BO31" s="172"/>
      <c r="BP31" s="172"/>
      <c r="BQ31" s="172" t="str">
        <f>IF(OR(IFERROR(VLOOKUP(CA31,[1]ARS!A:EL,MATCH("Price To Earnings",[1]ARS!$4:$4,0),FALSE),"-")&lt;0,IFERROR(VLOOKUP(CA31,[1]ARS!A:EL,MATCH("Price To Earnings",[1]ARS!$4:$4,0),FALSE),"-")&gt;500),"-",IFERROR(VLOOKUP(CA31,[1]ARS!A:EL,MATCH("Price To Earnings",[1]ARS!$4:$4,0),FALSE),"-"))</f>
        <v>-</v>
      </c>
      <c r="BR31" s="172"/>
      <c r="BS31" s="172"/>
      <c r="BT31" s="172"/>
      <c r="BU31" s="172"/>
      <c r="BV31" s="172"/>
      <c r="CD31" s="177"/>
    </row>
    <row r="32" spans="1:82" ht="20.100000000000001" customHeight="1" x14ac:dyDescent="0.2">
      <c r="A32" s="513" t="s">
        <v>163</v>
      </c>
      <c r="B32" s="513"/>
      <c r="C32" s="513"/>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c r="AE32" s="513"/>
      <c r="AF32" s="513"/>
      <c r="AG32" s="513"/>
      <c r="AH32" s="513"/>
      <c r="AI32" s="513"/>
      <c r="AJ32" s="513"/>
      <c r="AK32" s="513"/>
      <c r="AL32" s="513"/>
      <c r="AM32" s="513"/>
      <c r="AN32" s="513"/>
      <c r="AO32" s="513"/>
      <c r="AP32" s="513"/>
      <c r="AQ32" s="513"/>
      <c r="AR32" s="513"/>
      <c r="AS32" s="513"/>
      <c r="AT32" s="513"/>
      <c r="AU32" s="513"/>
      <c r="AV32" s="513"/>
      <c r="AW32" s="513"/>
      <c r="AX32" s="513"/>
      <c r="AY32" s="513"/>
      <c r="AZ32" s="513"/>
      <c r="BA32" s="513"/>
      <c r="BB32" s="513"/>
      <c r="BC32" s="181"/>
      <c r="BD32" s="172"/>
      <c r="BE32" s="172"/>
      <c r="BF32" s="172"/>
      <c r="BG32" s="172"/>
      <c r="BH32" s="172"/>
      <c r="BI32" s="172"/>
      <c r="BJ32" s="172"/>
      <c r="BK32" s="172"/>
      <c r="BL32" s="173"/>
      <c r="BM32" s="172"/>
      <c r="BN32" s="172"/>
      <c r="BO32" s="172"/>
      <c r="BP32" s="172"/>
      <c r="BQ32" s="172" t="str">
        <f>IF(OR(IFERROR(VLOOKUP(CA32,[1]ARS!A:EL,MATCH("Price To Earnings",[1]ARS!$4:$4,0),FALSE),"-")&lt;0,IFERROR(VLOOKUP(CA32,[1]ARS!A:EL,MATCH("Price To Earnings",[1]ARS!$4:$4,0),FALSE),"-")&gt;500),"-",IFERROR(VLOOKUP(CA32,[1]ARS!A:EL,MATCH("Price To Earnings",[1]ARS!$4:$4,0),FALSE),"-"))</f>
        <v>-</v>
      </c>
      <c r="BR32" s="172"/>
      <c r="BS32" s="172"/>
      <c r="BT32" s="172"/>
      <c r="BU32" s="172"/>
      <c r="BV32" s="172"/>
    </row>
    <row r="33" spans="1:75" ht="20.100000000000001" customHeight="1" x14ac:dyDescent="0.2">
      <c r="A33" s="513"/>
      <c r="B33" s="513"/>
      <c r="C33" s="513"/>
      <c r="D33" s="513"/>
      <c r="E33" s="513"/>
      <c r="F33" s="513"/>
      <c r="G33" s="513"/>
      <c r="H33" s="513"/>
      <c r="I33" s="513"/>
      <c r="J33" s="513"/>
      <c r="K33" s="513"/>
      <c r="L33" s="513"/>
      <c r="M33" s="514"/>
      <c r="N33" s="513"/>
      <c r="O33" s="513"/>
      <c r="P33" s="513"/>
      <c r="Q33" s="513"/>
      <c r="R33" s="513"/>
      <c r="S33" s="513"/>
      <c r="T33" s="513"/>
      <c r="U33" s="513"/>
      <c r="V33" s="513"/>
      <c r="W33" s="513"/>
      <c r="X33" s="513"/>
      <c r="Y33" s="513"/>
      <c r="Z33" s="513"/>
      <c r="AA33" s="513"/>
      <c r="AB33" s="513"/>
      <c r="AC33" s="513"/>
      <c r="AD33" s="513"/>
      <c r="AE33" s="513"/>
      <c r="AF33" s="513"/>
      <c r="AG33" s="513"/>
      <c r="AH33" s="513"/>
      <c r="AI33" s="513"/>
      <c r="AJ33" s="513"/>
      <c r="AK33" s="513"/>
      <c r="AL33" s="513"/>
      <c r="AM33" s="513"/>
      <c r="AN33" s="513"/>
      <c r="AO33" s="513"/>
      <c r="AP33" s="513"/>
      <c r="AQ33" s="513"/>
      <c r="AR33" s="513"/>
      <c r="AS33" s="513"/>
      <c r="AT33" s="513"/>
      <c r="AU33" s="513"/>
      <c r="AV33" s="513"/>
      <c r="AW33" s="513"/>
      <c r="AX33" s="513"/>
      <c r="AY33" s="513"/>
      <c r="AZ33" s="513"/>
      <c r="BA33" s="513"/>
      <c r="BB33" s="513"/>
      <c r="BC33" s="181"/>
      <c r="BD33" s="172"/>
      <c r="BE33" s="172"/>
      <c r="BF33" s="172"/>
      <c r="BG33" s="172"/>
      <c r="BH33" s="172"/>
      <c r="BI33" s="172"/>
      <c r="BJ33" s="172"/>
      <c r="BK33" s="172"/>
      <c r="BL33" s="173"/>
      <c r="BM33" s="172"/>
      <c r="BN33" s="172"/>
      <c r="BO33" s="172"/>
      <c r="BP33" s="172"/>
      <c r="BQ33" s="172" t="str">
        <f>IF(OR(IFERROR(VLOOKUP(CA33,[1]ARS!A:EL,MATCH("Price To Earnings",[1]ARS!$4:$4,0),FALSE),"-")&lt;0,IFERROR(VLOOKUP(CA33,[1]ARS!A:EL,MATCH("Price To Earnings",[1]ARS!$4:$4,0),FALSE),"-")&gt;500),"-",IFERROR(VLOOKUP(CA33,[1]ARS!A:EL,MATCH("Price To Earnings",[1]ARS!$4:$4,0),FALSE),"-"))</f>
        <v>-</v>
      </c>
      <c r="BR33" s="172"/>
      <c r="BS33" s="172"/>
      <c r="BT33" s="172"/>
      <c r="BU33" s="172"/>
      <c r="BV33" s="172"/>
    </row>
    <row r="34" spans="1:75" ht="10.5" customHeight="1" x14ac:dyDescent="0.2">
      <c r="A34" s="513" t="s">
        <v>164</v>
      </c>
      <c r="B34" s="513"/>
      <c r="C34" s="513"/>
      <c r="D34" s="513"/>
      <c r="E34" s="513"/>
      <c r="F34" s="513"/>
      <c r="G34" s="513"/>
      <c r="H34" s="513"/>
      <c r="I34" s="513"/>
      <c r="J34" s="513"/>
      <c r="K34" s="513"/>
      <c r="L34" s="513"/>
      <c r="M34" s="513"/>
      <c r="N34" s="513"/>
      <c r="O34" s="513"/>
      <c r="P34" s="513"/>
      <c r="Q34" s="513"/>
      <c r="R34" s="513"/>
      <c r="S34" s="513"/>
      <c r="T34" s="513"/>
      <c r="U34" s="513"/>
      <c r="V34" s="513"/>
      <c r="W34" s="513"/>
      <c r="X34" s="513"/>
      <c r="Y34" s="513"/>
      <c r="Z34" s="513"/>
      <c r="AA34" s="513"/>
      <c r="AB34" s="513"/>
      <c r="AC34" s="513"/>
      <c r="AD34" s="513"/>
      <c r="AE34" s="513"/>
      <c r="AF34" s="513"/>
      <c r="AG34" s="513"/>
      <c r="AH34" s="513"/>
      <c r="AI34" s="513"/>
      <c r="AJ34" s="513"/>
      <c r="AK34" s="513"/>
      <c r="AL34" s="513"/>
      <c r="AM34" s="513"/>
      <c r="AN34" s="513"/>
      <c r="AO34" s="513"/>
      <c r="AP34" s="513"/>
      <c r="AQ34" s="513"/>
      <c r="AR34" s="513"/>
      <c r="AS34" s="513"/>
      <c r="AT34" s="513"/>
      <c r="AU34" s="513"/>
      <c r="AV34" s="513"/>
      <c r="AW34" s="513"/>
      <c r="AX34" s="513"/>
      <c r="AY34" s="513"/>
      <c r="AZ34" s="513"/>
      <c r="BA34" s="513"/>
      <c r="BB34" s="513"/>
      <c r="BC34" s="181"/>
      <c r="BD34" s="172"/>
      <c r="BE34" s="172"/>
      <c r="BF34" s="172"/>
      <c r="BG34" s="172"/>
      <c r="BH34" s="172"/>
      <c r="BI34" s="172"/>
      <c r="BJ34" s="172"/>
      <c r="BK34" s="172"/>
      <c r="BL34" s="173"/>
      <c r="BM34" s="172"/>
      <c r="BN34" s="172"/>
      <c r="BO34" s="172"/>
      <c r="BP34" s="172"/>
      <c r="BQ34" s="172" t="str">
        <f>IF(OR(IFERROR(VLOOKUP(CA34,[1]ARS!A:EL,MATCH("Price To Earnings",[1]ARS!$4:$4,0),FALSE),"-")&lt;0,IFERROR(VLOOKUP(CA34,[1]ARS!A:EL,MATCH("Price To Earnings",[1]ARS!$4:$4,0),FALSE),"-")&gt;500),"-",IFERROR(VLOOKUP(CA34,[1]ARS!A:EL,MATCH("Price To Earnings",[1]ARS!$4:$4,0),FALSE),"-"))</f>
        <v>-</v>
      </c>
      <c r="BR34" s="172"/>
      <c r="BS34" s="172"/>
      <c r="BT34" s="172"/>
      <c r="BU34" s="172"/>
      <c r="BV34" s="172"/>
    </row>
    <row r="35" spans="1:75" ht="20.100000000000001" customHeight="1" x14ac:dyDescent="0.2">
      <c r="A35" s="513"/>
      <c r="B35" s="513"/>
      <c r="C35" s="513"/>
      <c r="D35" s="513"/>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3"/>
      <c r="AE35" s="513"/>
      <c r="AF35" s="513"/>
      <c r="AG35" s="513"/>
      <c r="AH35" s="513"/>
      <c r="AI35" s="513"/>
      <c r="AJ35" s="513"/>
      <c r="AK35" s="513"/>
      <c r="AL35" s="513"/>
      <c r="AM35" s="513"/>
      <c r="AN35" s="513"/>
      <c r="AO35" s="513"/>
      <c r="AP35" s="513"/>
      <c r="AQ35" s="513"/>
      <c r="AR35" s="513"/>
      <c r="AS35" s="513"/>
      <c r="AT35" s="513"/>
      <c r="AU35" s="513"/>
      <c r="AV35" s="513"/>
      <c r="AW35" s="513"/>
      <c r="AX35" s="513"/>
      <c r="AY35" s="513"/>
      <c r="AZ35" s="513"/>
      <c r="BA35" s="513"/>
      <c r="BB35" s="513"/>
      <c r="BC35" s="181"/>
      <c r="BD35" s="172"/>
      <c r="BE35" s="172"/>
      <c r="BF35" s="172"/>
      <c r="BG35" s="172"/>
      <c r="BH35" s="172"/>
      <c r="BI35" s="172"/>
      <c r="BJ35" s="172"/>
      <c r="BK35" s="172"/>
      <c r="BL35" s="173"/>
      <c r="BM35" s="172"/>
      <c r="BN35" s="172"/>
      <c r="BO35" s="172"/>
      <c r="BP35" s="172"/>
      <c r="BQ35" s="172"/>
      <c r="BR35" s="172"/>
      <c r="BS35" s="172"/>
      <c r="BT35" s="172"/>
      <c r="BU35" s="172"/>
      <c r="BV35" s="172"/>
    </row>
    <row r="36" spans="1:75" ht="12" customHeight="1" x14ac:dyDescent="0.2">
      <c r="A36" s="507" t="s">
        <v>165</v>
      </c>
      <c r="B36" s="507"/>
      <c r="C36" s="507"/>
      <c r="D36" s="507"/>
      <c r="E36" s="507"/>
      <c r="F36" s="507"/>
      <c r="G36" s="507"/>
      <c r="H36" s="507"/>
      <c r="I36" s="507"/>
      <c r="J36" s="507"/>
      <c r="K36" s="507"/>
      <c r="L36" s="507"/>
      <c r="M36" s="507"/>
      <c r="N36" s="507"/>
      <c r="O36" s="507"/>
      <c r="P36" s="507"/>
      <c r="Q36" s="507"/>
      <c r="R36" s="507"/>
      <c r="S36" s="507"/>
      <c r="T36" s="507"/>
      <c r="U36" s="507"/>
      <c r="V36" s="507"/>
      <c r="W36" s="507"/>
      <c r="X36" s="507"/>
      <c r="Y36" s="507"/>
      <c r="Z36" s="507"/>
      <c r="AA36" s="507"/>
      <c r="AB36" s="507"/>
      <c r="AC36" s="507"/>
      <c r="AD36" s="507"/>
      <c r="AE36" s="507"/>
      <c r="AF36" s="507"/>
      <c r="AG36" s="507"/>
      <c r="AH36" s="507"/>
      <c r="AI36" s="507"/>
      <c r="AJ36" s="507"/>
      <c r="AK36" s="507"/>
      <c r="AL36" s="507"/>
      <c r="AM36" s="507"/>
      <c r="AN36" s="507"/>
      <c r="AO36" s="507"/>
      <c r="AP36" s="507"/>
      <c r="AQ36" s="507"/>
      <c r="AR36" s="507"/>
      <c r="AS36" s="507"/>
      <c r="AT36" s="507"/>
      <c r="AU36" s="507"/>
      <c r="AV36" s="507"/>
      <c r="AW36" s="507"/>
      <c r="AX36" s="507"/>
      <c r="AY36" s="507"/>
      <c r="AZ36" s="507"/>
      <c r="BA36" s="507"/>
      <c r="BB36" s="507"/>
      <c r="BC36" s="181"/>
      <c r="BD36" s="172"/>
      <c r="BE36" s="172"/>
      <c r="BF36" s="172"/>
      <c r="BG36" s="172"/>
      <c r="BH36" s="172"/>
      <c r="BI36" s="172"/>
      <c r="BJ36" s="172"/>
      <c r="BK36" s="172"/>
      <c r="BL36" s="173"/>
      <c r="BM36" s="172"/>
      <c r="BN36" s="172"/>
      <c r="BO36" s="172"/>
      <c r="BP36" s="172"/>
      <c r="BQ36" s="172" t="str">
        <f>IF(OR(IFERROR(VLOOKUP(CA36,[1]ARS!A:EL,MATCH("Price To Earnings",[1]ARS!$4:$4,0),FALSE),"-")&lt;0,IFERROR(VLOOKUP(CA36,[1]ARS!A:EL,MATCH("Price To Earnings",[1]ARS!$4:$4,0),FALSE),"-")&gt;500),"-",IFERROR(VLOOKUP(CA36,[1]ARS!A:EL,MATCH("Price To Earnings",[1]ARS!$4:$4,0),FALSE),"-"))</f>
        <v>-</v>
      </c>
      <c r="BR36" s="172"/>
      <c r="BS36" s="172"/>
      <c r="BT36" s="172"/>
      <c r="BU36" s="172"/>
      <c r="BV36" s="172"/>
    </row>
    <row r="37" spans="1:75" ht="15" customHeight="1" x14ac:dyDescent="0.2">
      <c r="A37" s="513" t="s">
        <v>166</v>
      </c>
      <c r="B37" s="513"/>
      <c r="C37" s="513"/>
      <c r="D37" s="513"/>
      <c r="E37" s="513"/>
      <c r="F37" s="513"/>
      <c r="G37" s="513"/>
      <c r="H37" s="513"/>
      <c r="I37" s="513"/>
      <c r="J37" s="513"/>
      <c r="K37" s="513"/>
      <c r="L37" s="513"/>
      <c r="M37" s="513"/>
      <c r="N37" s="513"/>
      <c r="O37" s="513"/>
      <c r="P37" s="513"/>
      <c r="Q37" s="513"/>
      <c r="R37" s="513"/>
      <c r="S37" s="513"/>
      <c r="T37" s="513"/>
      <c r="U37" s="513"/>
      <c r="V37" s="513"/>
      <c r="W37" s="513"/>
      <c r="X37" s="513"/>
      <c r="Y37" s="513"/>
      <c r="Z37" s="513"/>
      <c r="AA37" s="513"/>
      <c r="AB37" s="513"/>
      <c r="AC37" s="513"/>
      <c r="AD37" s="513"/>
      <c r="AE37" s="513"/>
      <c r="AF37" s="513"/>
      <c r="AG37" s="513"/>
      <c r="AH37" s="513"/>
      <c r="AI37" s="513"/>
      <c r="AJ37" s="513"/>
      <c r="AK37" s="513"/>
      <c r="AL37" s="513"/>
      <c r="AM37" s="513"/>
      <c r="AN37" s="513"/>
      <c r="AO37" s="513"/>
      <c r="AP37" s="513"/>
      <c r="AQ37" s="513"/>
      <c r="AR37" s="513"/>
      <c r="AS37" s="513"/>
      <c r="AT37" s="513"/>
      <c r="AU37" s="513"/>
      <c r="AV37" s="513"/>
      <c r="AW37" s="513"/>
      <c r="AX37" s="513"/>
      <c r="AY37" s="513"/>
      <c r="AZ37" s="513"/>
      <c r="BA37" s="513"/>
      <c r="BB37" s="513"/>
      <c r="BC37" s="181"/>
      <c r="BD37" s="172"/>
      <c r="BE37" s="172"/>
      <c r="BF37" s="172"/>
      <c r="BG37" s="172"/>
      <c r="BH37" s="172"/>
      <c r="BI37" s="172"/>
      <c r="BJ37" s="172"/>
      <c r="BK37" s="172"/>
      <c r="BL37" s="173"/>
      <c r="BM37" s="172"/>
      <c r="BN37" s="172"/>
      <c r="BO37" s="172"/>
      <c r="BP37" s="172"/>
      <c r="BQ37" s="172"/>
      <c r="BR37" s="172"/>
      <c r="BS37" s="172"/>
      <c r="BT37" s="172"/>
      <c r="BU37" s="172"/>
      <c r="BV37" s="172"/>
    </row>
    <row r="38" spans="1:75" ht="15.75" customHeight="1" x14ac:dyDescent="0.2">
      <c r="A38" s="507" t="s">
        <v>57</v>
      </c>
      <c r="B38" s="507"/>
      <c r="C38" s="507"/>
      <c r="D38" s="507"/>
      <c r="E38" s="507"/>
      <c r="F38" s="507"/>
      <c r="G38" s="507"/>
      <c r="H38" s="507"/>
      <c r="I38" s="507"/>
      <c r="J38" s="507"/>
      <c r="K38" s="507"/>
      <c r="L38" s="507"/>
      <c r="M38" s="507"/>
      <c r="N38" s="507"/>
      <c r="O38" s="507"/>
      <c r="P38" s="507"/>
      <c r="Q38" s="507"/>
      <c r="R38" s="507"/>
      <c r="S38" s="507"/>
      <c r="T38" s="507"/>
      <c r="U38" s="507"/>
      <c r="V38" s="507"/>
      <c r="W38" s="507"/>
      <c r="X38" s="507"/>
      <c r="Y38" s="507"/>
      <c r="Z38" s="507"/>
      <c r="AA38" s="507"/>
      <c r="AB38" s="507"/>
      <c r="AC38" s="507"/>
      <c r="AD38" s="507"/>
      <c r="AE38" s="507"/>
      <c r="AF38" s="507"/>
      <c r="AG38" s="507"/>
      <c r="AH38" s="507"/>
      <c r="AI38" s="507"/>
      <c r="AJ38" s="507"/>
      <c r="AK38" s="507"/>
      <c r="AL38" s="507"/>
      <c r="AM38" s="507"/>
      <c r="AN38" s="507"/>
      <c r="AO38" s="507"/>
      <c r="AP38" s="507"/>
      <c r="AQ38" s="507"/>
      <c r="AR38" s="507"/>
      <c r="AS38" s="507"/>
      <c r="AT38" s="507"/>
      <c r="AU38" s="507"/>
      <c r="AV38" s="507"/>
      <c r="AW38" s="507"/>
      <c r="AX38" s="507"/>
      <c r="AY38" s="507"/>
      <c r="AZ38" s="507"/>
      <c r="BA38" s="507"/>
      <c r="BB38" s="507"/>
      <c r="BC38" s="181"/>
      <c r="BD38" s="172"/>
      <c r="BE38" s="172"/>
      <c r="BF38" s="172"/>
      <c r="BG38" s="172"/>
      <c r="BH38" s="172"/>
      <c r="BI38" s="172"/>
      <c r="BJ38" s="172"/>
      <c r="BK38" s="172"/>
      <c r="BL38" s="173"/>
      <c r="BM38" s="172"/>
      <c r="BN38" s="172"/>
      <c r="BO38" s="172"/>
      <c r="BP38" s="172"/>
      <c r="BQ38" s="172" t="str">
        <f>IF(OR(IFERROR(VLOOKUP(CA38,[1]ARS!A:EL,MATCH("Price To Earnings",[1]ARS!$4:$4,0),FALSE),"-")&lt;0,IFERROR(VLOOKUP(CA38,[1]ARS!A:EL,MATCH("Price To Earnings",[1]ARS!$4:$4,0),FALSE),"-")&gt;500),"-",IFERROR(VLOOKUP(CA38,[1]ARS!A:EL,MATCH("Price To Earnings",[1]ARS!$4:$4,0),FALSE),"-"))</f>
        <v>-</v>
      </c>
      <c r="BR38" s="172"/>
      <c r="BS38" s="172"/>
      <c r="BT38" s="172"/>
      <c r="BU38" s="172"/>
      <c r="BV38" s="172"/>
      <c r="BW38" s="172"/>
    </row>
    <row r="39" spans="1:75" ht="15.75" customHeight="1" x14ac:dyDescent="0.2">
      <c r="A39" s="507" t="s">
        <v>167</v>
      </c>
      <c r="B39" s="507"/>
      <c r="C39" s="507"/>
      <c r="D39" s="507"/>
      <c r="E39" s="507"/>
      <c r="F39" s="507"/>
      <c r="G39" s="507"/>
      <c r="H39" s="507"/>
      <c r="I39" s="507"/>
      <c r="J39" s="507"/>
      <c r="K39" s="507"/>
      <c r="L39" s="507"/>
      <c r="M39" s="507"/>
      <c r="N39" s="507"/>
      <c r="O39" s="507"/>
      <c r="P39" s="507"/>
      <c r="Q39" s="507"/>
      <c r="R39" s="507"/>
      <c r="S39" s="507"/>
      <c r="T39" s="507"/>
      <c r="U39" s="507"/>
      <c r="V39" s="507"/>
      <c r="W39" s="507"/>
      <c r="X39" s="507"/>
      <c r="Y39" s="507"/>
      <c r="Z39" s="507"/>
      <c r="AA39" s="507"/>
      <c r="AB39" s="507"/>
      <c r="AC39" s="507"/>
      <c r="AD39" s="507"/>
      <c r="AE39" s="507"/>
      <c r="AF39" s="507"/>
      <c r="AG39" s="507"/>
      <c r="AH39" s="507"/>
      <c r="AI39" s="507"/>
      <c r="AJ39" s="507"/>
      <c r="AK39" s="507"/>
      <c r="AL39" s="507"/>
      <c r="AM39" s="507"/>
      <c r="AN39" s="507"/>
      <c r="AO39" s="507"/>
      <c r="AP39" s="507"/>
      <c r="AQ39" s="507"/>
      <c r="AR39" s="507"/>
      <c r="AS39" s="507"/>
      <c r="AT39" s="507"/>
      <c r="AU39" s="507"/>
      <c r="AV39" s="507"/>
      <c r="AW39" s="507"/>
      <c r="AX39" s="507"/>
      <c r="AY39" s="507"/>
      <c r="AZ39" s="507"/>
      <c r="BA39" s="507"/>
      <c r="BB39" s="507"/>
      <c r="BC39" s="181"/>
      <c r="BD39" s="172"/>
      <c r="BE39" s="172"/>
      <c r="BF39" s="172"/>
      <c r="BG39" s="172"/>
      <c r="BH39" s="172"/>
      <c r="BI39" s="172"/>
      <c r="BJ39" s="172"/>
      <c r="BK39" s="172"/>
      <c r="BL39" s="173"/>
      <c r="BM39" s="172"/>
      <c r="BN39" s="172"/>
      <c r="BO39" s="172"/>
      <c r="BP39" s="172"/>
      <c r="BQ39" s="172" t="str">
        <f>IF(OR(IFERROR(VLOOKUP(CA39,[1]ARS!A:EL,MATCH("Price To Earnings",[1]ARS!$4:$4,0),FALSE),"-")&lt;0,IFERROR(VLOOKUP(CA39,[1]ARS!A:EL,MATCH("Price To Earnings",[1]ARS!$4:$4,0),FALSE),"-")&gt;500),"-",IFERROR(VLOOKUP(CA39,[1]ARS!A:EL,MATCH("Price To Earnings",[1]ARS!$4:$4,0),FALSE),"-"))</f>
        <v>-</v>
      </c>
      <c r="BR39" s="172"/>
      <c r="BS39" s="172"/>
      <c r="BT39" s="172"/>
      <c r="BU39" s="172"/>
      <c r="BV39" s="172"/>
    </row>
    <row r="40" spans="1:75" ht="18" customHeight="1" x14ac:dyDescent="0.2">
      <c r="A40" s="508" t="s">
        <v>168</v>
      </c>
      <c r="B40" s="508"/>
      <c r="C40" s="508"/>
      <c r="D40" s="508"/>
      <c r="E40" s="508"/>
      <c r="F40" s="508"/>
      <c r="G40" s="508"/>
      <c r="H40" s="508"/>
      <c r="I40" s="508"/>
      <c r="J40" s="508"/>
      <c r="K40" s="508"/>
      <c r="L40" s="508"/>
      <c r="M40" s="508"/>
      <c r="N40" s="508"/>
      <c r="O40" s="508"/>
      <c r="P40" s="508"/>
      <c r="Q40" s="508"/>
      <c r="R40" s="508"/>
      <c r="S40" s="508"/>
      <c r="T40" s="508"/>
      <c r="U40" s="508"/>
      <c r="V40" s="508"/>
      <c r="W40" s="508"/>
      <c r="X40" s="508"/>
      <c r="Y40" s="508"/>
      <c r="Z40" s="508"/>
      <c r="AA40" s="508"/>
      <c r="AB40" s="508"/>
      <c r="AC40" s="508"/>
      <c r="AD40" s="508"/>
      <c r="AE40" s="508"/>
      <c r="AF40" s="508"/>
      <c r="AG40" s="508"/>
      <c r="AH40" s="508"/>
      <c r="AI40" s="508"/>
      <c r="AJ40" s="508"/>
      <c r="AK40" s="508"/>
      <c r="AL40" s="508"/>
      <c r="AM40" s="508"/>
      <c r="AN40" s="508"/>
      <c r="AO40" s="508"/>
      <c r="AP40" s="508"/>
      <c r="AQ40" s="508"/>
      <c r="AR40" s="508"/>
      <c r="AS40" s="508"/>
      <c r="AT40" s="508"/>
      <c r="AU40" s="508"/>
      <c r="AV40" s="508"/>
      <c r="AW40" s="508"/>
      <c r="AX40" s="508"/>
      <c r="AY40" s="508"/>
      <c r="AZ40" s="508"/>
      <c r="BA40" s="508"/>
      <c r="BB40" s="508"/>
      <c r="BC40" s="508"/>
      <c r="BD40" s="172"/>
      <c r="BE40" s="172"/>
      <c r="BF40" s="172"/>
      <c r="BG40" s="172"/>
      <c r="BH40" s="172"/>
      <c r="BI40" s="172"/>
      <c r="BJ40" s="172"/>
      <c r="BK40" s="172"/>
      <c r="BL40" s="173"/>
      <c r="BM40" s="172"/>
      <c r="BN40" s="172"/>
      <c r="BO40" s="172"/>
      <c r="BP40" s="172"/>
      <c r="BQ40" s="172"/>
      <c r="BR40" s="172"/>
      <c r="BS40" s="172"/>
      <c r="BT40" s="172"/>
      <c r="BU40" s="172"/>
      <c r="BV40" s="172"/>
    </row>
    <row r="41" spans="1:75" ht="18" customHeight="1" x14ac:dyDescent="0.2">
      <c r="A41" s="508"/>
      <c r="B41" s="508"/>
      <c r="C41" s="508"/>
      <c r="D41" s="508"/>
      <c r="E41" s="508"/>
      <c r="F41" s="508"/>
      <c r="G41" s="508"/>
      <c r="H41" s="508"/>
      <c r="I41" s="508"/>
      <c r="J41" s="508"/>
      <c r="K41" s="508"/>
      <c r="L41" s="508"/>
      <c r="M41" s="508"/>
      <c r="N41" s="508"/>
      <c r="O41" s="508"/>
      <c r="P41" s="508"/>
      <c r="Q41" s="508"/>
      <c r="R41" s="508"/>
      <c r="S41" s="508"/>
      <c r="T41" s="508"/>
      <c r="U41" s="508"/>
      <c r="V41" s="508"/>
      <c r="W41" s="508"/>
      <c r="X41" s="508"/>
      <c r="Y41" s="508"/>
      <c r="Z41" s="508"/>
      <c r="AA41" s="508"/>
      <c r="AB41" s="508"/>
      <c r="AC41" s="508"/>
      <c r="AD41" s="508"/>
      <c r="AE41" s="508"/>
      <c r="AF41" s="508"/>
      <c r="AG41" s="508"/>
      <c r="AH41" s="508"/>
      <c r="AI41" s="508"/>
      <c r="AJ41" s="508"/>
      <c r="AK41" s="508"/>
      <c r="AL41" s="508"/>
      <c r="AM41" s="508"/>
      <c r="AN41" s="508"/>
      <c r="AO41" s="508"/>
      <c r="AP41" s="508"/>
      <c r="AQ41" s="508"/>
      <c r="AR41" s="508"/>
      <c r="AS41" s="508"/>
      <c r="AT41" s="508"/>
      <c r="AU41" s="508"/>
      <c r="AV41" s="508"/>
      <c r="AW41" s="508"/>
      <c r="AX41" s="508"/>
      <c r="AY41" s="508"/>
      <c r="AZ41" s="508"/>
      <c r="BA41" s="508"/>
      <c r="BB41" s="508"/>
      <c r="BC41" s="508"/>
      <c r="BD41" s="172"/>
      <c r="BE41" s="172"/>
      <c r="BF41" s="172"/>
      <c r="BG41" s="172"/>
      <c r="BH41" s="172"/>
      <c r="BI41" s="172"/>
      <c r="BJ41" s="172"/>
      <c r="BK41" s="172"/>
      <c r="BL41" s="173"/>
      <c r="BM41" s="172"/>
      <c r="BN41" s="172"/>
      <c r="BO41" s="172"/>
      <c r="BP41" s="172"/>
      <c r="BQ41" s="172" t="str">
        <f>IF(OR(IFERROR(VLOOKUP(CA41,[1]ARS!A:EL,MATCH("Price To Earnings",[1]ARS!$4:$4,0),FALSE),"-")&lt;0,IFERROR(VLOOKUP(CA41,[1]ARS!A:EL,MATCH("Price To Earnings",[1]ARS!$4:$4,0),FALSE),"-")&gt;500),"-",IFERROR(VLOOKUP(CA41,[1]ARS!A:EL,MATCH("Price To Earnings",[1]ARS!$4:$4,0),FALSE),"-"))</f>
        <v>-</v>
      </c>
      <c r="BR41" s="172"/>
      <c r="BS41" s="172"/>
      <c r="BT41" s="172"/>
      <c r="BU41" s="172"/>
      <c r="BV41" s="172"/>
    </row>
    <row r="42" spans="1:75" ht="19.5" customHeight="1" x14ac:dyDescent="0.25">
      <c r="A42" s="182" t="s">
        <v>169</v>
      </c>
      <c r="B42" s="182"/>
      <c r="C42" s="182"/>
      <c r="D42" s="182"/>
      <c r="E42" s="182"/>
      <c r="F42" s="182"/>
      <c r="G42" s="182"/>
      <c r="H42" s="182"/>
      <c r="I42" s="182"/>
      <c r="J42" s="182"/>
      <c r="K42" s="182"/>
      <c r="L42" s="182"/>
      <c r="M42" s="182"/>
      <c r="N42" s="182"/>
      <c r="O42" s="182"/>
      <c r="P42" s="182"/>
      <c r="Q42" s="182"/>
      <c r="R42" s="182"/>
      <c r="S42" s="182"/>
      <c r="T42" s="182"/>
      <c r="U42" s="182"/>
      <c r="V42" s="182"/>
      <c r="W42" s="182"/>
      <c r="X42" s="182"/>
      <c r="Y42" s="182"/>
      <c r="Z42" s="182"/>
      <c r="AA42" s="182"/>
      <c r="AB42" s="182"/>
      <c r="AC42" s="182"/>
      <c r="AD42" s="182"/>
      <c r="AE42" s="182"/>
      <c r="AF42" s="182"/>
      <c r="AG42" s="182"/>
      <c r="AH42" s="182"/>
      <c r="AI42" s="182"/>
      <c r="AJ42" s="182"/>
      <c r="AK42"/>
      <c r="AL42" s="182"/>
      <c r="AM42" s="182"/>
      <c r="AN42" s="182"/>
      <c r="AO42" s="182"/>
      <c r="AP42" s="182"/>
      <c r="AQ42" s="182"/>
      <c r="AR42" s="182"/>
      <c r="AS42" s="182"/>
      <c r="AT42" s="182"/>
      <c r="AU42" s="182"/>
      <c r="AV42" s="182"/>
      <c r="AW42" s="182"/>
      <c r="AX42" s="182"/>
      <c r="AY42" s="182"/>
      <c r="AZ42" s="182"/>
      <c r="BA42" s="182"/>
      <c r="BB42" s="182"/>
      <c r="BC42" s="181"/>
      <c r="BD42" s="172"/>
      <c r="BE42" s="172"/>
      <c r="BF42" s="172"/>
      <c r="BG42" s="172"/>
      <c r="BH42" s="172"/>
      <c r="BI42" s="172"/>
      <c r="BJ42" s="172"/>
      <c r="BK42" s="172"/>
      <c r="BL42" s="173"/>
      <c r="BM42" s="172"/>
      <c r="BN42" s="172"/>
      <c r="BO42" s="172"/>
      <c r="BP42" s="172"/>
      <c r="BQ42" s="172"/>
      <c r="BR42" s="172"/>
      <c r="BS42" s="172"/>
      <c r="BT42" s="172"/>
      <c r="BU42" s="172"/>
      <c r="BV42" s="172"/>
    </row>
    <row r="43" spans="1:75" ht="23.25" customHeight="1" x14ac:dyDescent="0.2">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166"/>
      <c r="AS43" s="166"/>
      <c r="AT43" s="166"/>
      <c r="AU43" s="166"/>
      <c r="AV43" s="166"/>
      <c r="AW43" s="166"/>
      <c r="AX43" s="166"/>
      <c r="AY43" s="166"/>
      <c r="AZ43" s="166"/>
      <c r="BA43" s="166"/>
      <c r="BB43" s="166"/>
      <c r="BC43" s="168"/>
      <c r="BD43" s="172"/>
      <c r="BE43" s="172"/>
      <c r="BF43" s="172"/>
      <c r="BG43" s="172"/>
      <c r="BH43" s="172"/>
      <c r="BI43" s="172"/>
      <c r="BJ43" s="172"/>
      <c r="BK43" s="172"/>
      <c r="BL43" s="173"/>
      <c r="BM43" s="172"/>
      <c r="BN43" s="172"/>
      <c r="BO43" s="172"/>
      <c r="BP43" s="172"/>
      <c r="BQ43" s="172"/>
      <c r="BR43" s="172"/>
      <c r="BS43" s="172"/>
      <c r="BT43" s="172"/>
      <c r="BU43" s="172"/>
      <c r="BV43" s="172"/>
    </row>
    <row r="44" spans="1:75" ht="14.25" customHeight="1" x14ac:dyDescent="0.2">
      <c r="A44" s="166" t="s">
        <v>170</v>
      </c>
      <c r="B44" s="166"/>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66"/>
      <c r="AO44" s="166"/>
      <c r="AP44" s="166"/>
      <c r="AQ44" s="166"/>
      <c r="AR44" s="166"/>
      <c r="AS44" s="166"/>
      <c r="AT44" s="166"/>
      <c r="AU44" s="166"/>
      <c r="AV44" s="166"/>
      <c r="AW44" s="166"/>
      <c r="AX44" s="166"/>
      <c r="AY44" s="166"/>
      <c r="AZ44" s="166"/>
      <c r="BA44" s="166"/>
      <c r="BB44" s="166"/>
      <c r="BC44" s="168"/>
      <c r="BD44" s="172"/>
      <c r="BE44" s="172"/>
      <c r="BF44" s="172"/>
      <c r="BG44" s="172"/>
      <c r="BH44" s="172"/>
      <c r="BI44" s="172"/>
      <c r="BJ44" s="172"/>
      <c r="BK44" s="172"/>
      <c r="BL44" s="173"/>
      <c r="BM44" s="172"/>
      <c r="BN44" s="172"/>
      <c r="BO44" s="172"/>
      <c r="BP44" s="172"/>
      <c r="BQ44" s="172" t="str">
        <f>IF(OR(IFERROR(VLOOKUP(CA44,[1]ARS!A:EL,MATCH("Price To Earnings",[1]ARS!$4:$4,0),FALSE),"-")&lt;0,IFERROR(VLOOKUP(CA44,[1]ARS!A:EL,MATCH("Price To Earnings",[1]ARS!$4:$4,0),FALSE),"-")&gt;500),"-",IFERROR(VLOOKUP(CA44,[1]ARS!A:EL,MATCH("Price To Earnings",[1]ARS!$4:$4,0),FALSE),"-"))</f>
        <v>-</v>
      </c>
      <c r="BR44" s="172"/>
      <c r="BS44" s="172"/>
      <c r="BT44" s="172"/>
      <c r="BU44" s="172"/>
      <c r="BV44" s="172"/>
    </row>
    <row r="45" spans="1:75" ht="20.100000000000001" customHeight="1" x14ac:dyDescent="0.2">
      <c r="A45" s="183"/>
      <c r="B45" s="183"/>
      <c r="C45" s="183"/>
      <c r="D45" s="183"/>
      <c r="E45" s="183"/>
      <c r="F45" s="183"/>
      <c r="G45" s="183"/>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s="183"/>
      <c r="AK45" s="183"/>
      <c r="AL45" s="183"/>
      <c r="AM45" s="183"/>
      <c r="AN45" s="183"/>
      <c r="AO45" s="183"/>
      <c r="AP45" s="183"/>
      <c r="AQ45" s="183"/>
      <c r="AR45" s="183"/>
      <c r="AS45" s="183"/>
      <c r="AT45" s="183"/>
      <c r="AU45" s="184"/>
      <c r="AV45" s="184"/>
      <c r="AW45" s="184"/>
      <c r="AX45" s="172"/>
      <c r="AY45" s="172"/>
      <c r="AZ45" s="172"/>
      <c r="BA45" s="172"/>
      <c r="BB45" s="172"/>
      <c r="BC45" s="173"/>
      <c r="BD45" s="172"/>
      <c r="BE45" s="172"/>
      <c r="BF45" s="172"/>
      <c r="BG45" s="172"/>
      <c r="BH45" s="172"/>
      <c r="BI45" s="172"/>
      <c r="BJ45" s="172"/>
      <c r="BK45" s="172"/>
      <c r="BL45" s="173"/>
      <c r="BM45" s="172"/>
      <c r="BN45" s="172"/>
      <c r="BO45" s="172"/>
      <c r="BP45" s="172"/>
      <c r="BQ45" s="172" t="str">
        <f>IF(OR(IFERROR(VLOOKUP(CA45,[1]ARS!A:EL,MATCH("Price To Earnings",[1]ARS!$4:$4,0),FALSE),"-")&lt;0,IFERROR(VLOOKUP(CA45,[1]ARS!A:EL,MATCH("Price To Earnings",[1]ARS!$4:$4,0),FALSE),"-")&gt;500),"-",IFERROR(VLOOKUP(CA45,[1]ARS!A:EL,MATCH("Price To Earnings",[1]ARS!$4:$4,0),FALSE),"-"))</f>
        <v>-</v>
      </c>
      <c r="BR45" s="172"/>
      <c r="BS45" s="172"/>
      <c r="BT45" s="172"/>
      <c r="BU45" s="172"/>
      <c r="BV45" s="172"/>
    </row>
    <row r="46" spans="1:75" ht="20.100000000000001" customHeight="1" x14ac:dyDescent="0.2">
      <c r="A46" s="183"/>
      <c r="B46" s="183"/>
      <c r="C46" s="183"/>
      <c r="D46" s="183"/>
      <c r="E46" s="183"/>
      <c r="F46" s="183"/>
      <c r="G46" s="183"/>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c r="AG46" s="183"/>
      <c r="AH46" s="183"/>
      <c r="AI46" s="183"/>
      <c r="AJ46" s="183"/>
      <c r="AK46" s="183"/>
      <c r="AL46" s="183"/>
      <c r="AM46" s="183"/>
      <c r="AN46" s="183"/>
      <c r="AO46" s="183"/>
      <c r="AP46" s="183"/>
      <c r="AQ46" s="183"/>
      <c r="AR46" s="183"/>
      <c r="AS46" s="183"/>
      <c r="AT46" s="183"/>
      <c r="AU46" s="184"/>
      <c r="AV46" s="184"/>
      <c r="AW46" s="184"/>
      <c r="AX46" s="172"/>
      <c r="AY46" s="172"/>
      <c r="AZ46" s="172"/>
      <c r="BA46" s="172"/>
      <c r="BB46" s="172"/>
      <c r="BC46" s="173"/>
      <c r="BD46" s="172"/>
      <c r="BE46" s="172"/>
      <c r="BF46" s="172"/>
      <c r="BG46" s="172"/>
      <c r="BH46" s="172"/>
      <c r="BI46" s="172"/>
      <c r="BJ46" s="172"/>
      <c r="BK46" s="172"/>
      <c r="BL46" s="173"/>
      <c r="BM46" s="172"/>
      <c r="BN46" s="172"/>
      <c r="BO46" s="172"/>
      <c r="BP46" s="172"/>
      <c r="BQ46" s="172"/>
      <c r="BR46" s="172"/>
      <c r="BS46" s="172"/>
      <c r="BT46" s="172"/>
      <c r="BU46" s="172"/>
      <c r="BV46" s="172"/>
    </row>
    <row r="47" spans="1:75" ht="20.100000000000001" customHeight="1" x14ac:dyDescent="0.2">
      <c r="A47" s="183"/>
      <c r="B47" s="183"/>
      <c r="C47" s="183"/>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3"/>
      <c r="AO47" s="183"/>
      <c r="AP47" s="183"/>
      <c r="AQ47" s="183"/>
      <c r="AR47" s="183"/>
      <c r="AS47" s="183"/>
      <c r="AT47" s="183"/>
      <c r="AU47" s="184"/>
      <c r="AV47" s="184"/>
      <c r="AW47" s="184"/>
      <c r="AX47" s="172"/>
      <c r="AY47" s="172"/>
      <c r="AZ47" s="172"/>
      <c r="BA47" s="172"/>
      <c r="BB47" s="172"/>
      <c r="BC47" s="173"/>
      <c r="BD47" s="172"/>
      <c r="BE47" s="172"/>
      <c r="BF47" s="172"/>
      <c r="BG47" s="172"/>
      <c r="BH47" s="172"/>
      <c r="BI47" s="172"/>
      <c r="BJ47" s="172"/>
      <c r="BK47" s="172"/>
      <c r="BL47" s="173"/>
      <c r="BM47" s="172"/>
      <c r="BN47" s="172"/>
      <c r="BO47" s="172"/>
      <c r="BP47" s="172"/>
      <c r="BQ47" s="172"/>
      <c r="BR47" s="172"/>
      <c r="BS47" s="172"/>
      <c r="BT47" s="172"/>
      <c r="BU47" s="172"/>
      <c r="BV47" s="172"/>
    </row>
    <row r="48" spans="1:75" ht="20.100000000000001" customHeight="1" x14ac:dyDescent="0.2">
      <c r="A48" s="183"/>
      <c r="B48" s="183"/>
      <c r="C48" s="183"/>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183"/>
      <c r="AK48" s="183"/>
      <c r="AL48" s="183"/>
      <c r="AM48" s="183"/>
      <c r="AN48" s="183"/>
      <c r="AO48" s="183"/>
      <c r="AP48" s="183"/>
      <c r="AQ48" s="183"/>
      <c r="AR48" s="183"/>
      <c r="AS48" s="183"/>
      <c r="AT48" s="183"/>
      <c r="AU48" s="184"/>
      <c r="AV48" s="184"/>
      <c r="AW48" s="184"/>
      <c r="AX48" s="172"/>
      <c r="AY48" s="172"/>
      <c r="AZ48" s="172"/>
      <c r="BA48" s="172"/>
      <c r="BB48" s="172"/>
      <c r="BC48" s="173"/>
      <c r="BD48" s="172"/>
      <c r="BE48" s="172"/>
      <c r="BF48" s="172"/>
      <c r="BG48" s="172"/>
      <c r="BH48" s="172"/>
      <c r="BI48" s="172"/>
      <c r="BJ48" s="172"/>
      <c r="BK48" s="172"/>
      <c r="BL48" s="173"/>
      <c r="BM48" s="172"/>
      <c r="BN48" s="172"/>
      <c r="BO48" s="172"/>
      <c r="BP48" s="172"/>
      <c r="BQ48" s="172"/>
      <c r="BR48" s="172"/>
      <c r="BS48" s="172"/>
      <c r="BT48" s="172"/>
      <c r="BU48" s="172"/>
      <c r="BV48" s="172"/>
    </row>
    <row r="49" spans="1:75" ht="20.100000000000001" customHeight="1" x14ac:dyDescent="0.2">
      <c r="A49" s="183"/>
      <c r="B49" s="183"/>
      <c r="C49" s="183"/>
      <c r="D49" s="183"/>
      <c r="E49" s="183"/>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3"/>
      <c r="AL49" s="183"/>
      <c r="AM49" s="183"/>
      <c r="AN49" s="183"/>
      <c r="AO49" s="183"/>
      <c r="AP49" s="183"/>
      <c r="AQ49" s="183"/>
      <c r="AR49" s="183"/>
      <c r="AS49" s="183"/>
      <c r="AT49" s="183"/>
      <c r="AU49" s="184"/>
      <c r="AV49" s="184"/>
      <c r="AW49" s="184"/>
      <c r="AX49" s="172"/>
      <c r="AY49" s="172"/>
      <c r="AZ49" s="172"/>
      <c r="BA49" s="172"/>
      <c r="BB49" s="172"/>
      <c r="BC49" s="173"/>
      <c r="BD49" s="172"/>
      <c r="BE49" s="172"/>
      <c r="BF49" s="172"/>
      <c r="BG49" s="172"/>
      <c r="BH49" s="172"/>
      <c r="BI49" s="172"/>
      <c r="BJ49" s="172"/>
      <c r="BK49" s="172"/>
      <c r="BL49" s="173"/>
      <c r="BM49" s="172"/>
      <c r="BN49" s="172"/>
      <c r="BO49" s="172"/>
      <c r="BP49" s="172"/>
      <c r="BQ49" s="172"/>
      <c r="BR49" s="172"/>
      <c r="BS49" s="172"/>
      <c r="BT49" s="172"/>
      <c r="BU49" s="172"/>
      <c r="BV49" s="172"/>
    </row>
    <row r="50" spans="1:75" ht="20.100000000000001" customHeight="1" x14ac:dyDescent="0.25">
      <c r="G50" s="185"/>
      <c r="H50" s="509" t="s">
        <v>6</v>
      </c>
      <c r="I50" s="510"/>
      <c r="J50" s="511" t="s">
        <v>171</v>
      </c>
      <c r="K50" s="509"/>
      <c r="L50" s="509"/>
      <c r="M50" s="509"/>
      <c r="N50" s="509"/>
      <c r="O50" s="509"/>
      <c r="P50" s="509"/>
      <c r="Q50" s="509"/>
      <c r="R50" s="509"/>
      <c r="S50" s="509"/>
      <c r="T50" s="509"/>
      <c r="U50" s="509"/>
      <c r="V50" s="509"/>
      <c r="W50" s="509"/>
      <c r="X50" s="509"/>
      <c r="Y50" s="509"/>
      <c r="Z50" s="509"/>
      <c r="AA50" s="509"/>
      <c r="AB50" s="186"/>
      <c r="AC50" s="186"/>
      <c r="AD50" s="186"/>
      <c r="AE50" s="186"/>
      <c r="AF50" s="509" t="s">
        <v>6</v>
      </c>
      <c r="AG50" s="510"/>
      <c r="AH50" s="511" t="s">
        <v>171</v>
      </c>
      <c r="AI50" s="509"/>
      <c r="AJ50" s="509"/>
      <c r="AK50" s="509"/>
      <c r="AL50" s="509"/>
      <c r="AM50" s="509"/>
      <c r="AN50" s="509"/>
      <c r="AO50" s="509"/>
      <c r="AP50" s="509"/>
      <c r="AQ50" s="509"/>
      <c r="AR50" s="509"/>
      <c r="AS50" s="509"/>
      <c r="AT50" s="509"/>
      <c r="AU50" s="509"/>
      <c r="AV50" s="509"/>
      <c r="AW50" s="509"/>
      <c r="AX50" s="509"/>
      <c r="AY50" s="187"/>
      <c r="AZ50" s="172"/>
      <c r="BA50" s="172"/>
      <c r="BB50" s="172"/>
      <c r="BC50" s="173"/>
      <c r="BD50" s="172"/>
      <c r="BE50" s="172"/>
      <c r="BF50" s="172"/>
      <c r="BG50" s="172"/>
      <c r="BH50" s="172"/>
      <c r="BI50" s="172"/>
      <c r="BJ50" s="172"/>
      <c r="BK50" s="172"/>
      <c r="BL50" s="173"/>
      <c r="BM50" s="172"/>
      <c r="BN50" s="172"/>
      <c r="BO50" s="172"/>
      <c r="BP50" s="172"/>
      <c r="BQ50" s="172"/>
      <c r="BR50" s="172"/>
      <c r="BS50" s="172"/>
      <c r="BT50" s="172"/>
      <c r="BU50" s="172"/>
      <c r="BV50" s="172"/>
    </row>
    <row r="51" spans="1:75" ht="15.95" customHeight="1" x14ac:dyDescent="0.25">
      <c r="G51" s="187"/>
      <c r="H51" s="188" t="s">
        <v>172</v>
      </c>
      <c r="I51" s="189"/>
      <c r="J51" s="190" t="s">
        <v>173</v>
      </c>
      <c r="K51" s="191"/>
      <c r="L51" s="191"/>
      <c r="M51" s="191"/>
      <c r="N51" s="191"/>
      <c r="O51" s="191"/>
      <c r="P51" s="191"/>
      <c r="Q51" s="191"/>
      <c r="R51" s="191"/>
      <c r="S51" s="191"/>
      <c r="T51" s="191"/>
      <c r="U51" s="191"/>
      <c r="V51" s="191"/>
      <c r="W51" s="191"/>
      <c r="X51" s="191"/>
      <c r="Y51" s="191"/>
      <c r="Z51" s="191"/>
      <c r="AA51" s="191"/>
      <c r="AB51" s="191"/>
      <c r="AC51" s="191"/>
      <c r="AD51" s="191"/>
      <c r="AE51" s="191"/>
      <c r="AF51" s="505" t="s">
        <v>99</v>
      </c>
      <c r="AG51" s="506"/>
      <c r="AH51" s="190" t="s">
        <v>174</v>
      </c>
      <c r="AI51" s="191"/>
      <c r="AJ51" s="191"/>
      <c r="AK51" s="191"/>
      <c r="AL51" s="191"/>
      <c r="AM51" s="191"/>
      <c r="AN51" s="191"/>
      <c r="AO51" s="191"/>
      <c r="AP51" s="191"/>
      <c r="AQ51" s="191"/>
      <c r="AR51" s="191"/>
      <c r="AS51" s="191"/>
      <c r="AT51" s="191"/>
      <c r="AU51" s="192"/>
      <c r="AV51" s="192"/>
      <c r="AW51" s="192"/>
      <c r="AX51" s="187"/>
      <c r="AY51" s="187"/>
      <c r="AZ51" s="172"/>
      <c r="BA51" s="172"/>
      <c r="BB51" s="172"/>
      <c r="BC51" s="173"/>
      <c r="BD51" s="172"/>
      <c r="BE51" s="172"/>
      <c r="BF51" s="172"/>
      <c r="BG51" s="172"/>
      <c r="BH51" s="172"/>
      <c r="BI51" s="172"/>
      <c r="BJ51" s="172"/>
      <c r="BK51" s="172"/>
      <c r="BL51" s="173"/>
      <c r="BM51" s="172"/>
      <c r="BN51" s="172"/>
      <c r="BO51" s="172"/>
      <c r="BP51" s="172"/>
      <c r="BQ51" s="172"/>
      <c r="BR51" s="172"/>
      <c r="BS51" s="172"/>
      <c r="BT51" s="172"/>
      <c r="BU51" s="172"/>
      <c r="BV51" s="172"/>
    </row>
    <row r="52" spans="1:75" ht="15.95" customHeight="1" x14ac:dyDescent="0.25">
      <c r="G52" s="187"/>
      <c r="H52" s="193" t="s">
        <v>98</v>
      </c>
      <c r="I52" s="194"/>
      <c r="J52" s="190" t="s">
        <v>175</v>
      </c>
      <c r="K52" s="191"/>
      <c r="L52" s="191"/>
      <c r="M52" s="191"/>
      <c r="N52" s="191"/>
      <c r="O52" s="191"/>
      <c r="P52" s="191"/>
      <c r="Q52" s="191"/>
      <c r="R52" s="191"/>
      <c r="S52" s="191"/>
      <c r="T52" s="191"/>
      <c r="U52" s="191"/>
      <c r="V52" s="191"/>
      <c r="W52" s="191"/>
      <c r="X52" s="191"/>
      <c r="Y52" s="191"/>
      <c r="Z52" s="191"/>
      <c r="AA52" s="191"/>
      <c r="AB52" s="191"/>
      <c r="AC52" s="191"/>
      <c r="AD52" s="191"/>
      <c r="AE52" s="191"/>
      <c r="AF52" s="505" t="s">
        <v>111</v>
      </c>
      <c r="AG52" s="506"/>
      <c r="AH52" s="190" t="s">
        <v>176</v>
      </c>
      <c r="AI52" s="191"/>
      <c r="AJ52" s="191"/>
      <c r="AK52" s="191"/>
      <c r="AL52" s="191"/>
      <c r="AM52" s="191"/>
      <c r="AN52" s="191"/>
      <c r="AO52" s="191"/>
      <c r="AP52" s="191"/>
      <c r="AQ52" s="191"/>
      <c r="AR52" s="191"/>
      <c r="AS52" s="191"/>
      <c r="AT52" s="191"/>
      <c r="AU52" s="192"/>
      <c r="AV52" s="192"/>
      <c r="AW52" s="192"/>
      <c r="AX52" s="187"/>
      <c r="AY52" s="187"/>
      <c r="AZ52" s="172"/>
      <c r="BA52" s="172"/>
      <c r="BB52" s="172"/>
      <c r="BC52" s="173"/>
      <c r="BD52" s="172"/>
      <c r="BE52" s="172"/>
      <c r="BF52" s="172"/>
      <c r="BG52" s="172"/>
      <c r="BH52" s="172"/>
      <c r="BI52" s="172"/>
      <c r="BJ52" s="172"/>
      <c r="BK52" s="172"/>
      <c r="BL52" s="173"/>
      <c r="BM52" s="172"/>
      <c r="BN52" s="172"/>
      <c r="BO52" s="172"/>
      <c r="BP52" s="172"/>
      <c r="BQ52" s="172"/>
      <c r="BR52" s="172"/>
      <c r="BS52" s="172"/>
      <c r="BT52" s="172"/>
      <c r="BU52" s="172"/>
      <c r="BV52" s="172"/>
    </row>
    <row r="53" spans="1:75" ht="15.95" customHeight="1" x14ac:dyDescent="0.25">
      <c r="G53" s="187"/>
      <c r="H53" s="193" t="s">
        <v>108</v>
      </c>
      <c r="I53" s="194"/>
      <c r="J53" s="195" t="s">
        <v>177</v>
      </c>
      <c r="K53" s="191"/>
      <c r="L53" s="191"/>
      <c r="M53" s="191"/>
      <c r="N53" s="191"/>
      <c r="O53" s="191"/>
      <c r="P53" s="191"/>
      <c r="Q53" s="191"/>
      <c r="R53" s="191"/>
      <c r="S53" s="191"/>
      <c r="T53" s="191"/>
      <c r="U53" s="191"/>
      <c r="V53" s="191"/>
      <c r="W53" s="191"/>
      <c r="X53" s="191"/>
      <c r="Y53" s="191"/>
      <c r="Z53" s="191"/>
      <c r="AA53" s="191"/>
      <c r="AB53" s="191"/>
      <c r="AC53" s="191"/>
      <c r="AD53" s="191"/>
      <c r="AE53" s="191"/>
      <c r="AF53" s="505" t="s">
        <v>51</v>
      </c>
      <c r="AG53" s="506"/>
      <c r="AH53" s="190" t="s">
        <v>178</v>
      </c>
      <c r="AI53" s="191"/>
      <c r="AJ53" s="191"/>
      <c r="AK53" s="191"/>
      <c r="AL53" s="191"/>
      <c r="AM53" s="191"/>
      <c r="AN53" s="191"/>
      <c r="AO53" s="191"/>
      <c r="AP53" s="191"/>
      <c r="AQ53" s="191"/>
      <c r="AR53" s="191"/>
      <c r="AS53" s="191"/>
      <c r="AT53" s="191"/>
      <c r="AU53" s="192"/>
      <c r="AV53" s="192"/>
      <c r="AW53" s="192"/>
      <c r="AX53" s="187"/>
      <c r="AY53" s="187"/>
      <c r="AZ53" s="172"/>
      <c r="BA53" s="172"/>
      <c r="BB53" s="172"/>
      <c r="BC53" s="173"/>
      <c r="BD53" s="172"/>
      <c r="BE53" s="172"/>
      <c r="BF53" s="172"/>
      <c r="BG53" s="172"/>
      <c r="BH53" s="172"/>
      <c r="BI53" s="172"/>
      <c r="BJ53" s="172"/>
      <c r="BK53" s="172"/>
      <c r="BL53" s="173"/>
      <c r="BM53" s="172"/>
      <c r="BN53" s="172"/>
      <c r="BO53" s="172"/>
      <c r="BP53" s="172"/>
      <c r="BQ53" s="172"/>
      <c r="BR53" s="172"/>
      <c r="BS53" s="172"/>
      <c r="BT53" s="172"/>
      <c r="BU53" s="172"/>
      <c r="BV53" s="172"/>
      <c r="BW53" s="172"/>
    </row>
    <row r="54" spans="1:75" ht="15.95" customHeight="1" x14ac:dyDescent="0.25">
      <c r="G54" s="187"/>
      <c r="H54" s="193" t="s">
        <v>71</v>
      </c>
      <c r="I54" s="194"/>
      <c r="J54" s="195" t="s">
        <v>179</v>
      </c>
      <c r="K54" s="191"/>
      <c r="L54" s="191"/>
      <c r="M54" s="191"/>
      <c r="N54" s="191"/>
      <c r="O54" s="191"/>
      <c r="P54" s="191"/>
      <c r="Q54" s="191"/>
      <c r="R54" s="191"/>
      <c r="S54" s="191"/>
      <c r="T54" s="191"/>
      <c r="U54" s="191"/>
      <c r="V54" s="191"/>
      <c r="W54" s="191"/>
      <c r="X54" s="191"/>
      <c r="Y54" s="191"/>
      <c r="Z54" s="191"/>
      <c r="AA54" s="191"/>
      <c r="AB54" s="191"/>
      <c r="AC54" s="191"/>
      <c r="AD54" s="191"/>
      <c r="AE54" s="191"/>
      <c r="AF54" s="505" t="s">
        <v>56</v>
      </c>
      <c r="AG54" s="506"/>
      <c r="AH54" s="190" t="s">
        <v>180</v>
      </c>
      <c r="AI54" s="191"/>
      <c r="AJ54" s="191"/>
      <c r="AK54" s="191"/>
      <c r="AL54" s="191"/>
      <c r="AM54" s="191"/>
      <c r="AN54" s="191"/>
      <c r="AO54" s="191"/>
      <c r="AP54" s="191"/>
      <c r="AQ54" s="191"/>
      <c r="AR54" s="191"/>
      <c r="AS54" s="191"/>
      <c r="AT54" s="191"/>
      <c r="AU54" s="192"/>
      <c r="AV54" s="192"/>
      <c r="AW54" s="192"/>
      <c r="AX54" s="187"/>
      <c r="AY54" s="187"/>
      <c r="AZ54" s="172"/>
      <c r="BA54" s="172"/>
      <c r="BB54" s="172"/>
      <c r="BC54" s="173"/>
      <c r="BD54" s="172"/>
      <c r="BE54" s="172"/>
      <c r="BF54" s="172"/>
      <c r="BG54" s="172"/>
      <c r="BH54" s="172"/>
      <c r="BI54" s="172"/>
      <c r="BJ54" s="172"/>
      <c r="BK54" s="172"/>
      <c r="BL54" s="173"/>
      <c r="BM54" s="172"/>
      <c r="BN54" s="172"/>
      <c r="BO54" s="172"/>
      <c r="BP54" s="172"/>
      <c r="BQ54" s="172"/>
      <c r="BR54" s="172"/>
      <c r="BS54" s="172"/>
      <c r="BT54" s="172"/>
      <c r="BU54" s="172"/>
      <c r="BV54" s="172"/>
    </row>
    <row r="55" spans="1:75" ht="15.95" customHeight="1" x14ac:dyDescent="0.25">
      <c r="G55" s="187"/>
      <c r="H55" s="193" t="s">
        <v>57</v>
      </c>
      <c r="I55" s="194"/>
      <c r="J55" s="195" t="s">
        <v>181</v>
      </c>
      <c r="K55" s="191"/>
      <c r="L55" s="191"/>
      <c r="M55" s="191"/>
      <c r="N55" s="191"/>
      <c r="O55" s="191"/>
      <c r="P55" s="191"/>
      <c r="Q55" s="191"/>
      <c r="R55" s="191"/>
      <c r="S55" s="191"/>
      <c r="T55" s="191"/>
      <c r="U55" s="191"/>
      <c r="V55" s="191"/>
      <c r="W55" s="191"/>
      <c r="X55" s="191"/>
      <c r="Y55" s="191"/>
      <c r="Z55" s="191"/>
      <c r="AA55" s="191"/>
      <c r="AB55" s="191"/>
      <c r="AC55" s="191"/>
      <c r="AD55" s="191"/>
      <c r="AE55" s="191"/>
      <c r="AF55" s="505" t="s">
        <v>131</v>
      </c>
      <c r="AG55" s="506"/>
      <c r="AH55" s="195" t="s">
        <v>182</v>
      </c>
      <c r="AI55" s="191"/>
      <c r="AJ55" s="191"/>
      <c r="AK55" s="191"/>
      <c r="AL55" s="191"/>
      <c r="AM55" s="191"/>
      <c r="AN55" s="191"/>
      <c r="AO55" s="191"/>
      <c r="AP55" s="191"/>
      <c r="AQ55" s="191"/>
      <c r="AR55" s="191"/>
      <c r="AS55" s="191"/>
      <c r="AT55" s="191"/>
      <c r="AU55" s="192"/>
      <c r="AV55" s="192"/>
      <c r="AW55" s="192"/>
      <c r="AX55" s="187"/>
      <c r="AY55" s="187"/>
      <c r="AZ55" s="172"/>
      <c r="BA55" s="172"/>
      <c r="BB55" s="172"/>
      <c r="BC55" s="173"/>
      <c r="BD55" s="172"/>
      <c r="BE55" s="172"/>
      <c r="BF55" s="172"/>
      <c r="BG55" s="172"/>
      <c r="BH55" s="172"/>
      <c r="BI55" s="172"/>
      <c r="BJ55" s="172"/>
      <c r="BK55" s="172"/>
      <c r="BL55" s="173"/>
      <c r="BM55" s="172"/>
      <c r="BN55" s="172"/>
      <c r="BO55" s="172"/>
      <c r="BP55" s="172"/>
      <c r="BQ55" s="172"/>
      <c r="BR55" s="172"/>
      <c r="BS55" s="172"/>
      <c r="BT55" s="172"/>
      <c r="BU55" s="172"/>
      <c r="BV55" s="172"/>
    </row>
    <row r="56" spans="1:75" ht="15.95" customHeight="1" x14ac:dyDescent="0.25">
      <c r="G56" s="187"/>
      <c r="H56" s="193" t="s">
        <v>86</v>
      </c>
      <c r="I56" s="194"/>
      <c r="J56" s="195" t="s">
        <v>183</v>
      </c>
      <c r="K56" s="191"/>
      <c r="L56" s="191"/>
      <c r="M56" s="191"/>
      <c r="N56" s="191"/>
      <c r="O56" s="191"/>
      <c r="P56" s="191"/>
      <c r="Q56" s="191"/>
      <c r="R56" s="191"/>
      <c r="S56" s="191"/>
      <c r="T56" s="191"/>
      <c r="U56" s="191"/>
      <c r="V56" s="191"/>
      <c r="W56" s="191"/>
      <c r="X56" s="191"/>
      <c r="Y56" s="191"/>
      <c r="Z56" s="191"/>
      <c r="AA56" s="191"/>
      <c r="AB56" s="191"/>
      <c r="AC56" s="191"/>
      <c r="AD56" s="191"/>
      <c r="AE56" s="191"/>
      <c r="AF56" s="505" t="s">
        <v>128</v>
      </c>
      <c r="AG56" s="506"/>
      <c r="AH56" s="190" t="s">
        <v>184</v>
      </c>
      <c r="AI56" s="191"/>
      <c r="AJ56" s="191"/>
      <c r="AK56" s="191"/>
      <c r="AL56" s="191"/>
      <c r="AM56" s="191"/>
      <c r="AN56" s="191"/>
      <c r="AO56" s="191"/>
      <c r="AP56" s="191"/>
      <c r="AQ56" s="191"/>
      <c r="AR56" s="191"/>
      <c r="AS56" s="191"/>
      <c r="AT56" s="191"/>
      <c r="AU56" s="192"/>
      <c r="AV56" s="192"/>
      <c r="AW56" s="192"/>
      <c r="AX56" s="187"/>
      <c r="AY56" s="187"/>
      <c r="AZ56" s="172"/>
      <c r="BA56" s="172"/>
      <c r="BB56" s="172"/>
      <c r="BC56" s="173"/>
      <c r="BD56" s="172"/>
      <c r="BE56" s="172"/>
      <c r="BF56" s="172"/>
      <c r="BG56" s="172"/>
      <c r="BH56" s="172"/>
      <c r="BI56" s="172"/>
      <c r="BJ56" s="172"/>
      <c r="BK56" s="172"/>
      <c r="BL56" s="173"/>
      <c r="BM56" s="172"/>
      <c r="BN56" s="172"/>
      <c r="BO56" s="172"/>
      <c r="BP56" s="172"/>
      <c r="BQ56" s="172"/>
      <c r="BR56" s="172"/>
      <c r="BS56" s="172"/>
      <c r="BT56" s="172"/>
      <c r="BU56" s="172"/>
      <c r="BV56" s="172"/>
    </row>
    <row r="57" spans="1:75" ht="15.95" customHeight="1" x14ac:dyDescent="0.25">
      <c r="G57" s="187"/>
      <c r="H57" s="193" t="s">
        <v>84</v>
      </c>
      <c r="I57" s="194"/>
      <c r="J57" s="195" t="s">
        <v>185</v>
      </c>
      <c r="K57" s="191"/>
      <c r="L57" s="191"/>
      <c r="M57" s="191"/>
      <c r="N57" s="191"/>
      <c r="O57" s="191"/>
      <c r="P57" s="191"/>
      <c r="Q57" s="191"/>
      <c r="R57" s="191"/>
      <c r="S57" s="191"/>
      <c r="T57" s="191"/>
      <c r="U57" s="191"/>
      <c r="V57" s="191"/>
      <c r="W57" s="191"/>
      <c r="X57" s="191"/>
      <c r="Y57" s="191"/>
      <c r="Z57" s="191"/>
      <c r="AA57" s="191"/>
      <c r="AB57" s="191"/>
      <c r="AC57" s="191"/>
      <c r="AD57" s="191"/>
      <c r="AE57" s="191"/>
      <c r="AF57" s="505" t="s">
        <v>186</v>
      </c>
      <c r="AG57" s="506"/>
      <c r="AH57" s="190" t="s">
        <v>187</v>
      </c>
      <c r="AI57" s="191"/>
      <c r="AJ57" s="191"/>
      <c r="AK57" s="191"/>
      <c r="AL57" s="191"/>
      <c r="AM57" s="191"/>
      <c r="AN57" s="191"/>
      <c r="AO57" s="191"/>
      <c r="AP57" s="191"/>
      <c r="AQ57" s="191"/>
      <c r="AR57" s="191"/>
      <c r="AS57" s="191"/>
      <c r="AT57" s="191"/>
      <c r="AU57" s="192"/>
      <c r="AV57" s="192"/>
      <c r="AW57" s="192"/>
      <c r="AX57" s="187"/>
      <c r="AY57" s="187"/>
      <c r="AZ57" s="172"/>
      <c r="BA57" s="172"/>
      <c r="BB57" s="172"/>
      <c r="BC57" s="173"/>
      <c r="BD57" s="172"/>
      <c r="BE57" s="172"/>
      <c r="BF57" s="172"/>
      <c r="BG57" s="172"/>
      <c r="BH57" s="172"/>
      <c r="BI57" s="172"/>
      <c r="BJ57" s="172"/>
      <c r="BK57" s="172"/>
      <c r="BL57" s="173"/>
      <c r="BM57" s="172"/>
      <c r="BN57" s="172"/>
      <c r="BO57" s="172"/>
      <c r="BP57" s="172"/>
      <c r="BQ57" s="172"/>
      <c r="BR57" s="172"/>
      <c r="BS57" s="172"/>
      <c r="BT57" s="172"/>
      <c r="BU57" s="172"/>
      <c r="BV57" s="172"/>
    </row>
    <row r="58" spans="1:75" ht="15.95" customHeight="1" x14ac:dyDescent="0.25">
      <c r="G58" s="187"/>
      <c r="H58" s="193" t="s">
        <v>133</v>
      </c>
      <c r="I58" s="194"/>
      <c r="J58" s="195" t="s">
        <v>188</v>
      </c>
      <c r="K58" s="191"/>
      <c r="L58" s="191"/>
      <c r="M58" s="191"/>
      <c r="N58" s="191"/>
      <c r="O58" s="191"/>
      <c r="P58" s="191"/>
      <c r="Q58" s="191"/>
      <c r="R58" s="191"/>
      <c r="S58" s="191"/>
      <c r="T58" s="191"/>
      <c r="U58" s="191"/>
      <c r="V58" s="191"/>
      <c r="W58" s="191"/>
      <c r="X58" s="191"/>
      <c r="Y58" s="191"/>
      <c r="Z58" s="191"/>
      <c r="AA58" s="191"/>
      <c r="AB58" s="191"/>
      <c r="AC58" s="191"/>
      <c r="AD58" s="191"/>
      <c r="AE58" s="191"/>
      <c r="AF58" s="505" t="s">
        <v>49</v>
      </c>
      <c r="AG58" s="506"/>
      <c r="AH58" s="190" t="s">
        <v>189</v>
      </c>
      <c r="AI58" s="191"/>
      <c r="AJ58" s="191"/>
      <c r="AK58" s="191"/>
      <c r="AL58" s="191"/>
      <c r="AM58" s="191"/>
      <c r="AN58" s="191"/>
      <c r="AO58" s="191"/>
      <c r="AP58" s="191"/>
      <c r="AQ58" s="191"/>
      <c r="AR58" s="191"/>
      <c r="AS58" s="191"/>
      <c r="AT58" s="191"/>
      <c r="AU58" s="192"/>
      <c r="AV58" s="192"/>
      <c r="AW58" s="192"/>
      <c r="AX58" s="187"/>
      <c r="AY58" s="187"/>
      <c r="AZ58" s="172"/>
      <c r="BA58" s="172"/>
      <c r="BB58" s="172"/>
      <c r="BC58" s="173"/>
      <c r="BD58" s="172"/>
      <c r="BE58" s="172"/>
      <c r="BF58" s="172"/>
      <c r="BG58" s="172"/>
      <c r="BH58" s="172"/>
      <c r="BI58" s="172"/>
      <c r="BJ58" s="172"/>
      <c r="BK58" s="172"/>
      <c r="BL58" s="173"/>
      <c r="BM58" s="172"/>
      <c r="BN58" s="172"/>
      <c r="BO58" s="172"/>
      <c r="BP58" s="172"/>
      <c r="BQ58" s="172"/>
      <c r="BR58" s="172"/>
      <c r="BS58" s="172"/>
      <c r="BT58" s="172"/>
      <c r="BU58" s="172"/>
      <c r="BV58" s="172"/>
    </row>
    <row r="59" spans="1:75" ht="15.95" customHeight="1" x14ac:dyDescent="0.25">
      <c r="G59" s="187"/>
      <c r="H59" s="193" t="s">
        <v>85</v>
      </c>
      <c r="I59" s="194"/>
      <c r="J59" s="195" t="s">
        <v>190</v>
      </c>
      <c r="K59" s="191"/>
      <c r="L59" s="191"/>
      <c r="M59" s="191"/>
      <c r="N59" s="191"/>
      <c r="O59" s="191"/>
      <c r="P59" s="191"/>
      <c r="Q59" s="191"/>
      <c r="R59" s="191"/>
      <c r="S59" s="191"/>
      <c r="T59" s="191"/>
      <c r="U59" s="191"/>
      <c r="V59" s="191"/>
      <c r="W59" s="191"/>
      <c r="X59" s="191"/>
      <c r="Y59" s="191"/>
      <c r="Z59" s="191"/>
      <c r="AA59" s="191"/>
      <c r="AB59" s="191"/>
      <c r="AC59" s="191"/>
      <c r="AD59" s="191"/>
      <c r="AE59" s="191"/>
      <c r="AF59" s="505" t="s">
        <v>62</v>
      </c>
      <c r="AG59" s="506"/>
      <c r="AH59" s="190" t="s">
        <v>191</v>
      </c>
      <c r="AI59" s="191"/>
      <c r="AJ59" s="191"/>
      <c r="AK59" s="191"/>
      <c r="AL59" s="191"/>
      <c r="AM59" s="191"/>
      <c r="AN59" s="191"/>
      <c r="AO59" s="191"/>
      <c r="AP59" s="191"/>
      <c r="AQ59" s="191"/>
      <c r="AR59" s="191"/>
      <c r="AS59" s="191"/>
      <c r="AT59" s="191"/>
      <c r="AU59" s="192"/>
      <c r="AV59" s="192"/>
      <c r="AW59" s="192"/>
      <c r="AX59" s="187"/>
      <c r="AY59" s="187"/>
      <c r="AZ59" s="172"/>
      <c r="BA59" s="172"/>
      <c r="BB59" s="172"/>
      <c r="BC59" s="173"/>
      <c r="BD59" s="172"/>
      <c r="BE59" s="172"/>
      <c r="BF59" s="172"/>
      <c r="BG59" s="172"/>
      <c r="BH59" s="172"/>
      <c r="BI59" s="172"/>
      <c r="BJ59" s="172"/>
      <c r="BK59" s="172"/>
      <c r="BL59" s="173"/>
      <c r="BM59" s="172"/>
      <c r="BN59" s="172"/>
      <c r="BO59" s="172"/>
      <c r="BP59" s="172"/>
      <c r="BQ59" s="172"/>
      <c r="BR59" s="172"/>
      <c r="BS59" s="172"/>
      <c r="BT59" s="172"/>
      <c r="BU59" s="172"/>
      <c r="BV59" s="172"/>
    </row>
    <row r="60" spans="1:75" ht="15.95" customHeight="1" x14ac:dyDescent="0.25">
      <c r="G60" s="187"/>
      <c r="H60" s="193" t="s">
        <v>89</v>
      </c>
      <c r="I60" s="194"/>
      <c r="J60" s="195" t="s">
        <v>192</v>
      </c>
      <c r="K60" s="191"/>
      <c r="L60" s="191"/>
      <c r="M60" s="191"/>
      <c r="N60" s="191"/>
      <c r="O60" s="191"/>
      <c r="P60" s="191"/>
      <c r="Q60" s="191"/>
      <c r="R60" s="191"/>
      <c r="S60" s="191"/>
      <c r="T60" s="191"/>
      <c r="U60" s="191"/>
      <c r="V60" s="191"/>
      <c r="W60" s="191"/>
      <c r="X60" s="191"/>
      <c r="Y60" s="191"/>
      <c r="Z60" s="191"/>
      <c r="AA60" s="191"/>
      <c r="AB60" s="191"/>
      <c r="AC60" s="191"/>
      <c r="AD60" s="191"/>
      <c r="AE60" s="191"/>
      <c r="AF60" s="505" t="s">
        <v>114</v>
      </c>
      <c r="AG60" s="506"/>
      <c r="AH60" s="190" t="s">
        <v>193</v>
      </c>
      <c r="AI60" s="191"/>
      <c r="AJ60" s="191"/>
      <c r="AK60" s="191"/>
      <c r="AL60" s="191"/>
      <c r="AM60" s="191"/>
      <c r="AN60" s="191"/>
      <c r="AO60" s="191"/>
      <c r="AP60" s="191"/>
      <c r="AQ60" s="191"/>
      <c r="AR60" s="191"/>
      <c r="AS60" s="191"/>
      <c r="AT60" s="191"/>
      <c r="AU60" s="192"/>
      <c r="AV60" s="192"/>
      <c r="AW60" s="192"/>
      <c r="AX60" s="187"/>
      <c r="AY60" s="187"/>
      <c r="AZ60" s="172"/>
      <c r="BA60" s="172"/>
      <c r="BB60" s="172"/>
      <c r="BC60" s="173"/>
      <c r="BD60" s="172"/>
      <c r="BE60" s="172"/>
      <c r="BF60" s="172"/>
      <c r="BG60" s="172"/>
      <c r="BH60" s="172"/>
      <c r="BI60" s="172"/>
      <c r="BJ60" s="172"/>
      <c r="BK60" s="172"/>
      <c r="BL60" s="173"/>
      <c r="BM60" s="172"/>
      <c r="BN60" s="172"/>
      <c r="BO60" s="172"/>
      <c r="BP60" s="172"/>
      <c r="BQ60" s="172"/>
      <c r="BR60" s="172"/>
      <c r="BS60" s="172"/>
      <c r="BT60" s="172"/>
      <c r="BU60" s="172"/>
      <c r="BV60" s="172"/>
    </row>
    <row r="61" spans="1:75" ht="15.95" customHeight="1" x14ac:dyDescent="0.25">
      <c r="G61" s="187"/>
      <c r="H61" s="193" t="s">
        <v>91</v>
      </c>
      <c r="I61" s="194"/>
      <c r="J61" s="190" t="s">
        <v>194</v>
      </c>
      <c r="K61" s="191"/>
      <c r="L61" s="191"/>
      <c r="M61" s="191"/>
      <c r="N61" s="191"/>
      <c r="O61" s="191"/>
      <c r="P61" s="191"/>
      <c r="Q61" s="191"/>
      <c r="R61" s="191"/>
      <c r="S61" s="191"/>
      <c r="T61" s="191"/>
      <c r="U61" s="191"/>
      <c r="V61" s="191"/>
      <c r="W61" s="191"/>
      <c r="X61" s="191"/>
      <c r="Y61" s="191"/>
      <c r="Z61" s="191"/>
      <c r="AA61" s="191"/>
      <c r="AB61" s="191"/>
      <c r="AC61" s="191"/>
      <c r="AD61" s="191"/>
      <c r="AE61" s="191"/>
      <c r="AF61" s="505" t="s">
        <v>60</v>
      </c>
      <c r="AG61" s="506"/>
      <c r="AH61" s="190" t="s">
        <v>195</v>
      </c>
      <c r="AI61" s="191"/>
      <c r="AJ61" s="191"/>
      <c r="AK61" s="191"/>
      <c r="AL61" s="191"/>
      <c r="AM61" s="191"/>
      <c r="AN61" s="191"/>
      <c r="AO61" s="191"/>
      <c r="AP61" s="191"/>
      <c r="AQ61" s="191"/>
      <c r="AR61" s="191"/>
      <c r="AS61" s="191"/>
      <c r="AT61" s="191"/>
      <c r="AU61" s="192"/>
      <c r="AV61" s="192"/>
      <c r="AW61" s="192"/>
      <c r="AX61" s="187"/>
      <c r="AY61" s="187"/>
      <c r="AZ61" s="172"/>
      <c r="BA61" s="172"/>
      <c r="BB61" s="172"/>
      <c r="BC61" s="173"/>
      <c r="BD61" s="172"/>
      <c r="BE61" s="172"/>
      <c r="BF61" s="172"/>
      <c r="BG61" s="172"/>
      <c r="BH61" s="172"/>
      <c r="BI61" s="172"/>
      <c r="BJ61" s="172"/>
      <c r="BK61" s="172"/>
      <c r="BL61" s="173"/>
      <c r="BM61" s="172"/>
      <c r="BN61" s="172"/>
      <c r="BO61" s="172"/>
      <c r="BP61" s="172"/>
      <c r="BQ61" s="172"/>
      <c r="BR61" s="172"/>
      <c r="BS61" s="172"/>
      <c r="BT61" s="172"/>
      <c r="BU61" s="172"/>
      <c r="BV61" s="172"/>
    </row>
    <row r="62" spans="1:75" ht="15.95" customHeight="1" x14ac:dyDescent="0.25">
      <c r="G62" s="187"/>
      <c r="H62" s="193" t="s">
        <v>93</v>
      </c>
      <c r="I62" s="194"/>
      <c r="J62" s="195" t="s">
        <v>196</v>
      </c>
      <c r="K62" s="191"/>
      <c r="L62" s="191"/>
      <c r="M62" s="191"/>
      <c r="N62" s="191"/>
      <c r="O62" s="191"/>
      <c r="P62" s="191"/>
      <c r="Q62" s="191"/>
      <c r="R62" s="191"/>
      <c r="S62" s="191"/>
      <c r="T62" s="191"/>
      <c r="U62" s="191"/>
      <c r="V62" s="191"/>
      <c r="W62" s="191"/>
      <c r="X62" s="191"/>
      <c r="Y62" s="191"/>
      <c r="Z62" s="191"/>
      <c r="AA62" s="191"/>
      <c r="AB62" s="191"/>
      <c r="AC62" s="191"/>
      <c r="AD62" s="191"/>
      <c r="AE62" s="191"/>
      <c r="AF62" s="505" t="s">
        <v>47</v>
      </c>
      <c r="AG62" s="506"/>
      <c r="AH62" s="190" t="s">
        <v>197</v>
      </c>
      <c r="AI62" s="191"/>
      <c r="AJ62" s="191"/>
      <c r="AK62" s="191"/>
      <c r="AL62" s="191"/>
      <c r="AM62" s="191"/>
      <c r="AN62" s="191"/>
      <c r="AO62" s="191"/>
      <c r="AP62" s="191"/>
      <c r="AQ62" s="191"/>
      <c r="AR62" s="191"/>
      <c r="AS62" s="191"/>
      <c r="AT62" s="191"/>
      <c r="AU62" s="192"/>
      <c r="AV62" s="192"/>
      <c r="AW62" s="192"/>
      <c r="AX62" s="187"/>
      <c r="AY62" s="187"/>
      <c r="AZ62" s="172"/>
      <c r="BA62" s="172"/>
      <c r="BB62" s="172"/>
      <c r="BC62" s="173"/>
      <c r="BD62" s="172"/>
      <c r="BE62" s="172"/>
      <c r="BF62" s="172"/>
      <c r="BG62" s="172"/>
      <c r="BH62" s="172"/>
      <c r="BI62" s="172"/>
      <c r="BJ62" s="172"/>
      <c r="BK62" s="172"/>
      <c r="BL62" s="173"/>
      <c r="BM62" s="172"/>
      <c r="BN62" s="172"/>
      <c r="BO62" s="172"/>
      <c r="BP62" s="172"/>
      <c r="BQ62" s="172"/>
      <c r="BR62" s="172"/>
      <c r="BS62" s="172"/>
      <c r="BT62" s="172"/>
      <c r="BU62" s="172"/>
      <c r="BV62" s="172"/>
    </row>
    <row r="63" spans="1:75" ht="15.95" customHeight="1" x14ac:dyDescent="0.25">
      <c r="G63" s="187"/>
      <c r="H63" s="193" t="s">
        <v>95</v>
      </c>
      <c r="I63" s="194"/>
      <c r="J63" s="195" t="s">
        <v>198</v>
      </c>
      <c r="K63" s="191"/>
      <c r="L63" s="191"/>
      <c r="M63" s="191"/>
      <c r="N63" s="191"/>
      <c r="O63" s="191"/>
      <c r="P63" s="191"/>
      <c r="Q63" s="191"/>
      <c r="R63" s="191"/>
      <c r="S63" s="191"/>
      <c r="T63" s="191"/>
      <c r="U63" s="191"/>
      <c r="V63" s="191"/>
      <c r="W63" s="191"/>
      <c r="X63" s="191"/>
      <c r="Y63" s="191"/>
      <c r="Z63" s="191"/>
      <c r="AA63" s="191"/>
      <c r="AB63" s="191"/>
      <c r="AC63" s="191"/>
      <c r="AD63" s="191"/>
      <c r="AE63" s="191"/>
      <c r="AF63" s="505" t="s">
        <v>50</v>
      </c>
      <c r="AG63" s="506"/>
      <c r="AH63" s="190" t="s">
        <v>199</v>
      </c>
      <c r="AI63" s="191"/>
      <c r="AJ63" s="191"/>
      <c r="AK63" s="191"/>
      <c r="AL63" s="191"/>
      <c r="AM63" s="191"/>
      <c r="AN63" s="191"/>
      <c r="AO63" s="191"/>
      <c r="AP63" s="191"/>
      <c r="AQ63" s="191"/>
      <c r="AR63" s="191"/>
      <c r="AS63" s="191"/>
      <c r="AT63" s="191"/>
      <c r="AU63" s="192"/>
      <c r="AV63" s="192"/>
      <c r="AW63" s="192"/>
      <c r="AX63" s="187"/>
      <c r="AY63" s="187"/>
      <c r="AZ63" s="172"/>
      <c r="BA63" s="172"/>
      <c r="BB63" s="172"/>
      <c r="BC63" s="173"/>
      <c r="BD63" s="172"/>
      <c r="BE63" s="172"/>
      <c r="BF63" s="172"/>
      <c r="BG63" s="172"/>
      <c r="BH63" s="172"/>
      <c r="BI63" s="172"/>
      <c r="BJ63" s="172"/>
      <c r="BK63" s="172"/>
      <c r="BL63" s="173"/>
      <c r="BM63" s="172"/>
      <c r="BN63" s="172"/>
      <c r="BO63" s="172"/>
      <c r="BP63" s="172"/>
      <c r="BQ63" s="172"/>
      <c r="BR63" s="172"/>
      <c r="BS63" s="172"/>
      <c r="BT63" s="172"/>
      <c r="BU63" s="172"/>
      <c r="BV63" s="172"/>
    </row>
    <row r="64" spans="1:75" ht="15.95" customHeight="1" x14ac:dyDescent="0.25">
      <c r="G64" s="187"/>
      <c r="H64" s="193" t="s">
        <v>119</v>
      </c>
      <c r="I64" s="194"/>
      <c r="J64" s="195" t="s">
        <v>200</v>
      </c>
      <c r="K64" s="191"/>
      <c r="L64" s="191"/>
      <c r="M64" s="191"/>
      <c r="N64" s="191"/>
      <c r="O64" s="191"/>
      <c r="P64" s="191"/>
      <c r="Q64" s="191"/>
      <c r="R64" s="191"/>
      <c r="S64" s="191"/>
      <c r="T64" s="191"/>
      <c r="U64" s="191"/>
      <c r="V64" s="191"/>
      <c r="W64" s="191"/>
      <c r="X64" s="191"/>
      <c r="Y64" s="191"/>
      <c r="Z64" s="191"/>
      <c r="AA64" s="191"/>
      <c r="AB64" s="191"/>
      <c r="AC64" s="191"/>
      <c r="AD64" s="191"/>
      <c r="AE64" s="191"/>
      <c r="AF64" s="505" t="s">
        <v>53</v>
      </c>
      <c r="AG64" s="506"/>
      <c r="AH64" s="190" t="s">
        <v>201</v>
      </c>
      <c r="AI64" s="191"/>
      <c r="AJ64" s="191"/>
      <c r="AK64" s="191"/>
      <c r="AL64" s="191"/>
      <c r="AM64" s="191"/>
      <c r="AN64" s="191"/>
      <c r="AO64" s="191"/>
      <c r="AP64" s="191"/>
      <c r="AQ64" s="191"/>
      <c r="AR64" s="191"/>
      <c r="AS64" s="191"/>
      <c r="AT64" s="191"/>
      <c r="AU64" s="192"/>
      <c r="AV64" s="192"/>
      <c r="AW64" s="192"/>
      <c r="AX64" s="187"/>
      <c r="AY64" s="187"/>
      <c r="AZ64" s="172"/>
      <c r="BA64" s="172"/>
      <c r="BB64" s="172"/>
      <c r="BC64" s="173"/>
      <c r="BD64" s="172"/>
      <c r="BE64" s="172"/>
      <c r="BF64" s="172"/>
      <c r="BG64" s="172"/>
      <c r="BH64" s="172"/>
      <c r="BI64" s="172"/>
      <c r="BJ64" s="172"/>
      <c r="BK64" s="172"/>
      <c r="BL64" s="173"/>
      <c r="BM64" s="172"/>
      <c r="BN64" s="172"/>
      <c r="BO64" s="172"/>
      <c r="BP64" s="172"/>
      <c r="BQ64" s="172"/>
      <c r="BR64" s="172"/>
      <c r="BS64" s="172"/>
      <c r="BT64" s="172"/>
      <c r="BU64" s="172"/>
      <c r="BV64" s="172"/>
      <c r="BW64" s="172"/>
    </row>
    <row r="65" spans="7:75" ht="15.95" customHeight="1" x14ac:dyDescent="0.25">
      <c r="G65" s="187"/>
      <c r="H65" s="193" t="s">
        <v>57</v>
      </c>
      <c r="I65" s="194"/>
      <c r="J65" s="195" t="s">
        <v>202</v>
      </c>
      <c r="K65" s="191"/>
      <c r="L65" s="191"/>
      <c r="M65" s="191"/>
      <c r="N65" s="191"/>
      <c r="O65" s="191"/>
      <c r="P65" s="191"/>
      <c r="Q65" s="191"/>
      <c r="R65" s="191"/>
      <c r="S65" s="191"/>
      <c r="T65" s="191"/>
      <c r="U65" s="191"/>
      <c r="V65" s="191"/>
      <c r="W65" s="191"/>
      <c r="X65" s="191"/>
      <c r="Y65" s="191"/>
      <c r="Z65" s="191"/>
      <c r="AA65" s="191"/>
      <c r="AB65" s="191"/>
      <c r="AC65" s="191"/>
      <c r="AD65" s="191"/>
      <c r="AE65" s="191"/>
      <c r="AF65" s="505" t="s">
        <v>94</v>
      </c>
      <c r="AG65" s="506"/>
      <c r="AH65" s="190" t="s">
        <v>203</v>
      </c>
      <c r="AI65" s="191"/>
      <c r="AJ65" s="191"/>
      <c r="AK65" s="191"/>
      <c r="AL65" s="191"/>
      <c r="AM65" s="191"/>
      <c r="AN65" s="191"/>
      <c r="AO65" s="191"/>
      <c r="AP65" s="191"/>
      <c r="AQ65" s="191"/>
      <c r="AR65" s="191"/>
      <c r="AS65" s="191"/>
      <c r="AT65" s="191"/>
      <c r="AU65" s="192"/>
      <c r="AV65" s="192"/>
      <c r="AW65" s="192"/>
      <c r="AX65" s="187"/>
      <c r="AY65" s="187"/>
      <c r="AZ65" s="172"/>
      <c r="BA65" s="172"/>
      <c r="BB65" s="172"/>
      <c r="BC65" s="173"/>
      <c r="BD65" s="172"/>
      <c r="BE65" s="172"/>
      <c r="BF65" s="172"/>
      <c r="BG65" s="172"/>
      <c r="BH65" s="172"/>
      <c r="BI65" s="172"/>
      <c r="BJ65" s="172"/>
      <c r="BK65" s="172"/>
      <c r="BL65" s="173"/>
      <c r="BM65" s="172"/>
      <c r="BN65" s="172"/>
      <c r="BO65" s="172"/>
      <c r="BP65" s="172"/>
      <c r="BQ65" s="172"/>
      <c r="BR65" s="172"/>
      <c r="BS65" s="172"/>
      <c r="BT65" s="172"/>
      <c r="BU65" s="172"/>
      <c r="BV65" s="172"/>
    </row>
    <row r="66" spans="7:75" ht="15.95" customHeight="1" x14ac:dyDescent="0.25">
      <c r="G66" s="187"/>
      <c r="H66" s="193" t="s">
        <v>122</v>
      </c>
      <c r="I66" s="194"/>
      <c r="J66" s="195" t="s">
        <v>204</v>
      </c>
      <c r="K66" s="191"/>
      <c r="L66" s="191"/>
      <c r="M66" s="191"/>
      <c r="N66" s="191"/>
      <c r="O66" s="191"/>
      <c r="P66" s="191"/>
      <c r="Q66" s="191"/>
      <c r="R66" s="191"/>
      <c r="S66" s="191"/>
      <c r="T66" s="191"/>
      <c r="U66" s="191"/>
      <c r="V66" s="191"/>
      <c r="W66" s="191"/>
      <c r="X66" s="191"/>
      <c r="Y66" s="191"/>
      <c r="Z66" s="191"/>
      <c r="AA66" s="191"/>
      <c r="AB66" s="191"/>
      <c r="AC66" s="191"/>
      <c r="AD66" s="191"/>
      <c r="AE66" s="191"/>
      <c r="AF66" s="505" t="s">
        <v>157</v>
      </c>
      <c r="AG66" s="506"/>
      <c r="AH66" s="190" t="s">
        <v>205</v>
      </c>
      <c r="AI66" s="191"/>
      <c r="AJ66" s="191"/>
      <c r="AK66" s="191"/>
      <c r="AL66" s="191"/>
      <c r="AM66" s="191"/>
      <c r="AN66" s="191"/>
      <c r="AO66" s="191"/>
      <c r="AP66" s="191"/>
      <c r="AQ66" s="191"/>
      <c r="AR66" s="191"/>
      <c r="AS66" s="191"/>
      <c r="AT66" s="191"/>
      <c r="AU66" s="192"/>
      <c r="AV66" s="192"/>
      <c r="AW66" s="192"/>
      <c r="AX66" s="187"/>
      <c r="AY66" s="187"/>
      <c r="AZ66" s="172"/>
      <c r="BA66" s="172"/>
      <c r="BB66" s="172"/>
      <c r="BC66" s="173"/>
      <c r="BD66" s="172"/>
      <c r="BE66" s="172"/>
      <c r="BF66" s="172"/>
      <c r="BG66" s="172"/>
      <c r="BH66" s="172"/>
      <c r="BI66" s="172"/>
      <c r="BJ66" s="172"/>
      <c r="BK66" s="172"/>
      <c r="BL66" s="173"/>
      <c r="BM66" s="172"/>
      <c r="BN66" s="172"/>
      <c r="BO66" s="172"/>
      <c r="BP66" s="172"/>
      <c r="BQ66" s="172"/>
      <c r="BR66" s="172"/>
      <c r="BS66" s="172"/>
      <c r="BT66" s="172"/>
      <c r="BU66" s="172"/>
      <c r="BV66" s="172"/>
    </row>
    <row r="67" spans="7:75" ht="15.95" customHeight="1" x14ac:dyDescent="0.25">
      <c r="G67" s="187"/>
      <c r="H67" s="193" t="s">
        <v>104</v>
      </c>
      <c r="I67" s="194"/>
      <c r="J67" s="195" t="s">
        <v>206</v>
      </c>
      <c r="K67" s="191"/>
      <c r="L67" s="191"/>
      <c r="M67" s="191"/>
      <c r="N67" s="191"/>
      <c r="O67" s="191"/>
      <c r="P67" s="191"/>
      <c r="Q67" s="191"/>
      <c r="R67" s="191"/>
      <c r="S67" s="191"/>
      <c r="T67" s="191"/>
      <c r="U67" s="191"/>
      <c r="V67" s="191"/>
      <c r="W67" s="191"/>
      <c r="X67" s="191"/>
      <c r="Y67" s="191"/>
      <c r="Z67" s="191"/>
      <c r="AA67" s="191"/>
      <c r="AB67" s="191"/>
      <c r="AC67" s="191"/>
      <c r="AD67" s="191"/>
      <c r="AE67" s="191"/>
      <c r="AF67" s="505" t="s">
        <v>115</v>
      </c>
      <c r="AG67" s="506"/>
      <c r="AH67" s="190" t="s">
        <v>207</v>
      </c>
      <c r="AI67" s="191"/>
      <c r="AJ67" s="191"/>
      <c r="AK67" s="191"/>
      <c r="AL67" s="191"/>
      <c r="AM67" s="191"/>
      <c r="AN67" s="191"/>
      <c r="AO67" s="191"/>
      <c r="AP67" s="191"/>
      <c r="AQ67" s="191"/>
      <c r="AR67" s="191"/>
      <c r="AS67" s="191"/>
      <c r="AT67" s="191"/>
      <c r="AU67" s="192"/>
      <c r="AV67" s="192"/>
      <c r="AW67" s="192"/>
      <c r="AX67" s="187"/>
      <c r="AY67" s="187"/>
      <c r="AZ67" s="172"/>
      <c r="BA67" s="172"/>
      <c r="BB67" s="172"/>
      <c r="BC67" s="173"/>
      <c r="BD67" s="172"/>
      <c r="BE67" s="172"/>
      <c r="BF67" s="172"/>
      <c r="BG67" s="172"/>
      <c r="BH67" s="172"/>
      <c r="BI67" s="172"/>
      <c r="BJ67" s="172"/>
      <c r="BK67" s="172"/>
      <c r="BL67" s="173"/>
      <c r="BM67" s="172"/>
      <c r="BN67" s="172"/>
      <c r="BO67" s="172"/>
      <c r="BP67" s="172"/>
      <c r="BQ67" s="172"/>
      <c r="BR67" s="172"/>
      <c r="BS67" s="172"/>
      <c r="BT67" s="172"/>
      <c r="BU67" s="172"/>
      <c r="BV67" s="172"/>
    </row>
    <row r="68" spans="7:75" ht="15.95" customHeight="1" x14ac:dyDescent="0.25">
      <c r="G68" s="187"/>
      <c r="H68" s="193" t="s">
        <v>72</v>
      </c>
      <c r="I68" s="194"/>
      <c r="J68" s="195" t="s">
        <v>208</v>
      </c>
      <c r="K68" s="191"/>
      <c r="L68" s="191"/>
      <c r="M68" s="191"/>
      <c r="N68" s="191"/>
      <c r="O68" s="191"/>
      <c r="P68" s="191"/>
      <c r="Q68" s="191"/>
      <c r="R68" s="191"/>
      <c r="S68" s="191"/>
      <c r="T68" s="191"/>
      <c r="U68" s="191"/>
      <c r="V68" s="191"/>
      <c r="W68" s="191"/>
      <c r="X68" s="191"/>
      <c r="Y68" s="191"/>
      <c r="Z68" s="191"/>
      <c r="AA68" s="191"/>
      <c r="AB68" s="191"/>
      <c r="AC68" s="191"/>
      <c r="AD68" s="191"/>
      <c r="AE68" s="191"/>
      <c r="AF68" s="505" t="s">
        <v>48</v>
      </c>
      <c r="AG68" s="506"/>
      <c r="AH68" s="190" t="s">
        <v>209</v>
      </c>
      <c r="AI68" s="191"/>
      <c r="AJ68" s="191"/>
      <c r="AK68" s="191"/>
      <c r="AL68" s="191"/>
      <c r="AM68" s="191"/>
      <c r="AN68" s="191"/>
      <c r="AO68" s="191"/>
      <c r="AP68" s="191"/>
      <c r="AQ68" s="191"/>
      <c r="AR68" s="191"/>
      <c r="AS68" s="191"/>
      <c r="AT68" s="191"/>
      <c r="AU68" s="192"/>
      <c r="AV68" s="192"/>
      <c r="AW68" s="192"/>
      <c r="AX68" s="187"/>
      <c r="AY68" s="187"/>
      <c r="AZ68" s="172"/>
      <c r="BA68" s="172"/>
      <c r="BB68" s="172"/>
      <c r="BC68" s="173"/>
      <c r="BD68" s="172"/>
      <c r="BE68" s="172"/>
      <c r="BF68" s="172"/>
      <c r="BG68" s="172"/>
      <c r="BH68" s="172"/>
      <c r="BI68" s="172"/>
      <c r="BJ68" s="172"/>
      <c r="BK68" s="172"/>
      <c r="BL68" s="173"/>
      <c r="BM68" s="172"/>
      <c r="BN68" s="172"/>
      <c r="BO68" s="172"/>
      <c r="BP68" s="172"/>
      <c r="BQ68" s="172"/>
      <c r="BR68" s="172"/>
      <c r="BS68" s="172"/>
      <c r="BT68" s="172"/>
      <c r="BU68" s="172"/>
      <c r="BV68" s="172"/>
    </row>
    <row r="69" spans="7:75" ht="15.95" customHeight="1" x14ac:dyDescent="0.25">
      <c r="G69" s="187"/>
      <c r="H69" s="193" t="s">
        <v>118</v>
      </c>
      <c r="I69" s="194"/>
      <c r="J69" s="195" t="s">
        <v>210</v>
      </c>
      <c r="K69" s="191"/>
      <c r="L69" s="191"/>
      <c r="M69" s="191"/>
      <c r="N69" s="191"/>
      <c r="O69" s="191"/>
      <c r="P69" s="191"/>
      <c r="Q69" s="191"/>
      <c r="R69" s="191"/>
      <c r="S69" s="191"/>
      <c r="T69" s="191"/>
      <c r="U69" s="191"/>
      <c r="V69" s="191"/>
      <c r="W69" s="191"/>
      <c r="X69" s="191"/>
      <c r="Y69" s="191"/>
      <c r="Z69" s="191"/>
      <c r="AA69" s="191"/>
      <c r="AB69" s="191"/>
      <c r="AC69" s="191"/>
      <c r="AD69" s="191"/>
      <c r="AE69" s="191"/>
      <c r="AF69" s="505" t="s">
        <v>45</v>
      </c>
      <c r="AG69" s="506"/>
      <c r="AH69" s="190" t="s">
        <v>211</v>
      </c>
      <c r="AI69" s="191"/>
      <c r="AJ69" s="191"/>
      <c r="AK69" s="191"/>
      <c r="AL69" s="191"/>
      <c r="AM69" s="191"/>
      <c r="AN69" s="191"/>
      <c r="AO69" s="191"/>
      <c r="AP69" s="191"/>
      <c r="AQ69" s="191"/>
      <c r="AR69" s="191"/>
      <c r="AS69" s="191"/>
      <c r="AT69" s="191"/>
      <c r="AU69" s="192"/>
      <c r="AV69" s="192"/>
      <c r="AW69" s="192"/>
      <c r="AX69" s="187"/>
      <c r="AY69" s="187"/>
      <c r="AZ69" s="172"/>
      <c r="BA69" s="172"/>
      <c r="BB69" s="172"/>
      <c r="BC69" s="173"/>
      <c r="BD69" s="172"/>
      <c r="BE69" s="172"/>
      <c r="BF69" s="172"/>
      <c r="BG69" s="172"/>
      <c r="BH69" s="172"/>
      <c r="BI69" s="172"/>
      <c r="BJ69" s="172"/>
      <c r="BK69" s="172"/>
      <c r="BL69" s="173"/>
      <c r="BM69" s="172"/>
      <c r="BN69" s="172"/>
      <c r="BO69" s="172"/>
      <c r="BP69" s="172"/>
      <c r="BQ69" s="172"/>
      <c r="BR69" s="172"/>
      <c r="BS69" s="172"/>
      <c r="BT69" s="172"/>
      <c r="BU69" s="172"/>
      <c r="BV69" s="172"/>
    </row>
    <row r="70" spans="7:75" ht="15.95" customHeight="1" x14ac:dyDescent="0.25">
      <c r="G70" s="187"/>
      <c r="H70" s="193" t="s">
        <v>105</v>
      </c>
      <c r="I70" s="194"/>
      <c r="J70" s="195" t="s">
        <v>212</v>
      </c>
      <c r="K70" s="191"/>
      <c r="L70" s="191"/>
      <c r="M70" s="191"/>
      <c r="N70" s="191"/>
      <c r="O70" s="191"/>
      <c r="P70" s="191"/>
      <c r="Q70" s="191"/>
      <c r="R70" s="191"/>
      <c r="S70" s="191"/>
      <c r="T70" s="191"/>
      <c r="U70" s="191"/>
      <c r="V70" s="191"/>
      <c r="W70" s="191"/>
      <c r="X70" s="191"/>
      <c r="Y70" s="191"/>
      <c r="Z70" s="191"/>
      <c r="AA70" s="191"/>
      <c r="AB70" s="191"/>
      <c r="AC70" s="191"/>
      <c r="AD70" s="191"/>
      <c r="AE70" s="191"/>
      <c r="AF70" s="505" t="s">
        <v>213</v>
      </c>
      <c r="AG70" s="506"/>
      <c r="AH70" s="190" t="s">
        <v>214</v>
      </c>
      <c r="AI70" s="191"/>
      <c r="AJ70" s="191"/>
      <c r="AK70" s="191"/>
      <c r="AL70" s="191"/>
      <c r="AM70" s="191"/>
      <c r="AN70" s="191"/>
      <c r="AO70" s="191"/>
      <c r="AP70" s="191"/>
      <c r="AQ70" s="191"/>
      <c r="AR70" s="191"/>
      <c r="AS70" s="191"/>
      <c r="AT70" s="191"/>
      <c r="AU70" s="192"/>
      <c r="AV70" s="192"/>
      <c r="AW70" s="192"/>
      <c r="AX70" s="187"/>
      <c r="AY70" s="187"/>
      <c r="AZ70" s="172"/>
      <c r="BA70" s="172"/>
      <c r="BB70" s="172"/>
      <c r="BC70" s="173"/>
      <c r="BD70" s="172"/>
      <c r="BE70" s="172"/>
      <c r="BF70" s="172"/>
      <c r="BG70" s="172"/>
      <c r="BH70" s="172"/>
      <c r="BI70" s="172"/>
      <c r="BJ70" s="172"/>
      <c r="BK70" s="172"/>
      <c r="BL70" s="173"/>
      <c r="BM70" s="172"/>
      <c r="BN70" s="172"/>
      <c r="BO70" s="172"/>
      <c r="BP70" s="172"/>
      <c r="BQ70" s="172"/>
      <c r="BR70" s="172"/>
      <c r="BS70" s="172"/>
      <c r="BT70" s="172"/>
      <c r="BU70" s="172"/>
      <c r="BV70" s="172"/>
    </row>
    <row r="71" spans="7:75" ht="15.95" customHeight="1" x14ac:dyDescent="0.25">
      <c r="G71" s="187"/>
      <c r="H71" s="193" t="s">
        <v>74</v>
      </c>
      <c r="I71" s="194"/>
      <c r="J71" s="190" t="s">
        <v>215</v>
      </c>
      <c r="K71" s="191"/>
      <c r="L71" s="191"/>
      <c r="M71" s="191"/>
      <c r="N71" s="191"/>
      <c r="O71" s="191"/>
      <c r="P71" s="191"/>
      <c r="Q71" s="191"/>
      <c r="R71" s="191"/>
      <c r="S71" s="191"/>
      <c r="T71" s="191"/>
      <c r="U71" s="191"/>
      <c r="V71" s="191"/>
      <c r="W71" s="191"/>
      <c r="X71" s="191"/>
      <c r="Y71" s="191"/>
      <c r="Z71" s="191"/>
      <c r="AA71" s="191"/>
      <c r="AB71" s="191"/>
      <c r="AC71" s="191"/>
      <c r="AD71" s="191"/>
      <c r="AE71" s="191"/>
      <c r="AF71" s="505" t="s">
        <v>79</v>
      </c>
      <c r="AG71" s="506"/>
      <c r="AH71" s="190" t="s">
        <v>216</v>
      </c>
      <c r="AI71" s="191"/>
      <c r="AJ71" s="191"/>
      <c r="AK71" s="191"/>
      <c r="AL71" s="191"/>
      <c r="AM71" s="191"/>
      <c r="AN71" s="191"/>
      <c r="AO71" s="191"/>
      <c r="AP71" s="191"/>
      <c r="AQ71" s="191"/>
      <c r="AR71" s="191"/>
      <c r="AS71" s="191"/>
      <c r="AT71" s="191"/>
      <c r="AU71" s="192"/>
      <c r="AV71" s="192"/>
      <c r="AW71" s="192"/>
      <c r="AX71" s="187"/>
      <c r="AY71" s="187"/>
      <c r="AZ71" s="172"/>
      <c r="BA71" s="172"/>
      <c r="BB71" s="172"/>
      <c r="BC71" s="173"/>
      <c r="BD71" s="172"/>
      <c r="BE71" s="172"/>
      <c r="BF71" s="172"/>
      <c r="BG71" s="172"/>
      <c r="BH71" s="172"/>
      <c r="BI71" s="172"/>
      <c r="BJ71" s="172"/>
      <c r="BK71" s="172"/>
      <c r="BL71" s="173"/>
      <c r="BM71" s="172"/>
      <c r="BN71" s="172"/>
      <c r="BO71" s="172"/>
      <c r="BP71" s="172"/>
      <c r="BQ71" s="172"/>
      <c r="BR71" s="172"/>
      <c r="BS71" s="172"/>
      <c r="BT71" s="172"/>
      <c r="BU71" s="172"/>
      <c r="BV71" s="172"/>
    </row>
    <row r="72" spans="7:75" ht="15.95" customHeight="1" x14ac:dyDescent="0.25">
      <c r="G72" s="187"/>
      <c r="H72" s="193" t="s">
        <v>127</v>
      </c>
      <c r="I72" s="194"/>
      <c r="J72" s="196" t="s">
        <v>217</v>
      </c>
      <c r="K72" s="191"/>
      <c r="L72" s="191"/>
      <c r="M72" s="191"/>
      <c r="N72" s="191"/>
      <c r="O72" s="191"/>
      <c r="P72" s="191"/>
      <c r="Q72" s="191"/>
      <c r="R72" s="191"/>
      <c r="S72" s="191"/>
      <c r="T72" s="191"/>
      <c r="U72" s="191"/>
      <c r="V72" s="191"/>
      <c r="W72" s="191"/>
      <c r="X72" s="191"/>
      <c r="Y72" s="191"/>
      <c r="Z72" s="191"/>
      <c r="AA72" s="191"/>
      <c r="AB72" s="191"/>
      <c r="AC72" s="191"/>
      <c r="AD72" s="191"/>
      <c r="AE72" s="191"/>
      <c r="AF72" s="505" t="s">
        <v>69</v>
      </c>
      <c r="AG72" s="506"/>
      <c r="AH72" s="190" t="s">
        <v>218</v>
      </c>
      <c r="AI72" s="191"/>
      <c r="AJ72" s="191"/>
      <c r="AK72" s="191"/>
      <c r="AL72" s="191"/>
      <c r="AM72" s="191"/>
      <c r="AN72" s="191"/>
      <c r="AO72" s="191"/>
      <c r="AP72" s="191"/>
      <c r="AQ72" s="191"/>
      <c r="AR72" s="191"/>
      <c r="AS72" s="191"/>
      <c r="AT72" s="191"/>
      <c r="AU72" s="192"/>
      <c r="AV72" s="192"/>
      <c r="AW72" s="192"/>
      <c r="AX72" s="187"/>
      <c r="AY72" s="187"/>
      <c r="AZ72" s="172"/>
      <c r="BA72" s="172"/>
      <c r="BB72" s="172"/>
      <c r="BC72" s="173"/>
      <c r="BD72" s="172"/>
      <c r="BE72" s="172"/>
      <c r="BF72" s="172"/>
      <c r="BG72" s="172"/>
      <c r="BH72" s="172"/>
      <c r="BI72" s="172"/>
      <c r="BJ72" s="172"/>
      <c r="BK72" s="172"/>
      <c r="BL72" s="173"/>
      <c r="BM72" s="172"/>
      <c r="BN72" s="172"/>
      <c r="BO72" s="172"/>
      <c r="BP72" s="172"/>
      <c r="BQ72" s="172"/>
      <c r="BR72" s="172"/>
      <c r="BS72" s="172"/>
      <c r="BT72" s="172"/>
      <c r="BU72" s="172"/>
      <c r="BV72" s="172"/>
    </row>
    <row r="73" spans="7:75" ht="15.95" customHeight="1" x14ac:dyDescent="0.25">
      <c r="G73" s="187"/>
      <c r="H73" s="193" t="s">
        <v>130</v>
      </c>
      <c r="I73" s="194"/>
      <c r="J73" s="190" t="s">
        <v>219</v>
      </c>
      <c r="K73" s="191"/>
      <c r="L73" s="191"/>
      <c r="M73" s="191"/>
      <c r="N73" s="191"/>
      <c r="O73" s="191"/>
      <c r="P73" s="191"/>
      <c r="Q73" s="191"/>
      <c r="R73" s="191"/>
      <c r="S73" s="191"/>
      <c r="T73" s="191"/>
      <c r="U73" s="191"/>
      <c r="V73" s="191"/>
      <c r="W73" s="191"/>
      <c r="X73" s="191"/>
      <c r="Y73" s="191"/>
      <c r="Z73" s="191"/>
      <c r="AA73" s="191"/>
      <c r="AB73" s="191"/>
      <c r="AC73" s="191"/>
      <c r="AD73" s="191"/>
      <c r="AE73" s="191"/>
      <c r="AF73" s="505" t="s">
        <v>102</v>
      </c>
      <c r="AG73" s="506"/>
      <c r="AH73" s="190" t="s">
        <v>220</v>
      </c>
      <c r="AI73" s="191"/>
      <c r="AJ73" s="191"/>
      <c r="AK73" s="191"/>
      <c r="AL73" s="191"/>
      <c r="AM73" s="191"/>
      <c r="AN73" s="191"/>
      <c r="AO73" s="191"/>
      <c r="AP73" s="191"/>
      <c r="AQ73" s="191"/>
      <c r="AR73" s="191"/>
      <c r="AS73" s="191"/>
      <c r="AT73" s="191"/>
      <c r="AU73" s="192"/>
      <c r="AV73" s="192"/>
      <c r="AW73" s="192"/>
      <c r="AX73" s="187"/>
      <c r="AY73" s="187"/>
      <c r="AZ73" s="172"/>
      <c r="BA73" s="172"/>
      <c r="BB73" s="172"/>
      <c r="BC73" s="173"/>
      <c r="BD73" s="172"/>
      <c r="BE73" s="172"/>
      <c r="BF73" s="172"/>
      <c r="BG73" s="172"/>
      <c r="BH73" s="172"/>
      <c r="BI73" s="172"/>
      <c r="BJ73" s="172"/>
      <c r="BK73" s="172"/>
      <c r="BL73" s="173"/>
      <c r="BM73" s="172"/>
      <c r="BN73" s="172"/>
      <c r="BO73" s="172"/>
      <c r="BP73" s="172"/>
      <c r="BQ73" s="172"/>
      <c r="BR73" s="172"/>
      <c r="BS73" s="172"/>
      <c r="BT73" s="172"/>
      <c r="BU73" s="172"/>
      <c r="BV73" s="172"/>
    </row>
    <row r="74" spans="7:75" ht="15.95" customHeight="1" x14ac:dyDescent="0.25">
      <c r="G74" s="187"/>
      <c r="H74" s="193" t="s">
        <v>120</v>
      </c>
      <c r="I74" s="194"/>
      <c r="J74" s="190" t="s">
        <v>221</v>
      </c>
      <c r="K74" s="191"/>
      <c r="L74" s="191"/>
      <c r="M74" s="191"/>
      <c r="N74" s="191"/>
      <c r="O74" s="191"/>
      <c r="P74" s="191"/>
      <c r="Q74" s="191"/>
      <c r="R74" s="191"/>
      <c r="S74" s="191"/>
      <c r="T74" s="191"/>
      <c r="U74" s="191"/>
      <c r="V74" s="191"/>
      <c r="W74" s="191"/>
      <c r="X74" s="191"/>
      <c r="Y74" s="191"/>
      <c r="Z74" s="191"/>
      <c r="AA74" s="191"/>
      <c r="AB74" s="191"/>
      <c r="AC74" s="191"/>
      <c r="AD74" s="191"/>
      <c r="AE74" s="191"/>
      <c r="AF74" s="505" t="s">
        <v>222</v>
      </c>
      <c r="AG74" s="506"/>
      <c r="AH74" s="190" t="s">
        <v>223</v>
      </c>
      <c r="AI74" s="191"/>
      <c r="AJ74" s="191"/>
      <c r="AK74" s="191"/>
      <c r="AL74" s="191"/>
      <c r="AM74" s="191"/>
      <c r="AN74" s="191"/>
      <c r="AO74" s="191"/>
      <c r="AP74" s="191"/>
      <c r="AQ74" s="191"/>
      <c r="AR74" s="191"/>
      <c r="AS74" s="191"/>
      <c r="AT74" s="191"/>
      <c r="AU74" s="192"/>
      <c r="AV74" s="192"/>
      <c r="AW74" s="192"/>
      <c r="AX74" s="187"/>
      <c r="AY74" s="187"/>
      <c r="AZ74" s="172"/>
      <c r="BA74" s="172"/>
      <c r="BB74" s="172"/>
      <c r="BC74" s="173"/>
      <c r="BD74" s="172"/>
      <c r="BE74" s="172"/>
      <c r="BF74" s="172"/>
      <c r="BG74" s="172"/>
      <c r="BH74" s="172"/>
      <c r="BI74" s="172"/>
      <c r="BJ74" s="172"/>
      <c r="BK74" s="172"/>
      <c r="BL74" s="173"/>
      <c r="BM74" s="172"/>
      <c r="BN74" s="172"/>
      <c r="BO74" s="172"/>
      <c r="BP74" s="172"/>
      <c r="BQ74" s="172"/>
      <c r="BR74" s="172"/>
      <c r="BS74" s="172"/>
      <c r="BT74" s="172"/>
      <c r="BU74" s="172"/>
      <c r="BV74" s="172"/>
    </row>
    <row r="75" spans="7:75" ht="15.95" customHeight="1" x14ac:dyDescent="0.25">
      <c r="G75" s="187"/>
      <c r="H75" s="193" t="s">
        <v>63</v>
      </c>
      <c r="I75" s="194"/>
      <c r="J75" s="190" t="s">
        <v>224</v>
      </c>
      <c r="K75" s="191"/>
      <c r="L75" s="191"/>
      <c r="M75" s="191"/>
      <c r="N75" s="191"/>
      <c r="O75" s="191"/>
      <c r="P75" s="191"/>
      <c r="Q75" s="191"/>
      <c r="R75" s="191"/>
      <c r="S75" s="191"/>
      <c r="T75" s="191"/>
      <c r="U75" s="191"/>
      <c r="V75" s="191"/>
      <c r="W75" s="191"/>
      <c r="X75" s="191"/>
      <c r="Y75" s="191"/>
      <c r="Z75" s="191"/>
      <c r="AA75" s="191"/>
      <c r="AB75" s="191"/>
      <c r="AC75" s="191"/>
      <c r="AD75" s="191"/>
      <c r="AE75" s="191"/>
      <c r="AF75" s="505" t="s">
        <v>73</v>
      </c>
      <c r="AG75" s="506"/>
      <c r="AH75" s="190" t="s">
        <v>225</v>
      </c>
      <c r="AI75" s="191"/>
      <c r="AJ75" s="191"/>
      <c r="AK75" s="191"/>
      <c r="AL75" s="191"/>
      <c r="AM75" s="191"/>
      <c r="AN75" s="191"/>
      <c r="AO75" s="191"/>
      <c r="AP75" s="191"/>
      <c r="AQ75" s="191"/>
      <c r="AR75" s="191"/>
      <c r="AS75" s="191"/>
      <c r="AT75" s="191"/>
      <c r="AU75" s="192"/>
      <c r="AV75" s="192"/>
      <c r="AW75" s="192"/>
      <c r="AX75" s="187"/>
      <c r="AY75" s="187"/>
      <c r="AZ75" s="172"/>
      <c r="BA75" s="172"/>
      <c r="BB75" s="172"/>
      <c r="BC75" s="173"/>
      <c r="BD75" s="172"/>
      <c r="BE75" s="172"/>
      <c r="BF75" s="172"/>
      <c r="BG75" s="172"/>
      <c r="BH75" s="172"/>
      <c r="BI75" s="172"/>
      <c r="BJ75" s="172"/>
      <c r="BK75" s="172"/>
      <c r="BL75" s="173"/>
      <c r="BM75" s="172"/>
      <c r="BN75" s="172"/>
      <c r="BO75" s="172"/>
      <c r="BP75" s="172"/>
      <c r="BQ75" s="172"/>
      <c r="BR75" s="172"/>
      <c r="BS75" s="172"/>
      <c r="BT75" s="172"/>
      <c r="BU75" s="172"/>
      <c r="BV75" s="172"/>
    </row>
    <row r="76" spans="7:75" ht="15.95" customHeight="1" x14ac:dyDescent="0.25">
      <c r="G76" s="187"/>
      <c r="H76" s="193" t="s">
        <v>96</v>
      </c>
      <c r="I76" s="194"/>
      <c r="J76" s="190" t="s">
        <v>226</v>
      </c>
      <c r="K76" s="191"/>
      <c r="L76" s="191"/>
      <c r="M76" s="191"/>
      <c r="N76" s="191"/>
      <c r="O76" s="191"/>
      <c r="P76" s="191"/>
      <c r="Q76" s="191"/>
      <c r="R76" s="191"/>
      <c r="S76" s="191"/>
      <c r="T76" s="191"/>
      <c r="U76" s="191"/>
      <c r="V76" s="191"/>
      <c r="W76" s="191"/>
      <c r="X76" s="191"/>
      <c r="Y76" s="191"/>
      <c r="Z76" s="191"/>
      <c r="AA76" s="191"/>
      <c r="AB76" s="191"/>
      <c r="AC76" s="191"/>
      <c r="AD76" s="191"/>
      <c r="AE76" s="191"/>
      <c r="AF76" s="505" t="s">
        <v>109</v>
      </c>
      <c r="AG76" s="506"/>
      <c r="AH76" s="190" t="s">
        <v>227</v>
      </c>
      <c r="AI76" s="191"/>
      <c r="AJ76" s="191"/>
      <c r="AK76" s="191"/>
      <c r="AL76" s="191"/>
      <c r="AM76" s="191"/>
      <c r="AN76" s="191"/>
      <c r="AO76" s="191"/>
      <c r="AP76" s="191"/>
      <c r="AQ76" s="191"/>
      <c r="AR76" s="191"/>
      <c r="AS76" s="191"/>
      <c r="AT76" s="191"/>
      <c r="AU76" s="192"/>
      <c r="AV76" s="192"/>
      <c r="AW76" s="192"/>
      <c r="AX76" s="187"/>
      <c r="AY76" s="187"/>
      <c r="AZ76" s="172"/>
      <c r="BA76" s="172"/>
      <c r="BB76" s="172"/>
      <c r="BC76" s="173"/>
      <c r="BD76" s="172"/>
      <c r="BE76" s="172"/>
      <c r="BF76" s="172"/>
      <c r="BG76" s="172"/>
      <c r="BH76" s="172"/>
      <c r="BI76" s="172"/>
      <c r="BJ76" s="172"/>
      <c r="BK76" s="172"/>
      <c r="BL76" s="173"/>
      <c r="BM76" s="172"/>
      <c r="BN76" s="172"/>
      <c r="BO76" s="172"/>
      <c r="BP76" s="172"/>
      <c r="BQ76" s="172"/>
      <c r="BR76" s="172"/>
      <c r="BS76" s="172"/>
      <c r="BT76" s="172"/>
      <c r="BU76" s="172"/>
      <c r="BV76" s="172"/>
      <c r="BW76" s="172"/>
    </row>
    <row r="77" spans="7:75" ht="15.95" customHeight="1" x14ac:dyDescent="0.25">
      <c r="G77" s="187"/>
      <c r="H77" s="193" t="s">
        <v>116</v>
      </c>
      <c r="I77" s="194"/>
      <c r="J77" s="190" t="s">
        <v>228</v>
      </c>
      <c r="K77" s="191"/>
      <c r="L77" s="191"/>
      <c r="M77" s="191"/>
      <c r="N77" s="191"/>
      <c r="O77" s="191"/>
      <c r="P77" s="191"/>
      <c r="Q77" s="191"/>
      <c r="R77" s="191"/>
      <c r="S77" s="191"/>
      <c r="T77" s="191"/>
      <c r="U77" s="191"/>
      <c r="V77" s="191"/>
      <c r="W77" s="191"/>
      <c r="X77" s="191"/>
      <c r="Y77" s="191"/>
      <c r="Z77" s="191"/>
      <c r="AA77" s="191"/>
      <c r="AB77" s="191"/>
      <c r="AC77" s="191"/>
      <c r="AD77" s="191"/>
      <c r="AE77" s="191"/>
      <c r="AF77" s="505" t="s">
        <v>66</v>
      </c>
      <c r="AG77" s="506"/>
      <c r="AH77" s="190" t="s">
        <v>229</v>
      </c>
      <c r="AI77" s="191"/>
      <c r="AJ77" s="191"/>
      <c r="AK77" s="191"/>
      <c r="AL77" s="191"/>
      <c r="AM77" s="191"/>
      <c r="AN77" s="191"/>
      <c r="AO77" s="191"/>
      <c r="AP77" s="191"/>
      <c r="AQ77" s="191"/>
      <c r="AR77" s="191"/>
      <c r="AS77" s="191"/>
      <c r="AT77" s="191"/>
      <c r="AU77" s="192"/>
      <c r="AV77" s="192"/>
      <c r="AW77" s="192"/>
      <c r="AX77" s="187"/>
      <c r="AY77" s="187"/>
      <c r="AZ77" s="172"/>
      <c r="BA77" s="172"/>
      <c r="BB77" s="172"/>
      <c r="BC77" s="173"/>
      <c r="BD77" s="172"/>
      <c r="BE77" s="172"/>
      <c r="BF77" s="172"/>
      <c r="BG77" s="172"/>
      <c r="BH77" s="172"/>
      <c r="BI77" s="172"/>
      <c r="BJ77" s="172"/>
      <c r="BK77" s="172"/>
      <c r="BL77" s="173"/>
      <c r="BM77" s="172"/>
      <c r="BN77" s="172"/>
      <c r="BO77" s="172"/>
      <c r="BP77" s="172"/>
      <c r="BQ77" s="172"/>
      <c r="BR77" s="172"/>
      <c r="BS77" s="172"/>
      <c r="BT77" s="172"/>
      <c r="BU77" s="172"/>
      <c r="BV77" s="172"/>
    </row>
    <row r="78" spans="7:75" ht="15.95" customHeight="1" x14ac:dyDescent="0.25">
      <c r="G78" s="187"/>
      <c r="H78" s="193" t="s">
        <v>230</v>
      </c>
      <c r="I78" s="194"/>
      <c r="J78" s="190" t="s">
        <v>231</v>
      </c>
      <c r="K78" s="191"/>
      <c r="L78" s="191"/>
      <c r="M78" s="191"/>
      <c r="N78" s="191"/>
      <c r="O78" s="191"/>
      <c r="P78" s="191"/>
      <c r="Q78" s="191"/>
      <c r="R78" s="191"/>
      <c r="S78" s="191"/>
      <c r="T78" s="191"/>
      <c r="U78" s="191"/>
      <c r="V78" s="191"/>
      <c r="W78" s="191"/>
      <c r="X78" s="191"/>
      <c r="Y78" s="191"/>
      <c r="Z78" s="191"/>
      <c r="AA78" s="191"/>
      <c r="AB78" s="191"/>
      <c r="AC78" s="191"/>
      <c r="AD78" s="191"/>
      <c r="AE78" s="191"/>
      <c r="AF78" s="505" t="s">
        <v>54</v>
      </c>
      <c r="AG78" s="506"/>
      <c r="AH78" s="190" t="s">
        <v>232</v>
      </c>
      <c r="AI78" s="191"/>
      <c r="AJ78" s="191"/>
      <c r="AK78" s="191"/>
      <c r="AL78" s="191"/>
      <c r="AM78" s="191"/>
      <c r="AN78" s="191"/>
      <c r="AO78" s="191"/>
      <c r="AP78" s="191"/>
      <c r="AQ78" s="191"/>
      <c r="AR78" s="191"/>
      <c r="AS78" s="191"/>
      <c r="AT78" s="191"/>
      <c r="AU78" s="192"/>
      <c r="AV78" s="192"/>
      <c r="AW78" s="192"/>
      <c r="AX78" s="187"/>
      <c r="AY78" s="187"/>
      <c r="AZ78" s="172"/>
      <c r="BA78" s="172"/>
      <c r="BB78" s="172"/>
      <c r="BC78" s="173"/>
      <c r="BD78" s="172"/>
      <c r="BE78" s="172"/>
      <c r="BF78" s="172"/>
      <c r="BG78" s="172"/>
      <c r="BH78" s="172"/>
      <c r="BI78" s="172"/>
      <c r="BJ78" s="172"/>
      <c r="BK78" s="172"/>
      <c r="BL78" s="173"/>
      <c r="BM78" s="172"/>
      <c r="BN78" s="172"/>
      <c r="BO78" s="172"/>
      <c r="BP78" s="172"/>
      <c r="BQ78" s="172"/>
      <c r="BR78" s="172"/>
      <c r="BS78" s="172"/>
      <c r="BT78" s="172"/>
      <c r="BU78" s="172"/>
      <c r="BV78" s="172"/>
    </row>
    <row r="79" spans="7:75" ht="15.95" customHeight="1" x14ac:dyDescent="0.25">
      <c r="G79" s="187"/>
      <c r="H79" s="193" t="s">
        <v>55</v>
      </c>
      <c r="I79" s="194"/>
      <c r="J79" s="190" t="s">
        <v>233</v>
      </c>
      <c r="K79" s="191"/>
      <c r="L79" s="191"/>
      <c r="M79" s="191"/>
      <c r="N79" s="191"/>
      <c r="O79" s="191"/>
      <c r="P79" s="191"/>
      <c r="Q79" s="191"/>
      <c r="R79" s="191"/>
      <c r="S79" s="191"/>
      <c r="T79" s="191"/>
      <c r="U79" s="191"/>
      <c r="V79" s="191"/>
      <c r="W79" s="191"/>
      <c r="X79" s="191"/>
      <c r="Y79" s="191"/>
      <c r="Z79" s="191"/>
      <c r="AA79" s="191"/>
      <c r="AB79" s="191"/>
      <c r="AC79" s="191"/>
      <c r="AD79" s="191"/>
      <c r="AE79" s="191"/>
      <c r="AF79" s="505" t="s">
        <v>52</v>
      </c>
      <c r="AG79" s="506"/>
      <c r="AH79" s="190" t="s">
        <v>234</v>
      </c>
      <c r="AI79" s="191"/>
      <c r="AJ79" s="191"/>
      <c r="AK79" s="191"/>
      <c r="AL79" s="191"/>
      <c r="AM79" s="191"/>
      <c r="AN79" s="191"/>
      <c r="AO79" s="191"/>
      <c r="AP79" s="191"/>
      <c r="AQ79" s="191"/>
      <c r="AR79" s="191"/>
      <c r="AS79" s="191"/>
      <c r="AT79" s="191"/>
      <c r="AU79" s="192"/>
      <c r="AV79" s="192"/>
      <c r="AW79" s="192"/>
      <c r="AX79" s="187"/>
      <c r="AY79" s="187"/>
      <c r="AZ79" s="172"/>
      <c r="BA79" s="172"/>
      <c r="BB79" s="172"/>
      <c r="BC79" s="173"/>
      <c r="BD79" s="172"/>
      <c r="BE79" s="172"/>
      <c r="BF79" s="172"/>
      <c r="BG79" s="172"/>
      <c r="BH79" s="172"/>
      <c r="BI79" s="172"/>
      <c r="BJ79" s="172"/>
      <c r="BK79" s="172"/>
      <c r="BL79" s="173"/>
      <c r="BM79" s="172"/>
      <c r="BN79" s="172"/>
      <c r="BO79" s="172"/>
      <c r="BP79" s="172"/>
      <c r="BQ79" s="172"/>
      <c r="BR79" s="172"/>
      <c r="BS79" s="172"/>
      <c r="BT79" s="172"/>
      <c r="BU79" s="172"/>
      <c r="BV79" s="172"/>
    </row>
    <row r="80" spans="7:75" ht="15.95" customHeight="1" x14ac:dyDescent="0.25">
      <c r="G80" s="187"/>
      <c r="H80" s="193" t="s">
        <v>235</v>
      </c>
      <c r="I80" s="194"/>
      <c r="J80" s="190" t="s">
        <v>236</v>
      </c>
      <c r="K80" s="191"/>
      <c r="L80" s="191"/>
      <c r="M80" s="191"/>
      <c r="N80" s="191"/>
      <c r="O80" s="191"/>
      <c r="P80" s="191"/>
      <c r="Q80" s="191"/>
      <c r="R80" s="191"/>
      <c r="S80" s="191"/>
      <c r="T80" s="191"/>
      <c r="U80" s="191"/>
      <c r="V80" s="191"/>
      <c r="W80" s="191"/>
      <c r="X80" s="191"/>
      <c r="Y80" s="191"/>
      <c r="Z80" s="191"/>
      <c r="AA80" s="191"/>
      <c r="AB80" s="191"/>
      <c r="AC80" s="191"/>
      <c r="AD80" s="191"/>
      <c r="AE80" s="191"/>
      <c r="AF80" s="505" t="s">
        <v>82</v>
      </c>
      <c r="AG80" s="506"/>
      <c r="AH80" s="190" t="s">
        <v>237</v>
      </c>
      <c r="AI80" s="191"/>
      <c r="AJ80" s="191"/>
      <c r="AK80" s="191"/>
      <c r="AL80" s="191"/>
      <c r="AM80" s="191"/>
      <c r="AN80" s="191"/>
      <c r="AO80" s="191"/>
      <c r="AP80" s="191"/>
      <c r="AQ80" s="191"/>
      <c r="AR80" s="191"/>
      <c r="AS80" s="191"/>
      <c r="AT80" s="191"/>
      <c r="AU80" s="192"/>
      <c r="AV80" s="192"/>
      <c r="AW80" s="192"/>
      <c r="AX80" s="187"/>
      <c r="AY80" s="187"/>
      <c r="AZ80" s="172"/>
      <c r="BA80" s="172"/>
      <c r="BB80" s="172"/>
      <c r="BC80" s="173"/>
      <c r="BD80" s="172"/>
      <c r="BE80" s="172"/>
      <c r="BF80" s="172"/>
      <c r="BG80" s="172"/>
      <c r="BH80" s="172"/>
      <c r="BI80" s="172"/>
      <c r="BJ80" s="172"/>
      <c r="BK80" s="172"/>
      <c r="BL80" s="173"/>
      <c r="BM80" s="172"/>
      <c r="BN80" s="172"/>
      <c r="BO80" s="172"/>
      <c r="BP80" s="172"/>
      <c r="BQ80" s="172"/>
      <c r="BR80" s="172"/>
      <c r="BS80" s="172"/>
      <c r="BT80" s="172"/>
      <c r="BU80" s="172"/>
      <c r="BV80" s="172"/>
    </row>
    <row r="81" spans="1:75" ht="15.95" customHeight="1" x14ac:dyDescent="0.25">
      <c r="G81" s="187"/>
      <c r="H81" s="193" t="s">
        <v>101</v>
      </c>
      <c r="I81" s="194"/>
      <c r="J81" s="190" t="s">
        <v>238</v>
      </c>
      <c r="K81" s="191"/>
      <c r="L81" s="191"/>
      <c r="M81" s="191"/>
      <c r="N81" s="191"/>
      <c r="O81" s="191"/>
      <c r="P81" s="191"/>
      <c r="Q81" s="191"/>
      <c r="R81" s="191"/>
      <c r="S81" s="191"/>
      <c r="T81" s="191"/>
      <c r="U81" s="191"/>
      <c r="V81" s="191"/>
      <c r="W81" s="191"/>
      <c r="X81" s="191"/>
      <c r="Y81" s="191"/>
      <c r="Z81" s="191"/>
      <c r="AA81" s="191"/>
      <c r="AB81" s="191"/>
      <c r="AC81" s="191"/>
      <c r="AD81" s="191"/>
      <c r="AE81" s="191"/>
      <c r="AF81" s="505" t="s">
        <v>83</v>
      </c>
      <c r="AG81" s="506"/>
      <c r="AH81" s="190" t="s">
        <v>239</v>
      </c>
      <c r="AI81" s="191"/>
      <c r="AJ81" s="191"/>
      <c r="AK81" s="191"/>
      <c r="AL81" s="191"/>
      <c r="AM81" s="191"/>
      <c r="AN81" s="191"/>
      <c r="AO81" s="191"/>
      <c r="AP81" s="191"/>
      <c r="AQ81" s="191"/>
      <c r="AR81" s="191"/>
      <c r="AS81" s="191"/>
      <c r="AT81" s="191"/>
      <c r="AU81" s="192"/>
      <c r="AV81" s="192"/>
      <c r="AW81" s="192"/>
      <c r="AX81" s="187"/>
      <c r="AY81" s="187"/>
      <c r="AZ81" s="172"/>
      <c r="BA81" s="172"/>
      <c r="BB81" s="172"/>
      <c r="BC81" s="173"/>
      <c r="BD81" s="172"/>
      <c r="BE81" s="172"/>
      <c r="BF81" s="172"/>
      <c r="BG81" s="172"/>
      <c r="BH81" s="172"/>
      <c r="BI81" s="172"/>
      <c r="BJ81" s="172"/>
      <c r="BK81" s="172"/>
      <c r="BL81" s="173"/>
      <c r="BM81" s="172"/>
      <c r="BN81" s="172"/>
      <c r="BO81" s="172"/>
      <c r="BP81" s="172"/>
      <c r="BQ81" s="172"/>
      <c r="BR81" s="172"/>
      <c r="BS81" s="172"/>
      <c r="BT81" s="172"/>
      <c r="BU81" s="172"/>
      <c r="BV81" s="172"/>
    </row>
    <row r="82" spans="1:75" ht="15.95" customHeight="1" x14ac:dyDescent="0.25">
      <c r="G82" s="187"/>
      <c r="H82" s="193" t="s">
        <v>106</v>
      </c>
      <c r="I82" s="194"/>
      <c r="J82" s="190" t="s">
        <v>240</v>
      </c>
      <c r="K82" s="191"/>
      <c r="L82" s="191"/>
      <c r="M82" s="191"/>
      <c r="N82" s="191"/>
      <c r="O82" s="191"/>
      <c r="P82" s="191"/>
      <c r="Q82" s="191"/>
      <c r="R82" s="191"/>
      <c r="S82" s="191"/>
      <c r="T82" s="191"/>
      <c r="U82" s="191"/>
      <c r="V82" s="191"/>
      <c r="W82" s="191"/>
      <c r="X82" s="191"/>
      <c r="Y82" s="191"/>
      <c r="Z82" s="191"/>
      <c r="AA82" s="191"/>
      <c r="AB82" s="191"/>
      <c r="AC82" s="191"/>
      <c r="AD82" s="191"/>
      <c r="AE82" s="191"/>
      <c r="AF82" s="505" t="s">
        <v>124</v>
      </c>
      <c r="AG82" s="506"/>
      <c r="AH82" s="190" t="s">
        <v>241</v>
      </c>
      <c r="AI82" s="191"/>
      <c r="AJ82" s="191"/>
      <c r="AK82" s="191"/>
      <c r="AL82" s="191"/>
      <c r="AM82" s="191"/>
      <c r="AN82" s="191"/>
      <c r="AO82" s="191"/>
      <c r="AP82" s="191"/>
      <c r="AQ82" s="191"/>
      <c r="AR82" s="191"/>
      <c r="AS82" s="191"/>
      <c r="AT82" s="191"/>
      <c r="AU82" s="192"/>
      <c r="AV82" s="192"/>
      <c r="AW82" s="192"/>
      <c r="AX82" s="187"/>
      <c r="AY82" s="187"/>
      <c r="AZ82" s="172"/>
      <c r="BA82" s="172"/>
      <c r="BB82" s="172"/>
      <c r="BC82" s="173"/>
      <c r="BD82" s="172"/>
      <c r="BE82" s="172"/>
      <c r="BF82" s="172"/>
      <c r="BG82" s="172"/>
      <c r="BH82" s="172"/>
      <c r="BI82" s="172"/>
      <c r="BJ82" s="172"/>
      <c r="BK82" s="172"/>
      <c r="BL82" s="173"/>
      <c r="BM82" s="172"/>
      <c r="BN82" s="172"/>
      <c r="BO82" s="172"/>
      <c r="BP82" s="172"/>
      <c r="BQ82" s="172"/>
      <c r="BR82" s="172"/>
      <c r="BS82" s="172"/>
      <c r="BT82" s="172"/>
      <c r="BU82" s="172"/>
      <c r="BV82" s="172"/>
    </row>
    <row r="83" spans="1:75" ht="15.95" customHeight="1" x14ac:dyDescent="0.25">
      <c r="G83" s="187"/>
      <c r="H83" s="193" t="s">
        <v>88</v>
      </c>
      <c r="I83" s="194"/>
      <c r="J83" s="190" t="s">
        <v>242</v>
      </c>
      <c r="K83" s="191"/>
      <c r="L83" s="191"/>
      <c r="M83" s="191"/>
      <c r="N83" s="191"/>
      <c r="O83" s="191"/>
      <c r="P83" s="191"/>
      <c r="Q83" s="191"/>
      <c r="R83" s="191"/>
      <c r="S83" s="191"/>
      <c r="T83" s="191"/>
      <c r="U83" s="191"/>
      <c r="V83" s="191"/>
      <c r="W83" s="191"/>
      <c r="X83" s="191"/>
      <c r="Y83" s="191"/>
      <c r="Z83" s="191"/>
      <c r="AA83" s="191"/>
      <c r="AB83" s="191"/>
      <c r="AC83" s="191"/>
      <c r="AD83" s="191"/>
      <c r="AE83" s="191"/>
      <c r="AF83" s="505" t="s">
        <v>125</v>
      </c>
      <c r="AG83" s="506"/>
      <c r="AH83" s="195" t="s">
        <v>243</v>
      </c>
      <c r="AI83" s="191"/>
      <c r="AJ83" s="191"/>
      <c r="AK83" s="191"/>
      <c r="AL83" s="191"/>
      <c r="AM83" s="191"/>
      <c r="AN83" s="191"/>
      <c r="AO83" s="191"/>
      <c r="AP83" s="191"/>
      <c r="AQ83" s="191"/>
      <c r="AR83" s="191"/>
      <c r="AS83" s="191"/>
      <c r="AT83" s="191"/>
      <c r="AU83" s="192"/>
      <c r="AV83" s="192"/>
      <c r="AW83" s="192"/>
      <c r="AX83" s="187"/>
      <c r="AY83" s="187"/>
      <c r="AZ83" s="172"/>
      <c r="BA83" s="172"/>
      <c r="BB83" s="172"/>
      <c r="BC83" s="173"/>
      <c r="BD83" s="172"/>
      <c r="BE83" s="172"/>
      <c r="BF83" s="172"/>
      <c r="BG83" s="172"/>
      <c r="BH83" s="172"/>
      <c r="BI83" s="172"/>
      <c r="BJ83" s="172"/>
      <c r="BK83" s="172"/>
      <c r="BL83" s="173"/>
      <c r="BM83" s="172"/>
      <c r="BN83" s="172"/>
      <c r="BO83" s="172"/>
      <c r="BP83" s="172"/>
      <c r="BQ83" s="172"/>
      <c r="BR83" s="172"/>
      <c r="BS83" s="172"/>
      <c r="BT83" s="172"/>
      <c r="BU83" s="172"/>
      <c r="BV83" s="172"/>
    </row>
    <row r="84" spans="1:75" ht="15.95" customHeight="1" x14ac:dyDescent="0.25">
      <c r="G84" s="187"/>
      <c r="H84" s="193" t="s">
        <v>100</v>
      </c>
      <c r="I84" s="194"/>
      <c r="J84" s="190" t="s">
        <v>244</v>
      </c>
      <c r="K84" s="191"/>
      <c r="L84" s="191"/>
      <c r="M84" s="191"/>
      <c r="N84" s="191"/>
      <c r="O84" s="191"/>
      <c r="P84" s="191"/>
      <c r="Q84" s="191"/>
      <c r="R84" s="191"/>
      <c r="S84" s="191"/>
      <c r="T84" s="191"/>
      <c r="U84" s="191"/>
      <c r="V84" s="191"/>
      <c r="W84" s="191"/>
      <c r="X84" s="191"/>
      <c r="Y84" s="191"/>
      <c r="Z84" s="191"/>
      <c r="AA84" s="191"/>
      <c r="AB84" s="191"/>
      <c r="AC84" s="191"/>
      <c r="AD84" s="191"/>
      <c r="AE84" s="191"/>
      <c r="AF84" s="505" t="s">
        <v>129</v>
      </c>
      <c r="AG84" s="506"/>
      <c r="AH84" s="195" t="s">
        <v>245</v>
      </c>
      <c r="AI84" s="191"/>
      <c r="AJ84" s="191"/>
      <c r="AK84" s="191"/>
      <c r="AL84" s="191"/>
      <c r="AM84" s="191"/>
      <c r="AN84" s="191"/>
      <c r="AO84" s="191"/>
      <c r="AP84" s="191"/>
      <c r="AQ84" s="191"/>
      <c r="AR84" s="191"/>
      <c r="AS84" s="191"/>
      <c r="AT84" s="191"/>
      <c r="AU84" s="192"/>
      <c r="AV84" s="192"/>
      <c r="AW84" s="192"/>
      <c r="AX84" s="187"/>
      <c r="AY84" s="187"/>
      <c r="AZ84" s="172"/>
      <c r="BA84" s="172"/>
      <c r="BB84" s="172"/>
      <c r="BC84" s="173"/>
      <c r="BD84" s="172"/>
      <c r="BE84" s="172"/>
      <c r="BF84" s="172"/>
      <c r="BG84" s="172"/>
      <c r="BH84" s="172"/>
      <c r="BI84" s="172"/>
      <c r="BJ84" s="172"/>
      <c r="BK84" s="172"/>
      <c r="BL84" s="173"/>
      <c r="BM84" s="172"/>
      <c r="BN84" s="172"/>
      <c r="BO84" s="172"/>
      <c r="BP84" s="172"/>
      <c r="BQ84" s="172"/>
      <c r="BR84" s="172"/>
      <c r="BS84" s="172"/>
      <c r="BT84" s="172"/>
      <c r="BU84" s="172"/>
      <c r="BV84" s="172"/>
    </row>
    <row r="85" spans="1:75" ht="15.95" customHeight="1" x14ac:dyDescent="0.25">
      <c r="G85" s="187"/>
      <c r="H85" s="193" t="s">
        <v>117</v>
      </c>
      <c r="I85" s="194"/>
      <c r="J85" s="190" t="s">
        <v>246</v>
      </c>
      <c r="K85" s="191"/>
      <c r="L85" s="191"/>
      <c r="M85" s="191"/>
      <c r="N85" s="191"/>
      <c r="O85" s="191"/>
      <c r="P85" s="191"/>
      <c r="Q85" s="191"/>
      <c r="R85" s="191"/>
      <c r="S85" s="191"/>
      <c r="T85" s="191"/>
      <c r="U85" s="191"/>
      <c r="V85" s="191"/>
      <c r="W85" s="191"/>
      <c r="X85" s="191"/>
      <c r="Y85" s="191"/>
      <c r="Z85" s="191"/>
      <c r="AA85" s="191"/>
      <c r="AB85" s="191"/>
      <c r="AC85" s="191"/>
      <c r="AD85" s="191"/>
      <c r="AE85" s="191"/>
      <c r="AF85" s="505" t="s">
        <v>77</v>
      </c>
      <c r="AG85" s="506"/>
      <c r="AH85" s="190" t="s">
        <v>247</v>
      </c>
      <c r="AI85" s="191"/>
      <c r="AJ85" s="191"/>
      <c r="AK85" s="191"/>
      <c r="AL85" s="191"/>
      <c r="AM85" s="191"/>
      <c r="AN85" s="191"/>
      <c r="AO85" s="191"/>
      <c r="AP85" s="191"/>
      <c r="AQ85" s="191"/>
      <c r="AR85" s="191"/>
      <c r="AS85" s="191"/>
      <c r="AT85" s="191"/>
      <c r="AU85" s="192"/>
      <c r="AV85" s="192"/>
      <c r="AW85" s="192"/>
      <c r="AX85" s="187"/>
      <c r="AY85" s="187"/>
      <c r="AZ85" s="172"/>
      <c r="BA85" s="172"/>
      <c r="BB85" s="172"/>
      <c r="BC85" s="173"/>
      <c r="BD85" s="172"/>
      <c r="BE85" s="172"/>
      <c r="BF85" s="172"/>
      <c r="BG85" s="172"/>
      <c r="BH85" s="172"/>
      <c r="BI85" s="172"/>
      <c r="BJ85" s="172"/>
      <c r="BK85" s="172"/>
      <c r="BL85" s="173"/>
      <c r="BM85" s="172"/>
      <c r="BN85" s="172"/>
      <c r="BO85" s="172"/>
      <c r="BP85" s="172"/>
      <c r="BQ85" s="172"/>
      <c r="BR85" s="172"/>
      <c r="BS85" s="172"/>
      <c r="BT85" s="172"/>
      <c r="BU85" s="172"/>
      <c r="BV85" s="172"/>
    </row>
    <row r="86" spans="1:75" ht="15.95" customHeight="1" x14ac:dyDescent="0.25">
      <c r="G86" s="187"/>
      <c r="H86" s="193" t="s">
        <v>59</v>
      </c>
      <c r="I86" s="194"/>
      <c r="J86" s="190" t="s">
        <v>248</v>
      </c>
      <c r="K86" s="191"/>
      <c r="L86" s="191"/>
      <c r="M86" s="191"/>
      <c r="N86" s="191"/>
      <c r="O86" s="191"/>
      <c r="P86" s="191"/>
      <c r="Q86" s="191"/>
      <c r="R86" s="191"/>
      <c r="S86" s="191"/>
      <c r="T86" s="191"/>
      <c r="U86" s="191"/>
      <c r="V86" s="191"/>
      <c r="W86" s="191"/>
      <c r="X86" s="191"/>
      <c r="Y86" s="191"/>
      <c r="Z86" s="191"/>
      <c r="AA86" s="191"/>
      <c r="AB86" s="191"/>
      <c r="AC86" s="191"/>
      <c r="AD86" s="191"/>
      <c r="AE86" s="191"/>
      <c r="AF86" s="505" t="s">
        <v>75</v>
      </c>
      <c r="AG86" s="506"/>
      <c r="AH86" s="190" t="s">
        <v>249</v>
      </c>
      <c r="AI86" s="191"/>
      <c r="AJ86" s="191"/>
      <c r="AK86" s="191"/>
      <c r="AL86" s="191"/>
      <c r="AM86" s="191"/>
      <c r="AN86" s="191"/>
      <c r="AO86" s="191"/>
      <c r="AP86" s="191"/>
      <c r="AQ86" s="191"/>
      <c r="AR86" s="191"/>
      <c r="AS86" s="191"/>
      <c r="AT86" s="191"/>
      <c r="AU86" s="192"/>
      <c r="AV86" s="192"/>
      <c r="AW86" s="192"/>
      <c r="AX86" s="187"/>
      <c r="AY86" s="187"/>
      <c r="AZ86" s="172"/>
      <c r="BA86" s="172"/>
      <c r="BB86" s="172"/>
      <c r="BC86" s="173"/>
      <c r="BD86" s="172"/>
      <c r="BE86" s="172"/>
      <c r="BF86" s="172"/>
      <c r="BG86" s="172"/>
      <c r="BH86" s="172"/>
      <c r="BI86" s="172"/>
      <c r="BJ86" s="172"/>
      <c r="BK86" s="172"/>
      <c r="BL86" s="173"/>
      <c r="BM86" s="172"/>
      <c r="BN86" s="172"/>
      <c r="BO86" s="172"/>
      <c r="BP86" s="172"/>
      <c r="BQ86" s="172"/>
      <c r="BR86" s="172"/>
      <c r="BS86" s="172"/>
      <c r="BT86" s="172"/>
      <c r="BU86" s="172"/>
      <c r="BV86" s="172"/>
      <c r="BW86" s="172"/>
    </row>
    <row r="87" spans="1:75" ht="15.95" customHeight="1" x14ac:dyDescent="0.25">
      <c r="G87" s="187"/>
      <c r="H87" s="193" t="s">
        <v>90</v>
      </c>
      <c r="I87" s="194"/>
      <c r="J87" s="190" t="s">
        <v>250</v>
      </c>
      <c r="K87" s="191"/>
      <c r="L87" s="191"/>
      <c r="M87" s="191"/>
      <c r="N87" s="191"/>
      <c r="O87" s="191"/>
      <c r="P87" s="191"/>
      <c r="Q87" s="191"/>
      <c r="R87" s="191"/>
      <c r="S87" s="191"/>
      <c r="T87" s="191"/>
      <c r="U87" s="191"/>
      <c r="V87" s="191"/>
      <c r="W87" s="191"/>
      <c r="X87" s="191"/>
      <c r="Y87" s="191"/>
      <c r="Z87" s="191"/>
      <c r="AA87" s="191"/>
      <c r="AB87" s="191"/>
      <c r="AC87" s="191"/>
      <c r="AD87" s="191"/>
      <c r="AE87" s="191"/>
      <c r="AF87" s="505" t="s">
        <v>121</v>
      </c>
      <c r="AG87" s="506"/>
      <c r="AH87" s="190" t="s">
        <v>251</v>
      </c>
      <c r="AI87" s="191"/>
      <c r="AJ87" s="191"/>
      <c r="AK87" s="191"/>
      <c r="AL87" s="191"/>
      <c r="AM87" s="191"/>
      <c r="AN87" s="191"/>
      <c r="AO87" s="191"/>
      <c r="AP87" s="191"/>
      <c r="AQ87" s="191"/>
      <c r="AR87" s="191"/>
      <c r="AS87" s="191"/>
      <c r="AT87" s="191"/>
      <c r="AU87" s="192"/>
      <c r="AV87" s="192"/>
      <c r="AW87" s="192"/>
      <c r="AX87" s="187"/>
      <c r="AY87" s="187"/>
      <c r="AZ87" s="172"/>
      <c r="BA87" s="172"/>
      <c r="BB87" s="172"/>
      <c r="BC87" s="173"/>
      <c r="BD87" s="172"/>
      <c r="BE87" s="172"/>
      <c r="BF87" s="172"/>
      <c r="BG87" s="172"/>
      <c r="BH87" s="172"/>
      <c r="BI87" s="172"/>
      <c r="BJ87" s="172"/>
      <c r="BK87" s="172"/>
      <c r="BL87" s="173"/>
      <c r="BM87" s="172"/>
      <c r="BN87" s="172"/>
      <c r="BO87" s="172"/>
      <c r="BP87" s="172"/>
      <c r="BQ87" s="172"/>
      <c r="BR87" s="172"/>
      <c r="BS87" s="172"/>
      <c r="BT87" s="172"/>
      <c r="BU87" s="172"/>
      <c r="BV87" s="172"/>
    </row>
    <row r="88" spans="1:75" ht="15.95" customHeight="1" x14ac:dyDescent="0.25">
      <c r="G88" s="187"/>
      <c r="H88" s="193" t="s">
        <v>61</v>
      </c>
      <c r="I88" s="194"/>
      <c r="J88" s="190" t="s">
        <v>252</v>
      </c>
      <c r="K88" s="191"/>
      <c r="L88" s="191"/>
      <c r="M88" s="191"/>
      <c r="N88" s="191"/>
      <c r="O88" s="191"/>
      <c r="P88" s="191"/>
      <c r="Q88" s="191"/>
      <c r="R88" s="191"/>
      <c r="S88" s="191"/>
      <c r="T88" s="191"/>
      <c r="U88" s="191"/>
      <c r="V88" s="191"/>
      <c r="W88" s="191"/>
      <c r="X88" s="191"/>
      <c r="Y88" s="191"/>
      <c r="Z88" s="191"/>
      <c r="AA88" s="191"/>
      <c r="AB88" s="191"/>
      <c r="AC88" s="191"/>
      <c r="AD88" s="191"/>
      <c r="AE88" s="191"/>
      <c r="AF88" s="505" t="s">
        <v>76</v>
      </c>
      <c r="AG88" s="506"/>
      <c r="AH88" s="195" t="s">
        <v>253</v>
      </c>
      <c r="AI88" s="191"/>
      <c r="AJ88" s="191"/>
      <c r="AK88" s="191"/>
      <c r="AL88" s="191"/>
      <c r="AM88" s="191"/>
      <c r="AN88" s="191"/>
      <c r="AO88" s="191"/>
      <c r="AP88" s="191"/>
      <c r="AQ88" s="191"/>
      <c r="AR88" s="191"/>
      <c r="AS88" s="191"/>
      <c r="AT88" s="191"/>
      <c r="AU88" s="192"/>
      <c r="AV88" s="192"/>
      <c r="AW88" s="192"/>
      <c r="AX88" s="187"/>
      <c r="AY88" s="187"/>
      <c r="AZ88" s="172"/>
      <c r="BA88" s="172"/>
      <c r="BB88" s="172"/>
      <c r="BC88" s="173"/>
      <c r="BD88" s="172"/>
      <c r="BE88" s="172"/>
      <c r="BF88" s="172"/>
      <c r="BG88" s="172"/>
      <c r="BH88" s="172"/>
      <c r="BI88" s="172"/>
      <c r="BJ88" s="172"/>
      <c r="BK88" s="172"/>
      <c r="BL88" s="173"/>
      <c r="BM88" s="172"/>
      <c r="BN88" s="172"/>
      <c r="BO88" s="172"/>
      <c r="BP88" s="172"/>
      <c r="BQ88" s="172"/>
      <c r="BR88" s="172"/>
      <c r="BS88" s="172"/>
      <c r="BT88" s="172"/>
      <c r="BU88" s="172"/>
      <c r="BV88" s="172"/>
    </row>
    <row r="89" spans="1:75" ht="15.95" customHeight="1" x14ac:dyDescent="0.25">
      <c r="G89" s="187"/>
      <c r="H89" s="193" t="s">
        <v>64</v>
      </c>
      <c r="I89" s="194"/>
      <c r="J89" s="190" t="s">
        <v>254</v>
      </c>
      <c r="K89" s="191"/>
      <c r="L89" s="191"/>
      <c r="M89" s="191"/>
      <c r="N89" s="191"/>
      <c r="O89" s="191"/>
      <c r="P89" s="191"/>
      <c r="Q89" s="191"/>
      <c r="R89" s="191"/>
      <c r="S89" s="191"/>
      <c r="T89" s="191"/>
      <c r="U89" s="191"/>
      <c r="V89" s="191"/>
      <c r="W89" s="191"/>
      <c r="X89" s="191"/>
      <c r="Y89" s="191"/>
      <c r="Z89" s="191"/>
      <c r="AA89" s="191"/>
      <c r="AB89" s="191"/>
      <c r="AC89" s="191"/>
      <c r="AD89" s="191"/>
      <c r="AE89" s="191"/>
      <c r="AF89" s="505" t="s">
        <v>70</v>
      </c>
      <c r="AG89" s="506"/>
      <c r="AH89" s="190" t="s">
        <v>255</v>
      </c>
      <c r="AI89" s="191"/>
      <c r="AJ89" s="191"/>
      <c r="AK89" s="191"/>
      <c r="AL89" s="191"/>
      <c r="AM89" s="191"/>
      <c r="AN89" s="191"/>
      <c r="AO89" s="191"/>
      <c r="AP89" s="191"/>
      <c r="AQ89" s="191"/>
      <c r="AR89" s="191"/>
      <c r="AS89" s="191"/>
      <c r="AT89" s="191"/>
      <c r="AU89" s="192"/>
      <c r="AV89" s="192"/>
      <c r="AW89" s="192"/>
      <c r="AX89" s="187"/>
      <c r="AY89" s="187"/>
      <c r="AZ89" s="172"/>
      <c r="BA89" s="172"/>
      <c r="BB89" s="172"/>
      <c r="BC89" s="173"/>
      <c r="BD89" s="172"/>
      <c r="BE89" s="172"/>
      <c r="BF89" s="172"/>
      <c r="BG89" s="172"/>
      <c r="BH89" s="172"/>
      <c r="BI89" s="172"/>
      <c r="BJ89" s="172"/>
      <c r="BK89" s="172"/>
      <c r="BL89" s="173"/>
      <c r="BM89" s="172"/>
      <c r="BN89" s="172"/>
      <c r="BO89" s="172"/>
      <c r="BP89" s="172"/>
      <c r="BQ89" s="172"/>
      <c r="BR89" s="172"/>
      <c r="BS89" s="172"/>
      <c r="BT89" s="172"/>
      <c r="BU89" s="172"/>
      <c r="BV89" s="172"/>
    </row>
    <row r="90" spans="1:75" ht="15.95" customHeight="1" x14ac:dyDescent="0.25">
      <c r="A90" s="504"/>
      <c r="B90" s="504"/>
      <c r="C90" s="190"/>
      <c r="D90" s="191"/>
      <c r="E90" s="191"/>
      <c r="F90" s="183"/>
      <c r="G90" s="183"/>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c r="AG90" s="183"/>
      <c r="AH90" s="183"/>
      <c r="AI90" s="183"/>
      <c r="AJ90" s="183"/>
      <c r="AK90" s="183"/>
      <c r="AL90" s="183"/>
      <c r="AM90" s="183"/>
      <c r="AN90" s="183"/>
      <c r="AO90" s="183"/>
      <c r="AP90" s="183"/>
      <c r="AQ90" s="183"/>
      <c r="AR90" s="183"/>
      <c r="AS90" s="183"/>
      <c r="AT90" s="183"/>
      <c r="AU90" s="184"/>
      <c r="AV90" s="184"/>
      <c r="AW90" s="184"/>
      <c r="AX90" s="172"/>
      <c r="AY90" s="172"/>
      <c r="AZ90" s="172"/>
      <c r="BA90" s="172"/>
      <c r="BB90" s="172"/>
      <c r="BC90" s="173"/>
      <c r="BD90" s="172"/>
      <c r="BE90" s="172"/>
      <c r="BF90" s="172"/>
      <c r="BG90" s="172"/>
      <c r="BH90" s="172"/>
      <c r="BI90" s="172"/>
      <c r="BJ90" s="172"/>
      <c r="BK90" s="172"/>
      <c r="BL90" s="173"/>
      <c r="BM90" s="172"/>
      <c r="BN90" s="172"/>
      <c r="BO90" s="172"/>
      <c r="BP90" s="172"/>
      <c r="BQ90" s="172"/>
      <c r="BR90" s="172"/>
      <c r="BS90" s="172"/>
      <c r="BT90" s="172"/>
      <c r="BU90" s="172"/>
      <c r="BV90" s="172"/>
    </row>
    <row r="91" spans="1:75" ht="15.95" customHeight="1" x14ac:dyDescent="0.25">
      <c r="A91" s="504"/>
      <c r="B91" s="504"/>
      <c r="C91" s="190"/>
      <c r="D91" s="191"/>
      <c r="E91" s="191"/>
      <c r="F91" s="183"/>
      <c r="G91" s="183"/>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c r="AG91" s="183"/>
      <c r="AH91" s="183"/>
      <c r="AI91" s="183"/>
      <c r="AJ91" s="183"/>
      <c r="AK91" s="183"/>
      <c r="AL91" s="183"/>
      <c r="AM91" s="183"/>
      <c r="AN91" s="183"/>
      <c r="AO91" s="183"/>
      <c r="AP91" s="183"/>
      <c r="AQ91" s="183"/>
      <c r="AR91" s="183"/>
      <c r="AS91" s="183"/>
      <c r="AT91" s="183"/>
      <c r="AU91" s="184"/>
      <c r="AV91" s="184"/>
      <c r="AW91" s="184"/>
      <c r="AX91" s="172"/>
      <c r="AY91" s="172"/>
      <c r="AZ91" s="172"/>
      <c r="BA91" s="172"/>
      <c r="BB91" s="172"/>
      <c r="BC91" s="173"/>
      <c r="BD91" s="172"/>
      <c r="BE91" s="172"/>
      <c r="BF91" s="172"/>
      <c r="BG91" s="172"/>
      <c r="BH91" s="172"/>
      <c r="BI91" s="172"/>
      <c r="BJ91" s="172"/>
      <c r="BK91" s="172"/>
      <c r="BL91" s="173"/>
      <c r="BM91" s="172"/>
      <c r="BN91" s="172"/>
      <c r="BO91" s="172"/>
      <c r="BP91" s="172"/>
      <c r="BQ91" s="172"/>
      <c r="BR91" s="172"/>
      <c r="BS91" s="172"/>
      <c r="BT91" s="172"/>
      <c r="BU91" s="172"/>
      <c r="BV91" s="172"/>
    </row>
    <row r="92" spans="1:75" ht="15.95" customHeight="1" x14ac:dyDescent="0.25">
      <c r="A92" s="504"/>
      <c r="B92" s="504"/>
      <c r="C92" s="190"/>
      <c r="D92" s="191"/>
      <c r="E92" s="191"/>
      <c r="F92" s="183"/>
      <c r="G92" s="183"/>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c r="AG92" s="183"/>
      <c r="AH92" s="183"/>
      <c r="AI92" s="183"/>
      <c r="AJ92" s="183"/>
      <c r="AK92" s="183"/>
      <c r="AL92" s="183"/>
      <c r="AM92" s="183"/>
      <c r="AN92" s="183"/>
      <c r="AO92" s="183"/>
      <c r="AP92" s="183"/>
      <c r="AQ92" s="183"/>
      <c r="AR92" s="183"/>
      <c r="AS92" s="183"/>
      <c r="AT92" s="183"/>
      <c r="AU92" s="184"/>
      <c r="AV92" s="184"/>
      <c r="AW92" s="184"/>
      <c r="AX92" s="172"/>
      <c r="AY92" s="172"/>
      <c r="AZ92" s="172"/>
      <c r="BA92" s="172"/>
      <c r="BB92" s="172"/>
      <c r="BC92" s="173"/>
      <c r="BD92" s="172"/>
      <c r="BE92" s="172"/>
      <c r="BF92" s="172"/>
      <c r="BG92" s="172"/>
      <c r="BH92" s="172"/>
      <c r="BI92" s="172"/>
      <c r="BJ92" s="172"/>
      <c r="BK92" s="172"/>
      <c r="BL92" s="173"/>
      <c r="BM92" s="172"/>
      <c r="BN92" s="172"/>
      <c r="BO92" s="172"/>
      <c r="BP92" s="172"/>
      <c r="BQ92" s="172"/>
      <c r="BR92" s="172"/>
      <c r="BS92" s="172"/>
      <c r="BT92" s="172"/>
      <c r="BU92" s="172"/>
      <c r="BV92" s="172"/>
    </row>
    <row r="93" spans="1:75" ht="15.95" customHeight="1" x14ac:dyDescent="0.25">
      <c r="A93" s="504"/>
      <c r="B93" s="504"/>
      <c r="C93" s="190"/>
      <c r="D93" s="191"/>
      <c r="E93" s="191"/>
      <c r="F93" s="183"/>
      <c r="G93" s="183"/>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4"/>
      <c r="AV93" s="184"/>
      <c r="AW93" s="184"/>
      <c r="AX93" s="172"/>
      <c r="AY93" s="172"/>
      <c r="AZ93" s="172"/>
      <c r="BA93" s="172"/>
      <c r="BB93" s="172"/>
      <c r="BC93" s="173"/>
      <c r="BD93" s="172"/>
      <c r="BE93" s="172"/>
      <c r="BF93" s="172"/>
      <c r="BG93" s="172"/>
      <c r="BH93" s="172"/>
      <c r="BI93" s="172"/>
      <c r="BJ93" s="172"/>
      <c r="BK93" s="172"/>
      <c r="BL93" s="173"/>
      <c r="BM93" s="172"/>
      <c r="BN93" s="172"/>
      <c r="BO93" s="172"/>
      <c r="BP93" s="172"/>
      <c r="BQ93" s="172"/>
      <c r="BR93" s="172"/>
      <c r="BS93" s="172"/>
      <c r="BT93" s="172"/>
      <c r="BU93" s="172"/>
      <c r="BV93" s="172"/>
    </row>
    <row r="94" spans="1:75" ht="15.95" customHeight="1" x14ac:dyDescent="0.25">
      <c r="A94" s="504"/>
      <c r="B94" s="504"/>
      <c r="C94" s="195"/>
      <c r="D94" s="191"/>
      <c r="E94" s="191"/>
      <c r="F94" s="183"/>
      <c r="G94" s="183"/>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c r="AG94" s="183"/>
      <c r="AH94" s="183"/>
      <c r="AI94" s="183"/>
      <c r="AJ94" s="183"/>
      <c r="AK94" s="183"/>
      <c r="AL94" s="183"/>
      <c r="AM94" s="183"/>
      <c r="AN94" s="183"/>
      <c r="AO94" s="183"/>
      <c r="AP94" s="183"/>
      <c r="AQ94" s="183"/>
      <c r="AR94" s="183"/>
      <c r="AS94" s="183"/>
      <c r="AT94" s="183"/>
      <c r="AU94" s="184"/>
      <c r="AV94" s="184"/>
      <c r="AW94" s="184"/>
      <c r="AX94" s="172"/>
      <c r="AY94" s="172"/>
      <c r="AZ94" s="172"/>
      <c r="BA94" s="172"/>
      <c r="BB94" s="172"/>
      <c r="BC94" s="173"/>
      <c r="BD94" s="172"/>
      <c r="BE94" s="172"/>
      <c r="BF94" s="172"/>
      <c r="BG94" s="172"/>
      <c r="BH94" s="172"/>
      <c r="BI94" s="172"/>
      <c r="BJ94" s="172"/>
      <c r="BK94" s="172"/>
      <c r="BL94" s="173"/>
      <c r="BM94" s="172"/>
      <c r="BN94" s="172"/>
      <c r="BO94" s="172"/>
      <c r="BP94" s="172"/>
      <c r="BQ94" s="172"/>
      <c r="BR94" s="172"/>
      <c r="BS94" s="172"/>
      <c r="BT94" s="172"/>
      <c r="BU94" s="172"/>
      <c r="BV94" s="172"/>
    </row>
    <row r="95" spans="1:75" ht="15.95" customHeight="1" x14ac:dyDescent="0.25">
      <c r="A95" s="504"/>
      <c r="B95" s="504"/>
      <c r="C95" s="190"/>
      <c r="D95" s="191"/>
      <c r="E95" s="191"/>
      <c r="F95" s="183"/>
      <c r="G95" s="183"/>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c r="AG95" s="183"/>
      <c r="AH95" s="183"/>
      <c r="AI95" s="183"/>
      <c r="AJ95" s="183"/>
      <c r="AK95" s="183"/>
      <c r="AL95" s="183"/>
      <c r="AM95" s="183"/>
      <c r="AN95" s="183"/>
      <c r="AO95" s="183"/>
      <c r="AP95" s="183"/>
      <c r="AQ95" s="183"/>
      <c r="AR95" s="183"/>
      <c r="AS95" s="183"/>
      <c r="AT95" s="183"/>
      <c r="AU95" s="184"/>
      <c r="AV95" s="184"/>
      <c r="AW95" s="184"/>
      <c r="AX95" s="172"/>
      <c r="AY95" s="172"/>
      <c r="AZ95" s="172"/>
      <c r="BA95" s="172"/>
      <c r="BB95" s="172"/>
      <c r="BC95" s="173"/>
      <c r="BD95" s="172"/>
      <c r="BE95" s="172"/>
      <c r="BF95" s="172"/>
      <c r="BG95" s="172"/>
      <c r="BH95" s="172"/>
      <c r="BI95" s="172"/>
      <c r="BJ95" s="172"/>
      <c r="BK95" s="172"/>
      <c r="BL95" s="173"/>
      <c r="BM95" s="172"/>
      <c r="BN95" s="172"/>
      <c r="BO95" s="172"/>
      <c r="BP95" s="172"/>
      <c r="BQ95" s="172"/>
      <c r="BR95" s="172"/>
      <c r="BS95" s="172"/>
      <c r="BT95" s="172"/>
      <c r="BU95" s="172"/>
      <c r="BV95" s="172"/>
    </row>
    <row r="96" spans="1:75" ht="15.95" customHeight="1" x14ac:dyDescent="0.25">
      <c r="A96" s="504"/>
      <c r="B96" s="504"/>
      <c r="C96" s="190"/>
      <c r="D96" s="191"/>
      <c r="E96" s="191"/>
      <c r="F96" s="183"/>
      <c r="G96" s="183"/>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c r="AG96" s="183"/>
      <c r="AH96" s="183"/>
      <c r="AI96" s="183"/>
      <c r="AJ96" s="183"/>
      <c r="AK96" s="183"/>
      <c r="AL96" s="183"/>
      <c r="AM96" s="183"/>
      <c r="AN96" s="183"/>
      <c r="AO96" s="183"/>
      <c r="AP96" s="183"/>
      <c r="AQ96" s="183"/>
      <c r="AR96" s="183"/>
      <c r="AS96" s="183"/>
      <c r="AT96" s="183"/>
      <c r="AU96" s="184"/>
      <c r="AV96" s="184"/>
      <c r="AW96" s="184"/>
      <c r="AX96" s="172"/>
      <c r="AY96" s="172"/>
      <c r="AZ96" s="172"/>
      <c r="BA96" s="172"/>
      <c r="BB96" s="172"/>
      <c r="BC96" s="173"/>
      <c r="BD96" s="172"/>
      <c r="BE96" s="172"/>
      <c r="BF96" s="172"/>
      <c r="BG96" s="172"/>
      <c r="BH96" s="172"/>
      <c r="BI96" s="172"/>
      <c r="BJ96" s="172"/>
      <c r="BK96" s="172"/>
      <c r="BL96" s="173"/>
      <c r="BM96" s="172"/>
      <c r="BN96" s="172"/>
      <c r="BO96" s="172"/>
      <c r="BP96" s="172"/>
      <c r="BQ96" s="172"/>
      <c r="BR96" s="172"/>
      <c r="BS96" s="172"/>
      <c r="BT96" s="172"/>
      <c r="BU96" s="172"/>
      <c r="BV96" s="172"/>
    </row>
    <row r="97" spans="1:75" ht="15.95" customHeight="1" x14ac:dyDescent="0.25">
      <c r="A97" s="504"/>
      <c r="B97" s="504"/>
      <c r="C97" s="190"/>
      <c r="D97" s="191"/>
      <c r="E97" s="191"/>
      <c r="F97" s="183"/>
      <c r="G97" s="183"/>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c r="AG97" s="183"/>
      <c r="AH97" s="183"/>
      <c r="AI97" s="183"/>
      <c r="AJ97" s="183"/>
      <c r="AK97" s="183"/>
      <c r="AL97" s="183"/>
      <c r="AM97" s="183"/>
      <c r="AN97" s="183"/>
      <c r="AO97" s="183"/>
      <c r="AP97" s="183"/>
      <c r="AQ97" s="183"/>
      <c r="AR97" s="183"/>
      <c r="AS97" s="183"/>
      <c r="AT97" s="183"/>
      <c r="AU97" s="184"/>
      <c r="AV97" s="184"/>
      <c r="AW97" s="184"/>
      <c r="AX97" s="172"/>
      <c r="AY97" s="172"/>
      <c r="AZ97" s="172"/>
      <c r="BA97" s="172"/>
      <c r="BB97" s="172"/>
      <c r="BC97" s="173"/>
      <c r="BD97" s="172"/>
      <c r="BE97" s="172"/>
      <c r="BF97" s="172"/>
      <c r="BG97" s="172"/>
      <c r="BH97" s="172"/>
      <c r="BI97" s="172"/>
      <c r="BJ97" s="172"/>
      <c r="BK97" s="172"/>
      <c r="BL97" s="173"/>
      <c r="BM97" s="172"/>
      <c r="BN97" s="172"/>
      <c r="BO97" s="172"/>
      <c r="BP97" s="172"/>
      <c r="BQ97" s="172"/>
      <c r="BR97" s="172"/>
      <c r="BS97" s="172"/>
      <c r="BT97" s="172"/>
      <c r="BU97" s="172"/>
      <c r="BV97" s="172"/>
    </row>
    <row r="98" spans="1:75" ht="15.95" customHeight="1" x14ac:dyDescent="0.25">
      <c r="A98" s="504"/>
      <c r="B98" s="504"/>
      <c r="C98" s="190"/>
      <c r="D98" s="191"/>
      <c r="E98" s="191"/>
      <c r="F98" s="183"/>
      <c r="G98" s="183"/>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c r="AG98" s="183"/>
      <c r="AH98" s="183"/>
      <c r="AI98" s="183"/>
      <c r="AJ98" s="183"/>
      <c r="AK98" s="183"/>
      <c r="AL98" s="183"/>
      <c r="AM98" s="183"/>
      <c r="AN98" s="183"/>
      <c r="AO98" s="183"/>
      <c r="AP98" s="183"/>
      <c r="AQ98" s="183"/>
      <c r="AR98" s="183"/>
      <c r="AS98" s="183"/>
      <c r="AT98" s="183"/>
      <c r="AU98" s="184"/>
      <c r="AV98" s="184"/>
      <c r="AW98" s="184"/>
      <c r="AX98" s="172"/>
      <c r="AY98" s="172"/>
      <c r="AZ98" s="172"/>
      <c r="BA98" s="172"/>
      <c r="BB98" s="172"/>
      <c r="BC98" s="173"/>
      <c r="BD98" s="172"/>
      <c r="BE98" s="172"/>
      <c r="BF98" s="172"/>
      <c r="BG98" s="172"/>
      <c r="BH98" s="172"/>
      <c r="BI98" s="172"/>
      <c r="BJ98" s="172"/>
      <c r="BK98" s="172"/>
      <c r="BL98" s="173"/>
      <c r="BM98" s="172"/>
      <c r="BN98" s="172"/>
      <c r="BO98" s="172"/>
      <c r="BP98" s="172"/>
      <c r="BQ98" s="172"/>
      <c r="BR98" s="172"/>
      <c r="BS98" s="172"/>
      <c r="BT98" s="172"/>
      <c r="BU98" s="172"/>
      <c r="BV98" s="172"/>
      <c r="BW98" s="172"/>
    </row>
    <row r="99" spans="1:75" ht="15.95" customHeight="1" x14ac:dyDescent="0.25">
      <c r="A99" s="504"/>
      <c r="B99" s="504"/>
      <c r="C99" s="190"/>
      <c r="D99" s="191"/>
      <c r="E99" s="191"/>
      <c r="F99" s="183"/>
      <c r="G99" s="183"/>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c r="AG99" s="183"/>
      <c r="AH99" s="183"/>
      <c r="AI99" s="183"/>
      <c r="AJ99" s="183"/>
      <c r="AK99" s="183"/>
      <c r="AL99" s="183"/>
      <c r="AM99" s="183"/>
      <c r="AN99" s="183"/>
      <c r="AO99" s="183"/>
      <c r="AP99" s="183"/>
      <c r="AQ99" s="183"/>
      <c r="AR99" s="183"/>
      <c r="AS99" s="183"/>
      <c r="AT99" s="183"/>
      <c r="AU99" s="184"/>
      <c r="AV99" s="184"/>
      <c r="AW99" s="184"/>
      <c r="AX99" s="172"/>
      <c r="AY99" s="172"/>
      <c r="AZ99" s="172"/>
      <c r="BA99" s="172"/>
      <c r="BB99" s="172"/>
      <c r="BC99" s="173"/>
      <c r="BD99" s="172"/>
      <c r="BE99" s="172"/>
      <c r="BF99" s="172"/>
      <c r="BG99" s="172"/>
      <c r="BH99" s="172"/>
      <c r="BI99" s="172"/>
      <c r="BJ99" s="172"/>
      <c r="BK99" s="172"/>
      <c r="BL99" s="173"/>
      <c r="BM99" s="172"/>
      <c r="BN99" s="172"/>
      <c r="BO99" s="172"/>
      <c r="BP99" s="172"/>
      <c r="BQ99" s="172"/>
      <c r="BR99" s="172"/>
      <c r="BS99" s="172"/>
      <c r="BT99" s="172"/>
      <c r="BU99" s="172"/>
      <c r="BV99" s="172"/>
    </row>
    <row r="100" spans="1:75" ht="15.95" customHeight="1" x14ac:dyDescent="0.25">
      <c r="A100" s="504"/>
      <c r="B100" s="504"/>
      <c r="C100" s="190"/>
      <c r="D100" s="191"/>
      <c r="E100" s="191"/>
      <c r="F100" s="183"/>
      <c r="G100" s="183"/>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c r="AG100" s="183"/>
      <c r="AH100" s="183"/>
      <c r="AI100" s="183"/>
      <c r="AJ100" s="183"/>
      <c r="AK100" s="183"/>
      <c r="AL100" s="183"/>
      <c r="AM100" s="183"/>
      <c r="AN100" s="183"/>
      <c r="AO100" s="183"/>
      <c r="AP100" s="183"/>
      <c r="AQ100" s="183"/>
      <c r="AR100" s="183"/>
      <c r="AS100" s="183"/>
      <c r="AT100" s="183"/>
      <c r="AU100" s="184"/>
      <c r="AV100" s="184"/>
      <c r="AW100" s="184"/>
      <c r="AX100" s="172"/>
      <c r="AY100" s="172"/>
      <c r="AZ100" s="172"/>
      <c r="BA100" s="172"/>
      <c r="BB100" s="172"/>
      <c r="BC100" s="173"/>
      <c r="BD100" s="172"/>
      <c r="BE100" s="172"/>
      <c r="BF100" s="172"/>
      <c r="BG100" s="172"/>
      <c r="BH100" s="172"/>
      <c r="BI100" s="172"/>
      <c r="BJ100" s="172"/>
      <c r="BK100" s="172"/>
      <c r="BL100" s="173"/>
      <c r="BM100" s="172"/>
      <c r="BN100" s="172"/>
      <c r="BO100" s="172"/>
      <c r="BP100" s="172"/>
      <c r="BQ100" s="172"/>
      <c r="BR100" s="172"/>
      <c r="BS100" s="172"/>
      <c r="BT100" s="172"/>
      <c r="BU100" s="172"/>
      <c r="BV100" s="172"/>
    </row>
    <row r="101" spans="1:75" ht="15.95" customHeight="1" x14ac:dyDescent="0.25">
      <c r="A101" s="504"/>
      <c r="B101" s="504"/>
      <c r="C101" s="190"/>
      <c r="D101" s="191"/>
      <c r="E101" s="191"/>
      <c r="F101" s="183"/>
      <c r="G101" s="183"/>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c r="AG101" s="183"/>
      <c r="AH101" s="183"/>
      <c r="AI101" s="183"/>
      <c r="AJ101" s="183"/>
      <c r="AK101" s="183"/>
      <c r="AL101" s="183"/>
      <c r="AM101" s="183"/>
      <c r="AN101" s="183"/>
      <c r="AO101" s="183"/>
      <c r="AP101" s="183"/>
      <c r="AQ101" s="183"/>
      <c r="AR101" s="183"/>
      <c r="AS101" s="183"/>
      <c r="AT101" s="183"/>
      <c r="AU101" s="184"/>
      <c r="AV101" s="184"/>
      <c r="AW101" s="184"/>
      <c r="AX101" s="172"/>
      <c r="AY101" s="172"/>
      <c r="AZ101" s="172"/>
      <c r="BA101" s="172"/>
      <c r="BB101" s="172"/>
      <c r="BC101" s="173"/>
      <c r="BD101" s="172"/>
      <c r="BE101" s="172"/>
      <c r="BF101" s="172"/>
      <c r="BG101" s="172"/>
      <c r="BH101" s="172"/>
      <c r="BI101" s="172"/>
      <c r="BJ101" s="172"/>
      <c r="BK101" s="172"/>
      <c r="BL101" s="173"/>
      <c r="BM101" s="172"/>
      <c r="BN101" s="172"/>
      <c r="BO101" s="172"/>
      <c r="BP101" s="172"/>
      <c r="BQ101" s="172"/>
      <c r="BR101" s="172"/>
      <c r="BS101" s="172"/>
      <c r="BT101" s="172"/>
      <c r="BU101" s="172"/>
      <c r="BV101" s="172"/>
    </row>
    <row r="102" spans="1:75" ht="15.95" customHeight="1" x14ac:dyDescent="0.25">
      <c r="A102" s="504"/>
      <c r="B102" s="504"/>
      <c r="C102" s="190"/>
      <c r="D102" s="191"/>
      <c r="E102" s="191"/>
      <c r="F102" s="183"/>
      <c r="G102" s="183"/>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c r="AG102" s="183"/>
      <c r="AH102" s="183"/>
      <c r="AI102" s="183"/>
      <c r="AJ102" s="183"/>
      <c r="AK102" s="183"/>
      <c r="AL102" s="183"/>
      <c r="AM102" s="183"/>
      <c r="AN102" s="183"/>
      <c r="AO102" s="183"/>
      <c r="AP102" s="183"/>
      <c r="AQ102" s="183"/>
      <c r="AR102" s="183"/>
      <c r="AS102" s="183"/>
      <c r="AT102" s="183"/>
      <c r="AU102" s="184"/>
      <c r="AV102" s="184"/>
      <c r="AW102" s="184"/>
      <c r="AX102" s="172"/>
      <c r="AY102" s="172"/>
      <c r="AZ102" s="172"/>
      <c r="BA102" s="172"/>
      <c r="BB102" s="172"/>
      <c r="BC102" s="173"/>
      <c r="BD102" s="172"/>
      <c r="BE102" s="172"/>
      <c r="BF102" s="172"/>
      <c r="BG102" s="172"/>
      <c r="BH102" s="172"/>
      <c r="BI102" s="172"/>
      <c r="BJ102" s="172"/>
      <c r="BK102" s="172"/>
      <c r="BL102" s="173"/>
      <c r="BM102" s="172"/>
      <c r="BN102" s="172"/>
      <c r="BO102" s="172"/>
      <c r="BP102" s="172"/>
      <c r="BQ102" s="172"/>
      <c r="BR102" s="172"/>
      <c r="BS102" s="172"/>
      <c r="BT102" s="172"/>
      <c r="BU102" s="172"/>
      <c r="BV102" s="172"/>
      <c r="BW102" s="172"/>
    </row>
    <row r="103" spans="1:75" ht="15.95" customHeight="1" x14ac:dyDescent="0.25">
      <c r="A103" s="504"/>
      <c r="B103" s="504"/>
      <c r="C103" s="190"/>
      <c r="D103" s="191"/>
      <c r="E103" s="191"/>
      <c r="F103" s="183"/>
      <c r="G103" s="183"/>
      <c r="H103" s="183"/>
      <c r="I103" s="183"/>
      <c r="J103" s="183"/>
      <c r="K103" s="183"/>
      <c r="L103" s="183"/>
      <c r="M103" s="183"/>
      <c r="N103" s="183"/>
      <c r="O103" s="183"/>
      <c r="P103" s="183"/>
      <c r="Q103" s="183"/>
      <c r="R103" s="183"/>
      <c r="S103" s="183"/>
      <c r="T103" s="183"/>
      <c r="U103" s="183"/>
      <c r="V103" s="183"/>
      <c r="W103" s="183"/>
      <c r="X103" s="183"/>
      <c r="Y103" s="183"/>
      <c r="Z103" s="183"/>
      <c r="AA103" s="183"/>
      <c r="AB103" s="183"/>
      <c r="AC103" s="183"/>
      <c r="AD103" s="183"/>
      <c r="AE103" s="183"/>
      <c r="AF103" s="183"/>
      <c r="AG103" s="183"/>
      <c r="AH103" s="183"/>
      <c r="AI103" s="183"/>
      <c r="AJ103" s="183"/>
      <c r="AK103" s="183"/>
      <c r="AL103" s="183"/>
      <c r="AM103" s="183"/>
      <c r="AN103" s="183"/>
      <c r="AO103" s="183"/>
      <c r="AP103" s="183"/>
      <c r="AQ103" s="183"/>
      <c r="AR103" s="183"/>
      <c r="AS103" s="183"/>
      <c r="AT103" s="183"/>
      <c r="AU103" s="184"/>
      <c r="AV103" s="184"/>
      <c r="AW103" s="184"/>
      <c r="AX103" s="172"/>
      <c r="AY103" s="172"/>
      <c r="AZ103" s="172"/>
      <c r="BA103" s="172"/>
      <c r="BB103" s="172"/>
      <c r="BC103" s="173"/>
      <c r="BD103" s="172"/>
      <c r="BE103" s="172"/>
      <c r="BF103" s="172"/>
      <c r="BG103" s="172"/>
      <c r="BH103" s="172"/>
      <c r="BI103" s="172"/>
      <c r="BJ103" s="172"/>
      <c r="BK103" s="172"/>
      <c r="BL103" s="173"/>
      <c r="BM103" s="172"/>
      <c r="BN103" s="172"/>
      <c r="BO103" s="172"/>
      <c r="BP103" s="172"/>
      <c r="BQ103" s="172"/>
      <c r="BR103" s="172"/>
      <c r="BS103" s="172"/>
      <c r="BT103" s="172"/>
      <c r="BU103" s="172"/>
      <c r="BV103" s="172"/>
    </row>
    <row r="104" spans="1:75" ht="15.95" customHeight="1" x14ac:dyDescent="0.25">
      <c r="A104" s="504"/>
      <c r="B104" s="504"/>
      <c r="C104" s="190"/>
      <c r="D104" s="191"/>
      <c r="E104" s="191"/>
      <c r="F104" s="183"/>
      <c r="G104" s="183"/>
      <c r="H104" s="183"/>
      <c r="I104" s="183"/>
      <c r="J104" s="183"/>
      <c r="K104" s="183"/>
      <c r="L104" s="183"/>
      <c r="M104" s="183"/>
      <c r="N104" s="183"/>
      <c r="O104" s="183"/>
      <c r="P104" s="183"/>
      <c r="Q104" s="183"/>
      <c r="R104" s="183"/>
      <c r="S104" s="183"/>
      <c r="T104" s="183"/>
      <c r="U104" s="183"/>
      <c r="V104" s="183"/>
      <c r="W104" s="183"/>
      <c r="X104" s="183"/>
      <c r="Y104" s="183"/>
      <c r="Z104" s="183"/>
      <c r="AA104" s="183"/>
      <c r="AB104" s="183"/>
      <c r="AC104" s="183"/>
      <c r="AD104" s="183"/>
      <c r="AE104" s="183"/>
      <c r="AF104" s="183"/>
      <c r="AG104" s="183"/>
      <c r="AH104" s="183"/>
      <c r="AI104" s="183"/>
      <c r="AJ104" s="183"/>
      <c r="AK104" s="183"/>
      <c r="AL104" s="183"/>
      <c r="AM104" s="183"/>
      <c r="AN104" s="183"/>
      <c r="AO104" s="183"/>
      <c r="AP104" s="183"/>
      <c r="AQ104" s="183"/>
      <c r="AR104" s="183"/>
      <c r="AS104" s="183"/>
      <c r="AT104" s="183"/>
      <c r="AU104" s="184"/>
      <c r="AV104" s="184"/>
      <c r="AW104" s="184"/>
      <c r="AX104" s="172"/>
      <c r="AY104" s="172"/>
      <c r="AZ104" s="172"/>
      <c r="BA104" s="172"/>
      <c r="BB104" s="172"/>
      <c r="BC104" s="173"/>
      <c r="BD104" s="172"/>
      <c r="BE104" s="172"/>
      <c r="BF104" s="172"/>
      <c r="BG104" s="172"/>
      <c r="BH104" s="172"/>
      <c r="BI104" s="172"/>
      <c r="BJ104" s="172"/>
      <c r="BK104" s="172"/>
      <c r="BL104" s="173"/>
      <c r="BM104" s="172"/>
      <c r="BN104" s="172"/>
      <c r="BO104" s="172"/>
      <c r="BP104" s="172"/>
      <c r="BQ104" s="172"/>
      <c r="BR104" s="172"/>
      <c r="BS104" s="172"/>
      <c r="BT104" s="172"/>
      <c r="BU104" s="172"/>
      <c r="BV104" s="172"/>
    </row>
    <row r="105" spans="1:75" ht="15.95" customHeight="1" x14ac:dyDescent="0.25">
      <c r="A105" s="504"/>
      <c r="B105" s="504"/>
      <c r="C105" s="190"/>
      <c r="D105" s="191"/>
      <c r="E105" s="191"/>
      <c r="F105" s="183"/>
      <c r="G105" s="183"/>
      <c r="H105" s="183"/>
      <c r="I105" s="183"/>
      <c r="J105" s="183"/>
      <c r="K105" s="183"/>
      <c r="L105" s="183"/>
      <c r="M105" s="183"/>
      <c r="N105" s="183"/>
      <c r="O105" s="183"/>
      <c r="P105" s="183"/>
      <c r="Q105" s="183"/>
      <c r="R105" s="183"/>
      <c r="S105" s="183"/>
      <c r="T105" s="183"/>
      <c r="U105" s="183"/>
      <c r="V105" s="183"/>
      <c r="W105" s="183"/>
      <c r="X105" s="183"/>
      <c r="Y105" s="183"/>
      <c r="Z105" s="183"/>
      <c r="AA105" s="183"/>
      <c r="AB105" s="183"/>
      <c r="AC105" s="183"/>
      <c r="AD105" s="183"/>
      <c r="AE105" s="183"/>
      <c r="AF105" s="183"/>
      <c r="AG105" s="183"/>
      <c r="AH105" s="183"/>
      <c r="AI105" s="183"/>
      <c r="AJ105" s="183"/>
      <c r="AK105" s="183"/>
      <c r="AL105" s="183"/>
      <c r="AM105" s="183"/>
      <c r="AN105" s="183"/>
      <c r="AO105" s="183"/>
      <c r="AP105" s="183"/>
      <c r="AQ105" s="183"/>
      <c r="AR105" s="183"/>
      <c r="AS105" s="183"/>
      <c r="AT105" s="183"/>
      <c r="AU105" s="184"/>
      <c r="AV105" s="184"/>
      <c r="AW105" s="184"/>
      <c r="AX105" s="172"/>
      <c r="AY105" s="172"/>
      <c r="AZ105" s="172"/>
      <c r="BA105" s="172"/>
      <c r="BB105" s="172"/>
      <c r="BC105" s="173"/>
      <c r="BD105" s="172"/>
      <c r="BE105" s="172"/>
      <c r="BF105" s="172"/>
      <c r="BG105" s="172"/>
      <c r="BH105" s="172"/>
      <c r="BI105" s="172"/>
      <c r="BJ105" s="172"/>
      <c r="BK105" s="172"/>
      <c r="BL105" s="173"/>
      <c r="BM105" s="172"/>
      <c r="BN105" s="172"/>
      <c r="BO105" s="172"/>
      <c r="BP105" s="172"/>
      <c r="BQ105" s="172"/>
      <c r="BR105" s="172"/>
      <c r="BS105" s="172"/>
      <c r="BT105" s="172"/>
      <c r="BU105" s="172"/>
      <c r="BV105" s="172"/>
    </row>
    <row r="106" spans="1:75" ht="15.95" customHeight="1" x14ac:dyDescent="0.25">
      <c r="A106" s="504"/>
      <c r="B106" s="504"/>
      <c r="C106" s="190"/>
      <c r="D106" s="191"/>
      <c r="E106" s="191"/>
      <c r="F106" s="183"/>
      <c r="G106" s="183"/>
      <c r="H106" s="183"/>
      <c r="I106" s="183"/>
      <c r="J106" s="183"/>
      <c r="K106" s="183"/>
      <c r="L106" s="183"/>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183"/>
      <c r="AK106" s="183"/>
      <c r="AL106" s="183"/>
      <c r="AM106" s="183"/>
      <c r="AN106" s="183"/>
      <c r="AO106" s="183"/>
      <c r="AP106" s="183"/>
      <c r="AQ106" s="183"/>
      <c r="AR106" s="183"/>
      <c r="AS106" s="183"/>
      <c r="AT106" s="183"/>
      <c r="AU106" s="184"/>
      <c r="AV106" s="184"/>
      <c r="AW106" s="184"/>
      <c r="AX106" s="172"/>
      <c r="AY106" s="172"/>
      <c r="AZ106" s="172"/>
      <c r="BA106" s="172"/>
      <c r="BB106" s="172"/>
      <c r="BC106" s="173"/>
      <c r="BD106" s="172"/>
      <c r="BE106" s="172"/>
      <c r="BF106" s="172"/>
      <c r="BG106" s="172"/>
      <c r="BH106" s="172"/>
      <c r="BI106" s="172"/>
      <c r="BJ106" s="172"/>
      <c r="BK106" s="172"/>
      <c r="BL106" s="173"/>
      <c r="BM106" s="172"/>
      <c r="BN106" s="172"/>
      <c r="BO106" s="172"/>
      <c r="BP106" s="172"/>
      <c r="BQ106" s="172"/>
      <c r="BR106" s="172"/>
      <c r="BS106" s="172"/>
      <c r="BT106" s="172"/>
      <c r="BU106" s="172"/>
      <c r="BV106" s="172"/>
    </row>
    <row r="107" spans="1:75" ht="15.95" customHeight="1" x14ac:dyDescent="0.25">
      <c r="A107" s="504"/>
      <c r="B107" s="504"/>
      <c r="C107" s="190"/>
      <c r="D107" s="191"/>
      <c r="E107" s="191"/>
      <c r="F107" s="183"/>
      <c r="G107" s="183"/>
      <c r="H107" s="183"/>
      <c r="I107" s="183"/>
      <c r="J107" s="183"/>
      <c r="K107" s="183"/>
      <c r="L107" s="183"/>
      <c r="M107" s="183"/>
      <c r="N107" s="183"/>
      <c r="O107" s="183"/>
      <c r="P107" s="183"/>
      <c r="Q107" s="183"/>
      <c r="R107" s="183"/>
      <c r="S107" s="183"/>
      <c r="T107" s="183"/>
      <c r="U107" s="183"/>
      <c r="V107" s="183"/>
      <c r="W107" s="183"/>
      <c r="X107" s="183"/>
      <c r="Y107" s="183"/>
      <c r="Z107" s="183"/>
      <c r="AA107" s="183"/>
      <c r="AB107" s="183"/>
      <c r="AC107" s="183"/>
      <c r="AD107" s="183"/>
      <c r="AE107" s="183"/>
      <c r="AF107" s="183"/>
      <c r="AG107" s="183"/>
      <c r="AH107" s="183"/>
      <c r="AI107" s="183"/>
      <c r="AJ107" s="183"/>
      <c r="AK107" s="183"/>
      <c r="AL107" s="183"/>
      <c r="AM107" s="183"/>
      <c r="AN107" s="183"/>
      <c r="AO107" s="183"/>
      <c r="AP107" s="183"/>
      <c r="AQ107" s="183"/>
      <c r="AR107" s="183"/>
      <c r="AS107" s="183"/>
      <c r="AT107" s="183"/>
      <c r="AU107" s="184"/>
      <c r="AV107" s="184"/>
      <c r="AW107" s="184"/>
      <c r="AX107" s="172"/>
      <c r="AY107" s="172"/>
      <c r="AZ107" s="172"/>
      <c r="BA107" s="172"/>
      <c r="BB107" s="172"/>
      <c r="BC107" s="173"/>
      <c r="BD107" s="172"/>
      <c r="BE107" s="172"/>
      <c r="BF107" s="172"/>
      <c r="BG107" s="172"/>
      <c r="BH107" s="172"/>
      <c r="BI107" s="172"/>
      <c r="BJ107" s="172"/>
      <c r="BK107" s="172"/>
      <c r="BL107" s="173"/>
      <c r="BM107" s="172"/>
      <c r="BN107" s="172"/>
      <c r="BO107" s="172"/>
      <c r="BP107" s="172"/>
      <c r="BQ107" s="172"/>
      <c r="BR107" s="172"/>
      <c r="BS107" s="172"/>
      <c r="BT107" s="172"/>
      <c r="BU107" s="172"/>
      <c r="BV107" s="172"/>
    </row>
    <row r="108" spans="1:75" ht="15.95" customHeight="1" x14ac:dyDescent="0.25">
      <c r="A108" s="504"/>
      <c r="B108" s="504"/>
      <c r="C108" s="190"/>
      <c r="D108" s="191"/>
      <c r="E108" s="191"/>
      <c r="F108" s="183"/>
      <c r="G108" s="183"/>
      <c r="H108" s="183"/>
      <c r="I108" s="183"/>
      <c r="J108" s="183"/>
      <c r="K108" s="183"/>
      <c r="L108" s="183"/>
      <c r="M108" s="183"/>
      <c r="N108" s="183"/>
      <c r="O108" s="183"/>
      <c r="P108" s="183"/>
      <c r="Q108" s="183"/>
      <c r="R108" s="183"/>
      <c r="S108" s="183"/>
      <c r="T108" s="183"/>
      <c r="U108" s="183"/>
      <c r="V108" s="183"/>
      <c r="W108" s="183"/>
      <c r="X108" s="183"/>
      <c r="Y108" s="183"/>
      <c r="Z108" s="183"/>
      <c r="AA108" s="183"/>
      <c r="AB108" s="183"/>
      <c r="AC108" s="183"/>
      <c r="AD108" s="183"/>
      <c r="AE108" s="183"/>
      <c r="AF108" s="183"/>
      <c r="AG108" s="183"/>
      <c r="AH108" s="183"/>
      <c r="AI108" s="183"/>
      <c r="AJ108" s="183"/>
      <c r="AK108" s="183"/>
      <c r="AL108" s="183"/>
      <c r="AM108" s="183"/>
      <c r="AN108" s="183"/>
      <c r="AO108" s="183"/>
      <c r="AP108" s="183"/>
      <c r="AQ108" s="183"/>
      <c r="AR108" s="183"/>
      <c r="AS108" s="183"/>
      <c r="AT108" s="183"/>
      <c r="AU108" s="184"/>
      <c r="AV108" s="184"/>
      <c r="AW108" s="184"/>
      <c r="AX108" s="172"/>
      <c r="AY108" s="172"/>
      <c r="AZ108" s="172"/>
      <c r="BA108" s="172"/>
      <c r="BB108" s="172"/>
      <c r="BC108" s="173"/>
      <c r="BD108" s="172"/>
      <c r="BE108" s="172"/>
      <c r="BF108" s="172"/>
      <c r="BG108" s="172"/>
      <c r="BH108" s="172"/>
      <c r="BI108" s="172"/>
      <c r="BJ108" s="172"/>
      <c r="BK108" s="172"/>
      <c r="BL108" s="173"/>
      <c r="BM108" s="172"/>
      <c r="BN108" s="172"/>
      <c r="BO108" s="172"/>
      <c r="BP108" s="172"/>
      <c r="BQ108" s="172"/>
      <c r="BR108" s="172"/>
      <c r="BS108" s="172"/>
      <c r="BT108" s="172"/>
      <c r="BU108" s="172"/>
      <c r="BV108" s="172"/>
      <c r="BW108" s="172"/>
    </row>
    <row r="109" spans="1:75" ht="15.95" customHeight="1" x14ac:dyDescent="0.25">
      <c r="A109" s="504"/>
      <c r="B109" s="504"/>
      <c r="C109" s="190"/>
      <c r="D109" s="191"/>
      <c r="E109" s="191"/>
      <c r="F109" s="183"/>
      <c r="G109" s="183"/>
      <c r="H109" s="183"/>
      <c r="I109" s="183"/>
      <c r="J109" s="183"/>
      <c r="K109" s="183"/>
      <c r="L109" s="183"/>
      <c r="M109" s="183"/>
      <c r="N109" s="183"/>
      <c r="O109" s="183"/>
      <c r="P109" s="183"/>
      <c r="Q109" s="183"/>
      <c r="R109" s="183"/>
      <c r="S109" s="183"/>
      <c r="T109" s="183"/>
      <c r="U109" s="183"/>
      <c r="V109" s="183"/>
      <c r="W109" s="183"/>
      <c r="X109" s="183"/>
      <c r="Y109" s="183"/>
      <c r="Z109" s="183"/>
      <c r="AA109" s="183"/>
      <c r="AB109" s="183"/>
      <c r="AC109" s="183"/>
      <c r="AD109" s="183"/>
      <c r="AE109" s="183"/>
      <c r="AF109" s="183"/>
      <c r="AG109" s="183"/>
      <c r="AH109" s="183"/>
      <c r="AI109" s="183"/>
      <c r="AJ109" s="183"/>
      <c r="AK109" s="183"/>
      <c r="AL109" s="183"/>
      <c r="AM109" s="183"/>
      <c r="AN109" s="183"/>
      <c r="AO109" s="183"/>
      <c r="AP109" s="183"/>
      <c r="AQ109" s="183"/>
      <c r="AR109" s="183"/>
      <c r="AS109" s="183"/>
      <c r="AT109" s="183"/>
      <c r="AU109" s="184"/>
      <c r="AV109" s="184"/>
      <c r="AW109" s="184"/>
      <c r="AX109" s="172"/>
      <c r="AY109" s="172"/>
      <c r="AZ109" s="172"/>
      <c r="BA109" s="172"/>
      <c r="BB109" s="172"/>
      <c r="BC109" s="173"/>
      <c r="BD109" s="172"/>
      <c r="BE109" s="172"/>
      <c r="BF109" s="172"/>
      <c r="BG109" s="172"/>
      <c r="BH109" s="172"/>
      <c r="BI109" s="172"/>
      <c r="BJ109" s="172"/>
      <c r="BK109" s="172"/>
      <c r="BL109" s="173"/>
      <c r="BM109" s="172"/>
      <c r="BN109" s="172"/>
      <c r="BO109" s="172"/>
      <c r="BP109" s="172"/>
      <c r="BQ109" s="172"/>
      <c r="BR109" s="172"/>
      <c r="BS109" s="172"/>
      <c r="BT109" s="172"/>
      <c r="BU109" s="172"/>
      <c r="BV109" s="172"/>
    </row>
    <row r="110" spans="1:75" ht="15.95" customHeight="1" x14ac:dyDescent="0.25">
      <c r="A110" s="504"/>
      <c r="B110" s="504"/>
      <c r="C110" s="190"/>
      <c r="D110" s="191"/>
      <c r="E110" s="191"/>
      <c r="F110" s="183"/>
      <c r="G110" s="183"/>
      <c r="H110" s="183"/>
      <c r="I110" s="183"/>
      <c r="J110" s="183"/>
      <c r="K110" s="183"/>
      <c r="L110" s="183"/>
      <c r="M110" s="183"/>
      <c r="N110" s="183"/>
      <c r="O110" s="183"/>
      <c r="P110" s="183"/>
      <c r="Q110" s="183"/>
      <c r="R110" s="183"/>
      <c r="S110" s="183"/>
      <c r="T110" s="183"/>
      <c r="U110" s="183"/>
      <c r="V110" s="183"/>
      <c r="W110" s="183"/>
      <c r="X110" s="183"/>
      <c r="Y110" s="183"/>
      <c r="Z110" s="183"/>
      <c r="AA110" s="183"/>
      <c r="AB110" s="183"/>
      <c r="AC110" s="183"/>
      <c r="AD110" s="183"/>
      <c r="AE110" s="183"/>
      <c r="AF110" s="183"/>
      <c r="AG110" s="183"/>
      <c r="AH110" s="183"/>
      <c r="AI110" s="183"/>
      <c r="AJ110" s="183"/>
      <c r="AK110" s="183"/>
      <c r="AL110" s="183"/>
      <c r="AM110" s="183"/>
      <c r="AN110" s="183"/>
      <c r="AO110" s="183"/>
      <c r="AP110" s="183"/>
      <c r="AQ110" s="183"/>
      <c r="AR110" s="183"/>
      <c r="AS110" s="183"/>
      <c r="AT110" s="183"/>
      <c r="AU110" s="184"/>
      <c r="AV110" s="184"/>
      <c r="AW110" s="184"/>
      <c r="AX110" s="172"/>
      <c r="AY110" s="172"/>
      <c r="AZ110" s="172"/>
      <c r="BA110" s="172"/>
      <c r="BB110" s="172"/>
      <c r="BC110" s="173"/>
      <c r="BD110" s="172"/>
      <c r="BE110" s="172"/>
      <c r="BF110" s="172"/>
      <c r="BG110" s="172"/>
      <c r="BH110" s="172"/>
      <c r="BI110" s="172"/>
      <c r="BJ110" s="172"/>
      <c r="BK110" s="172"/>
      <c r="BL110" s="173"/>
      <c r="BM110" s="172"/>
      <c r="BN110" s="172"/>
      <c r="BO110" s="172"/>
      <c r="BP110" s="172"/>
      <c r="BQ110" s="172"/>
      <c r="BR110" s="172"/>
      <c r="BS110" s="172"/>
      <c r="BT110" s="172"/>
      <c r="BU110" s="172"/>
      <c r="BV110" s="172"/>
    </row>
    <row r="111" spans="1:75" ht="15.95" customHeight="1" x14ac:dyDescent="0.25">
      <c r="A111" s="504"/>
      <c r="B111" s="504"/>
      <c r="C111" s="195"/>
      <c r="D111" s="191"/>
      <c r="E111" s="191"/>
      <c r="F111" s="183"/>
      <c r="G111" s="183"/>
      <c r="H111" s="183"/>
      <c r="I111" s="183"/>
      <c r="J111" s="183"/>
      <c r="K111" s="183"/>
      <c r="L111" s="183"/>
      <c r="M111" s="183"/>
      <c r="N111" s="183"/>
      <c r="O111" s="183"/>
      <c r="P111" s="183"/>
      <c r="Q111" s="183"/>
      <c r="R111" s="183"/>
      <c r="S111" s="183"/>
      <c r="T111" s="183"/>
      <c r="U111" s="183"/>
      <c r="V111" s="183"/>
      <c r="W111" s="183"/>
      <c r="X111" s="183"/>
      <c r="Y111" s="183"/>
      <c r="Z111" s="183"/>
      <c r="AA111" s="183"/>
      <c r="AB111" s="183"/>
      <c r="AC111" s="183"/>
      <c r="AD111" s="183"/>
      <c r="AE111" s="183"/>
      <c r="AF111" s="183"/>
      <c r="AG111" s="183"/>
      <c r="AH111" s="183"/>
      <c r="AI111" s="183"/>
      <c r="AJ111" s="183"/>
      <c r="AK111" s="183"/>
      <c r="AL111" s="183"/>
      <c r="AM111" s="183"/>
      <c r="AN111" s="183"/>
      <c r="AO111" s="183"/>
      <c r="AP111" s="183"/>
      <c r="AQ111" s="183"/>
      <c r="AR111" s="183"/>
      <c r="AS111" s="183"/>
      <c r="AT111" s="183"/>
      <c r="AU111" s="184"/>
      <c r="AV111" s="184"/>
      <c r="AW111" s="184"/>
      <c r="AX111" s="172"/>
      <c r="AY111" s="172"/>
      <c r="AZ111" s="172"/>
      <c r="BA111" s="172"/>
      <c r="BB111" s="172"/>
      <c r="BC111" s="173"/>
      <c r="BD111" s="172"/>
      <c r="BE111" s="172"/>
      <c r="BF111" s="172"/>
      <c r="BG111" s="172"/>
      <c r="BH111" s="172"/>
      <c r="BI111" s="172"/>
      <c r="BJ111" s="172"/>
      <c r="BK111" s="172"/>
      <c r="BL111" s="173"/>
      <c r="BM111" s="172"/>
      <c r="BN111" s="172"/>
      <c r="BO111" s="172"/>
      <c r="BP111" s="172"/>
      <c r="BQ111" s="172"/>
      <c r="BR111" s="172"/>
      <c r="BS111" s="172"/>
      <c r="BT111" s="172"/>
      <c r="BU111" s="172"/>
      <c r="BV111" s="172"/>
    </row>
    <row r="112" spans="1:75" ht="15.95" customHeight="1" x14ac:dyDescent="0.25">
      <c r="A112" s="504"/>
      <c r="B112" s="504"/>
      <c r="C112" s="195"/>
      <c r="D112" s="191"/>
      <c r="E112" s="191"/>
      <c r="F112" s="183"/>
      <c r="G112" s="183"/>
      <c r="H112" s="183"/>
      <c r="I112" s="183"/>
      <c r="J112" s="183"/>
      <c r="K112" s="183"/>
      <c r="L112" s="183"/>
      <c r="M112" s="183"/>
      <c r="N112" s="183"/>
      <c r="O112" s="183"/>
      <c r="P112" s="183"/>
      <c r="Q112" s="183"/>
      <c r="R112" s="183"/>
      <c r="S112" s="183"/>
      <c r="T112" s="183"/>
      <c r="U112" s="183"/>
      <c r="V112" s="183"/>
      <c r="W112" s="183"/>
      <c r="X112" s="183"/>
      <c r="Y112" s="183"/>
      <c r="Z112" s="183"/>
      <c r="AA112" s="183"/>
      <c r="AB112" s="183"/>
      <c r="AC112" s="183"/>
      <c r="AD112" s="183"/>
      <c r="AE112" s="183"/>
      <c r="AF112" s="183"/>
      <c r="AG112" s="183"/>
      <c r="AH112" s="183"/>
      <c r="AI112" s="183"/>
      <c r="AJ112" s="183"/>
      <c r="AK112" s="183"/>
      <c r="AL112" s="183"/>
      <c r="AM112" s="183"/>
      <c r="AN112" s="183"/>
      <c r="AO112" s="183"/>
      <c r="AP112" s="183"/>
      <c r="AQ112" s="183"/>
      <c r="AR112" s="183"/>
      <c r="AS112" s="183"/>
      <c r="AT112" s="183"/>
      <c r="AU112" s="184"/>
      <c r="AV112" s="184"/>
      <c r="AW112" s="184"/>
      <c r="AX112" s="172"/>
      <c r="AY112" s="172"/>
      <c r="AZ112" s="172"/>
      <c r="BA112" s="172"/>
      <c r="BB112" s="172"/>
      <c r="BC112" s="173"/>
      <c r="BD112" s="172"/>
      <c r="BE112" s="172"/>
      <c r="BF112" s="172"/>
      <c r="BG112" s="172"/>
      <c r="BH112" s="172"/>
      <c r="BI112" s="172"/>
      <c r="BJ112" s="172"/>
      <c r="BK112" s="172"/>
      <c r="BL112" s="173"/>
      <c r="BM112" s="172"/>
      <c r="BN112" s="172"/>
      <c r="BO112" s="172"/>
      <c r="BP112" s="172"/>
      <c r="BQ112" s="172"/>
      <c r="BR112" s="172"/>
      <c r="BS112" s="172"/>
      <c r="BT112" s="172"/>
      <c r="BU112" s="172"/>
      <c r="BV112" s="172"/>
    </row>
    <row r="113" spans="1:74" ht="15.95" customHeight="1" x14ac:dyDescent="0.25">
      <c r="A113" s="504"/>
      <c r="B113" s="504"/>
      <c r="C113" s="190"/>
      <c r="D113" s="191"/>
      <c r="E113" s="191"/>
      <c r="F113" s="183"/>
      <c r="G113" s="183"/>
      <c r="H113" s="183"/>
      <c r="I113" s="183"/>
      <c r="J113" s="183"/>
      <c r="K113" s="183"/>
      <c r="L113" s="183"/>
      <c r="M113" s="183"/>
      <c r="N113" s="183"/>
      <c r="O113" s="183"/>
      <c r="P113" s="183"/>
      <c r="Q113" s="183"/>
      <c r="R113" s="183"/>
      <c r="S113" s="183"/>
      <c r="T113" s="183"/>
      <c r="U113" s="183"/>
      <c r="V113" s="183"/>
      <c r="W113" s="183"/>
      <c r="X113" s="183"/>
      <c r="Y113" s="183"/>
      <c r="Z113" s="183"/>
      <c r="AA113" s="183"/>
      <c r="AB113" s="183"/>
      <c r="AC113" s="183"/>
      <c r="AD113" s="183"/>
      <c r="AE113" s="183"/>
      <c r="AF113" s="183"/>
      <c r="AG113" s="183"/>
      <c r="AH113" s="183"/>
      <c r="AI113" s="183"/>
      <c r="AJ113" s="183"/>
      <c r="AK113" s="183"/>
      <c r="AL113" s="183"/>
      <c r="AM113" s="183"/>
      <c r="AN113" s="183"/>
      <c r="AO113" s="183"/>
      <c r="AP113" s="183"/>
      <c r="AQ113" s="183"/>
      <c r="AR113" s="183"/>
      <c r="AS113" s="183"/>
      <c r="AT113" s="183"/>
      <c r="AU113" s="184"/>
      <c r="AV113" s="184"/>
      <c r="AW113" s="184"/>
      <c r="AX113" s="172"/>
      <c r="AY113" s="172"/>
      <c r="AZ113" s="172"/>
      <c r="BA113" s="172"/>
      <c r="BB113" s="172"/>
      <c r="BC113" s="173"/>
      <c r="BD113" s="172"/>
      <c r="BE113" s="172"/>
      <c r="BF113" s="172"/>
      <c r="BG113" s="172"/>
      <c r="BH113" s="172"/>
      <c r="BI113" s="172"/>
      <c r="BJ113" s="172"/>
      <c r="BK113" s="172"/>
      <c r="BL113" s="173"/>
      <c r="BM113" s="172"/>
      <c r="BN113" s="172"/>
      <c r="BO113" s="172"/>
      <c r="BP113" s="172"/>
      <c r="BQ113" s="172"/>
      <c r="BR113" s="172"/>
      <c r="BS113" s="172"/>
      <c r="BT113" s="172"/>
      <c r="BU113" s="172"/>
      <c r="BV113" s="172"/>
    </row>
    <row r="114" spans="1:74" ht="15.95" customHeight="1" x14ac:dyDescent="0.25">
      <c r="A114" s="504"/>
      <c r="B114" s="504"/>
      <c r="C114" s="190"/>
      <c r="D114" s="191"/>
      <c r="E114" s="191"/>
      <c r="F114" s="183"/>
      <c r="G114" s="183"/>
      <c r="H114" s="183"/>
      <c r="I114" s="183"/>
      <c r="J114" s="183"/>
      <c r="K114" s="183"/>
      <c r="L114" s="183"/>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c r="AI114" s="183"/>
      <c r="AJ114" s="183"/>
      <c r="AK114" s="183"/>
      <c r="AL114" s="183"/>
      <c r="AM114" s="183"/>
      <c r="AN114" s="183"/>
      <c r="AO114" s="183"/>
      <c r="AP114" s="183"/>
      <c r="AQ114" s="183"/>
      <c r="AR114" s="183"/>
      <c r="AS114" s="183"/>
      <c r="AT114" s="183"/>
      <c r="AU114" s="184"/>
      <c r="AV114" s="184"/>
      <c r="AW114" s="184"/>
      <c r="AX114" s="172"/>
      <c r="AY114" s="172"/>
      <c r="AZ114" s="172"/>
      <c r="BA114" s="172"/>
      <c r="BB114" s="172"/>
      <c r="BC114" s="173"/>
      <c r="BD114" s="172"/>
      <c r="BE114" s="172"/>
      <c r="BF114" s="172"/>
      <c r="BG114" s="172"/>
      <c r="BH114" s="172"/>
      <c r="BI114" s="172"/>
      <c r="BJ114" s="172"/>
      <c r="BK114" s="172"/>
      <c r="BL114" s="173"/>
      <c r="BM114" s="172"/>
      <c r="BN114" s="172"/>
      <c r="BO114" s="172"/>
      <c r="BP114" s="172"/>
      <c r="BQ114" s="172"/>
      <c r="BR114" s="172"/>
      <c r="BS114" s="172"/>
      <c r="BT114" s="172"/>
      <c r="BU114" s="172"/>
      <c r="BV114" s="172"/>
    </row>
    <row r="115" spans="1:74" ht="15.95" customHeight="1" x14ac:dyDescent="0.25">
      <c r="A115" s="504"/>
      <c r="B115" s="504"/>
      <c r="C115" s="190"/>
      <c r="D115" s="191"/>
      <c r="E115" s="191"/>
      <c r="F115" s="183"/>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c r="AQ115" s="183"/>
      <c r="AR115" s="183"/>
      <c r="AS115" s="183"/>
      <c r="AT115" s="183"/>
      <c r="AU115" s="184"/>
      <c r="AV115" s="184"/>
      <c r="AW115" s="184"/>
      <c r="AX115" s="172"/>
      <c r="AY115" s="172"/>
      <c r="AZ115" s="172"/>
      <c r="BA115" s="172"/>
      <c r="BB115" s="172"/>
      <c r="BC115" s="173"/>
      <c r="BD115" s="172"/>
      <c r="BE115" s="172"/>
      <c r="BF115" s="172"/>
      <c r="BG115" s="172"/>
      <c r="BH115" s="172"/>
      <c r="BI115" s="172"/>
      <c r="BJ115" s="172"/>
      <c r="BK115" s="172"/>
      <c r="BL115" s="173"/>
      <c r="BM115" s="172"/>
      <c r="BN115" s="172"/>
      <c r="BO115" s="172"/>
      <c r="BP115" s="172"/>
      <c r="BQ115" s="172"/>
      <c r="BR115" s="172"/>
      <c r="BS115" s="172"/>
      <c r="BT115" s="172"/>
      <c r="BU115" s="172"/>
      <c r="BV115" s="172"/>
    </row>
    <row r="116" spans="1:74" ht="15.95" customHeight="1" x14ac:dyDescent="0.25">
      <c r="A116" s="504"/>
      <c r="B116" s="504"/>
      <c r="C116" s="195"/>
      <c r="D116" s="191"/>
      <c r="E116" s="191"/>
      <c r="F116" s="183"/>
      <c r="G116" s="183"/>
      <c r="H116" s="183"/>
      <c r="I116" s="183"/>
      <c r="J116" s="183"/>
      <c r="K116" s="183"/>
      <c r="L116" s="183"/>
      <c r="M116" s="183"/>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c r="AI116" s="183"/>
      <c r="AJ116" s="183"/>
      <c r="AK116" s="183"/>
      <c r="AL116" s="183"/>
      <c r="AM116" s="183"/>
      <c r="AN116" s="183"/>
      <c r="AO116" s="183"/>
      <c r="AP116" s="183"/>
      <c r="AQ116" s="183"/>
      <c r="AR116" s="183"/>
      <c r="AS116" s="183"/>
      <c r="AT116" s="183"/>
      <c r="AU116" s="184"/>
      <c r="AV116" s="184"/>
      <c r="AW116" s="184"/>
      <c r="AX116" s="172"/>
      <c r="AY116" s="172"/>
      <c r="AZ116" s="172"/>
      <c r="BA116" s="172"/>
      <c r="BB116" s="172"/>
      <c r="BC116" s="173"/>
      <c r="BD116" s="172"/>
      <c r="BE116" s="172"/>
      <c r="BF116" s="172"/>
      <c r="BG116" s="172"/>
      <c r="BH116" s="172"/>
      <c r="BI116" s="172"/>
      <c r="BJ116" s="172"/>
      <c r="BK116" s="172"/>
      <c r="BL116" s="173"/>
      <c r="BM116" s="172"/>
      <c r="BN116" s="172"/>
      <c r="BO116" s="172"/>
      <c r="BP116" s="172"/>
      <c r="BQ116" s="172"/>
      <c r="BR116" s="172"/>
      <c r="BS116" s="172"/>
      <c r="BT116" s="172"/>
      <c r="BU116" s="172"/>
      <c r="BV116" s="172"/>
    </row>
    <row r="117" spans="1:74" ht="15.95" customHeight="1" x14ac:dyDescent="0.25">
      <c r="A117" s="504"/>
      <c r="B117" s="504"/>
      <c r="C117" s="190"/>
      <c r="D117" s="191"/>
      <c r="E117" s="191"/>
      <c r="F117" s="183"/>
      <c r="G117" s="183"/>
      <c r="H117" s="183"/>
      <c r="I117" s="183"/>
      <c r="J117" s="183"/>
      <c r="K117" s="183"/>
      <c r="L117" s="183"/>
      <c r="M117" s="183"/>
      <c r="N117" s="183"/>
      <c r="O117" s="183"/>
      <c r="P117" s="183"/>
      <c r="Q117" s="183"/>
      <c r="R117" s="183"/>
      <c r="S117" s="183"/>
      <c r="T117" s="183"/>
      <c r="U117" s="183"/>
      <c r="V117" s="183"/>
      <c r="W117" s="183"/>
      <c r="X117" s="183"/>
      <c r="Y117" s="183"/>
      <c r="Z117" s="183"/>
      <c r="AA117" s="183"/>
      <c r="AB117" s="183"/>
      <c r="AC117" s="183"/>
      <c r="AD117" s="183"/>
      <c r="AE117" s="183"/>
      <c r="AF117" s="183"/>
      <c r="AG117" s="183"/>
      <c r="AH117" s="183"/>
      <c r="AI117" s="183"/>
      <c r="AJ117" s="183"/>
      <c r="AK117" s="183"/>
      <c r="AL117" s="183"/>
      <c r="AM117" s="183"/>
      <c r="AN117" s="183"/>
      <c r="AO117" s="183"/>
      <c r="AP117" s="183"/>
      <c r="AQ117" s="183"/>
      <c r="AR117" s="183"/>
      <c r="AS117" s="183"/>
      <c r="AT117" s="183"/>
      <c r="AU117" s="184"/>
      <c r="AV117" s="184"/>
      <c r="AW117" s="184"/>
      <c r="AX117" s="172"/>
      <c r="AY117" s="172"/>
      <c r="AZ117" s="172"/>
      <c r="BA117" s="172"/>
      <c r="BB117" s="172"/>
      <c r="BC117" s="173"/>
      <c r="BD117" s="172"/>
      <c r="BE117" s="172"/>
      <c r="BF117" s="172"/>
      <c r="BG117" s="172"/>
      <c r="BH117" s="172"/>
      <c r="BI117" s="172"/>
      <c r="BJ117" s="172"/>
      <c r="BK117" s="172"/>
      <c r="BL117" s="173"/>
      <c r="BM117" s="172"/>
      <c r="BN117" s="172"/>
      <c r="BO117" s="172"/>
      <c r="BP117" s="172"/>
      <c r="BQ117" s="172"/>
      <c r="BR117" s="172"/>
      <c r="BS117" s="172"/>
      <c r="BT117" s="172"/>
      <c r="BU117" s="172"/>
      <c r="BV117" s="172"/>
    </row>
    <row r="118" spans="1:74" ht="20.100000000000001" customHeight="1" x14ac:dyDescent="0.2">
      <c r="A118" s="197"/>
      <c r="B118" s="198"/>
      <c r="C118" s="198"/>
      <c r="D118" s="183"/>
      <c r="E118" s="183"/>
      <c r="F118" s="183"/>
      <c r="G118" s="183"/>
      <c r="H118" s="183"/>
      <c r="I118" s="183"/>
      <c r="J118" s="183"/>
      <c r="K118" s="183"/>
      <c r="L118" s="183"/>
      <c r="M118" s="183"/>
      <c r="N118" s="183"/>
      <c r="O118" s="183"/>
      <c r="P118" s="183"/>
      <c r="Q118" s="183"/>
      <c r="R118" s="183"/>
      <c r="S118" s="183"/>
      <c r="T118" s="183"/>
      <c r="U118" s="183"/>
      <c r="V118" s="183"/>
      <c r="W118" s="183"/>
      <c r="X118" s="183"/>
      <c r="Y118" s="183"/>
      <c r="Z118" s="183"/>
      <c r="AA118" s="183"/>
      <c r="AB118" s="183"/>
      <c r="AC118" s="183"/>
      <c r="AD118" s="183"/>
      <c r="AE118" s="183"/>
      <c r="AF118" s="183"/>
      <c r="AG118" s="183"/>
      <c r="AH118" s="183"/>
      <c r="AI118" s="183"/>
      <c r="AJ118" s="183"/>
      <c r="AK118" s="183"/>
      <c r="AL118" s="183"/>
      <c r="AM118" s="183"/>
      <c r="AN118" s="183"/>
      <c r="AO118" s="183"/>
      <c r="AP118" s="183"/>
      <c r="AQ118" s="183"/>
      <c r="AR118" s="183"/>
      <c r="AS118" s="183"/>
      <c r="AT118" s="183"/>
      <c r="AU118" s="184"/>
      <c r="AV118" s="184"/>
      <c r="AW118" s="184"/>
      <c r="AX118" s="172"/>
      <c r="AY118" s="172"/>
      <c r="AZ118" s="172"/>
      <c r="BA118" s="172"/>
      <c r="BB118" s="172"/>
      <c r="BC118" s="173"/>
      <c r="BD118" s="172"/>
      <c r="BE118" s="172"/>
      <c r="BF118" s="172"/>
      <c r="BG118" s="172"/>
      <c r="BH118" s="172"/>
      <c r="BI118" s="172"/>
      <c r="BJ118" s="172"/>
      <c r="BK118" s="172"/>
      <c r="BL118" s="173"/>
      <c r="BM118" s="172"/>
      <c r="BN118" s="172"/>
      <c r="BO118" s="172"/>
      <c r="BP118" s="172"/>
      <c r="BQ118" s="172"/>
      <c r="BR118" s="172"/>
      <c r="BS118" s="172"/>
      <c r="BT118" s="172"/>
      <c r="BU118" s="172"/>
      <c r="BV118" s="172"/>
    </row>
    <row r="119" spans="1:74" ht="12.75" customHeight="1" x14ac:dyDescent="0.2">
      <c r="B119" s="184"/>
      <c r="C119" s="184"/>
      <c r="D119" s="184"/>
      <c r="E119" s="184"/>
      <c r="F119" s="184"/>
      <c r="G119" s="184"/>
      <c r="H119" s="184"/>
      <c r="I119" s="184"/>
      <c r="J119" s="184"/>
      <c r="K119" s="184"/>
      <c r="L119" s="184"/>
      <c r="M119" s="184"/>
      <c r="N119" s="184"/>
      <c r="O119" s="184"/>
      <c r="P119" s="184"/>
      <c r="Q119" s="184"/>
      <c r="R119" s="184"/>
      <c r="S119" s="184"/>
      <c r="T119" s="184"/>
      <c r="U119" s="184"/>
      <c r="V119" s="184"/>
      <c r="W119" s="184"/>
      <c r="X119" s="184"/>
      <c r="Y119" s="184"/>
      <c r="Z119" s="184"/>
      <c r="AA119" s="184"/>
      <c r="AB119" s="184"/>
      <c r="AC119" s="184"/>
      <c r="AD119" s="184"/>
      <c r="AE119" s="184"/>
      <c r="AF119" s="184"/>
      <c r="AG119" s="184"/>
      <c r="AH119" s="184"/>
      <c r="AI119" s="184"/>
      <c r="AJ119" s="184"/>
      <c r="AK119" s="184"/>
      <c r="AL119" s="184"/>
      <c r="AM119" s="184"/>
      <c r="AN119" s="184"/>
      <c r="AO119" s="184"/>
      <c r="AP119" s="184"/>
      <c r="AQ119" s="184"/>
      <c r="AR119" s="184"/>
      <c r="AS119" s="184"/>
      <c r="AT119" s="184"/>
      <c r="AU119" s="184"/>
      <c r="AV119" s="199"/>
      <c r="AW119" s="199"/>
      <c r="AX119" s="172"/>
      <c r="AY119" s="172"/>
      <c r="AZ119" s="172"/>
      <c r="BA119" s="172"/>
      <c r="BB119" s="172"/>
      <c r="BC119" s="173"/>
      <c r="BD119" s="172"/>
      <c r="BE119" s="172"/>
      <c r="BF119" s="172"/>
      <c r="BG119" s="172"/>
      <c r="BH119" s="172"/>
      <c r="BI119" s="172"/>
      <c r="BJ119" s="172"/>
      <c r="BK119" s="172"/>
      <c r="BL119" s="173"/>
      <c r="BM119" s="172"/>
      <c r="BN119" s="172"/>
      <c r="BO119" s="172"/>
      <c r="BP119" s="172"/>
      <c r="BQ119" s="172" t="str">
        <f>IF(OR(IFERROR(VLOOKUP(CA119,[1]ARS!A:EL,MATCH("Price To Earnings",[1]ARS!$4:$4,0),FALSE),"-")&lt;0,IFERROR(VLOOKUP(CA119,[1]ARS!A:EL,MATCH("Price To Earnings",[1]ARS!$4:$4,0),FALSE),"-")&gt;500),"-",IFERROR(VLOOKUP(CA119,[1]ARS!A:EL,MATCH("Price To Earnings",[1]ARS!$4:$4,0),FALSE),"-"))</f>
        <v>-</v>
      </c>
      <c r="BR119" s="172"/>
      <c r="BS119" s="172"/>
      <c r="BT119" s="172"/>
      <c r="BU119" s="172"/>
      <c r="BV119" s="172"/>
    </row>
    <row r="120" spans="1:74" ht="12.75" customHeight="1" x14ac:dyDescent="0.2">
      <c r="B120" s="184"/>
      <c r="C120" s="184"/>
      <c r="D120" s="184"/>
      <c r="E120" s="184"/>
      <c r="F120" s="184"/>
      <c r="G120" s="184"/>
      <c r="H120" s="184"/>
      <c r="I120" s="184"/>
      <c r="J120" s="184"/>
      <c r="K120" s="184"/>
      <c r="L120" s="184"/>
      <c r="M120" s="184"/>
      <c r="N120" s="184"/>
      <c r="O120" s="184"/>
      <c r="P120" s="184"/>
      <c r="Q120" s="184"/>
      <c r="R120" s="184"/>
      <c r="S120" s="184"/>
      <c r="T120" s="184"/>
      <c r="U120" s="184"/>
      <c r="V120" s="184"/>
      <c r="W120" s="184"/>
      <c r="X120" s="184"/>
      <c r="Y120" s="184"/>
      <c r="Z120" s="184"/>
      <c r="AA120" s="184"/>
      <c r="AB120" s="184"/>
      <c r="AC120" s="184"/>
      <c r="AD120" s="184"/>
      <c r="AE120" s="184"/>
      <c r="AF120" s="184"/>
      <c r="AG120" s="184"/>
      <c r="AH120" s="184"/>
      <c r="AI120" s="184"/>
      <c r="AJ120" s="184"/>
      <c r="AK120" s="184"/>
      <c r="AL120" s="184"/>
      <c r="AM120" s="184"/>
      <c r="AN120" s="184"/>
      <c r="AO120" s="184"/>
      <c r="AP120" s="184"/>
      <c r="AQ120" s="184"/>
      <c r="AR120" s="184"/>
      <c r="AS120" s="184"/>
      <c r="AT120" s="184"/>
      <c r="AU120" s="184"/>
      <c r="AV120" s="184"/>
      <c r="AW120" s="184"/>
      <c r="AX120" s="172"/>
      <c r="AY120" s="172"/>
      <c r="AZ120" s="172"/>
      <c r="BA120" s="172"/>
      <c r="BB120" s="172"/>
      <c r="BC120" s="173"/>
      <c r="BD120" s="172"/>
      <c r="BE120" s="172"/>
      <c r="BF120" s="172"/>
      <c r="BG120" s="172"/>
      <c r="BH120" s="172"/>
      <c r="BI120" s="172"/>
      <c r="BJ120" s="172"/>
      <c r="BK120" s="172"/>
      <c r="BL120" s="173"/>
      <c r="BM120" s="172"/>
      <c r="BN120" s="172"/>
      <c r="BO120" s="172"/>
      <c r="BP120" s="172"/>
      <c r="BQ120" s="172" t="str">
        <f>IF(OR(IFERROR(VLOOKUP(CA120,[1]ARS!A:EL,MATCH("Price To Earnings",[1]ARS!$4:$4,0),FALSE),"-")&lt;0,IFERROR(VLOOKUP(CA120,[1]ARS!A:EL,MATCH("Price To Earnings",[1]ARS!$4:$4,0),FALSE),"-")&gt;500),"-",IFERROR(VLOOKUP(CA120,[1]ARS!A:EL,MATCH("Price To Earnings",[1]ARS!$4:$4,0),FALSE),"-"))</f>
        <v>-</v>
      </c>
      <c r="BR120" s="172"/>
      <c r="BS120" s="172"/>
      <c r="BT120" s="172"/>
      <c r="BU120" s="172"/>
      <c r="BV120" s="172"/>
    </row>
    <row r="121" spans="1:74" ht="12.75" customHeight="1" x14ac:dyDescent="0.2">
      <c r="A121" s="184"/>
      <c r="B121" s="184"/>
      <c r="C121" s="184"/>
      <c r="D121" s="184"/>
      <c r="E121" s="184"/>
      <c r="F121" s="184"/>
      <c r="G121" s="184"/>
      <c r="H121" s="184"/>
      <c r="I121" s="184"/>
      <c r="J121" s="184"/>
      <c r="K121" s="184"/>
      <c r="L121" s="184"/>
      <c r="M121" s="184"/>
      <c r="N121" s="184"/>
      <c r="O121" s="184"/>
      <c r="P121" s="184"/>
      <c r="Q121" s="184"/>
      <c r="R121" s="184"/>
      <c r="S121" s="184"/>
      <c r="T121" s="184"/>
      <c r="U121" s="184"/>
      <c r="V121" s="184"/>
      <c r="W121" s="184"/>
      <c r="X121" s="184"/>
      <c r="Y121" s="184"/>
      <c r="Z121" s="184"/>
      <c r="AA121" s="184"/>
      <c r="AB121" s="184"/>
      <c r="AC121" s="184"/>
      <c r="AD121" s="184"/>
      <c r="AE121" s="184"/>
      <c r="AF121" s="184"/>
      <c r="AG121" s="184"/>
      <c r="AH121" s="184"/>
      <c r="AI121" s="184"/>
      <c r="AJ121" s="184"/>
      <c r="AK121" s="184"/>
      <c r="AL121" s="184"/>
      <c r="AM121" s="184"/>
      <c r="AN121" s="184"/>
      <c r="AO121" s="184"/>
      <c r="AP121" s="184"/>
      <c r="AQ121" s="184"/>
      <c r="AR121" s="184"/>
      <c r="AS121" s="184"/>
      <c r="AT121" s="184"/>
      <c r="AU121" s="184"/>
      <c r="AV121" s="184"/>
      <c r="AW121" s="184"/>
      <c r="AX121" s="172"/>
      <c r="AY121" s="172"/>
      <c r="AZ121" s="172"/>
      <c r="BA121" s="172"/>
      <c r="BB121" s="172"/>
      <c r="BC121" s="173"/>
      <c r="BD121" s="172"/>
      <c r="BE121" s="172"/>
      <c r="BF121" s="172"/>
      <c r="BG121" s="172"/>
      <c r="BH121" s="172"/>
      <c r="BI121" s="172"/>
      <c r="BJ121" s="172"/>
      <c r="BK121" s="172"/>
      <c r="BL121" s="173"/>
      <c r="BM121" s="172"/>
      <c r="BN121" s="172"/>
      <c r="BO121" s="172"/>
      <c r="BP121" s="172"/>
      <c r="BQ121" s="172" t="str">
        <f>IF(OR(IFERROR(VLOOKUP(CA121,[1]ARS!A:EL,MATCH("Price To Earnings",[1]ARS!$4:$4,0),FALSE),"-")&lt;0,IFERROR(VLOOKUP(CA121,[1]ARS!A:EL,MATCH("Price To Earnings",[1]ARS!$4:$4,0),FALSE),"-")&gt;500),"-",IFERROR(VLOOKUP(CA121,[1]ARS!A:EL,MATCH("Price To Earnings",[1]ARS!$4:$4,0),FALSE),"-"))</f>
        <v>-</v>
      </c>
      <c r="BR121" s="172"/>
      <c r="BS121" s="172"/>
      <c r="BT121" s="172"/>
      <c r="BU121" s="172"/>
      <c r="BV121" s="172"/>
    </row>
    <row r="122" spans="1:74" ht="12.75" customHeight="1" x14ac:dyDescent="0.2">
      <c r="A122" s="184"/>
      <c r="B122" s="184"/>
      <c r="C122" s="184"/>
      <c r="D122" s="184"/>
      <c r="E122" s="184"/>
      <c r="F122" s="184"/>
      <c r="G122" s="184"/>
      <c r="H122" s="184"/>
      <c r="I122" s="184"/>
      <c r="J122" s="184"/>
      <c r="K122" s="184"/>
      <c r="L122" s="184"/>
      <c r="M122" s="184"/>
      <c r="N122" s="184"/>
      <c r="O122" s="184"/>
      <c r="P122" s="184"/>
      <c r="Q122" s="184"/>
      <c r="R122" s="184"/>
      <c r="S122" s="184"/>
      <c r="T122" s="184"/>
      <c r="U122" s="184"/>
      <c r="V122" s="184"/>
      <c r="W122" s="184"/>
      <c r="X122" s="184"/>
      <c r="Y122" s="184"/>
      <c r="Z122" s="184"/>
      <c r="AA122" s="184"/>
      <c r="AB122" s="184"/>
      <c r="AC122" s="184"/>
      <c r="AD122" s="184"/>
      <c r="AE122" s="184"/>
      <c r="AF122" s="184"/>
      <c r="AG122" s="184"/>
      <c r="AH122" s="200"/>
      <c r="AI122" s="184"/>
      <c r="AJ122" s="184"/>
      <c r="AK122" s="184"/>
      <c r="AL122" s="184"/>
      <c r="AM122" s="184"/>
      <c r="AN122" s="184"/>
      <c r="AO122" s="184"/>
      <c r="AP122" s="184"/>
      <c r="AQ122" s="184"/>
      <c r="AR122" s="184"/>
      <c r="AS122" s="184"/>
      <c r="AT122" s="184"/>
      <c r="AU122" s="184"/>
      <c r="AV122" s="184"/>
      <c r="AW122" s="184"/>
      <c r="AX122" s="172"/>
      <c r="AY122" s="172"/>
      <c r="AZ122" s="172"/>
      <c r="BA122" s="172"/>
      <c r="BB122" s="172"/>
      <c r="BC122" s="173"/>
      <c r="BD122" s="172"/>
      <c r="BE122" s="172"/>
      <c r="BF122" s="172"/>
      <c r="BG122" s="172"/>
      <c r="BH122" s="172"/>
      <c r="BI122" s="172"/>
      <c r="BJ122" s="172"/>
      <c r="BK122" s="172"/>
      <c r="BL122" s="173"/>
      <c r="BM122" s="172"/>
      <c r="BN122" s="172"/>
      <c r="BO122" s="172"/>
      <c r="BP122" s="172"/>
      <c r="BQ122" s="172" t="str">
        <f>IF(OR(IFERROR(VLOOKUP(CA122,[1]ARS!A:EL,MATCH("Price To Earnings",[1]ARS!$4:$4,0),FALSE),"-")&lt;0,IFERROR(VLOOKUP(CA122,[1]ARS!A:EL,MATCH("Price To Earnings",[1]ARS!$4:$4,0),FALSE),"-")&gt;500),"-",IFERROR(VLOOKUP(CA122,[1]ARS!A:EL,MATCH("Price To Earnings",[1]ARS!$4:$4,0),FALSE),"-"))</f>
        <v>-</v>
      </c>
      <c r="BR122" s="172"/>
      <c r="BS122" s="172"/>
      <c r="BT122" s="172"/>
      <c r="BU122" s="172"/>
      <c r="BV122" s="172"/>
    </row>
    <row r="123" spans="1:74" ht="12.75" customHeight="1" x14ac:dyDescent="0.2">
      <c r="A123" s="201"/>
      <c r="B123" s="201"/>
      <c r="C123" s="201"/>
      <c r="D123" s="201"/>
      <c r="E123" s="202"/>
      <c r="F123" s="201"/>
      <c r="G123" s="203"/>
      <c r="H123" s="204"/>
      <c r="I123" s="203"/>
      <c r="J123" s="205"/>
      <c r="K123" s="205"/>
      <c r="L123" s="206"/>
      <c r="M123" s="206"/>
      <c r="N123" s="206"/>
      <c r="O123" s="206"/>
      <c r="P123" s="206"/>
      <c r="Q123" s="206"/>
      <c r="R123" s="206"/>
      <c r="S123" s="206"/>
      <c r="T123" s="206"/>
      <c r="U123" s="206"/>
      <c r="V123" s="206"/>
      <c r="W123" s="206"/>
      <c r="X123" s="206"/>
      <c r="Y123" s="206"/>
      <c r="Z123" s="206"/>
      <c r="AA123" s="206"/>
      <c r="AB123" s="206"/>
      <c r="AC123" s="206"/>
      <c r="AD123" s="206"/>
      <c r="AE123" s="206"/>
      <c r="AF123" s="206"/>
      <c r="AG123" s="206"/>
      <c r="AH123" s="206"/>
      <c r="AI123" s="206"/>
      <c r="AJ123" s="206"/>
      <c r="AK123" s="206"/>
      <c r="AL123" s="206"/>
      <c r="AM123" s="206"/>
      <c r="AN123" s="206"/>
      <c r="AO123" s="206"/>
      <c r="AP123" s="206"/>
      <c r="AQ123" s="206"/>
      <c r="AR123" s="206"/>
      <c r="AS123" s="206"/>
      <c r="AT123" s="206"/>
      <c r="AU123" s="206"/>
      <c r="AV123" s="206"/>
      <c r="AW123" s="206"/>
      <c r="AX123" s="172"/>
      <c r="AY123" s="172"/>
      <c r="AZ123" s="172"/>
      <c r="BA123" s="172"/>
      <c r="BB123" s="172"/>
      <c r="BC123" s="173"/>
      <c r="BD123" s="172"/>
      <c r="BE123" s="172"/>
      <c r="BF123" s="172"/>
      <c r="BG123" s="172"/>
      <c r="BH123" s="172"/>
      <c r="BI123" s="172"/>
      <c r="BJ123" s="172"/>
      <c r="BK123" s="172"/>
      <c r="BL123" s="173"/>
      <c r="BM123" s="172"/>
      <c r="BN123" s="172"/>
      <c r="BO123" s="172"/>
      <c r="BP123" s="172"/>
      <c r="BQ123" s="172" t="str">
        <f>IF(OR(IFERROR(VLOOKUP(CA123,[1]ARS!A:EL,MATCH("Price To Earnings",[1]ARS!$4:$4,0),FALSE),"-")&lt;0,IFERROR(VLOOKUP(CA123,[1]ARS!A:EL,MATCH("Price To Earnings",[1]ARS!$4:$4,0),FALSE),"-")&gt;500),"-",IFERROR(VLOOKUP(CA123,[1]ARS!A:EL,MATCH("Price To Earnings",[1]ARS!$4:$4,0),FALSE),"-"))</f>
        <v>-</v>
      </c>
      <c r="BR123" s="172"/>
      <c r="BS123" s="172"/>
      <c r="BT123" s="172"/>
      <c r="BU123" s="172"/>
      <c r="BV123" s="172"/>
    </row>
    <row r="124" spans="1:74" ht="12.75" customHeight="1" x14ac:dyDescent="0.2">
      <c r="A124" s="201"/>
      <c r="B124" s="201"/>
      <c r="C124" s="201"/>
      <c r="D124" s="201"/>
      <c r="E124" s="201"/>
      <c r="F124" s="201"/>
      <c r="G124" s="203"/>
      <c r="H124" s="204"/>
      <c r="I124" s="203"/>
      <c r="J124" s="205"/>
      <c r="K124" s="205"/>
      <c r="L124" s="206"/>
      <c r="M124" s="206"/>
      <c r="N124" s="206"/>
      <c r="O124" s="206"/>
      <c r="P124" s="206"/>
      <c r="Q124" s="206"/>
      <c r="R124" s="206"/>
      <c r="S124" s="206"/>
      <c r="T124" s="206"/>
      <c r="U124" s="206"/>
      <c r="V124" s="206"/>
      <c r="W124" s="206"/>
      <c r="X124" s="206"/>
      <c r="Y124" s="206"/>
      <c r="Z124" s="206"/>
      <c r="AA124" s="206"/>
      <c r="AB124" s="206"/>
      <c r="AC124" s="206"/>
      <c r="AD124" s="206"/>
      <c r="AE124" s="206"/>
      <c r="AF124" s="206"/>
      <c r="AG124" s="206"/>
      <c r="AH124" s="206"/>
      <c r="AI124" s="206"/>
      <c r="AJ124" s="206"/>
      <c r="AK124" s="206"/>
      <c r="AL124" s="206"/>
      <c r="AM124" s="206"/>
      <c r="AN124" s="206"/>
      <c r="AO124" s="206"/>
      <c r="AP124" s="206"/>
      <c r="AQ124" s="206"/>
      <c r="AR124" s="206"/>
      <c r="AS124" s="206"/>
      <c r="AT124" s="206"/>
      <c r="AU124" s="206"/>
      <c r="AV124" s="206"/>
      <c r="AW124" s="206"/>
      <c r="AX124" s="172"/>
      <c r="AY124" s="172"/>
      <c r="AZ124" s="172"/>
      <c r="BA124" s="172"/>
      <c r="BB124" s="172"/>
      <c r="BC124" s="173"/>
      <c r="BD124" s="172"/>
      <c r="BE124" s="172"/>
      <c r="BF124" s="172"/>
      <c r="BG124" s="172"/>
      <c r="BH124" s="172"/>
      <c r="BI124" s="172"/>
      <c r="BJ124" s="172"/>
      <c r="BK124" s="172"/>
      <c r="BL124" s="173"/>
      <c r="BM124" s="172"/>
      <c r="BN124" s="172"/>
      <c r="BO124" s="172"/>
      <c r="BP124" s="172"/>
      <c r="BQ124" s="172" t="str">
        <f>IF(OR(IFERROR(VLOOKUP(CA124,[1]ARS!A:EL,MATCH("Price To Earnings",[1]ARS!$4:$4,0),FALSE),"-")&lt;0,IFERROR(VLOOKUP(CA124,[1]ARS!A:EL,MATCH("Price To Earnings",[1]ARS!$4:$4,0),FALSE),"-")&gt;500),"-",IFERROR(VLOOKUP(CA124,[1]ARS!A:EL,MATCH("Price To Earnings",[1]ARS!$4:$4,0),FALSE),"-"))</f>
        <v>-</v>
      </c>
      <c r="BR124" s="172"/>
      <c r="BS124" s="172"/>
      <c r="BT124" s="172"/>
      <c r="BU124" s="172"/>
      <c r="BV124" s="172"/>
    </row>
    <row r="125" spans="1:74" ht="12.75" customHeight="1" x14ac:dyDescent="0.2">
      <c r="A125" s="201"/>
      <c r="B125" s="201"/>
      <c r="C125" s="201"/>
      <c r="D125" s="201"/>
      <c r="E125" s="201"/>
      <c r="F125" s="201"/>
      <c r="G125" s="203"/>
      <c r="H125" s="204"/>
      <c r="I125" s="203"/>
      <c r="J125" s="205"/>
      <c r="K125" s="205"/>
      <c r="L125" s="206"/>
      <c r="M125" s="206"/>
      <c r="N125" s="206"/>
      <c r="O125" s="206"/>
      <c r="P125" s="206"/>
      <c r="Q125" s="206"/>
      <c r="R125" s="206"/>
      <c r="S125" s="206"/>
      <c r="T125" s="206"/>
      <c r="U125" s="206"/>
      <c r="V125" s="206"/>
      <c r="W125" s="206"/>
      <c r="X125" s="206"/>
      <c r="Y125" s="206"/>
      <c r="Z125" s="206"/>
      <c r="AA125" s="206"/>
      <c r="AB125" s="206"/>
      <c r="AC125" s="206"/>
      <c r="AD125" s="206"/>
      <c r="AE125" s="206"/>
      <c r="AF125" s="206"/>
      <c r="AG125" s="206"/>
      <c r="AH125" s="206"/>
      <c r="AI125" s="206"/>
      <c r="AJ125" s="206"/>
      <c r="AK125" s="206"/>
      <c r="AL125" s="206"/>
      <c r="AM125" s="206"/>
      <c r="AN125" s="206"/>
      <c r="AO125" s="206"/>
      <c r="AP125" s="206"/>
      <c r="AQ125" s="206"/>
      <c r="AR125" s="206"/>
      <c r="AS125" s="206"/>
      <c r="AT125" s="206"/>
      <c r="AU125" s="206"/>
      <c r="AV125" s="206"/>
      <c r="AW125" s="206"/>
      <c r="AX125" s="172"/>
      <c r="AY125" s="172"/>
      <c r="AZ125" s="172"/>
      <c r="BA125" s="172"/>
      <c r="BB125" s="172"/>
      <c r="BC125" s="173"/>
      <c r="BD125" s="172"/>
      <c r="BE125" s="172"/>
      <c r="BF125" s="172"/>
      <c r="BG125" s="172"/>
      <c r="BH125" s="172"/>
      <c r="BI125" s="172"/>
      <c r="BJ125" s="172"/>
      <c r="BK125" s="172"/>
      <c r="BL125" s="173"/>
      <c r="BM125" s="172"/>
      <c r="BN125" s="172"/>
      <c r="BO125" s="172"/>
      <c r="BP125" s="172"/>
      <c r="BQ125" s="172" t="str">
        <f>IF(OR(IFERROR(VLOOKUP(CA125,[1]ARS!A:EL,MATCH("Price To Earnings",[1]ARS!$4:$4,0),FALSE),"-")&lt;0,IFERROR(VLOOKUP(CA125,[1]ARS!A:EL,MATCH("Price To Earnings",[1]ARS!$4:$4,0),FALSE),"-")&gt;500),"-",IFERROR(VLOOKUP(CA125,[1]ARS!A:EL,MATCH("Price To Earnings",[1]ARS!$4:$4,0),FALSE),"-"))</f>
        <v>-</v>
      </c>
      <c r="BR125" s="172"/>
      <c r="BS125" s="172"/>
      <c r="BT125" s="172"/>
      <c r="BU125" s="172"/>
      <c r="BV125" s="172"/>
    </row>
    <row r="126" spans="1:74" ht="12.75" customHeight="1" x14ac:dyDescent="0.2">
      <c r="A126" s="201"/>
      <c r="B126" s="201"/>
      <c r="C126" s="201"/>
      <c r="D126" s="201"/>
      <c r="E126" s="201"/>
      <c r="F126" s="201"/>
      <c r="G126" s="203"/>
      <c r="H126" s="204"/>
      <c r="I126" s="203"/>
      <c r="J126" s="205"/>
      <c r="K126" s="205"/>
      <c r="L126" s="206"/>
      <c r="M126" s="207"/>
      <c r="N126" s="206"/>
      <c r="O126" s="206"/>
      <c r="P126" s="206"/>
      <c r="Q126" s="206"/>
      <c r="R126" s="206"/>
      <c r="S126" s="206"/>
      <c r="T126" s="206"/>
      <c r="U126" s="206"/>
      <c r="V126" s="206"/>
      <c r="W126" s="206"/>
      <c r="X126" s="206"/>
      <c r="Y126" s="206"/>
      <c r="Z126" s="206"/>
      <c r="AA126" s="206"/>
      <c r="AB126" s="206"/>
      <c r="AC126" s="206"/>
      <c r="AD126" s="206"/>
      <c r="AE126" s="206"/>
      <c r="AF126" s="206"/>
      <c r="AG126" s="206"/>
      <c r="AH126" s="206"/>
      <c r="AI126" s="206"/>
      <c r="AJ126" s="206"/>
      <c r="AK126" s="206"/>
      <c r="AL126" s="206"/>
      <c r="AM126" s="206"/>
      <c r="AN126" s="206"/>
      <c r="AO126" s="206"/>
      <c r="AP126" s="206"/>
      <c r="AQ126" s="206"/>
      <c r="AR126" s="206"/>
      <c r="AS126" s="206"/>
      <c r="AT126" s="206"/>
      <c r="AU126" s="206"/>
      <c r="AV126" s="206"/>
      <c r="AW126" s="206"/>
      <c r="AX126" s="172"/>
      <c r="AY126" s="172"/>
      <c r="AZ126" s="172"/>
      <c r="BA126" s="172"/>
      <c r="BB126" s="172"/>
      <c r="BC126" s="173"/>
      <c r="BD126" s="172"/>
      <c r="BE126" s="172"/>
      <c r="BF126" s="172"/>
      <c r="BG126" s="172"/>
      <c r="BH126" s="172"/>
      <c r="BI126" s="172"/>
      <c r="BJ126" s="172"/>
      <c r="BK126" s="172"/>
      <c r="BL126" s="173"/>
      <c r="BM126" s="172"/>
      <c r="BN126" s="172"/>
      <c r="BO126" s="172"/>
      <c r="BP126" s="172"/>
      <c r="BQ126" s="172"/>
      <c r="BR126" s="172"/>
      <c r="BS126" s="172"/>
      <c r="BT126" s="172"/>
      <c r="BU126" s="172"/>
      <c r="BV126" s="172"/>
    </row>
    <row r="127" spans="1:74" ht="12.75" customHeight="1" x14ac:dyDescent="0.2">
      <c r="A127" s="208"/>
      <c r="B127" s="208"/>
      <c r="C127" s="208"/>
      <c r="D127" s="208"/>
      <c r="E127" s="208"/>
      <c r="F127" s="208"/>
      <c r="G127" s="208"/>
      <c r="H127" s="208"/>
      <c r="I127" s="209"/>
      <c r="J127" s="208"/>
      <c r="K127" s="208"/>
      <c r="L127" s="206"/>
      <c r="M127" s="206"/>
      <c r="N127" s="206"/>
      <c r="O127" s="206"/>
      <c r="P127" s="206"/>
      <c r="Q127" s="206"/>
      <c r="R127" s="206"/>
      <c r="S127" s="206"/>
      <c r="T127" s="206"/>
      <c r="U127" s="206"/>
      <c r="V127" s="206"/>
      <c r="W127" s="206"/>
      <c r="X127" s="206"/>
      <c r="Y127" s="206"/>
      <c r="Z127" s="206"/>
      <c r="AA127" s="206"/>
      <c r="AB127" s="206"/>
      <c r="AC127" s="206"/>
      <c r="AD127" s="206"/>
      <c r="AE127" s="206"/>
      <c r="AF127" s="206"/>
      <c r="AG127" s="206"/>
      <c r="AH127" s="206"/>
      <c r="AI127" s="206"/>
      <c r="AJ127" s="206"/>
      <c r="AK127" s="206"/>
      <c r="AL127" s="206"/>
      <c r="AM127" s="206"/>
      <c r="AN127" s="206"/>
      <c r="AO127" s="206"/>
      <c r="AP127" s="206"/>
      <c r="AQ127" s="206"/>
      <c r="AR127" s="206"/>
      <c r="AS127" s="206"/>
      <c r="AT127" s="206"/>
      <c r="AU127" s="206"/>
      <c r="AV127" s="206"/>
      <c r="AW127" s="206"/>
      <c r="AX127" s="172"/>
      <c r="AY127" s="172"/>
      <c r="AZ127" s="172"/>
      <c r="BA127" s="172"/>
      <c r="BB127" s="172"/>
      <c r="BC127" s="173"/>
      <c r="BD127" s="172"/>
      <c r="BE127" s="172"/>
      <c r="BF127" s="172"/>
      <c r="BG127" s="172"/>
      <c r="BH127" s="172"/>
      <c r="BI127" s="172"/>
      <c r="BJ127" s="172"/>
      <c r="BK127" s="172"/>
      <c r="BL127" s="173"/>
      <c r="BM127" s="172"/>
      <c r="BN127" s="172"/>
      <c r="BO127" s="172"/>
      <c r="BP127" s="172"/>
      <c r="BQ127" s="172" t="str">
        <f>IF(OR(IFERROR(VLOOKUP(CA127,[1]ARS!A:EL,MATCH("Price To Earnings",[1]ARS!$4:$4,0),FALSE),"-")&lt;0,IFERROR(VLOOKUP(CA127,[1]ARS!A:EL,MATCH("Price To Earnings",[1]ARS!$4:$4,0),FALSE),"-")&gt;500),"-",IFERROR(VLOOKUP(CA127,[1]ARS!A:EL,MATCH("Price To Earnings",[1]ARS!$4:$4,0),FALSE),"-"))</f>
        <v>-</v>
      </c>
      <c r="BR127" s="172"/>
      <c r="BS127" s="172"/>
      <c r="BT127" s="172"/>
      <c r="BU127" s="172"/>
      <c r="BV127" s="172"/>
    </row>
    <row r="128" spans="1:74" ht="12.75" customHeight="1" x14ac:dyDescent="0.2">
      <c r="A128" s="208"/>
      <c r="B128" s="208"/>
      <c r="C128" s="208"/>
      <c r="D128" s="208"/>
      <c r="E128" s="208"/>
      <c r="F128" s="208"/>
      <c r="G128" s="208"/>
      <c r="H128" s="208"/>
      <c r="I128" s="209"/>
      <c r="J128" s="208"/>
      <c r="K128" s="208"/>
      <c r="L128" s="206"/>
      <c r="M128" s="206"/>
      <c r="N128" s="206"/>
      <c r="O128" s="206"/>
      <c r="P128" s="206"/>
      <c r="Q128" s="206"/>
      <c r="R128" s="206"/>
      <c r="S128" s="206"/>
      <c r="T128" s="206"/>
      <c r="U128" s="206"/>
      <c r="V128" s="206"/>
      <c r="W128" s="206"/>
      <c r="X128" s="206"/>
      <c r="Y128" s="206"/>
      <c r="Z128" s="206"/>
      <c r="AA128" s="206"/>
      <c r="AB128" s="206"/>
      <c r="AC128" s="206"/>
      <c r="AD128" s="206"/>
      <c r="AE128" s="206"/>
      <c r="AF128" s="206"/>
      <c r="AG128" s="206"/>
      <c r="AH128" s="206"/>
      <c r="AI128" s="206"/>
      <c r="AJ128" s="206"/>
      <c r="AK128" s="206"/>
      <c r="AL128" s="206"/>
      <c r="AM128" s="206"/>
      <c r="AN128" s="206"/>
      <c r="AO128" s="206"/>
      <c r="AP128" s="206"/>
      <c r="AQ128" s="206"/>
      <c r="AR128" s="206"/>
      <c r="AS128" s="206"/>
      <c r="AT128" s="206"/>
      <c r="AU128" s="206"/>
      <c r="AV128" s="206"/>
      <c r="AW128" s="206"/>
      <c r="AX128" s="172"/>
      <c r="AY128" s="172"/>
      <c r="AZ128" s="172"/>
      <c r="BA128" s="172"/>
      <c r="BB128" s="172"/>
      <c r="BC128" s="173"/>
      <c r="BD128" s="172"/>
      <c r="BE128" s="172"/>
      <c r="BF128" s="172"/>
      <c r="BG128" s="172"/>
      <c r="BH128" s="172"/>
      <c r="BI128" s="172"/>
      <c r="BJ128" s="172"/>
      <c r="BK128" s="172"/>
      <c r="BL128" s="173"/>
      <c r="BM128" s="172"/>
      <c r="BN128" s="172"/>
      <c r="BO128" s="172"/>
      <c r="BP128" s="172"/>
      <c r="BQ128" s="172" t="str">
        <f>IF(OR(IFERROR(VLOOKUP(CA128,[1]ARS!A:EL,MATCH("Price To Earnings",[1]ARS!$4:$4,0),FALSE),"-")&lt;0,IFERROR(VLOOKUP(CA128,[1]ARS!A:EL,MATCH("Price To Earnings",[1]ARS!$4:$4,0),FALSE),"-")&gt;500),"-",IFERROR(VLOOKUP(CA128,[1]ARS!A:EL,MATCH("Price To Earnings",[1]ARS!$4:$4,0),FALSE),"-"))</f>
        <v>-</v>
      </c>
      <c r="BR128" s="172"/>
      <c r="BS128" s="172"/>
      <c r="BT128" s="172"/>
      <c r="BU128" s="172"/>
      <c r="BV128" s="172"/>
    </row>
    <row r="129" spans="1:74" ht="12.75" customHeight="1" x14ac:dyDescent="0.2">
      <c r="A129" s="208"/>
      <c r="B129" s="208"/>
      <c r="C129" s="208"/>
      <c r="D129" s="208"/>
      <c r="E129" s="210"/>
      <c r="F129" s="208"/>
      <c r="G129" s="208"/>
      <c r="H129" s="208"/>
      <c r="I129" s="209"/>
      <c r="J129" s="208"/>
      <c r="K129" s="208"/>
      <c r="L129" s="206"/>
      <c r="M129" s="206"/>
      <c r="N129" s="206"/>
      <c r="O129" s="206"/>
      <c r="P129" s="206"/>
      <c r="Q129" s="206"/>
      <c r="R129" s="206"/>
      <c r="S129" s="206"/>
      <c r="T129" s="206"/>
      <c r="U129" s="206"/>
      <c r="V129" s="206"/>
      <c r="W129" s="206"/>
      <c r="X129" s="206"/>
      <c r="Y129" s="206"/>
      <c r="Z129" s="206"/>
      <c r="AA129" s="206"/>
      <c r="AB129" s="206"/>
      <c r="AC129" s="206"/>
      <c r="AD129" s="206"/>
      <c r="AE129" s="206"/>
      <c r="AF129" s="206"/>
      <c r="AG129" s="206"/>
      <c r="AH129" s="206"/>
      <c r="AI129" s="206"/>
      <c r="AJ129" s="206"/>
      <c r="AK129" s="206"/>
      <c r="AL129" s="206"/>
      <c r="AM129" s="206"/>
      <c r="AN129" s="206"/>
      <c r="AO129" s="206"/>
      <c r="AP129" s="206"/>
      <c r="AQ129" s="206"/>
      <c r="AR129" s="206"/>
      <c r="AS129" s="206"/>
      <c r="AT129" s="206"/>
      <c r="AU129" s="206"/>
      <c r="AV129" s="206"/>
      <c r="AW129" s="206"/>
      <c r="AX129" s="172"/>
      <c r="AY129" s="172"/>
      <c r="AZ129" s="172"/>
      <c r="BA129" s="172"/>
      <c r="BB129" s="172"/>
      <c r="BC129" s="173"/>
      <c r="BD129" s="172"/>
      <c r="BE129" s="172"/>
      <c r="BF129" s="172"/>
      <c r="BG129" s="172"/>
      <c r="BH129" s="172"/>
      <c r="BI129" s="172"/>
      <c r="BJ129" s="172"/>
      <c r="BK129" s="172"/>
      <c r="BL129" s="173"/>
      <c r="BM129" s="172"/>
      <c r="BN129" s="172"/>
      <c r="BO129" s="172"/>
      <c r="BP129" s="172"/>
      <c r="BQ129" s="172" t="str">
        <f>IF(OR(IFERROR(VLOOKUP(CA129,[1]ARS!A:EL,MATCH("Price To Earnings",[1]ARS!$4:$4,0),FALSE),"-")&lt;0,IFERROR(VLOOKUP(CA129,[1]ARS!A:EL,MATCH("Price To Earnings",[1]ARS!$4:$4,0),FALSE),"-")&gt;500),"-",IFERROR(VLOOKUP(CA129,[1]ARS!A:EL,MATCH("Price To Earnings",[1]ARS!$4:$4,0),FALSE),"-"))</f>
        <v>-</v>
      </c>
      <c r="BR129" s="172"/>
      <c r="BS129" s="172"/>
      <c r="BT129" s="172"/>
      <c r="BU129" s="172"/>
      <c r="BV129" s="172"/>
    </row>
    <row r="130" spans="1:74" ht="12.75" customHeight="1" x14ac:dyDescent="0.2">
      <c r="A130" s="206"/>
      <c r="B130" s="206"/>
      <c r="C130" s="206"/>
      <c r="D130" s="206"/>
      <c r="E130" s="206"/>
      <c r="F130" s="206"/>
      <c r="G130" s="206"/>
      <c r="H130" s="206"/>
      <c r="I130" s="211"/>
      <c r="J130" s="206"/>
      <c r="K130" s="206"/>
      <c r="L130" s="206"/>
      <c r="M130" s="206"/>
      <c r="N130" s="206"/>
      <c r="O130" s="206"/>
      <c r="P130" s="206"/>
      <c r="Q130" s="206"/>
      <c r="R130" s="206"/>
      <c r="S130" s="206"/>
      <c r="T130" s="206"/>
      <c r="U130" s="206"/>
      <c r="V130" s="206"/>
      <c r="W130" s="206"/>
      <c r="X130" s="206"/>
      <c r="Y130" s="206"/>
      <c r="Z130" s="206"/>
      <c r="AA130" s="206"/>
      <c r="AB130" s="206"/>
      <c r="AC130" s="206"/>
      <c r="AD130" s="206"/>
      <c r="AE130" s="206"/>
      <c r="AF130" s="206"/>
      <c r="AG130" s="206"/>
      <c r="AH130" s="206"/>
      <c r="AI130" s="206"/>
      <c r="AJ130" s="206"/>
      <c r="AK130" s="206"/>
      <c r="AL130" s="206"/>
      <c r="AM130" s="206"/>
      <c r="AN130" s="206"/>
      <c r="AO130" s="206"/>
      <c r="AP130" s="206"/>
      <c r="AQ130" s="206"/>
      <c r="AR130" s="206"/>
      <c r="AS130" s="206"/>
      <c r="AT130" s="206"/>
      <c r="AU130" s="206"/>
      <c r="AV130" s="206"/>
      <c r="AW130" s="206"/>
      <c r="AX130" s="172"/>
      <c r="AY130" s="172"/>
      <c r="AZ130" s="172"/>
      <c r="BA130" s="172"/>
      <c r="BB130" s="172"/>
      <c r="BC130" s="173"/>
      <c r="BD130" s="172"/>
      <c r="BE130" s="172"/>
      <c r="BF130" s="172"/>
      <c r="BG130" s="172"/>
      <c r="BH130" s="172"/>
      <c r="BI130" s="172"/>
      <c r="BJ130" s="172"/>
      <c r="BK130" s="172"/>
      <c r="BL130" s="173"/>
      <c r="BM130" s="172"/>
      <c r="BN130" s="172"/>
      <c r="BO130" s="172"/>
      <c r="BP130" s="172"/>
      <c r="BQ130" s="172" t="str">
        <f>IF(OR(IFERROR(VLOOKUP(CA130,[1]ARS!A:EL,MATCH("Price To Earnings",[1]ARS!$4:$4,0),FALSE),"-")&lt;0,IFERROR(VLOOKUP(CA130,[1]ARS!A:EL,MATCH("Price To Earnings",[1]ARS!$4:$4,0),FALSE),"-")&gt;500),"-",IFERROR(VLOOKUP(CA130,[1]ARS!A:EL,MATCH("Price To Earnings",[1]ARS!$4:$4,0),FALSE),"-"))</f>
        <v>-</v>
      </c>
      <c r="BR130" s="172"/>
      <c r="BS130" s="172"/>
      <c r="BT130" s="172"/>
      <c r="BU130" s="172"/>
      <c r="BV130" s="172"/>
    </row>
    <row r="131" spans="1:74" ht="12.75" customHeight="1" x14ac:dyDescent="0.2">
      <c r="A131" s="206"/>
      <c r="B131" s="206"/>
      <c r="C131" s="206"/>
      <c r="D131" s="206"/>
      <c r="E131" s="206"/>
      <c r="F131" s="206"/>
      <c r="G131" s="206"/>
      <c r="H131" s="206"/>
      <c r="I131" s="211"/>
      <c r="J131" s="206"/>
      <c r="K131" s="206"/>
      <c r="L131" s="206"/>
      <c r="M131" s="206"/>
      <c r="N131" s="206"/>
      <c r="O131" s="206"/>
      <c r="P131" s="206"/>
      <c r="Q131" s="206"/>
      <c r="R131" s="206"/>
      <c r="S131" s="206"/>
      <c r="T131" s="206"/>
      <c r="U131" s="206"/>
      <c r="V131" s="206"/>
      <c r="W131" s="206"/>
      <c r="X131" s="206"/>
      <c r="Y131" s="206"/>
      <c r="Z131" s="206"/>
      <c r="AA131" s="206"/>
      <c r="AB131" s="206"/>
      <c r="AC131" s="206"/>
      <c r="AD131" s="206"/>
      <c r="AE131" s="206"/>
      <c r="AF131" s="206"/>
      <c r="AG131" s="206"/>
      <c r="AH131" s="206"/>
      <c r="AI131" s="206"/>
      <c r="AJ131" s="206"/>
      <c r="AK131" s="206"/>
      <c r="AL131" s="206"/>
      <c r="AM131" s="206"/>
      <c r="AN131" s="206"/>
      <c r="AO131" s="206"/>
      <c r="AP131" s="206"/>
      <c r="AQ131" s="206"/>
      <c r="AR131" s="206"/>
      <c r="AS131" s="206"/>
      <c r="AT131" s="206"/>
      <c r="AU131" s="206"/>
      <c r="AV131" s="206"/>
      <c r="AW131" s="206"/>
      <c r="AX131" s="172"/>
      <c r="AY131" s="172"/>
      <c r="AZ131" s="172"/>
      <c r="BA131" s="172"/>
      <c r="BB131" s="172"/>
      <c r="BC131" s="173"/>
      <c r="BD131" s="172"/>
      <c r="BE131" s="172"/>
      <c r="BF131" s="172"/>
      <c r="BG131" s="172"/>
      <c r="BH131" s="172"/>
      <c r="BI131" s="172"/>
      <c r="BJ131" s="172"/>
      <c r="BK131" s="172"/>
      <c r="BL131" s="173"/>
      <c r="BM131" s="172"/>
      <c r="BN131" s="172"/>
      <c r="BO131" s="172"/>
      <c r="BP131" s="172"/>
      <c r="BQ131" s="172" t="str">
        <f>IF(OR(IFERROR(VLOOKUP(CA131,[1]ARS!A:EL,MATCH("Price To Earnings",[1]ARS!$4:$4,0),FALSE),"-")&lt;0,IFERROR(VLOOKUP(CA131,[1]ARS!A:EL,MATCH("Price To Earnings",[1]ARS!$4:$4,0),FALSE),"-")&gt;500),"-",IFERROR(VLOOKUP(CA131,[1]ARS!A:EL,MATCH("Price To Earnings",[1]ARS!$4:$4,0),FALSE),"-"))</f>
        <v>-</v>
      </c>
      <c r="BR131" s="172"/>
      <c r="BS131" s="172"/>
      <c r="BT131" s="172"/>
      <c r="BU131" s="172"/>
      <c r="BV131" s="172"/>
    </row>
    <row r="132" spans="1:74" ht="12.75" customHeight="1" x14ac:dyDescent="0.2">
      <c r="A132" s="172"/>
      <c r="B132" s="172"/>
      <c r="C132" s="172"/>
      <c r="D132" s="172"/>
      <c r="E132" s="172"/>
      <c r="F132" s="172"/>
      <c r="G132" s="172"/>
      <c r="H132" s="172"/>
      <c r="I132" s="212"/>
      <c r="J132" s="172"/>
      <c r="K132" s="172"/>
      <c r="L132" s="172"/>
      <c r="M132" s="172"/>
      <c r="N132" s="172"/>
      <c r="O132" s="172"/>
      <c r="P132" s="172"/>
      <c r="Q132" s="172"/>
      <c r="R132" s="172"/>
      <c r="S132" s="172"/>
      <c r="T132" s="172"/>
      <c r="U132" s="172"/>
      <c r="V132" s="172"/>
      <c r="W132" s="172"/>
      <c r="X132" s="172"/>
      <c r="Y132" s="172"/>
      <c r="Z132" s="172"/>
      <c r="AA132" s="172"/>
      <c r="AB132" s="172"/>
      <c r="AC132" s="172"/>
      <c r="AD132" s="172"/>
      <c r="AE132" s="172"/>
      <c r="AF132" s="172"/>
      <c r="AG132" s="172"/>
      <c r="AH132" s="172"/>
      <c r="AI132" s="172"/>
      <c r="AJ132" s="172"/>
      <c r="AK132" s="172"/>
      <c r="AL132" s="172"/>
      <c r="AM132" s="172"/>
      <c r="AN132" s="172"/>
      <c r="AO132" s="172"/>
      <c r="AP132" s="172"/>
      <c r="AQ132" s="172"/>
      <c r="AR132" s="172"/>
      <c r="AS132" s="172"/>
      <c r="AT132" s="172"/>
      <c r="AU132" s="172"/>
      <c r="AV132" s="172"/>
      <c r="AW132" s="172"/>
      <c r="AX132" s="172"/>
      <c r="AY132" s="172"/>
      <c r="AZ132" s="172"/>
      <c r="BA132" s="172"/>
      <c r="BB132" s="172"/>
      <c r="BC132" s="172"/>
      <c r="BD132" s="172"/>
      <c r="BE132" s="172"/>
      <c r="BF132" s="172"/>
      <c r="BG132" s="172"/>
      <c r="BH132" s="172"/>
      <c r="BI132" s="172"/>
      <c r="BJ132" s="172"/>
      <c r="BK132" s="172"/>
      <c r="BL132" s="172"/>
      <c r="BM132" s="172"/>
      <c r="BN132" s="172"/>
      <c r="BO132" s="172"/>
      <c r="BP132" s="172"/>
      <c r="BQ132" s="172" t="str">
        <f>IF(OR(IFERROR(VLOOKUP(CA132,[1]ARS!A:EL,MATCH("Price To Earnings",[1]ARS!$4:$4,0),FALSE),"-")&lt;0,IFERROR(VLOOKUP(CA132,[1]ARS!A:EL,MATCH("Price To Earnings",[1]ARS!$4:$4,0),FALSE),"-")&gt;500),"-",IFERROR(VLOOKUP(CA132,[1]ARS!A:EL,MATCH("Price To Earnings",[1]ARS!$4:$4,0),FALSE),"-"))</f>
        <v>-</v>
      </c>
      <c r="BR132" s="172"/>
      <c r="BS132" s="172"/>
      <c r="BT132" s="172"/>
      <c r="BU132" s="172"/>
      <c r="BV132" s="172"/>
    </row>
    <row r="133" spans="1:74" ht="12.75" customHeight="1" x14ac:dyDescent="0.2">
      <c r="A133" s="172"/>
      <c r="B133" s="172"/>
      <c r="C133" s="172"/>
      <c r="D133" s="172"/>
      <c r="E133" s="213"/>
      <c r="F133" s="172"/>
      <c r="G133" s="172"/>
      <c r="H133" s="172"/>
      <c r="I133" s="212"/>
      <c r="J133" s="172"/>
      <c r="K133" s="172"/>
      <c r="L133" s="172"/>
      <c r="M133" s="172"/>
      <c r="N133" s="172"/>
      <c r="O133" s="172"/>
      <c r="P133" s="172"/>
      <c r="Q133" s="172"/>
      <c r="R133" s="172"/>
      <c r="S133" s="172"/>
      <c r="T133" s="172"/>
      <c r="U133" s="172"/>
      <c r="V133" s="172"/>
      <c r="W133" s="172"/>
      <c r="X133" s="172"/>
      <c r="Y133" s="172"/>
      <c r="Z133" s="172"/>
      <c r="AA133" s="172"/>
      <c r="AB133" s="172"/>
      <c r="AC133" s="172"/>
      <c r="AD133" s="172"/>
      <c r="AE133" s="172"/>
      <c r="AF133" s="172"/>
      <c r="AG133" s="172"/>
      <c r="AH133" s="172"/>
      <c r="AI133" s="172"/>
      <c r="AJ133" s="172"/>
      <c r="AK133" s="172"/>
      <c r="AL133" s="172"/>
      <c r="AM133" s="172"/>
      <c r="AN133" s="172"/>
      <c r="AO133" s="172"/>
      <c r="AP133" s="172"/>
      <c r="AQ133" s="172"/>
      <c r="AR133" s="172"/>
      <c r="AS133" s="172"/>
      <c r="AT133" s="172"/>
      <c r="AU133" s="172"/>
      <c r="AV133" s="172"/>
      <c r="AW133" s="172"/>
      <c r="AX133" s="172"/>
      <c r="AY133" s="172"/>
      <c r="AZ133" s="172"/>
      <c r="BA133" s="172"/>
      <c r="BB133" s="172"/>
      <c r="BC133" s="172"/>
      <c r="BD133" s="172"/>
      <c r="BE133" s="172"/>
      <c r="BF133" s="172"/>
      <c r="BG133" s="172"/>
      <c r="BH133" s="172"/>
      <c r="BI133" s="172"/>
      <c r="BJ133" s="172"/>
      <c r="BK133" s="172"/>
      <c r="BL133" s="172"/>
      <c r="BM133" s="172"/>
      <c r="BN133" s="172"/>
      <c r="BO133" s="172"/>
      <c r="BP133" s="172"/>
      <c r="BQ133" s="172" t="str">
        <f>IF(OR(IFERROR(VLOOKUP(CA133,[1]ARS!A:EL,MATCH("Price To Earnings",[1]ARS!$4:$4,0),FALSE),"-")&lt;0,IFERROR(VLOOKUP(CA133,[1]ARS!A:EL,MATCH("Price To Earnings",[1]ARS!$4:$4,0),FALSE),"-")&gt;500),"-",IFERROR(VLOOKUP(CA133,[1]ARS!A:EL,MATCH("Price To Earnings",[1]ARS!$4:$4,0),FALSE),"-"))</f>
        <v>-</v>
      </c>
      <c r="BR133" s="172"/>
      <c r="BS133" s="172"/>
      <c r="BT133" s="172"/>
      <c r="BU133" s="172"/>
      <c r="BV133" s="172"/>
    </row>
    <row r="134" spans="1:74" ht="12.75" customHeight="1" x14ac:dyDescent="0.2">
      <c r="A134" s="172"/>
      <c r="B134" s="172"/>
      <c r="C134" s="172"/>
      <c r="D134" s="172"/>
      <c r="E134" s="172"/>
      <c r="F134" s="172"/>
      <c r="G134" s="172"/>
      <c r="H134" s="172"/>
      <c r="I134" s="212"/>
      <c r="J134" s="172"/>
      <c r="K134" s="172"/>
      <c r="L134" s="172"/>
      <c r="M134" s="172"/>
      <c r="N134" s="172"/>
      <c r="O134" s="172"/>
      <c r="P134" s="172"/>
      <c r="Q134" s="172"/>
      <c r="R134" s="172"/>
      <c r="S134" s="172"/>
      <c r="T134" s="172"/>
      <c r="U134" s="172"/>
      <c r="V134" s="172"/>
      <c r="W134" s="172"/>
      <c r="X134" s="172"/>
      <c r="Y134" s="172"/>
      <c r="Z134" s="172"/>
      <c r="AA134" s="172"/>
      <c r="AB134" s="172"/>
      <c r="AC134" s="172"/>
      <c r="AD134" s="172"/>
      <c r="AE134" s="172"/>
      <c r="AF134" s="172"/>
      <c r="AG134" s="172"/>
      <c r="AH134" s="172"/>
      <c r="AI134" s="172"/>
      <c r="AJ134" s="172"/>
      <c r="AK134" s="172"/>
      <c r="AL134" s="172"/>
      <c r="AM134" s="172"/>
      <c r="AN134" s="172"/>
      <c r="AO134" s="172"/>
      <c r="AP134" s="172"/>
      <c r="AQ134" s="172"/>
      <c r="AR134" s="172"/>
      <c r="AS134" s="172"/>
      <c r="AT134" s="172"/>
      <c r="AU134" s="172"/>
      <c r="AV134" s="172"/>
      <c r="AW134" s="172"/>
      <c r="AX134" s="172"/>
      <c r="AY134" s="172"/>
      <c r="AZ134" s="172"/>
      <c r="BA134" s="172"/>
      <c r="BB134" s="172"/>
      <c r="BC134" s="172"/>
      <c r="BD134" s="172"/>
      <c r="BE134" s="172"/>
      <c r="BF134" s="172"/>
      <c r="BG134" s="172"/>
      <c r="BH134" s="172"/>
      <c r="BI134" s="172"/>
      <c r="BJ134" s="172"/>
      <c r="BK134" s="172"/>
      <c r="BL134" s="172"/>
      <c r="BM134" s="172"/>
      <c r="BN134" s="172"/>
      <c r="BO134" s="172"/>
      <c r="BP134" s="172"/>
      <c r="BQ134" s="172" t="str">
        <f>IF(OR(IFERROR(VLOOKUP(CA134,[1]ARS!A:EL,MATCH("Price To Earnings",[1]ARS!$4:$4,0),FALSE),"-")&lt;0,IFERROR(VLOOKUP(CA134,[1]ARS!A:EL,MATCH("Price To Earnings",[1]ARS!$4:$4,0),FALSE),"-")&gt;500),"-",IFERROR(VLOOKUP(CA134,[1]ARS!A:EL,MATCH("Price To Earnings",[1]ARS!$4:$4,0),FALSE),"-"))</f>
        <v>-</v>
      </c>
      <c r="BR134" s="172"/>
      <c r="BS134" s="172"/>
      <c r="BT134" s="172"/>
      <c r="BU134" s="172"/>
      <c r="BV134" s="172"/>
    </row>
    <row r="135" spans="1:74" ht="12.75" customHeight="1" x14ac:dyDescent="0.2">
      <c r="A135" s="172"/>
      <c r="B135" s="172"/>
      <c r="C135" s="172"/>
      <c r="D135" s="172"/>
      <c r="E135" s="172"/>
      <c r="F135" s="172"/>
      <c r="G135" s="172"/>
      <c r="H135" s="172"/>
      <c r="I135" s="212"/>
      <c r="J135" s="172"/>
      <c r="K135" s="172"/>
      <c r="L135" s="172"/>
      <c r="M135" s="172"/>
      <c r="N135" s="172"/>
      <c r="O135" s="172"/>
      <c r="P135" s="172"/>
      <c r="Q135" s="172"/>
      <c r="R135" s="172"/>
      <c r="S135" s="172"/>
      <c r="T135" s="172"/>
      <c r="U135" s="172"/>
      <c r="V135" s="172"/>
      <c r="W135" s="172"/>
      <c r="X135" s="172"/>
      <c r="Y135" s="172"/>
      <c r="Z135" s="172"/>
      <c r="AA135" s="172"/>
      <c r="AB135" s="172"/>
      <c r="AC135" s="172"/>
      <c r="AD135" s="172"/>
      <c r="AE135" s="172"/>
      <c r="AF135" s="172"/>
      <c r="AG135" s="172"/>
      <c r="AH135" s="172"/>
      <c r="AI135" s="172"/>
      <c r="AJ135" s="172"/>
      <c r="AK135" s="172"/>
      <c r="AL135" s="172"/>
      <c r="AM135" s="172"/>
      <c r="AN135" s="172"/>
      <c r="AO135" s="172"/>
      <c r="AP135" s="172"/>
      <c r="AQ135" s="172"/>
      <c r="AR135" s="172"/>
      <c r="AS135" s="172"/>
      <c r="AT135" s="172"/>
      <c r="AU135" s="172"/>
      <c r="AV135" s="172"/>
      <c r="AW135" s="172"/>
      <c r="AX135" s="172"/>
      <c r="AY135" s="172"/>
      <c r="AZ135" s="172"/>
      <c r="BA135" s="172"/>
      <c r="BB135" s="172"/>
      <c r="BC135" s="172"/>
      <c r="BD135" s="172"/>
      <c r="BE135" s="172"/>
      <c r="BF135" s="172"/>
      <c r="BG135" s="172"/>
      <c r="BH135" s="172"/>
      <c r="BI135" s="172"/>
      <c r="BJ135" s="172"/>
      <c r="BK135" s="172"/>
      <c r="BL135" s="172"/>
      <c r="BM135" s="172"/>
      <c r="BN135" s="172"/>
      <c r="BO135" s="172"/>
      <c r="BP135" s="172"/>
      <c r="BQ135" s="172" t="str">
        <f>IF(OR(IFERROR(VLOOKUP(CA135,[1]ARS!A:EL,MATCH("Price To Earnings",[1]ARS!$4:$4,0),FALSE),"-")&lt;0,IFERROR(VLOOKUP(CA135,[1]ARS!A:EL,MATCH("Price To Earnings",[1]ARS!$4:$4,0),FALSE),"-")&gt;500),"-",IFERROR(VLOOKUP(CA135,[1]ARS!A:EL,MATCH("Price To Earnings",[1]ARS!$4:$4,0),FALSE),"-"))</f>
        <v>-</v>
      </c>
      <c r="BR135" s="172"/>
      <c r="BS135" s="172"/>
      <c r="BT135" s="172"/>
      <c r="BU135" s="172"/>
      <c r="BV135" s="172"/>
    </row>
    <row r="136" spans="1:74" ht="12.75" customHeight="1" x14ac:dyDescent="0.2">
      <c r="A136" s="172"/>
      <c r="B136" s="172"/>
      <c r="C136" s="172"/>
      <c r="D136" s="172"/>
      <c r="E136" s="213"/>
      <c r="F136" s="172"/>
      <c r="G136" s="172"/>
      <c r="H136" s="172"/>
      <c r="I136" s="212"/>
      <c r="J136" s="172"/>
      <c r="K136" s="172"/>
      <c r="L136" s="172"/>
      <c r="M136" s="172"/>
      <c r="N136" s="172"/>
      <c r="O136" s="172"/>
      <c r="P136" s="172"/>
      <c r="Q136" s="172"/>
      <c r="R136" s="172"/>
      <c r="S136" s="172"/>
      <c r="T136" s="172"/>
      <c r="U136" s="172"/>
      <c r="V136" s="172"/>
      <c r="W136" s="172"/>
      <c r="X136" s="172"/>
      <c r="Y136" s="172"/>
      <c r="Z136" s="172"/>
      <c r="AA136" s="172"/>
      <c r="AB136" s="172"/>
      <c r="AC136" s="172"/>
      <c r="AD136" s="172"/>
      <c r="AE136" s="172"/>
      <c r="AF136" s="172"/>
      <c r="AG136" s="172"/>
      <c r="AH136" s="172"/>
      <c r="AI136" s="172"/>
      <c r="AJ136" s="172"/>
      <c r="AK136" s="172"/>
      <c r="AL136" s="172"/>
      <c r="AM136" s="172"/>
      <c r="AN136" s="172"/>
      <c r="AO136" s="172"/>
      <c r="AP136" s="172"/>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2"/>
      <c r="BM136" s="172"/>
      <c r="BN136" s="172"/>
      <c r="BO136" s="172"/>
      <c r="BP136" s="172"/>
      <c r="BQ136" s="172"/>
      <c r="BR136" s="172"/>
      <c r="BS136" s="172"/>
      <c r="BT136" s="172"/>
      <c r="BU136" s="172"/>
      <c r="BV136" s="172"/>
    </row>
    <row r="137" spans="1:74" ht="12.75" customHeight="1" x14ac:dyDescent="0.2">
      <c r="A137" s="172"/>
      <c r="B137" s="172"/>
      <c r="C137" s="172"/>
      <c r="D137" s="172"/>
      <c r="E137" s="214"/>
      <c r="F137" s="172"/>
      <c r="G137" s="172"/>
      <c r="H137" s="172"/>
      <c r="I137" s="212"/>
      <c r="J137" s="172"/>
      <c r="K137" s="172"/>
      <c r="L137" s="172"/>
      <c r="M137" s="172"/>
      <c r="N137" s="172"/>
      <c r="O137" s="172"/>
      <c r="P137" s="172"/>
      <c r="Q137" s="172"/>
      <c r="R137" s="172"/>
      <c r="S137" s="172"/>
      <c r="T137" s="172"/>
      <c r="U137" s="172"/>
      <c r="V137" s="172"/>
      <c r="W137" s="172"/>
      <c r="X137" s="172"/>
      <c r="Y137" s="172"/>
      <c r="Z137" s="172"/>
      <c r="AA137" s="172"/>
      <c r="AB137" s="172"/>
      <c r="AC137" s="172"/>
      <c r="AD137" s="172"/>
      <c r="AE137" s="172"/>
      <c r="AF137" s="172"/>
      <c r="AG137" s="172"/>
      <c r="AH137" s="172"/>
      <c r="AI137" s="172"/>
      <c r="AJ137" s="172"/>
      <c r="AK137" s="172"/>
      <c r="AL137" s="172"/>
      <c r="AM137" s="172"/>
      <c r="AN137" s="172"/>
      <c r="AO137" s="172"/>
      <c r="AP137" s="172"/>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2"/>
      <c r="BM137" s="172"/>
      <c r="BN137" s="172"/>
      <c r="BO137" s="172"/>
      <c r="BP137" s="172"/>
      <c r="BQ137" s="172" t="str">
        <f>IF(OR(IFERROR(VLOOKUP(CA137,[1]ARS!A:EL,MATCH("Price To Earnings",[1]ARS!$4:$4,0),FALSE),"-")&lt;0,IFERROR(VLOOKUP(CA137,[1]ARS!A:EL,MATCH("Price To Earnings",[1]ARS!$4:$4,0),FALSE),"-")&gt;500),"-",IFERROR(VLOOKUP(CA137,[1]ARS!A:EL,MATCH("Price To Earnings",[1]ARS!$4:$4,0),FALSE),"-"))</f>
        <v>-</v>
      </c>
      <c r="BR137" s="172"/>
      <c r="BS137" s="172"/>
      <c r="BT137" s="172"/>
      <c r="BU137" s="172"/>
      <c r="BV137" s="172"/>
    </row>
    <row r="138" spans="1:74" ht="12.75" customHeight="1" x14ac:dyDescent="0.2">
      <c r="A138" s="172"/>
      <c r="B138" s="172"/>
      <c r="C138" s="172"/>
      <c r="D138" s="172"/>
      <c r="E138" s="172"/>
      <c r="F138" s="172"/>
      <c r="G138" s="172"/>
      <c r="H138" s="172"/>
      <c r="I138" s="212"/>
      <c r="J138" s="172"/>
      <c r="K138" s="172"/>
      <c r="L138" s="172"/>
      <c r="M138" s="172"/>
      <c r="N138" s="172"/>
      <c r="O138" s="172"/>
      <c r="P138" s="172"/>
      <c r="Q138" s="172"/>
      <c r="R138" s="172"/>
      <c r="S138" s="172"/>
      <c r="T138" s="172"/>
      <c r="U138" s="172"/>
      <c r="V138" s="172"/>
      <c r="W138" s="172"/>
      <c r="X138" s="172"/>
      <c r="Y138" s="172"/>
      <c r="Z138" s="172"/>
      <c r="AA138" s="172"/>
      <c r="AB138" s="172"/>
      <c r="AC138" s="172"/>
      <c r="AD138" s="172"/>
      <c r="AE138" s="172"/>
      <c r="AF138" s="172"/>
      <c r="AG138" s="172"/>
      <c r="AH138" s="172"/>
      <c r="AI138" s="172"/>
      <c r="AJ138" s="172"/>
      <c r="AK138" s="172"/>
      <c r="AL138" s="172"/>
      <c r="AM138" s="172"/>
      <c r="AN138" s="172"/>
      <c r="AO138" s="172"/>
      <c r="AP138" s="172"/>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2"/>
      <c r="BM138" s="172"/>
      <c r="BN138" s="172"/>
      <c r="BO138" s="172"/>
      <c r="BP138" s="172"/>
      <c r="BQ138" s="172" t="str">
        <f>IF(OR(IFERROR(VLOOKUP(CA138,[1]ARS!A:EL,MATCH("Price To Earnings",[1]ARS!$4:$4,0),FALSE),"-")&lt;0,IFERROR(VLOOKUP(CA138,[1]ARS!A:EL,MATCH("Price To Earnings",[1]ARS!$4:$4,0),FALSE),"-")&gt;500),"-",IFERROR(VLOOKUP(CA138,[1]ARS!A:EL,MATCH("Price To Earnings",[1]ARS!$4:$4,0),FALSE),"-"))</f>
        <v>-</v>
      </c>
      <c r="BR138" s="172"/>
      <c r="BS138" s="172"/>
      <c r="BT138" s="172"/>
      <c r="BU138" s="172"/>
      <c r="BV138" s="172"/>
    </row>
    <row r="139" spans="1:74" ht="12.75" customHeight="1" x14ac:dyDescent="0.2">
      <c r="A139" s="172"/>
      <c r="B139" s="172"/>
      <c r="C139" s="172"/>
      <c r="D139" s="172"/>
      <c r="E139" s="172"/>
      <c r="F139" s="172"/>
      <c r="G139" s="172"/>
      <c r="H139" s="172"/>
      <c r="I139" s="212"/>
      <c r="J139" s="172"/>
      <c r="K139" s="172"/>
      <c r="L139" s="172"/>
      <c r="M139" s="172"/>
      <c r="N139" s="172"/>
      <c r="O139" s="172"/>
      <c r="P139" s="172"/>
      <c r="Q139" s="172"/>
      <c r="R139" s="172"/>
      <c r="S139" s="172"/>
      <c r="T139" s="172"/>
      <c r="U139" s="172"/>
      <c r="V139" s="172"/>
      <c r="W139" s="172"/>
      <c r="X139" s="172"/>
      <c r="Y139" s="172"/>
      <c r="Z139" s="172"/>
      <c r="AA139" s="172"/>
      <c r="AB139" s="172"/>
      <c r="AC139" s="172"/>
      <c r="AD139" s="172"/>
      <c r="AE139" s="172"/>
      <c r="AF139" s="172"/>
      <c r="AG139" s="172"/>
      <c r="AH139" s="172"/>
      <c r="AI139" s="172"/>
      <c r="AJ139" s="172"/>
      <c r="AK139" s="172"/>
      <c r="AL139" s="172"/>
      <c r="AM139" s="172"/>
      <c r="AN139" s="172"/>
      <c r="AO139" s="172"/>
      <c r="AP139" s="172"/>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2"/>
      <c r="BM139" s="172"/>
      <c r="BN139" s="172"/>
      <c r="BO139" s="172"/>
      <c r="BP139" s="172"/>
      <c r="BQ139" s="172" t="str">
        <f>IF(OR(IFERROR(VLOOKUP(CA139,[1]ARS!A:EL,MATCH("Price To Earnings",[1]ARS!$4:$4,0),FALSE),"-")&lt;0,IFERROR(VLOOKUP(CA139,[1]ARS!A:EL,MATCH("Price To Earnings",[1]ARS!$4:$4,0),FALSE),"-")&gt;500),"-",IFERROR(VLOOKUP(CA139,[1]ARS!A:EL,MATCH("Price To Earnings",[1]ARS!$4:$4,0),FALSE),"-"))</f>
        <v>-</v>
      </c>
      <c r="BR139" s="172"/>
      <c r="BS139" s="172"/>
      <c r="BT139" s="172"/>
      <c r="BU139" s="172"/>
      <c r="BV139" s="172"/>
    </row>
    <row r="140" spans="1:74" ht="12.75" customHeight="1" x14ac:dyDescent="0.2">
      <c r="A140" s="172"/>
      <c r="B140" s="172"/>
      <c r="C140" s="172"/>
      <c r="D140" s="172"/>
      <c r="E140" s="172"/>
      <c r="F140" s="172"/>
      <c r="G140" s="172"/>
      <c r="H140" s="172"/>
      <c r="I140" s="212"/>
      <c r="J140" s="172"/>
      <c r="K140" s="172"/>
      <c r="L140" s="172"/>
      <c r="M140" s="172"/>
      <c r="N140" s="172"/>
      <c r="O140" s="172"/>
      <c r="P140" s="172"/>
      <c r="Q140" s="172"/>
      <c r="R140" s="172"/>
      <c r="S140" s="172"/>
      <c r="T140" s="172"/>
      <c r="U140" s="172"/>
      <c r="V140" s="172"/>
      <c r="W140" s="172"/>
      <c r="X140" s="172"/>
      <c r="Y140" s="172"/>
      <c r="Z140" s="172"/>
      <c r="AA140" s="172"/>
      <c r="AB140" s="172"/>
      <c r="AC140" s="172"/>
      <c r="AD140" s="172"/>
      <c r="AE140" s="172"/>
      <c r="AF140" s="172"/>
      <c r="AG140" s="172"/>
      <c r="AH140" s="172"/>
      <c r="AI140" s="172"/>
      <c r="AJ140" s="172"/>
      <c r="AK140" s="172"/>
      <c r="AL140" s="172"/>
      <c r="AM140" s="172"/>
      <c r="AN140" s="172"/>
      <c r="AO140" s="172"/>
      <c r="AP140" s="172"/>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2"/>
      <c r="BM140" s="172"/>
      <c r="BN140" s="172"/>
      <c r="BO140" s="172"/>
      <c r="BP140" s="172"/>
      <c r="BQ140" s="172" t="str">
        <f>IF(OR(IFERROR(VLOOKUP(CA140,[1]ARS!A:EL,MATCH("Price To Earnings",[1]ARS!$4:$4,0),FALSE),"-")&lt;0,IFERROR(VLOOKUP(CA140,[1]ARS!A:EL,MATCH("Price To Earnings",[1]ARS!$4:$4,0),FALSE),"-")&gt;500),"-",IFERROR(VLOOKUP(CA140,[1]ARS!A:EL,MATCH("Price To Earnings",[1]ARS!$4:$4,0),FALSE),"-"))</f>
        <v>-</v>
      </c>
      <c r="BR140" s="172"/>
      <c r="BS140" s="172"/>
      <c r="BT140" s="172"/>
      <c r="BU140" s="172"/>
      <c r="BV140" s="172"/>
    </row>
    <row r="141" spans="1:74" ht="12.75" customHeight="1" x14ac:dyDescent="0.2">
      <c r="A141" s="172"/>
      <c r="B141" s="172"/>
      <c r="C141" s="172"/>
      <c r="D141" s="172"/>
      <c r="E141" s="172"/>
      <c r="F141" s="172"/>
      <c r="G141" s="172"/>
      <c r="H141" s="172"/>
      <c r="I141" s="212"/>
      <c r="J141" s="172"/>
      <c r="K141" s="172"/>
      <c r="L141" s="172"/>
      <c r="M141" s="172"/>
      <c r="N141" s="172"/>
      <c r="O141" s="172"/>
      <c r="P141" s="172"/>
      <c r="Q141" s="172"/>
      <c r="R141" s="172"/>
      <c r="S141" s="172"/>
      <c r="T141" s="172"/>
      <c r="U141" s="172"/>
      <c r="V141" s="172"/>
      <c r="W141" s="172"/>
      <c r="X141" s="172"/>
      <c r="Y141" s="172"/>
      <c r="Z141" s="172"/>
      <c r="AA141" s="172"/>
      <c r="AB141" s="172"/>
      <c r="AC141" s="172"/>
      <c r="AD141" s="172"/>
      <c r="AE141" s="172"/>
      <c r="AF141" s="172"/>
      <c r="AG141" s="172"/>
      <c r="AH141" s="172"/>
      <c r="AI141" s="172"/>
      <c r="AJ141" s="172"/>
      <c r="AK141" s="172"/>
      <c r="AL141" s="172"/>
      <c r="AM141" s="172"/>
      <c r="AN141" s="172"/>
      <c r="AO141" s="172"/>
      <c r="AP141" s="172"/>
      <c r="AQ141" s="172"/>
      <c r="AR141" s="172"/>
      <c r="AS141" s="172"/>
      <c r="AT141" s="172"/>
      <c r="AU141" s="172"/>
      <c r="AV141" s="172"/>
      <c r="AW141" s="172"/>
      <c r="AX141" s="172"/>
      <c r="AY141" s="172"/>
      <c r="AZ141" s="172"/>
      <c r="BA141" s="172"/>
      <c r="BB141" s="172"/>
      <c r="BC141" s="172"/>
      <c r="BD141" s="172"/>
      <c r="BE141" s="172"/>
      <c r="BF141" s="172"/>
      <c r="BG141" s="172"/>
      <c r="BH141" s="172"/>
      <c r="BI141" s="172"/>
      <c r="BJ141" s="172"/>
      <c r="BK141" s="172"/>
      <c r="BL141" s="172"/>
      <c r="BM141" s="172"/>
      <c r="BN141" s="172"/>
      <c r="BO141" s="172"/>
      <c r="BP141" s="172"/>
      <c r="BQ141" s="172" t="str">
        <f>IF(OR(IFERROR(VLOOKUP(CA141,[1]ARS!A:EL,MATCH("Price To Earnings",[1]ARS!$4:$4,0),FALSE),"-")&lt;0,IFERROR(VLOOKUP(CA141,[1]ARS!A:EL,MATCH("Price To Earnings",[1]ARS!$4:$4,0),FALSE),"-")&gt;500),"-",IFERROR(VLOOKUP(CA141,[1]ARS!A:EL,MATCH("Price To Earnings",[1]ARS!$4:$4,0),FALSE),"-"))</f>
        <v>-</v>
      </c>
      <c r="BR141" s="172"/>
      <c r="BS141" s="172"/>
      <c r="BT141" s="172"/>
      <c r="BU141" s="172"/>
      <c r="BV141" s="172"/>
    </row>
    <row r="142" spans="1:74" ht="12.75" customHeight="1" x14ac:dyDescent="0.2">
      <c r="A142" s="172"/>
      <c r="B142" s="172"/>
      <c r="C142" s="172"/>
      <c r="D142" s="172"/>
      <c r="E142" s="172"/>
      <c r="F142" s="172"/>
      <c r="G142" s="172"/>
      <c r="H142" s="172"/>
      <c r="I142" s="212"/>
      <c r="J142" s="172"/>
      <c r="K142" s="172"/>
      <c r="L142" s="172"/>
      <c r="M142" s="172"/>
      <c r="N142" s="172"/>
      <c r="O142" s="172"/>
      <c r="P142" s="172"/>
      <c r="Q142" s="172"/>
      <c r="R142" s="172"/>
      <c r="S142" s="172"/>
      <c r="T142" s="172"/>
      <c r="U142" s="172"/>
      <c r="V142" s="172"/>
      <c r="W142" s="172"/>
      <c r="X142" s="172"/>
      <c r="Y142" s="172"/>
      <c r="Z142" s="172"/>
      <c r="AA142" s="172"/>
      <c r="AB142" s="172"/>
      <c r="AC142" s="172"/>
      <c r="AD142" s="172"/>
      <c r="AE142" s="172"/>
      <c r="AF142" s="172"/>
      <c r="AG142" s="172"/>
      <c r="AH142" s="172"/>
      <c r="AI142" s="172"/>
      <c r="AJ142" s="172"/>
      <c r="AK142" s="172"/>
      <c r="AL142" s="172"/>
      <c r="AM142" s="172"/>
      <c r="AN142" s="172"/>
      <c r="AO142" s="172"/>
      <c r="AP142" s="172"/>
      <c r="AQ142" s="172"/>
      <c r="AR142" s="172"/>
      <c r="AS142" s="172"/>
      <c r="AT142" s="172"/>
      <c r="AU142" s="172"/>
      <c r="AV142" s="172"/>
      <c r="AW142" s="172"/>
      <c r="AX142" s="172"/>
      <c r="AY142" s="172"/>
      <c r="AZ142" s="172"/>
      <c r="BA142" s="172"/>
      <c r="BB142" s="172"/>
      <c r="BC142" s="172"/>
      <c r="BD142" s="172"/>
      <c r="BE142" s="172"/>
      <c r="BF142" s="172"/>
      <c r="BG142" s="172"/>
      <c r="BH142" s="172"/>
      <c r="BI142" s="172"/>
      <c r="BJ142" s="172"/>
      <c r="BK142" s="172"/>
      <c r="BL142" s="172"/>
      <c r="BM142" s="172"/>
      <c r="BN142" s="172"/>
      <c r="BO142" s="172"/>
      <c r="BP142" s="172"/>
      <c r="BQ142" s="172" t="str">
        <f>IF(OR(IFERROR(VLOOKUP(CA142,[1]ARS!A:EL,MATCH("Price To Earnings",[1]ARS!$4:$4,0),FALSE),"-")&lt;0,IFERROR(VLOOKUP(CA142,[1]ARS!A:EL,MATCH("Price To Earnings",[1]ARS!$4:$4,0),FALSE),"-")&gt;500),"-",IFERROR(VLOOKUP(CA142,[1]ARS!A:EL,MATCH("Price To Earnings",[1]ARS!$4:$4,0),FALSE),"-"))</f>
        <v>-</v>
      </c>
      <c r="BR142" s="172"/>
      <c r="BS142" s="172"/>
      <c r="BT142" s="172"/>
      <c r="BU142" s="172"/>
      <c r="BV142" s="172"/>
    </row>
    <row r="143" spans="1:74" ht="12.75" customHeight="1" x14ac:dyDescent="0.2">
      <c r="A143" s="172"/>
      <c r="B143" s="172"/>
      <c r="C143" s="172"/>
      <c r="D143" s="172"/>
      <c r="E143" s="172"/>
      <c r="F143" s="172"/>
      <c r="G143" s="172"/>
      <c r="H143" s="172"/>
      <c r="I143" s="212"/>
      <c r="J143" s="172"/>
      <c r="K143" s="172"/>
      <c r="L143" s="172"/>
      <c r="M143" s="172"/>
      <c r="N143" s="172"/>
      <c r="O143" s="172"/>
      <c r="P143" s="172"/>
      <c r="Q143" s="172"/>
      <c r="R143" s="172"/>
      <c r="S143" s="172"/>
      <c r="T143" s="172"/>
      <c r="U143" s="172"/>
      <c r="V143" s="172"/>
      <c r="W143" s="172"/>
      <c r="X143" s="172"/>
      <c r="Y143" s="172"/>
      <c r="Z143" s="172"/>
      <c r="AA143" s="172"/>
      <c r="AB143" s="172"/>
      <c r="AC143" s="172"/>
      <c r="AD143" s="172"/>
      <c r="AE143" s="172"/>
      <c r="AF143" s="172"/>
      <c r="AG143" s="172"/>
      <c r="AH143" s="172"/>
      <c r="AI143" s="172"/>
      <c r="AJ143" s="172"/>
      <c r="AK143" s="172"/>
      <c r="AL143" s="172"/>
      <c r="AM143" s="172"/>
      <c r="AN143" s="172"/>
      <c r="AO143" s="172"/>
      <c r="AP143" s="172"/>
      <c r="AQ143" s="172"/>
      <c r="AR143" s="172"/>
      <c r="AS143" s="172"/>
      <c r="AT143" s="172"/>
      <c r="AU143" s="172"/>
      <c r="AV143" s="172"/>
      <c r="AW143" s="172"/>
      <c r="AX143" s="172"/>
      <c r="AY143" s="172"/>
      <c r="AZ143" s="172"/>
      <c r="BA143" s="172"/>
      <c r="BB143" s="172"/>
      <c r="BC143" s="172"/>
      <c r="BD143" s="172"/>
      <c r="BE143" s="172"/>
      <c r="BF143" s="172"/>
      <c r="BG143" s="172"/>
      <c r="BH143" s="172"/>
      <c r="BI143" s="172"/>
      <c r="BJ143" s="172"/>
      <c r="BK143" s="172"/>
      <c r="BL143" s="172"/>
      <c r="BM143" s="172"/>
      <c r="BN143" s="172"/>
      <c r="BO143" s="172"/>
      <c r="BP143" s="172"/>
      <c r="BQ143" s="172"/>
      <c r="BR143" s="172"/>
      <c r="BS143" s="172"/>
      <c r="BT143" s="172"/>
      <c r="BU143" s="172"/>
      <c r="BV143" s="172"/>
    </row>
    <row r="144" spans="1:74" ht="12.75" customHeight="1" x14ac:dyDescent="0.2">
      <c r="A144" s="172"/>
      <c r="B144" s="172"/>
      <c r="C144" s="172"/>
      <c r="D144" s="172"/>
      <c r="E144" s="172"/>
      <c r="F144" s="172"/>
      <c r="G144" s="172"/>
      <c r="H144" s="172"/>
      <c r="I144" s="212"/>
      <c r="J144" s="172"/>
      <c r="K144" s="172"/>
      <c r="L144" s="172"/>
      <c r="M144" s="172"/>
      <c r="N144" s="172"/>
      <c r="O144" s="172"/>
      <c r="P144" s="172"/>
      <c r="Q144" s="172"/>
      <c r="R144" s="172"/>
      <c r="S144" s="172"/>
      <c r="T144" s="172"/>
      <c r="U144" s="172"/>
      <c r="V144" s="172"/>
      <c r="W144" s="172"/>
      <c r="X144" s="172"/>
      <c r="Y144" s="172"/>
      <c r="Z144" s="172"/>
      <c r="AA144" s="172"/>
      <c r="AB144" s="172"/>
      <c r="AC144" s="172"/>
      <c r="AD144" s="172"/>
      <c r="AE144" s="172"/>
      <c r="AF144" s="172"/>
      <c r="AG144" s="172"/>
      <c r="AH144" s="172"/>
      <c r="AI144" s="172"/>
      <c r="AJ144" s="172"/>
      <c r="AK144" s="172"/>
      <c r="AL144" s="172"/>
      <c r="AM144" s="172"/>
      <c r="AN144" s="172"/>
      <c r="AO144" s="172"/>
      <c r="AP144" s="172"/>
      <c r="AQ144" s="172"/>
      <c r="AR144" s="172"/>
      <c r="AS144" s="172"/>
      <c r="AT144" s="172"/>
      <c r="AU144" s="172"/>
      <c r="AV144" s="172"/>
      <c r="AW144" s="172"/>
      <c r="AX144" s="172"/>
      <c r="AY144" s="172"/>
      <c r="AZ144" s="172"/>
      <c r="BA144" s="172"/>
      <c r="BB144" s="172"/>
      <c r="BC144" s="172"/>
      <c r="BD144" s="172"/>
      <c r="BE144" s="172"/>
      <c r="BF144" s="172"/>
      <c r="BG144" s="172"/>
      <c r="BH144" s="172"/>
      <c r="BI144" s="172"/>
      <c r="BJ144" s="172"/>
      <c r="BK144" s="172"/>
      <c r="BL144" s="172"/>
      <c r="BM144" s="172"/>
      <c r="BN144" s="172"/>
      <c r="BO144" s="172"/>
      <c r="BP144" s="172"/>
      <c r="BQ144" s="172" t="str">
        <f>IF(OR(IFERROR(VLOOKUP(CA144,[1]ARS!A:EL,MATCH("Price To Earnings",[1]ARS!$4:$4,0),FALSE),"-")&lt;0,IFERROR(VLOOKUP(CA144,[1]ARS!A:EL,MATCH("Price To Earnings",[1]ARS!$4:$4,0),FALSE),"-")&gt;500),"-",IFERROR(VLOOKUP(CA144,[1]ARS!A:EL,MATCH("Price To Earnings",[1]ARS!$4:$4,0),FALSE),"-"))</f>
        <v>-</v>
      </c>
      <c r="BR144" s="172"/>
      <c r="BS144" s="172"/>
      <c r="BT144" s="172"/>
      <c r="BU144" s="172"/>
      <c r="BV144" s="172"/>
    </row>
    <row r="145" spans="1:74" ht="12.75" customHeight="1" x14ac:dyDescent="0.2">
      <c r="A145" s="172"/>
      <c r="B145" s="172"/>
      <c r="C145" s="172"/>
      <c r="D145" s="172"/>
      <c r="E145" s="215"/>
      <c r="F145" s="172"/>
      <c r="G145" s="172"/>
      <c r="H145" s="172"/>
      <c r="I145" s="212"/>
      <c r="J145" s="172"/>
      <c r="K145" s="172"/>
      <c r="L145" s="172"/>
      <c r="M145" s="172"/>
      <c r="N145" s="172"/>
      <c r="O145" s="172"/>
      <c r="P145" s="172"/>
      <c r="Q145" s="172"/>
      <c r="R145" s="172"/>
      <c r="S145" s="172"/>
      <c r="T145" s="172"/>
      <c r="U145" s="172"/>
      <c r="V145" s="172"/>
      <c r="W145" s="172"/>
      <c r="X145" s="172"/>
      <c r="Y145" s="172"/>
      <c r="Z145" s="172"/>
      <c r="AA145" s="172"/>
      <c r="AB145" s="172"/>
      <c r="AC145" s="172"/>
      <c r="AD145" s="172"/>
      <c r="AE145" s="172"/>
      <c r="AF145" s="172"/>
      <c r="AG145" s="172"/>
      <c r="AH145" s="172"/>
      <c r="AI145" s="172"/>
      <c r="AJ145" s="172"/>
      <c r="AK145" s="172"/>
      <c r="AL145" s="172"/>
      <c r="AM145" s="172"/>
      <c r="AN145" s="172"/>
      <c r="AO145" s="172"/>
      <c r="AP145" s="172"/>
      <c r="AQ145" s="172"/>
      <c r="AR145" s="172"/>
      <c r="AS145" s="172"/>
      <c r="AT145" s="172"/>
      <c r="AU145" s="172"/>
      <c r="AV145" s="172"/>
      <c r="AW145" s="172"/>
      <c r="AX145" s="172"/>
      <c r="AY145" s="172"/>
      <c r="AZ145" s="172"/>
      <c r="BA145" s="172"/>
      <c r="BB145" s="172"/>
      <c r="BC145" s="172"/>
      <c r="BD145" s="172"/>
      <c r="BE145" s="172"/>
      <c r="BF145" s="172"/>
      <c r="BG145" s="172"/>
      <c r="BH145" s="172"/>
      <c r="BI145" s="172"/>
      <c r="BJ145" s="172"/>
      <c r="BK145" s="172"/>
      <c r="BL145" s="172"/>
      <c r="BM145" s="172"/>
      <c r="BN145" s="172"/>
      <c r="BO145" s="172"/>
      <c r="BP145" s="172"/>
      <c r="BQ145" s="172" t="str">
        <f>IF(OR(IFERROR(VLOOKUP(CA145,[1]ARS!A:EL,MATCH("Price To Earnings",[1]ARS!$4:$4,0),FALSE),"-")&lt;0,IFERROR(VLOOKUP(CA145,[1]ARS!A:EL,MATCH("Price To Earnings",[1]ARS!$4:$4,0),FALSE),"-")&gt;500),"-",IFERROR(VLOOKUP(CA145,[1]ARS!A:EL,MATCH("Price To Earnings",[1]ARS!$4:$4,0),FALSE),"-"))</f>
        <v>-</v>
      </c>
      <c r="BR145" s="172"/>
      <c r="BS145" s="172"/>
      <c r="BT145" s="172"/>
      <c r="BU145" s="172"/>
      <c r="BV145" s="172"/>
    </row>
    <row r="146" spans="1:74" ht="12.75" customHeight="1" x14ac:dyDescent="0.2">
      <c r="A146" s="172"/>
      <c r="B146" s="172"/>
      <c r="C146" s="172"/>
      <c r="D146" s="172"/>
      <c r="E146" s="172"/>
      <c r="F146" s="172"/>
      <c r="G146" s="172"/>
      <c r="H146" s="172"/>
      <c r="I146" s="212"/>
      <c r="J146" s="172"/>
      <c r="K146" s="172"/>
      <c r="L146" s="172"/>
      <c r="M146" s="172"/>
      <c r="N146" s="172"/>
      <c r="O146" s="172"/>
      <c r="P146" s="172"/>
      <c r="Q146" s="172"/>
      <c r="R146" s="172"/>
      <c r="S146" s="172"/>
      <c r="T146" s="172"/>
      <c r="U146" s="172"/>
      <c r="V146" s="172"/>
      <c r="W146" s="172"/>
      <c r="X146" s="172"/>
      <c r="Y146" s="172"/>
      <c r="Z146" s="172"/>
      <c r="AA146" s="172"/>
      <c r="AB146" s="172"/>
      <c r="AC146" s="172"/>
      <c r="AD146" s="172"/>
      <c r="AE146" s="172"/>
      <c r="AF146" s="172"/>
      <c r="AG146" s="172"/>
      <c r="AH146" s="172"/>
      <c r="AI146" s="172"/>
      <c r="AJ146" s="172"/>
      <c r="AK146" s="172"/>
      <c r="AL146" s="172"/>
      <c r="AM146" s="172"/>
      <c r="AN146" s="172"/>
      <c r="AO146" s="172"/>
      <c r="AP146" s="172"/>
      <c r="AQ146" s="172"/>
      <c r="AR146" s="172"/>
      <c r="AS146" s="172"/>
      <c r="AT146" s="172"/>
      <c r="AU146" s="172"/>
      <c r="AV146" s="172"/>
      <c r="AW146" s="172"/>
      <c r="AX146" s="172"/>
      <c r="AY146" s="172"/>
      <c r="AZ146" s="172"/>
      <c r="BA146" s="172"/>
      <c r="BB146" s="172"/>
      <c r="BC146" s="172"/>
      <c r="BD146" s="172"/>
      <c r="BE146" s="172"/>
      <c r="BF146" s="172"/>
      <c r="BG146" s="172"/>
      <c r="BH146" s="172"/>
      <c r="BI146" s="172"/>
      <c r="BJ146" s="172"/>
      <c r="BK146" s="172"/>
      <c r="BL146" s="172"/>
      <c r="BM146" s="172"/>
      <c r="BN146" s="172"/>
      <c r="BO146" s="172"/>
      <c r="BP146" s="172"/>
      <c r="BQ146" s="172" t="str">
        <f>IF(OR(IFERROR(VLOOKUP(CA146,[1]ARS!A:EL,MATCH("Price To Earnings",[1]ARS!$4:$4,0),FALSE),"-")&lt;0,IFERROR(VLOOKUP(CA146,[1]ARS!A:EL,MATCH("Price To Earnings",[1]ARS!$4:$4,0),FALSE),"-")&gt;500),"-",IFERROR(VLOOKUP(CA146,[1]ARS!A:EL,MATCH("Price To Earnings",[1]ARS!$4:$4,0),FALSE),"-"))</f>
        <v>-</v>
      </c>
      <c r="BR146" s="172"/>
      <c r="BS146" s="172"/>
      <c r="BT146" s="172"/>
      <c r="BU146" s="172"/>
      <c r="BV146" s="172"/>
    </row>
    <row r="147" spans="1:74" ht="12.75" customHeight="1" x14ac:dyDescent="0.2">
      <c r="A147" s="172"/>
      <c r="B147" s="172"/>
      <c r="C147" s="172"/>
      <c r="D147" s="172"/>
      <c r="E147" s="172"/>
      <c r="F147" s="172"/>
      <c r="G147" s="172"/>
      <c r="H147" s="172"/>
      <c r="I147" s="212"/>
      <c r="J147" s="172"/>
      <c r="K147" s="172"/>
      <c r="L147" s="172"/>
      <c r="M147" s="172"/>
      <c r="N147" s="172"/>
      <c r="O147" s="172"/>
      <c r="P147" s="172"/>
      <c r="Q147" s="172"/>
      <c r="R147" s="172"/>
      <c r="S147" s="172"/>
      <c r="T147" s="172"/>
      <c r="U147" s="172"/>
      <c r="V147" s="172"/>
      <c r="W147" s="172"/>
      <c r="X147" s="172"/>
      <c r="Y147" s="172"/>
      <c r="Z147" s="172"/>
      <c r="AA147" s="172"/>
      <c r="AB147" s="172"/>
      <c r="AC147" s="172"/>
      <c r="AD147" s="172"/>
      <c r="AE147" s="172"/>
      <c r="AF147" s="172"/>
      <c r="AG147" s="172"/>
      <c r="AH147" s="172"/>
      <c r="AI147" s="172"/>
      <c r="AJ147" s="172"/>
      <c r="AK147" s="172"/>
      <c r="AL147" s="172"/>
      <c r="AM147" s="172"/>
      <c r="AN147" s="172"/>
      <c r="AO147" s="172"/>
      <c r="AP147" s="172"/>
      <c r="AQ147" s="172"/>
      <c r="AR147" s="172"/>
      <c r="AS147" s="172"/>
      <c r="AT147" s="172"/>
      <c r="AU147" s="172"/>
      <c r="AV147" s="172"/>
      <c r="AW147" s="172"/>
      <c r="AX147" s="172"/>
      <c r="AY147" s="172"/>
      <c r="AZ147" s="172"/>
      <c r="BA147" s="172"/>
      <c r="BB147" s="172"/>
      <c r="BC147" s="172"/>
      <c r="BD147" s="172"/>
      <c r="BE147" s="172"/>
      <c r="BF147" s="172"/>
      <c r="BG147" s="172"/>
      <c r="BH147" s="172"/>
      <c r="BI147" s="172"/>
      <c r="BJ147" s="172"/>
      <c r="BK147" s="172"/>
      <c r="BL147" s="172"/>
      <c r="BM147" s="172"/>
      <c r="BN147" s="172"/>
      <c r="BO147" s="172"/>
      <c r="BP147" s="172"/>
      <c r="BQ147" s="172" t="str">
        <f>IF(OR(IFERROR(VLOOKUP(CA147,[1]ARS!A:EL,MATCH("Price To Earnings",[1]ARS!$4:$4,0),FALSE),"-")&lt;0,IFERROR(VLOOKUP(CA147,[1]ARS!A:EL,MATCH("Price To Earnings",[1]ARS!$4:$4,0),FALSE),"-")&gt;500),"-",IFERROR(VLOOKUP(CA147,[1]ARS!A:EL,MATCH("Price To Earnings",[1]ARS!$4:$4,0),FALSE),"-"))</f>
        <v>-</v>
      </c>
      <c r="BR147" s="172"/>
      <c r="BS147" s="172"/>
      <c r="BT147" s="172"/>
      <c r="BU147" s="172"/>
      <c r="BV147" s="172"/>
    </row>
    <row r="148" spans="1:74" ht="12.75" customHeight="1" x14ac:dyDescent="0.2">
      <c r="A148" s="172"/>
      <c r="B148" s="172"/>
      <c r="C148" s="172"/>
      <c r="D148" s="172"/>
      <c r="E148" s="172"/>
      <c r="F148" s="172"/>
      <c r="G148" s="172"/>
      <c r="H148" s="172"/>
      <c r="I148" s="212"/>
      <c r="J148" s="172"/>
      <c r="K148" s="172"/>
      <c r="L148" s="172"/>
      <c r="M148" s="172"/>
      <c r="N148" s="172"/>
      <c r="O148" s="172"/>
      <c r="P148" s="172"/>
      <c r="Q148" s="172"/>
      <c r="R148" s="172"/>
      <c r="S148" s="172"/>
      <c r="T148" s="172"/>
      <c r="U148" s="172"/>
      <c r="V148" s="172"/>
      <c r="W148" s="172"/>
      <c r="X148" s="172"/>
      <c r="Y148" s="172"/>
      <c r="Z148" s="172"/>
      <c r="AA148" s="172"/>
      <c r="AB148" s="172"/>
      <c r="AC148" s="172"/>
      <c r="AD148" s="172"/>
      <c r="AE148" s="172"/>
      <c r="AF148" s="172"/>
      <c r="AG148" s="172"/>
      <c r="AH148" s="172"/>
      <c r="AI148" s="172"/>
      <c r="AJ148" s="172"/>
      <c r="AK148" s="172"/>
      <c r="AL148" s="172"/>
      <c r="AM148" s="172"/>
      <c r="AN148" s="172"/>
      <c r="AO148" s="172"/>
      <c r="AP148" s="172"/>
      <c r="AQ148" s="172"/>
      <c r="AR148" s="172"/>
      <c r="AS148" s="172"/>
      <c r="AT148" s="172"/>
      <c r="AU148" s="172"/>
      <c r="AV148" s="172"/>
      <c r="AW148" s="172"/>
      <c r="AX148" s="172"/>
      <c r="AY148" s="172"/>
      <c r="AZ148" s="172"/>
      <c r="BA148" s="172"/>
      <c r="BB148" s="172"/>
      <c r="BC148" s="172"/>
      <c r="BD148" s="172"/>
      <c r="BE148" s="172"/>
      <c r="BF148" s="172"/>
      <c r="BG148" s="172"/>
      <c r="BH148" s="172"/>
      <c r="BI148" s="172"/>
      <c r="BJ148" s="172"/>
      <c r="BK148" s="172"/>
      <c r="BL148" s="172"/>
      <c r="BM148" s="172"/>
      <c r="BN148" s="172"/>
      <c r="BO148" s="172"/>
      <c r="BP148" s="172"/>
      <c r="BQ148" s="172" t="str">
        <f>IF(OR(IFERROR(VLOOKUP(CA148,[1]ARS!A:EL,MATCH("Price To Earnings",[1]ARS!$4:$4,0),FALSE),"-")&lt;0,IFERROR(VLOOKUP(CA148,[1]ARS!A:EL,MATCH("Price To Earnings",[1]ARS!$4:$4,0),FALSE),"-")&gt;500),"-",IFERROR(VLOOKUP(CA148,[1]ARS!A:EL,MATCH("Price To Earnings",[1]ARS!$4:$4,0),FALSE),"-"))</f>
        <v>-</v>
      </c>
      <c r="BR148" s="172"/>
      <c r="BS148" s="172"/>
      <c r="BT148" s="172"/>
      <c r="BU148" s="172"/>
      <c r="BV148" s="172"/>
    </row>
    <row r="149" spans="1:74" ht="12.75" customHeight="1" x14ac:dyDescent="0.2">
      <c r="A149" s="172"/>
      <c r="B149" s="172"/>
      <c r="C149" s="172"/>
      <c r="D149" s="172"/>
      <c r="E149" s="172"/>
      <c r="F149" s="172"/>
      <c r="G149" s="172"/>
      <c r="H149" s="172"/>
      <c r="I149" s="212"/>
      <c r="J149" s="172"/>
      <c r="K149" s="172"/>
      <c r="L149" s="172"/>
      <c r="M149" s="172"/>
      <c r="N149" s="172"/>
      <c r="O149" s="172"/>
      <c r="P149" s="172"/>
      <c r="Q149" s="172"/>
      <c r="R149" s="172"/>
      <c r="S149" s="172"/>
      <c r="T149" s="172"/>
      <c r="U149" s="172"/>
      <c r="V149" s="172"/>
      <c r="W149" s="172"/>
      <c r="X149" s="172"/>
      <c r="Y149" s="172"/>
      <c r="Z149" s="172"/>
      <c r="AA149" s="172"/>
      <c r="AB149" s="172"/>
      <c r="AC149" s="172"/>
      <c r="AD149" s="172"/>
      <c r="AE149" s="172"/>
      <c r="AF149" s="172"/>
      <c r="AG149" s="172"/>
      <c r="AH149" s="172"/>
      <c r="AI149" s="172"/>
      <c r="AJ149" s="172"/>
      <c r="AK149" s="172"/>
      <c r="AL149" s="172"/>
      <c r="AM149" s="172"/>
      <c r="AN149" s="172"/>
      <c r="AO149" s="172"/>
      <c r="AP149" s="172"/>
      <c r="AQ149" s="172"/>
      <c r="AR149" s="172"/>
      <c r="AS149" s="172"/>
      <c r="AT149" s="172"/>
      <c r="AU149" s="172"/>
      <c r="AV149" s="172"/>
      <c r="AW149" s="172"/>
      <c r="AX149" s="172"/>
      <c r="AY149" s="172"/>
      <c r="AZ149" s="172"/>
      <c r="BA149" s="172"/>
      <c r="BB149" s="172"/>
      <c r="BC149" s="172"/>
      <c r="BD149" s="172"/>
      <c r="BE149" s="172"/>
      <c r="BF149" s="172"/>
      <c r="BG149" s="172"/>
      <c r="BH149" s="172"/>
      <c r="BI149" s="172"/>
      <c r="BJ149" s="172"/>
      <c r="BK149" s="172"/>
      <c r="BL149" s="172"/>
      <c r="BM149" s="172"/>
      <c r="BN149" s="172"/>
      <c r="BO149" s="172"/>
      <c r="BP149" s="172"/>
      <c r="BQ149" s="172" t="str">
        <f>IF(OR(IFERROR(VLOOKUP(CA149,[1]ARS!A:EL,MATCH("Price To Earnings",[1]ARS!$4:$4,0),FALSE),"-")&lt;0,IFERROR(VLOOKUP(CA149,[1]ARS!A:EL,MATCH("Price To Earnings",[1]ARS!$4:$4,0),FALSE),"-")&gt;500),"-",IFERROR(VLOOKUP(CA149,[1]ARS!A:EL,MATCH("Price To Earnings",[1]ARS!$4:$4,0),FALSE),"-"))</f>
        <v>-</v>
      </c>
      <c r="BR149" s="172"/>
      <c r="BS149" s="172"/>
      <c r="BT149" s="172"/>
      <c r="BU149" s="172"/>
      <c r="BV149" s="172"/>
    </row>
    <row r="150" spans="1:74" ht="12.75" customHeight="1" x14ac:dyDescent="0.2">
      <c r="A150" s="172"/>
      <c r="B150" s="172"/>
      <c r="C150" s="172"/>
      <c r="D150" s="172"/>
      <c r="E150" s="213"/>
      <c r="F150" s="172"/>
      <c r="G150" s="172"/>
      <c r="H150" s="172"/>
      <c r="I150" s="212"/>
      <c r="J150" s="172"/>
      <c r="K150" s="172"/>
      <c r="L150" s="172"/>
      <c r="M150" s="172"/>
      <c r="N150" s="172"/>
      <c r="O150" s="172"/>
      <c r="P150" s="172"/>
      <c r="Q150" s="172"/>
      <c r="R150" s="172"/>
      <c r="S150" s="172"/>
      <c r="T150" s="172"/>
      <c r="U150" s="172"/>
      <c r="V150" s="172"/>
      <c r="W150" s="172"/>
      <c r="X150" s="172"/>
      <c r="Y150" s="172"/>
      <c r="Z150" s="172"/>
      <c r="AA150" s="172"/>
      <c r="AB150" s="172"/>
      <c r="AC150" s="172"/>
      <c r="AD150" s="172"/>
      <c r="AE150" s="172"/>
      <c r="AF150" s="172"/>
      <c r="AG150" s="172"/>
      <c r="AH150" s="172"/>
      <c r="AI150" s="172"/>
      <c r="AJ150" s="172"/>
      <c r="AK150" s="172"/>
      <c r="AL150" s="172"/>
      <c r="AM150" s="172"/>
      <c r="AN150" s="172"/>
      <c r="AO150" s="172"/>
      <c r="AP150" s="172"/>
      <c r="AQ150" s="172"/>
      <c r="AR150" s="172"/>
      <c r="AS150" s="172"/>
      <c r="AT150" s="172"/>
      <c r="AU150" s="172"/>
      <c r="AV150" s="172"/>
      <c r="AW150" s="172"/>
      <c r="AX150" s="172"/>
      <c r="AY150" s="172"/>
      <c r="AZ150" s="172"/>
      <c r="BA150" s="172"/>
      <c r="BB150" s="172"/>
      <c r="BC150" s="172"/>
      <c r="BD150" s="172"/>
      <c r="BE150" s="172"/>
      <c r="BF150" s="172"/>
      <c r="BG150" s="172"/>
      <c r="BH150" s="172"/>
      <c r="BI150" s="172"/>
      <c r="BJ150" s="172"/>
      <c r="BK150" s="172"/>
      <c r="BL150" s="172"/>
      <c r="BM150" s="172"/>
      <c r="BN150" s="172"/>
      <c r="BO150" s="172"/>
      <c r="BP150" s="172"/>
      <c r="BQ150" s="172" t="str">
        <f>IF(OR(IFERROR(VLOOKUP(CA150,[1]ARS!A:EL,MATCH("Price To Earnings",[1]ARS!$4:$4,0),FALSE),"-")&lt;0,IFERROR(VLOOKUP(CA150,[1]ARS!A:EL,MATCH("Price To Earnings",[1]ARS!$4:$4,0),FALSE),"-")&gt;500),"-",IFERROR(VLOOKUP(CA150,[1]ARS!A:EL,MATCH("Price To Earnings",[1]ARS!$4:$4,0),FALSE),"-"))</f>
        <v>-</v>
      </c>
      <c r="BR150" s="172"/>
      <c r="BS150" s="172"/>
      <c r="BT150" s="172"/>
      <c r="BU150" s="172"/>
      <c r="BV150" s="172"/>
    </row>
    <row r="151" spans="1:74" ht="12.75" customHeight="1" x14ac:dyDescent="0.2">
      <c r="A151" s="172"/>
      <c r="B151" s="172"/>
      <c r="C151" s="172"/>
      <c r="D151" s="172"/>
      <c r="E151" s="172"/>
      <c r="F151" s="172"/>
      <c r="G151" s="172"/>
      <c r="H151" s="172"/>
      <c r="I151" s="212"/>
      <c r="J151" s="172"/>
      <c r="K151" s="172"/>
      <c r="L151" s="172"/>
      <c r="M151" s="172"/>
      <c r="N151" s="172"/>
      <c r="O151" s="172"/>
      <c r="P151" s="172"/>
      <c r="Q151" s="172"/>
      <c r="R151" s="172"/>
      <c r="S151" s="172"/>
      <c r="T151" s="172"/>
      <c r="U151" s="172"/>
      <c r="V151" s="172"/>
      <c r="W151" s="172"/>
      <c r="X151" s="172"/>
      <c r="Y151" s="172"/>
      <c r="Z151" s="172"/>
      <c r="AA151" s="172"/>
      <c r="AB151" s="172"/>
      <c r="AC151" s="172"/>
      <c r="AD151" s="172"/>
      <c r="AE151" s="172"/>
      <c r="AF151" s="172"/>
      <c r="AG151" s="172"/>
      <c r="AH151" s="172"/>
      <c r="AI151" s="172"/>
      <c r="AJ151" s="172"/>
      <c r="AK151" s="172"/>
      <c r="AL151" s="172"/>
      <c r="AM151" s="172"/>
      <c r="AN151" s="172"/>
      <c r="AO151" s="172"/>
      <c r="AP151" s="172"/>
      <c r="AQ151" s="172"/>
      <c r="AR151" s="172"/>
      <c r="AS151" s="172"/>
      <c r="AT151" s="172"/>
      <c r="AU151" s="172"/>
      <c r="AV151" s="172"/>
      <c r="AW151" s="172"/>
      <c r="AX151" s="172"/>
      <c r="AY151" s="172"/>
      <c r="AZ151" s="172"/>
      <c r="BA151" s="172"/>
      <c r="BB151" s="172"/>
      <c r="BC151" s="172"/>
      <c r="BD151" s="172"/>
      <c r="BE151" s="172"/>
      <c r="BF151" s="172"/>
      <c r="BG151" s="172"/>
      <c r="BH151" s="172"/>
      <c r="BI151" s="172"/>
      <c r="BJ151" s="172"/>
      <c r="BK151" s="172"/>
      <c r="BL151" s="172"/>
      <c r="BM151" s="172"/>
      <c r="BN151" s="172"/>
      <c r="BO151" s="172"/>
      <c r="BP151" s="172"/>
      <c r="BQ151" s="172" t="str">
        <f>IF(OR(IFERROR(VLOOKUP(CA151,[1]ARS!A:EL,MATCH("Price To Earnings",[1]ARS!$4:$4,0),FALSE),"-")&lt;0,IFERROR(VLOOKUP(CA151,[1]ARS!A:EL,MATCH("Price To Earnings",[1]ARS!$4:$4,0),FALSE),"-")&gt;500),"-",IFERROR(VLOOKUP(CA151,[1]ARS!A:EL,MATCH("Price To Earnings",[1]ARS!$4:$4,0),FALSE),"-"))</f>
        <v>-</v>
      </c>
      <c r="BR151" s="172"/>
      <c r="BS151" s="172"/>
      <c r="BT151" s="172"/>
      <c r="BU151" s="172"/>
      <c r="BV151" s="172"/>
    </row>
    <row r="152" spans="1:74" ht="12.75" customHeight="1" x14ac:dyDescent="0.2">
      <c r="A152" s="172"/>
      <c r="B152" s="172"/>
      <c r="C152" s="172"/>
      <c r="D152" s="172"/>
      <c r="E152" s="172"/>
      <c r="F152" s="172"/>
      <c r="G152" s="172"/>
      <c r="H152" s="172"/>
      <c r="I152" s="212"/>
      <c r="J152" s="172"/>
      <c r="K152" s="172"/>
      <c r="L152" s="172"/>
      <c r="M152" s="172"/>
      <c r="N152" s="172"/>
      <c r="O152" s="172"/>
      <c r="P152" s="172"/>
      <c r="Q152" s="172"/>
      <c r="R152" s="172"/>
      <c r="S152" s="172"/>
      <c r="T152" s="172"/>
      <c r="U152" s="172"/>
      <c r="V152" s="172"/>
      <c r="W152" s="172"/>
      <c r="X152" s="172"/>
      <c r="Y152" s="172"/>
      <c r="Z152" s="172"/>
      <c r="AA152" s="172"/>
      <c r="AB152" s="172"/>
      <c r="AC152" s="172"/>
      <c r="AD152" s="172"/>
      <c r="AE152" s="172"/>
      <c r="AF152" s="172"/>
      <c r="AG152" s="172"/>
      <c r="AH152" s="172"/>
      <c r="AI152" s="172"/>
      <c r="AJ152" s="172"/>
      <c r="AK152" s="172"/>
      <c r="AL152" s="172"/>
      <c r="AM152" s="172"/>
      <c r="AN152" s="172"/>
      <c r="AO152" s="172"/>
      <c r="AP152" s="172"/>
      <c r="AQ152" s="172"/>
      <c r="AR152" s="172"/>
      <c r="AS152" s="172"/>
      <c r="AT152" s="172"/>
      <c r="AU152" s="172"/>
      <c r="AV152" s="172"/>
      <c r="AW152" s="172"/>
      <c r="AX152" s="172"/>
      <c r="AY152" s="172"/>
      <c r="AZ152" s="172"/>
      <c r="BA152" s="172"/>
      <c r="BB152" s="172"/>
      <c r="BC152" s="172"/>
      <c r="BD152" s="172"/>
      <c r="BE152" s="172"/>
      <c r="BF152" s="172"/>
      <c r="BG152" s="172"/>
      <c r="BH152" s="172"/>
      <c r="BI152" s="172"/>
      <c r="BJ152" s="172"/>
      <c r="BK152" s="172"/>
      <c r="BL152" s="172"/>
      <c r="BM152" s="172"/>
      <c r="BN152" s="172"/>
      <c r="BO152" s="172"/>
      <c r="BP152" s="172"/>
      <c r="BQ152" s="172" t="str">
        <f>IF(OR(IFERROR(VLOOKUP(CA152,[1]ARS!A:EL,MATCH("Price To Earnings",[1]ARS!$4:$4,0),FALSE),"-")&lt;0,IFERROR(VLOOKUP(CA152,[1]ARS!A:EL,MATCH("Price To Earnings",[1]ARS!$4:$4,0),FALSE),"-")&gt;500),"-",IFERROR(VLOOKUP(CA152,[1]ARS!A:EL,MATCH("Price To Earnings",[1]ARS!$4:$4,0),FALSE),"-"))</f>
        <v>-</v>
      </c>
      <c r="BR152" s="172"/>
      <c r="BS152" s="172"/>
      <c r="BT152" s="172"/>
      <c r="BU152" s="172"/>
      <c r="BV152" s="172"/>
    </row>
    <row r="153" spans="1:74" ht="12.75" customHeight="1" x14ac:dyDescent="0.2">
      <c r="A153" s="172"/>
      <c r="B153" s="172"/>
      <c r="C153" s="172"/>
      <c r="D153" s="172"/>
      <c r="E153" s="172"/>
      <c r="F153" s="172"/>
      <c r="G153" s="172"/>
      <c r="H153" s="172"/>
      <c r="I153" s="212"/>
      <c r="J153" s="172"/>
      <c r="K153" s="172"/>
      <c r="L153" s="172"/>
      <c r="M153" s="172"/>
      <c r="N153" s="172"/>
      <c r="O153" s="172"/>
      <c r="P153" s="172"/>
      <c r="Q153" s="172"/>
      <c r="R153" s="172"/>
      <c r="S153" s="172"/>
      <c r="T153" s="172"/>
      <c r="U153" s="172"/>
      <c r="V153" s="172"/>
      <c r="W153" s="172"/>
      <c r="X153" s="172"/>
      <c r="Y153" s="172"/>
      <c r="Z153" s="172"/>
      <c r="AA153" s="172"/>
      <c r="AB153" s="172"/>
      <c r="AC153" s="172"/>
      <c r="AD153" s="172"/>
      <c r="AE153" s="172"/>
      <c r="AF153" s="172"/>
      <c r="AG153" s="172"/>
      <c r="AH153" s="172"/>
      <c r="AI153" s="172"/>
      <c r="AJ153" s="172"/>
      <c r="AK153" s="172"/>
      <c r="AL153" s="172"/>
      <c r="AM153" s="172"/>
      <c r="AN153" s="172"/>
      <c r="AO153" s="172"/>
      <c r="AP153" s="172"/>
      <c r="AQ153" s="172"/>
      <c r="AR153" s="172"/>
      <c r="AS153" s="172"/>
      <c r="AT153" s="172"/>
      <c r="AU153" s="172"/>
      <c r="AV153" s="172"/>
      <c r="AW153" s="172"/>
      <c r="AX153" s="172"/>
      <c r="AY153" s="172"/>
      <c r="AZ153" s="172"/>
      <c r="BA153" s="172"/>
      <c r="BB153" s="172"/>
      <c r="BC153" s="172"/>
      <c r="BD153" s="172"/>
      <c r="BE153" s="172"/>
      <c r="BF153" s="172"/>
      <c r="BG153" s="172"/>
      <c r="BH153" s="172"/>
      <c r="BI153" s="172"/>
      <c r="BJ153" s="172"/>
      <c r="BK153" s="172"/>
      <c r="BL153" s="172"/>
      <c r="BM153" s="172"/>
      <c r="BN153" s="172"/>
      <c r="BO153" s="172"/>
      <c r="BP153" s="172"/>
      <c r="BQ153" s="172" t="str">
        <f>IF(OR(IFERROR(VLOOKUP(CA153,[1]ARS!A:EL,MATCH("Price To Earnings",[1]ARS!$4:$4,0),FALSE),"-")&lt;0,IFERROR(VLOOKUP(CA153,[1]ARS!A:EL,MATCH("Price To Earnings",[1]ARS!$4:$4,0),FALSE),"-")&gt;500),"-",IFERROR(VLOOKUP(CA153,[1]ARS!A:EL,MATCH("Price To Earnings",[1]ARS!$4:$4,0),FALSE),"-"))</f>
        <v>-</v>
      </c>
      <c r="BR153" s="172"/>
      <c r="BS153" s="172"/>
      <c r="BT153" s="172"/>
      <c r="BU153" s="172"/>
      <c r="BV153" s="172"/>
    </row>
    <row r="154" spans="1:74" ht="12.75" customHeight="1" x14ac:dyDescent="0.2">
      <c r="A154" s="172"/>
      <c r="B154" s="172"/>
      <c r="C154" s="172"/>
      <c r="D154" s="172"/>
      <c r="E154" s="172"/>
      <c r="F154" s="172"/>
      <c r="G154" s="172"/>
      <c r="H154" s="172"/>
      <c r="I154" s="212"/>
      <c r="J154" s="172"/>
      <c r="K154" s="172"/>
      <c r="L154" s="172"/>
      <c r="M154" s="172"/>
      <c r="N154" s="172"/>
      <c r="O154" s="172"/>
      <c r="P154" s="172"/>
      <c r="Q154" s="172"/>
      <c r="R154" s="172"/>
      <c r="S154" s="172"/>
      <c r="T154" s="172"/>
      <c r="U154" s="172"/>
      <c r="V154" s="172"/>
      <c r="W154" s="172"/>
      <c r="X154" s="172"/>
      <c r="Y154" s="172"/>
      <c r="Z154" s="172"/>
      <c r="AA154" s="172"/>
      <c r="AB154" s="172"/>
      <c r="AC154" s="172"/>
      <c r="AD154" s="172"/>
      <c r="AE154" s="172"/>
      <c r="AF154" s="172"/>
      <c r="AG154" s="172"/>
      <c r="AH154" s="172"/>
      <c r="AI154" s="172"/>
      <c r="AJ154" s="172"/>
      <c r="AK154" s="172"/>
      <c r="AL154" s="172"/>
      <c r="AM154" s="172"/>
      <c r="AN154" s="172"/>
      <c r="AO154" s="172"/>
      <c r="AP154" s="172"/>
      <c r="AQ154" s="172"/>
      <c r="AR154" s="172"/>
      <c r="AS154" s="172"/>
      <c r="AT154" s="172"/>
      <c r="AU154" s="172"/>
      <c r="AV154" s="172"/>
      <c r="AW154" s="172"/>
      <c r="AX154" s="172"/>
      <c r="AY154" s="172"/>
      <c r="AZ154" s="172"/>
      <c r="BA154" s="172"/>
      <c r="BB154" s="172"/>
      <c r="BC154" s="172"/>
      <c r="BD154" s="172"/>
      <c r="BE154" s="172"/>
      <c r="BF154" s="172"/>
      <c r="BG154" s="172"/>
      <c r="BH154" s="172"/>
      <c r="BI154" s="172"/>
      <c r="BJ154" s="172"/>
      <c r="BK154" s="172"/>
      <c r="BL154" s="172"/>
      <c r="BM154" s="172"/>
      <c r="BN154" s="172"/>
      <c r="BO154" s="172"/>
      <c r="BP154" s="172"/>
      <c r="BQ154" s="172"/>
      <c r="BR154" s="172"/>
      <c r="BS154" s="172"/>
      <c r="BT154" s="172"/>
      <c r="BU154" s="172"/>
      <c r="BV154" s="172"/>
    </row>
    <row r="155" spans="1:74" ht="12.75" customHeight="1" x14ac:dyDescent="0.2">
      <c r="A155" s="172"/>
      <c r="B155" s="172"/>
      <c r="C155" s="172"/>
      <c r="D155" s="172"/>
      <c r="E155" s="172"/>
      <c r="F155" s="172"/>
      <c r="G155" s="172"/>
      <c r="H155" s="172"/>
      <c r="I155" s="212"/>
      <c r="J155" s="172"/>
      <c r="K155" s="172"/>
      <c r="L155" s="172"/>
      <c r="M155" s="172"/>
      <c r="N155" s="172"/>
      <c r="O155" s="172"/>
      <c r="P155" s="172"/>
      <c r="Q155" s="172"/>
      <c r="R155" s="172"/>
      <c r="S155" s="172"/>
      <c r="T155" s="172"/>
      <c r="U155" s="172"/>
      <c r="V155" s="172"/>
      <c r="W155" s="172"/>
      <c r="X155" s="172"/>
      <c r="Y155" s="172"/>
      <c r="Z155" s="172"/>
      <c r="AA155" s="172"/>
      <c r="AB155" s="172"/>
      <c r="AC155" s="172"/>
      <c r="AD155" s="172"/>
      <c r="AE155" s="172"/>
      <c r="AF155" s="172"/>
      <c r="AG155" s="172"/>
      <c r="AH155" s="172"/>
      <c r="AI155" s="172"/>
      <c r="AJ155" s="172"/>
      <c r="AK155" s="172"/>
      <c r="AL155" s="172"/>
      <c r="AM155" s="172"/>
      <c r="AN155" s="172"/>
      <c r="AO155" s="172"/>
      <c r="AP155" s="172"/>
      <c r="AQ155" s="172"/>
      <c r="AR155" s="172"/>
      <c r="AS155" s="172"/>
      <c r="AT155" s="172"/>
      <c r="AU155" s="172"/>
      <c r="AV155" s="172"/>
      <c r="AW155" s="172"/>
      <c r="AX155" s="172"/>
      <c r="AY155" s="172"/>
      <c r="AZ155" s="172"/>
      <c r="BA155" s="172"/>
      <c r="BB155" s="172"/>
      <c r="BC155" s="172"/>
      <c r="BD155" s="172"/>
      <c r="BE155" s="172"/>
      <c r="BF155" s="172"/>
      <c r="BG155" s="172"/>
      <c r="BH155" s="172"/>
      <c r="BI155" s="172"/>
      <c r="BJ155" s="172"/>
      <c r="BK155" s="172"/>
      <c r="BL155" s="172"/>
      <c r="BM155" s="172"/>
      <c r="BN155" s="172"/>
      <c r="BO155" s="172"/>
      <c r="BP155" s="172"/>
      <c r="BQ155" s="172" t="str">
        <f>IF(OR(IFERROR(VLOOKUP(CA155,[1]ARS!A:EL,MATCH("Price To Earnings",[1]ARS!$4:$4,0),FALSE),"-")&lt;0,IFERROR(VLOOKUP(CA155,[1]ARS!A:EL,MATCH("Price To Earnings",[1]ARS!$4:$4,0),FALSE),"-")&gt;500),"-",IFERROR(VLOOKUP(CA155,[1]ARS!A:EL,MATCH("Price To Earnings",[1]ARS!$4:$4,0),FALSE),"-"))</f>
        <v>-</v>
      </c>
      <c r="BR155" s="172"/>
      <c r="BS155" s="172"/>
      <c r="BT155" s="172"/>
      <c r="BU155" s="172"/>
      <c r="BV155" s="172"/>
    </row>
    <row r="156" spans="1:74" ht="12.75" customHeight="1" x14ac:dyDescent="0.2">
      <c r="A156" s="172"/>
      <c r="B156" s="172"/>
      <c r="C156" s="172"/>
      <c r="D156" s="172"/>
      <c r="E156" s="172"/>
      <c r="F156" s="172"/>
      <c r="G156" s="172"/>
      <c r="H156" s="172"/>
      <c r="I156" s="212"/>
      <c r="J156" s="172"/>
      <c r="K156" s="172"/>
      <c r="L156" s="172"/>
      <c r="M156" s="172"/>
      <c r="N156" s="172"/>
      <c r="O156" s="172"/>
      <c r="P156" s="172"/>
      <c r="Q156" s="172"/>
      <c r="R156" s="172"/>
      <c r="S156" s="172"/>
      <c r="T156" s="172"/>
      <c r="U156" s="172"/>
      <c r="V156" s="172"/>
      <c r="W156" s="172"/>
      <c r="X156" s="172"/>
      <c r="Y156" s="172"/>
      <c r="Z156" s="172"/>
      <c r="AA156" s="172"/>
      <c r="AB156" s="172"/>
      <c r="AC156" s="172"/>
      <c r="AD156" s="172"/>
      <c r="AE156" s="172"/>
      <c r="AF156" s="172"/>
      <c r="AG156" s="172"/>
      <c r="AH156" s="172"/>
      <c r="AI156" s="172"/>
      <c r="AJ156" s="172"/>
      <c r="AK156" s="172"/>
      <c r="AL156" s="172"/>
      <c r="AM156" s="172"/>
      <c r="AN156" s="172"/>
      <c r="AO156" s="172"/>
      <c r="AP156" s="172"/>
      <c r="AQ156" s="172"/>
      <c r="AR156" s="172"/>
      <c r="AS156" s="172"/>
      <c r="AT156" s="172"/>
      <c r="AU156" s="172"/>
      <c r="AV156" s="172"/>
      <c r="AW156" s="172"/>
      <c r="AX156" s="172"/>
      <c r="AY156" s="172"/>
      <c r="AZ156" s="172"/>
      <c r="BA156" s="172"/>
      <c r="BB156" s="172"/>
      <c r="BC156" s="172"/>
      <c r="BD156" s="172"/>
      <c r="BE156" s="172"/>
      <c r="BF156" s="172"/>
      <c r="BG156" s="172"/>
      <c r="BH156" s="172"/>
      <c r="BI156" s="172"/>
      <c r="BJ156" s="172"/>
      <c r="BK156" s="172"/>
      <c r="BL156" s="172"/>
      <c r="BM156" s="172"/>
      <c r="BN156" s="172"/>
      <c r="BO156" s="172"/>
      <c r="BP156" s="172"/>
      <c r="BQ156" s="172" t="str">
        <f>IF(OR(IFERROR(VLOOKUP(CA156,[1]ARS!A:EL,MATCH("Price To Earnings",[1]ARS!$4:$4,0),FALSE),"-")&lt;0,IFERROR(VLOOKUP(CA156,[1]ARS!A:EL,MATCH("Price To Earnings",[1]ARS!$4:$4,0),FALSE),"-")&gt;500),"-",IFERROR(VLOOKUP(CA156,[1]ARS!A:EL,MATCH("Price To Earnings",[1]ARS!$4:$4,0),FALSE),"-"))</f>
        <v>-</v>
      </c>
      <c r="BR156" s="172"/>
      <c r="BS156" s="172"/>
      <c r="BT156" s="172"/>
      <c r="BU156" s="172"/>
      <c r="BV156" s="172"/>
    </row>
    <row r="157" spans="1:74" ht="12.75" customHeight="1" x14ac:dyDescent="0.2">
      <c r="A157" s="172"/>
      <c r="B157" s="172"/>
      <c r="C157" s="172"/>
      <c r="D157" s="172"/>
      <c r="E157" s="172"/>
      <c r="F157" s="172"/>
      <c r="G157" s="172"/>
      <c r="H157" s="172"/>
      <c r="I157" s="212"/>
      <c r="J157" s="172"/>
      <c r="K157" s="172"/>
      <c r="L157" s="172"/>
      <c r="M157" s="172"/>
      <c r="N157" s="172"/>
      <c r="O157" s="172"/>
      <c r="P157" s="172"/>
      <c r="Q157" s="172"/>
      <c r="R157" s="172"/>
      <c r="S157" s="172"/>
      <c r="T157" s="172"/>
      <c r="U157" s="172"/>
      <c r="V157" s="172"/>
      <c r="W157" s="172"/>
      <c r="X157" s="172"/>
      <c r="Y157" s="172"/>
      <c r="Z157" s="172"/>
      <c r="AA157" s="172"/>
      <c r="AB157" s="172"/>
      <c r="AC157" s="172"/>
      <c r="AD157" s="172"/>
      <c r="AE157" s="172"/>
      <c r="AF157" s="172"/>
      <c r="AG157" s="172"/>
      <c r="AH157" s="172"/>
      <c r="AI157" s="172"/>
      <c r="AJ157" s="172"/>
      <c r="AK157" s="172"/>
      <c r="AL157" s="172"/>
      <c r="AM157" s="172"/>
      <c r="AN157" s="172"/>
      <c r="AO157" s="172"/>
      <c r="AP157" s="172"/>
      <c r="AQ157" s="172"/>
      <c r="AR157" s="172"/>
      <c r="AS157" s="172"/>
      <c r="AT157" s="172"/>
      <c r="AU157" s="172"/>
      <c r="AV157" s="172"/>
      <c r="AW157" s="172"/>
      <c r="AX157" s="172"/>
      <c r="AY157" s="172"/>
      <c r="AZ157" s="172"/>
      <c r="BA157" s="172"/>
      <c r="BB157" s="172"/>
      <c r="BC157" s="172"/>
      <c r="BD157" s="172"/>
      <c r="BE157" s="172"/>
      <c r="BF157" s="172"/>
      <c r="BG157" s="172"/>
      <c r="BH157" s="172"/>
      <c r="BI157" s="172"/>
      <c r="BJ157" s="172"/>
      <c r="BK157" s="172"/>
      <c r="BL157" s="172"/>
      <c r="BM157" s="172"/>
      <c r="BN157" s="172"/>
      <c r="BO157" s="172"/>
      <c r="BP157" s="172"/>
      <c r="BQ157" s="172"/>
      <c r="BR157" s="172"/>
      <c r="BS157" s="172"/>
      <c r="BT157" s="172"/>
      <c r="BU157" s="172"/>
      <c r="BV157" s="172"/>
    </row>
    <row r="158" spans="1:74" ht="12.75" customHeight="1" x14ac:dyDescent="0.2">
      <c r="A158" s="172"/>
      <c r="B158" s="172"/>
      <c r="C158" s="172"/>
      <c r="D158" s="172"/>
      <c r="E158" s="172"/>
      <c r="F158" s="172"/>
      <c r="G158" s="172"/>
      <c r="H158" s="172"/>
      <c r="I158" s="212"/>
      <c r="J158" s="172"/>
      <c r="K158" s="172"/>
      <c r="L158" s="172"/>
      <c r="M158" s="172"/>
      <c r="N158" s="172"/>
      <c r="O158" s="172"/>
      <c r="P158" s="172"/>
      <c r="Q158" s="172"/>
      <c r="R158" s="172"/>
      <c r="S158" s="172"/>
      <c r="T158" s="172"/>
      <c r="U158" s="172"/>
      <c r="V158" s="172"/>
      <c r="W158" s="172"/>
      <c r="X158" s="172"/>
      <c r="Y158" s="172"/>
      <c r="Z158" s="172"/>
      <c r="AA158" s="172"/>
      <c r="AB158" s="172"/>
      <c r="AC158" s="172"/>
      <c r="AD158" s="172"/>
      <c r="AE158" s="172"/>
      <c r="AF158" s="172"/>
      <c r="AG158" s="172"/>
      <c r="AH158" s="172"/>
      <c r="AI158" s="172"/>
      <c r="AJ158" s="172"/>
      <c r="AK158" s="172"/>
      <c r="AL158" s="172"/>
      <c r="AM158" s="172"/>
      <c r="AN158" s="172"/>
      <c r="AO158" s="172"/>
      <c r="AP158" s="172"/>
      <c r="AQ158" s="172"/>
      <c r="AR158" s="172"/>
      <c r="AS158" s="172"/>
      <c r="AT158" s="172"/>
      <c r="AU158" s="172"/>
      <c r="AV158" s="172"/>
      <c r="AW158" s="172"/>
      <c r="AX158" s="172"/>
      <c r="AY158" s="172"/>
      <c r="AZ158" s="172"/>
      <c r="BA158" s="172"/>
      <c r="BB158" s="172"/>
      <c r="BC158" s="172"/>
      <c r="BD158" s="172"/>
      <c r="BE158" s="172"/>
      <c r="BF158" s="172"/>
      <c r="BG158" s="172"/>
      <c r="BH158" s="172"/>
      <c r="BI158" s="172"/>
      <c r="BJ158" s="172"/>
      <c r="BK158" s="172"/>
      <c r="BL158" s="172"/>
      <c r="BM158" s="172"/>
      <c r="BN158" s="172"/>
      <c r="BO158" s="172"/>
      <c r="BP158" s="172"/>
      <c r="BQ158" s="172"/>
      <c r="BR158" s="172"/>
      <c r="BS158" s="172"/>
      <c r="BT158" s="172"/>
      <c r="BU158" s="172"/>
      <c r="BV158" s="172"/>
    </row>
    <row r="159" spans="1:74" ht="12.75" customHeight="1" x14ac:dyDescent="0.2">
      <c r="A159" s="172"/>
      <c r="B159" s="172"/>
      <c r="C159" s="172"/>
      <c r="D159" s="172"/>
      <c r="E159" s="172"/>
      <c r="F159" s="172"/>
      <c r="G159" s="172"/>
      <c r="H159" s="172"/>
      <c r="I159" s="212"/>
      <c r="J159" s="172"/>
      <c r="K159" s="172"/>
      <c r="L159" s="172"/>
      <c r="M159" s="172"/>
      <c r="N159" s="172"/>
      <c r="O159" s="172"/>
      <c r="P159" s="172"/>
      <c r="Q159" s="172"/>
      <c r="R159" s="172"/>
      <c r="S159" s="172"/>
      <c r="T159" s="172"/>
      <c r="U159" s="172"/>
      <c r="V159" s="172"/>
      <c r="W159" s="172"/>
      <c r="X159" s="172"/>
      <c r="Y159" s="172"/>
      <c r="Z159" s="172"/>
      <c r="AA159" s="172"/>
      <c r="AB159" s="172"/>
      <c r="AC159" s="172"/>
      <c r="AD159" s="172"/>
      <c r="AE159" s="172"/>
      <c r="AF159" s="172"/>
      <c r="AG159" s="172"/>
      <c r="AH159" s="172"/>
      <c r="AI159" s="172"/>
      <c r="AJ159" s="172"/>
      <c r="AK159" s="172"/>
      <c r="AL159" s="172"/>
      <c r="AM159" s="172"/>
      <c r="AN159" s="172"/>
      <c r="AO159" s="172"/>
      <c r="AP159" s="172"/>
      <c r="AQ159" s="172"/>
      <c r="AR159" s="172"/>
      <c r="AS159" s="172"/>
      <c r="AT159" s="172"/>
      <c r="AU159" s="172"/>
      <c r="AV159" s="172"/>
      <c r="AW159" s="172"/>
      <c r="AX159" s="172"/>
      <c r="AY159" s="172"/>
      <c r="AZ159" s="172"/>
      <c r="BA159" s="172"/>
      <c r="BB159" s="172"/>
      <c r="BC159" s="172"/>
      <c r="BD159" s="172"/>
      <c r="BE159" s="172"/>
      <c r="BF159" s="172"/>
      <c r="BG159" s="172"/>
      <c r="BH159" s="172"/>
      <c r="BI159" s="172"/>
      <c r="BJ159" s="172"/>
      <c r="BK159" s="172"/>
      <c r="BL159" s="172"/>
      <c r="BM159" s="172"/>
      <c r="BN159" s="172"/>
      <c r="BO159" s="172"/>
      <c r="BP159" s="172"/>
      <c r="BQ159" s="172"/>
      <c r="BR159" s="172"/>
      <c r="BS159" s="172"/>
      <c r="BT159" s="172"/>
      <c r="BU159" s="172"/>
      <c r="BV159" s="172"/>
    </row>
    <row r="160" spans="1:74" ht="12.75" customHeight="1" x14ac:dyDescent="0.2">
      <c r="A160" s="172"/>
      <c r="B160" s="172"/>
      <c r="C160" s="172"/>
      <c r="D160" s="172"/>
      <c r="E160" s="172"/>
      <c r="F160" s="172"/>
      <c r="G160" s="172"/>
      <c r="H160" s="172"/>
      <c r="I160" s="212"/>
      <c r="J160" s="172"/>
      <c r="K160" s="172"/>
      <c r="L160" s="172"/>
      <c r="M160" s="172"/>
      <c r="N160" s="172"/>
      <c r="O160" s="172"/>
      <c r="P160" s="172"/>
      <c r="Q160" s="172"/>
      <c r="R160" s="172"/>
      <c r="S160" s="172"/>
      <c r="T160" s="172"/>
      <c r="U160" s="172"/>
      <c r="V160" s="172"/>
      <c r="W160" s="172"/>
      <c r="X160" s="172"/>
      <c r="Y160" s="172"/>
      <c r="Z160" s="172"/>
      <c r="AA160" s="172"/>
      <c r="AB160" s="172"/>
      <c r="AC160" s="172"/>
      <c r="AD160" s="172"/>
      <c r="AE160" s="172"/>
      <c r="AF160" s="172"/>
      <c r="AG160" s="172"/>
      <c r="AH160" s="172"/>
      <c r="AI160" s="172"/>
      <c r="AJ160" s="172"/>
      <c r="AK160" s="172"/>
      <c r="AL160" s="172"/>
      <c r="AM160" s="172"/>
      <c r="AN160" s="172"/>
      <c r="AO160" s="172"/>
      <c r="AP160" s="172"/>
      <c r="AQ160" s="172"/>
      <c r="AR160" s="172"/>
      <c r="AS160" s="172"/>
      <c r="AT160" s="172"/>
      <c r="AU160" s="172"/>
      <c r="AV160" s="172"/>
      <c r="AW160" s="172"/>
      <c r="AX160" s="172"/>
      <c r="AY160" s="172"/>
      <c r="AZ160" s="172"/>
      <c r="BA160" s="172"/>
      <c r="BB160" s="172"/>
      <c r="BC160" s="172"/>
      <c r="BD160" s="172"/>
      <c r="BE160" s="172"/>
      <c r="BF160" s="172"/>
      <c r="BG160" s="172"/>
      <c r="BH160" s="172"/>
      <c r="BI160" s="172"/>
      <c r="BJ160" s="172"/>
      <c r="BK160" s="172"/>
      <c r="BL160" s="172"/>
      <c r="BM160" s="172"/>
      <c r="BN160" s="172"/>
      <c r="BO160" s="172"/>
      <c r="BP160" s="172"/>
      <c r="BQ160" s="172"/>
      <c r="BR160" s="172"/>
      <c r="BS160" s="172"/>
      <c r="BT160" s="172"/>
      <c r="BU160" s="172"/>
      <c r="BV160" s="172"/>
    </row>
    <row r="161" spans="1:74" ht="12.75" customHeight="1" x14ac:dyDescent="0.2">
      <c r="A161" s="172"/>
      <c r="B161" s="172"/>
      <c r="C161" s="172"/>
      <c r="D161" s="172"/>
      <c r="E161" s="172"/>
      <c r="F161" s="172"/>
      <c r="G161" s="172"/>
      <c r="H161" s="172"/>
      <c r="I161" s="212"/>
      <c r="J161" s="172"/>
      <c r="K161" s="172"/>
      <c r="L161" s="172"/>
      <c r="M161" s="172"/>
      <c r="N161" s="172"/>
      <c r="O161" s="172"/>
      <c r="P161" s="172"/>
      <c r="Q161" s="172"/>
      <c r="R161" s="172"/>
      <c r="S161" s="172"/>
      <c r="T161" s="172"/>
      <c r="U161" s="172"/>
      <c r="V161" s="172"/>
      <c r="W161" s="172"/>
      <c r="X161" s="172"/>
      <c r="Y161" s="172"/>
      <c r="Z161" s="172"/>
      <c r="AA161" s="172"/>
      <c r="AB161" s="172"/>
      <c r="AC161" s="172"/>
      <c r="AD161" s="172"/>
      <c r="AE161" s="172"/>
      <c r="AF161" s="172"/>
      <c r="AG161" s="172"/>
      <c r="AH161" s="172"/>
      <c r="AI161" s="172"/>
      <c r="AJ161" s="172"/>
      <c r="AK161" s="172"/>
      <c r="AL161" s="172"/>
      <c r="AM161" s="172"/>
      <c r="AN161" s="172"/>
      <c r="AO161" s="172"/>
      <c r="AP161" s="172"/>
      <c r="AQ161" s="172"/>
      <c r="AR161" s="172"/>
      <c r="AS161" s="172"/>
      <c r="AT161" s="172"/>
      <c r="AU161" s="172"/>
      <c r="AV161" s="172"/>
      <c r="AW161" s="172"/>
      <c r="AX161" s="172"/>
      <c r="AY161" s="172"/>
      <c r="AZ161" s="172"/>
      <c r="BA161" s="172"/>
      <c r="BB161" s="172"/>
      <c r="BC161" s="172"/>
      <c r="BD161" s="172"/>
      <c r="BE161" s="172"/>
      <c r="BF161" s="172"/>
      <c r="BG161" s="172"/>
      <c r="BH161" s="172"/>
      <c r="BI161" s="172"/>
      <c r="BJ161" s="172"/>
      <c r="BK161" s="172"/>
      <c r="BL161" s="172"/>
      <c r="BM161" s="172"/>
      <c r="BN161" s="172"/>
      <c r="BO161" s="172"/>
      <c r="BP161" s="172"/>
      <c r="BQ161" s="172"/>
      <c r="BR161" s="172"/>
      <c r="BS161" s="172"/>
      <c r="BT161" s="172"/>
      <c r="BU161" s="172"/>
      <c r="BV161" s="172"/>
    </row>
    <row r="162" spans="1:74" ht="12.75" customHeight="1" x14ac:dyDescent="0.2">
      <c r="A162" s="172"/>
      <c r="B162" s="172"/>
      <c r="C162" s="172"/>
      <c r="D162" s="172"/>
      <c r="E162" s="172"/>
      <c r="F162" s="172"/>
      <c r="G162" s="172"/>
      <c r="H162" s="172"/>
      <c r="I162" s="212"/>
      <c r="J162" s="172"/>
      <c r="K162" s="172"/>
      <c r="L162" s="172"/>
      <c r="M162" s="172"/>
      <c r="N162" s="172"/>
      <c r="O162" s="172"/>
      <c r="P162" s="172"/>
      <c r="Q162" s="172"/>
      <c r="R162" s="172"/>
      <c r="S162" s="172"/>
      <c r="T162" s="172"/>
      <c r="U162" s="172"/>
      <c r="V162" s="172"/>
      <c r="W162" s="172"/>
      <c r="X162" s="172"/>
      <c r="Y162" s="172"/>
      <c r="Z162" s="172"/>
      <c r="AA162" s="172"/>
      <c r="AB162" s="172"/>
      <c r="AC162" s="172"/>
      <c r="AD162" s="172"/>
      <c r="AE162" s="172"/>
      <c r="AF162" s="172"/>
      <c r="AG162" s="172"/>
      <c r="AH162" s="172"/>
      <c r="AI162" s="172"/>
      <c r="AJ162" s="172"/>
      <c r="AK162" s="172"/>
      <c r="AL162" s="172"/>
      <c r="AM162" s="172"/>
      <c r="AN162" s="172"/>
      <c r="AO162" s="172"/>
      <c r="AP162" s="172"/>
      <c r="AQ162" s="172"/>
      <c r="AR162" s="172"/>
      <c r="AS162" s="172"/>
      <c r="AT162" s="172"/>
      <c r="AU162" s="172"/>
      <c r="AV162" s="172"/>
      <c r="AW162" s="172"/>
      <c r="AX162" s="172"/>
      <c r="AY162" s="172"/>
      <c r="AZ162" s="172"/>
      <c r="BA162" s="172"/>
      <c r="BB162" s="172"/>
      <c r="BC162" s="172"/>
      <c r="BD162" s="172"/>
      <c r="BE162" s="172"/>
      <c r="BF162" s="172"/>
      <c r="BG162" s="172"/>
      <c r="BH162" s="172"/>
      <c r="BI162" s="172"/>
      <c r="BJ162" s="172"/>
      <c r="BK162" s="172"/>
      <c r="BL162" s="172"/>
      <c r="BM162" s="172"/>
      <c r="BN162" s="172"/>
      <c r="BO162" s="172"/>
      <c r="BP162" s="172"/>
      <c r="BQ162" s="172"/>
      <c r="BR162" s="172"/>
      <c r="BS162" s="172"/>
      <c r="BT162" s="172"/>
      <c r="BU162" s="172"/>
      <c r="BV162" s="172"/>
    </row>
    <row r="163" spans="1:74" ht="12.75" customHeight="1" x14ac:dyDescent="0.2">
      <c r="A163" s="172"/>
      <c r="B163" s="172"/>
      <c r="C163" s="172"/>
      <c r="D163" s="172"/>
      <c r="E163" s="172"/>
      <c r="F163" s="172"/>
      <c r="G163" s="172"/>
      <c r="H163" s="172"/>
      <c r="I163" s="212"/>
      <c r="J163" s="172"/>
      <c r="K163" s="172"/>
      <c r="L163" s="172"/>
      <c r="M163" s="172"/>
      <c r="N163" s="172"/>
      <c r="O163" s="172"/>
      <c r="P163" s="172"/>
      <c r="Q163" s="172"/>
      <c r="R163" s="172"/>
      <c r="S163" s="172"/>
      <c r="T163" s="172"/>
      <c r="U163" s="172"/>
      <c r="V163" s="172"/>
      <c r="W163" s="172"/>
      <c r="X163" s="172"/>
      <c r="Y163" s="172"/>
      <c r="Z163" s="172"/>
      <c r="AA163" s="172"/>
      <c r="AB163" s="172"/>
      <c r="AC163" s="172"/>
      <c r="AD163" s="172"/>
      <c r="AE163" s="172"/>
      <c r="AF163" s="172"/>
      <c r="AG163" s="172"/>
      <c r="AH163" s="172"/>
      <c r="AI163" s="172"/>
      <c r="AJ163" s="172"/>
      <c r="AK163" s="172"/>
      <c r="AL163" s="172"/>
      <c r="AM163" s="172"/>
      <c r="AN163" s="172"/>
      <c r="AO163" s="172"/>
      <c r="AP163" s="172"/>
      <c r="AQ163" s="172"/>
      <c r="AR163" s="172"/>
      <c r="AS163" s="172"/>
      <c r="AT163" s="172"/>
      <c r="AU163" s="172"/>
      <c r="AV163" s="172"/>
      <c r="AW163" s="172"/>
      <c r="AX163" s="172"/>
      <c r="AY163" s="172"/>
      <c r="AZ163" s="172"/>
      <c r="BA163" s="172"/>
      <c r="BB163" s="172"/>
      <c r="BC163" s="172"/>
      <c r="BD163" s="172"/>
      <c r="BE163" s="172"/>
      <c r="BF163" s="172"/>
      <c r="BG163" s="172"/>
      <c r="BH163" s="172"/>
      <c r="BI163" s="172"/>
      <c r="BJ163" s="172"/>
      <c r="BK163" s="172"/>
      <c r="BL163" s="172"/>
      <c r="BM163" s="172"/>
      <c r="BN163" s="172"/>
      <c r="BO163" s="172"/>
      <c r="BP163" s="172"/>
      <c r="BQ163" s="172"/>
      <c r="BR163" s="172"/>
      <c r="BS163" s="172"/>
      <c r="BT163" s="172"/>
      <c r="BU163" s="172"/>
      <c r="BV163" s="172"/>
    </row>
    <row r="164" spans="1:74" ht="12.75" customHeight="1" x14ac:dyDescent="0.2">
      <c r="A164" s="172"/>
      <c r="B164" s="172"/>
      <c r="C164" s="172"/>
      <c r="D164" s="172"/>
      <c r="E164" s="172"/>
      <c r="F164" s="172"/>
      <c r="G164" s="172"/>
      <c r="H164" s="172"/>
      <c r="I164" s="212"/>
      <c r="J164" s="172"/>
      <c r="K164" s="172"/>
      <c r="L164" s="172"/>
      <c r="M164" s="172"/>
      <c r="N164" s="172"/>
      <c r="O164" s="172"/>
      <c r="P164" s="172"/>
      <c r="Q164" s="172"/>
      <c r="R164" s="172"/>
      <c r="S164" s="172"/>
      <c r="T164" s="172"/>
      <c r="U164" s="172"/>
      <c r="V164" s="172"/>
      <c r="W164" s="172"/>
      <c r="X164" s="172"/>
      <c r="Y164" s="172"/>
      <c r="Z164" s="172"/>
      <c r="AA164" s="172"/>
      <c r="AB164" s="172"/>
      <c r="AC164" s="172"/>
      <c r="AD164" s="172"/>
      <c r="AE164" s="172"/>
      <c r="AF164" s="172"/>
      <c r="AG164" s="172"/>
      <c r="AH164" s="172"/>
      <c r="AI164" s="172"/>
      <c r="AJ164" s="172"/>
      <c r="AK164" s="172"/>
      <c r="AL164" s="172"/>
      <c r="AM164" s="172"/>
      <c r="AN164" s="172"/>
      <c r="AO164" s="172"/>
      <c r="AP164" s="172"/>
      <c r="AQ164" s="172"/>
      <c r="AR164" s="172"/>
      <c r="AS164" s="172"/>
      <c r="AT164" s="172"/>
      <c r="AU164" s="172"/>
      <c r="AV164" s="172"/>
      <c r="AW164" s="172"/>
      <c r="AX164" s="172"/>
      <c r="AY164" s="172"/>
      <c r="AZ164" s="172"/>
      <c r="BA164" s="172"/>
      <c r="BB164" s="172"/>
      <c r="BC164" s="172"/>
      <c r="BD164" s="172"/>
      <c r="BE164" s="172"/>
      <c r="BF164" s="172"/>
      <c r="BG164" s="172"/>
      <c r="BH164" s="172"/>
      <c r="BI164" s="172"/>
      <c r="BJ164" s="172"/>
      <c r="BK164" s="172"/>
      <c r="BL164" s="172"/>
      <c r="BM164" s="172"/>
      <c r="BN164" s="172"/>
      <c r="BO164" s="172"/>
      <c r="BP164" s="172"/>
      <c r="BQ164" s="172"/>
      <c r="BR164" s="172"/>
      <c r="BS164" s="172"/>
      <c r="BT164" s="172"/>
      <c r="BU164" s="172"/>
      <c r="BV164" s="172"/>
    </row>
  </sheetData>
  <mergeCells count="91">
    <mergeCell ref="A23:BB23"/>
    <mergeCell ref="A1:L3"/>
    <mergeCell ref="A14:BB14"/>
    <mergeCell ref="A15:BB15"/>
    <mergeCell ref="A21:BB21"/>
    <mergeCell ref="A22:BB22"/>
    <mergeCell ref="A38:BB38"/>
    <mergeCell ref="A24:BB24"/>
    <mergeCell ref="A25:BB25"/>
    <mergeCell ref="A26:BB26"/>
    <mergeCell ref="A27:BB27"/>
    <mergeCell ref="A28:BB28"/>
    <mergeCell ref="A30:BB30"/>
    <mergeCell ref="A31:BB31"/>
    <mergeCell ref="A32:BB33"/>
    <mergeCell ref="A34:BB35"/>
    <mergeCell ref="A36:BB36"/>
    <mergeCell ref="A37:BB37"/>
    <mergeCell ref="A39:BB39"/>
    <mergeCell ref="A40:BC41"/>
    <mergeCell ref="H50:I50"/>
    <mergeCell ref="J50:AA50"/>
    <mergeCell ref="AF50:AG50"/>
    <mergeCell ref="AH50:AX50"/>
    <mergeCell ref="AF62:AG62"/>
    <mergeCell ref="AF51:AG51"/>
    <mergeCell ref="AF52:AG52"/>
    <mergeCell ref="AF53:AG53"/>
    <mergeCell ref="AF54:AG54"/>
    <mergeCell ref="AF55:AG55"/>
    <mergeCell ref="AF56:AG56"/>
    <mergeCell ref="AF57:AG57"/>
    <mergeCell ref="AF58:AG58"/>
    <mergeCell ref="AF59:AG59"/>
    <mergeCell ref="AF60:AG60"/>
    <mergeCell ref="AF61:AG61"/>
    <mergeCell ref="AF74:AG74"/>
    <mergeCell ref="AF63:AG63"/>
    <mergeCell ref="AF64:AG64"/>
    <mergeCell ref="AF65:AG65"/>
    <mergeCell ref="AF66:AG66"/>
    <mergeCell ref="AF67:AG67"/>
    <mergeCell ref="AF68:AG68"/>
    <mergeCell ref="AF69:AG69"/>
    <mergeCell ref="AF70:AG70"/>
    <mergeCell ref="AF71:AG71"/>
    <mergeCell ref="AF72:AG72"/>
    <mergeCell ref="AF73:AG73"/>
    <mergeCell ref="AF86:AG86"/>
    <mergeCell ref="AF75:AG75"/>
    <mergeCell ref="AF76:AG76"/>
    <mergeCell ref="AF77:AG77"/>
    <mergeCell ref="AF78:AG78"/>
    <mergeCell ref="AF79:AG79"/>
    <mergeCell ref="AF80:AG80"/>
    <mergeCell ref="AF81:AG81"/>
    <mergeCell ref="AF82:AG82"/>
    <mergeCell ref="AF83:AG83"/>
    <mergeCell ref="AF84:AG84"/>
    <mergeCell ref="AF85:AG85"/>
    <mergeCell ref="A98:B98"/>
    <mergeCell ref="AF87:AG87"/>
    <mergeCell ref="AF88:AG88"/>
    <mergeCell ref="AF89:AG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17:B117"/>
    <mergeCell ref="A111:B111"/>
    <mergeCell ref="A112:B112"/>
    <mergeCell ref="A113:B113"/>
    <mergeCell ref="A114:B114"/>
    <mergeCell ref="A115:B115"/>
    <mergeCell ref="A116:B116"/>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AV9" sqref="AV9"/>
    </sheetView>
  </sheetViews>
  <sheetFormatPr baseColWidth="10" defaultRowHeight="12.75" customHeight="1" x14ac:dyDescent="0.2"/>
  <cols>
    <col min="1" max="4" width="3.28515625" style="217" customWidth="1"/>
    <col min="5" max="5" width="4.42578125" style="217" customWidth="1"/>
    <col min="6" max="7" width="3.28515625" style="217" customWidth="1"/>
    <col min="8" max="8" width="2.28515625" style="217" customWidth="1"/>
    <col min="9" max="10" width="3.28515625" style="217" customWidth="1"/>
    <col min="11" max="11" width="5.85546875" style="217" customWidth="1"/>
    <col min="12" max="13" width="3.28515625" style="217" customWidth="1"/>
    <col min="14" max="14" width="1.28515625" style="217" customWidth="1"/>
    <col min="15" max="25" width="3.28515625" style="217" customWidth="1"/>
    <col min="26" max="26" width="3.42578125" style="217" customWidth="1"/>
    <col min="27" max="31" width="3.28515625" style="217" customWidth="1"/>
    <col min="32" max="32" width="2.140625" style="217" customWidth="1"/>
    <col min="33" max="34" width="3.28515625" style="217" customWidth="1"/>
    <col min="35" max="35" width="3" style="217" customWidth="1"/>
    <col min="36" max="36" width="3.28515625" style="165" customWidth="1"/>
    <col min="37" max="40" width="3.28515625" style="217" customWidth="1"/>
    <col min="41" max="41" width="4" style="217" customWidth="1"/>
    <col min="42" max="43" width="3.28515625" style="217" customWidth="1"/>
    <col min="44" max="44" width="3.42578125" style="217" customWidth="1"/>
    <col min="45" max="45" width="8.140625" style="217" customWidth="1"/>
    <col min="46" max="46" width="8.28515625" style="217" customWidth="1"/>
    <col min="47" max="47" width="6.140625" style="217" customWidth="1"/>
    <col min="48" max="48" width="11.42578125" style="217"/>
    <col min="49" max="49" width="5.140625" style="217" customWidth="1"/>
    <col min="50" max="51" width="11.42578125" style="217"/>
    <col min="52" max="52" width="3.140625" style="217" customWidth="1"/>
    <col min="53" max="53" width="11.42578125" style="217" customWidth="1"/>
    <col min="54" max="54" width="11.42578125" style="217"/>
    <col min="55" max="55" width="2.42578125" style="217" customWidth="1"/>
    <col min="56" max="63" width="11.42578125" style="217"/>
    <col min="64" max="64" width="2.42578125" style="217" customWidth="1"/>
    <col min="65" max="66" width="11.42578125" style="217"/>
    <col min="67" max="67" width="6" style="217" customWidth="1"/>
    <col min="68" max="70" width="11.42578125" style="217"/>
    <col min="71" max="71" width="5.28515625" style="217" customWidth="1"/>
    <col min="72" max="72" width="11.42578125" style="217"/>
    <col min="73" max="73" width="6.140625" style="217" customWidth="1"/>
    <col min="74" max="74" width="9.5703125" style="217" customWidth="1"/>
    <col min="75" max="271" width="11.42578125" style="217"/>
    <col min="272" max="272" width="14.5703125" style="217" customWidth="1"/>
    <col min="273" max="273" width="12.7109375" style="217" customWidth="1"/>
    <col min="274" max="274" width="1.5703125" style="217" customWidth="1"/>
    <col min="275" max="275" width="18.28515625" style="217" customWidth="1"/>
    <col min="276" max="276" width="11" style="217" customWidth="1"/>
    <col min="277" max="277" width="13.28515625" style="217" bestFit="1" customWidth="1"/>
    <col min="278" max="278" width="18" style="217" customWidth="1"/>
    <col min="279" max="279" width="11.42578125" style="217"/>
    <col min="280" max="280" width="11.140625" style="217" customWidth="1"/>
    <col min="281" max="281" width="11.42578125" style="217"/>
    <col min="282" max="282" width="17.42578125" style="217" customWidth="1"/>
    <col min="283" max="527" width="11.42578125" style="217"/>
    <col min="528" max="528" width="14.5703125" style="217" customWidth="1"/>
    <col min="529" max="529" width="12.7109375" style="217" customWidth="1"/>
    <col min="530" max="530" width="1.5703125" style="217" customWidth="1"/>
    <col min="531" max="531" width="18.28515625" style="217" customWidth="1"/>
    <col min="532" max="532" width="11" style="217" customWidth="1"/>
    <col min="533" max="533" width="13.28515625" style="217" bestFit="1" customWidth="1"/>
    <col min="534" max="534" width="18" style="217" customWidth="1"/>
    <col min="535" max="535" width="11.42578125" style="217"/>
    <col min="536" max="536" width="11.140625" style="217" customWidth="1"/>
    <col min="537" max="537" width="11.42578125" style="217"/>
    <col min="538" max="538" width="17.42578125" style="217" customWidth="1"/>
    <col min="539" max="783" width="11.42578125" style="217"/>
    <col min="784" max="784" width="14.5703125" style="217" customWidth="1"/>
    <col min="785" max="785" width="12.7109375" style="217" customWidth="1"/>
    <col min="786" max="786" width="1.5703125" style="217" customWidth="1"/>
    <col min="787" max="787" width="18.28515625" style="217" customWidth="1"/>
    <col min="788" max="788" width="11" style="217" customWidth="1"/>
    <col min="789" max="789" width="13.28515625" style="217" bestFit="1" customWidth="1"/>
    <col min="790" max="790" width="18" style="217" customWidth="1"/>
    <col min="791" max="791" width="11.42578125" style="217"/>
    <col min="792" max="792" width="11.140625" style="217" customWidth="1"/>
    <col min="793" max="793" width="11.42578125" style="217"/>
    <col min="794" max="794" width="17.42578125" style="217" customWidth="1"/>
    <col min="795" max="1039" width="11.42578125" style="217"/>
    <col min="1040" max="1040" width="14.5703125" style="217" customWidth="1"/>
    <col min="1041" max="1041" width="12.7109375" style="217" customWidth="1"/>
    <col min="1042" max="1042" width="1.5703125" style="217" customWidth="1"/>
    <col min="1043" max="1043" width="18.28515625" style="217" customWidth="1"/>
    <col min="1044" max="1044" width="11" style="217" customWidth="1"/>
    <col min="1045" max="1045" width="13.28515625" style="217" bestFit="1" customWidth="1"/>
    <col min="1046" max="1046" width="18" style="217" customWidth="1"/>
    <col min="1047" max="1047" width="11.42578125" style="217"/>
    <col min="1048" max="1048" width="11.140625" style="217" customWidth="1"/>
    <col min="1049" max="1049" width="11.42578125" style="217"/>
    <col min="1050" max="1050" width="17.42578125" style="217" customWidth="1"/>
    <col min="1051" max="1295" width="11.42578125" style="217"/>
    <col min="1296" max="1296" width="14.5703125" style="217" customWidth="1"/>
    <col min="1297" max="1297" width="12.7109375" style="217" customWidth="1"/>
    <col min="1298" max="1298" width="1.5703125" style="217" customWidth="1"/>
    <col min="1299" max="1299" width="18.28515625" style="217" customWidth="1"/>
    <col min="1300" max="1300" width="11" style="217" customWidth="1"/>
    <col min="1301" max="1301" width="13.28515625" style="217" bestFit="1" customWidth="1"/>
    <col min="1302" max="1302" width="18" style="217" customWidth="1"/>
    <col min="1303" max="1303" width="11.42578125" style="217"/>
    <col min="1304" max="1304" width="11.140625" style="217" customWidth="1"/>
    <col min="1305" max="1305" width="11.42578125" style="217"/>
    <col min="1306" max="1306" width="17.42578125" style="217" customWidth="1"/>
    <col min="1307" max="1551" width="11.42578125" style="217"/>
    <col min="1552" max="1552" width="14.5703125" style="217" customWidth="1"/>
    <col min="1553" max="1553" width="12.7109375" style="217" customWidth="1"/>
    <col min="1554" max="1554" width="1.5703125" style="217" customWidth="1"/>
    <col min="1555" max="1555" width="18.28515625" style="217" customWidth="1"/>
    <col min="1556" max="1556" width="11" style="217" customWidth="1"/>
    <col min="1557" max="1557" width="13.28515625" style="217" bestFit="1" customWidth="1"/>
    <col min="1558" max="1558" width="18" style="217" customWidth="1"/>
    <col min="1559" max="1559" width="11.42578125" style="217"/>
    <col min="1560" max="1560" width="11.140625" style="217" customWidth="1"/>
    <col min="1561" max="1561" width="11.42578125" style="217"/>
    <col min="1562" max="1562" width="17.42578125" style="217" customWidth="1"/>
    <col min="1563" max="1807" width="11.42578125" style="217"/>
    <col min="1808" max="1808" width="14.5703125" style="217" customWidth="1"/>
    <col min="1809" max="1809" width="12.7109375" style="217" customWidth="1"/>
    <col min="1810" max="1810" width="1.5703125" style="217" customWidth="1"/>
    <col min="1811" max="1811" width="18.28515625" style="217" customWidth="1"/>
    <col min="1812" max="1812" width="11" style="217" customWidth="1"/>
    <col min="1813" max="1813" width="13.28515625" style="217" bestFit="1" customWidth="1"/>
    <col min="1814" max="1814" width="18" style="217" customWidth="1"/>
    <col min="1815" max="1815" width="11.42578125" style="217"/>
    <col min="1816" max="1816" width="11.140625" style="217" customWidth="1"/>
    <col min="1817" max="1817" width="11.42578125" style="217"/>
    <col min="1818" max="1818" width="17.42578125" style="217" customWidth="1"/>
    <col min="1819" max="2063" width="11.42578125" style="217"/>
    <col min="2064" max="2064" width="14.5703125" style="217" customWidth="1"/>
    <col min="2065" max="2065" width="12.7109375" style="217" customWidth="1"/>
    <col min="2066" max="2066" width="1.5703125" style="217" customWidth="1"/>
    <col min="2067" max="2067" width="18.28515625" style="217" customWidth="1"/>
    <col min="2068" max="2068" width="11" style="217" customWidth="1"/>
    <col min="2069" max="2069" width="13.28515625" style="217" bestFit="1" customWidth="1"/>
    <col min="2070" max="2070" width="18" style="217" customWidth="1"/>
    <col min="2071" max="2071" width="11.42578125" style="217"/>
    <col min="2072" max="2072" width="11.140625" style="217" customWidth="1"/>
    <col min="2073" max="2073" width="11.42578125" style="217"/>
    <col min="2074" max="2074" width="17.42578125" style="217" customWidth="1"/>
    <col min="2075" max="2319" width="11.42578125" style="217"/>
    <col min="2320" max="2320" width="14.5703125" style="217" customWidth="1"/>
    <col min="2321" max="2321" width="12.7109375" style="217" customWidth="1"/>
    <col min="2322" max="2322" width="1.5703125" style="217" customWidth="1"/>
    <col min="2323" max="2323" width="18.28515625" style="217" customWidth="1"/>
    <col min="2324" max="2324" width="11" style="217" customWidth="1"/>
    <col min="2325" max="2325" width="13.28515625" style="217" bestFit="1" customWidth="1"/>
    <col min="2326" max="2326" width="18" style="217" customWidth="1"/>
    <col min="2327" max="2327" width="11.42578125" style="217"/>
    <col min="2328" max="2328" width="11.140625" style="217" customWidth="1"/>
    <col min="2329" max="2329" width="11.42578125" style="217"/>
    <col min="2330" max="2330" width="17.42578125" style="217" customWidth="1"/>
    <col min="2331" max="2575" width="11.42578125" style="217"/>
    <col min="2576" max="2576" width="14.5703125" style="217" customWidth="1"/>
    <col min="2577" max="2577" width="12.7109375" style="217" customWidth="1"/>
    <col min="2578" max="2578" width="1.5703125" style="217" customWidth="1"/>
    <col min="2579" max="2579" width="18.28515625" style="217" customWidth="1"/>
    <col min="2580" max="2580" width="11" style="217" customWidth="1"/>
    <col min="2581" max="2581" width="13.28515625" style="217" bestFit="1" customWidth="1"/>
    <col min="2582" max="2582" width="18" style="217" customWidth="1"/>
    <col min="2583" max="2583" width="11.42578125" style="217"/>
    <col min="2584" max="2584" width="11.140625" style="217" customWidth="1"/>
    <col min="2585" max="2585" width="11.42578125" style="217"/>
    <col min="2586" max="2586" width="17.42578125" style="217" customWidth="1"/>
    <col min="2587" max="2831" width="11.42578125" style="217"/>
    <col min="2832" max="2832" width="14.5703125" style="217" customWidth="1"/>
    <col min="2833" max="2833" width="12.7109375" style="217" customWidth="1"/>
    <col min="2834" max="2834" width="1.5703125" style="217" customWidth="1"/>
    <col min="2835" max="2835" width="18.28515625" style="217" customWidth="1"/>
    <col min="2836" max="2836" width="11" style="217" customWidth="1"/>
    <col min="2837" max="2837" width="13.28515625" style="217" bestFit="1" customWidth="1"/>
    <col min="2838" max="2838" width="18" style="217" customWidth="1"/>
    <col min="2839" max="2839" width="11.42578125" style="217"/>
    <col min="2840" max="2840" width="11.140625" style="217" customWidth="1"/>
    <col min="2841" max="2841" width="11.42578125" style="217"/>
    <col min="2842" max="2842" width="17.42578125" style="217" customWidth="1"/>
    <col min="2843" max="3087" width="11.42578125" style="217"/>
    <col min="3088" max="3088" width="14.5703125" style="217" customWidth="1"/>
    <col min="3089" max="3089" width="12.7109375" style="217" customWidth="1"/>
    <col min="3090" max="3090" width="1.5703125" style="217" customWidth="1"/>
    <col min="3091" max="3091" width="18.28515625" style="217" customWidth="1"/>
    <col min="3092" max="3092" width="11" style="217" customWidth="1"/>
    <col min="3093" max="3093" width="13.28515625" style="217" bestFit="1" customWidth="1"/>
    <col min="3094" max="3094" width="18" style="217" customWidth="1"/>
    <col min="3095" max="3095" width="11.42578125" style="217"/>
    <col min="3096" max="3096" width="11.140625" style="217" customWidth="1"/>
    <col min="3097" max="3097" width="11.42578125" style="217"/>
    <col min="3098" max="3098" width="17.42578125" style="217" customWidth="1"/>
    <col min="3099" max="3343" width="11.42578125" style="217"/>
    <col min="3344" max="3344" width="14.5703125" style="217" customWidth="1"/>
    <col min="3345" max="3345" width="12.7109375" style="217" customWidth="1"/>
    <col min="3346" max="3346" width="1.5703125" style="217" customWidth="1"/>
    <col min="3347" max="3347" width="18.28515625" style="217" customWidth="1"/>
    <col min="3348" max="3348" width="11" style="217" customWidth="1"/>
    <col min="3349" max="3349" width="13.28515625" style="217" bestFit="1" customWidth="1"/>
    <col min="3350" max="3350" width="18" style="217" customWidth="1"/>
    <col min="3351" max="3351" width="11.42578125" style="217"/>
    <col min="3352" max="3352" width="11.140625" style="217" customWidth="1"/>
    <col min="3353" max="3353" width="11.42578125" style="217"/>
    <col min="3354" max="3354" width="17.42578125" style="217" customWidth="1"/>
    <col min="3355" max="3599" width="11.42578125" style="217"/>
    <col min="3600" max="3600" width="14.5703125" style="217" customWidth="1"/>
    <col min="3601" max="3601" width="12.7109375" style="217" customWidth="1"/>
    <col min="3602" max="3602" width="1.5703125" style="217" customWidth="1"/>
    <col min="3603" max="3603" width="18.28515625" style="217" customWidth="1"/>
    <col min="3604" max="3604" width="11" style="217" customWidth="1"/>
    <col min="3605" max="3605" width="13.28515625" style="217" bestFit="1" customWidth="1"/>
    <col min="3606" max="3606" width="18" style="217" customWidth="1"/>
    <col min="3607" max="3607" width="11.42578125" style="217"/>
    <col min="3608" max="3608" width="11.140625" style="217" customWidth="1"/>
    <col min="3609" max="3609" width="11.42578125" style="217"/>
    <col min="3610" max="3610" width="17.42578125" style="217" customWidth="1"/>
    <col min="3611" max="3855" width="11.42578125" style="217"/>
    <col min="3856" max="3856" width="14.5703125" style="217" customWidth="1"/>
    <col min="3857" max="3857" width="12.7109375" style="217" customWidth="1"/>
    <col min="3858" max="3858" width="1.5703125" style="217" customWidth="1"/>
    <col min="3859" max="3859" width="18.28515625" style="217" customWidth="1"/>
    <col min="3860" max="3860" width="11" style="217" customWidth="1"/>
    <col min="3861" max="3861" width="13.28515625" style="217" bestFit="1" customWidth="1"/>
    <col min="3862" max="3862" width="18" style="217" customWidth="1"/>
    <col min="3863" max="3863" width="11.42578125" style="217"/>
    <col min="3864" max="3864" width="11.140625" style="217" customWidth="1"/>
    <col min="3865" max="3865" width="11.42578125" style="217"/>
    <col min="3866" max="3866" width="17.42578125" style="217" customWidth="1"/>
    <col min="3867" max="4111" width="11.42578125" style="217"/>
    <col min="4112" max="4112" width="14.5703125" style="217" customWidth="1"/>
    <col min="4113" max="4113" width="12.7109375" style="217" customWidth="1"/>
    <col min="4114" max="4114" width="1.5703125" style="217" customWidth="1"/>
    <col min="4115" max="4115" width="18.28515625" style="217" customWidth="1"/>
    <col min="4116" max="4116" width="11" style="217" customWidth="1"/>
    <col min="4117" max="4117" width="13.28515625" style="217" bestFit="1" customWidth="1"/>
    <col min="4118" max="4118" width="18" style="217" customWidth="1"/>
    <col min="4119" max="4119" width="11.42578125" style="217"/>
    <col min="4120" max="4120" width="11.140625" style="217" customWidth="1"/>
    <col min="4121" max="4121" width="11.42578125" style="217"/>
    <col min="4122" max="4122" width="17.42578125" style="217" customWidth="1"/>
    <col min="4123" max="4367" width="11.42578125" style="217"/>
    <col min="4368" max="4368" width="14.5703125" style="217" customWidth="1"/>
    <col min="4369" max="4369" width="12.7109375" style="217" customWidth="1"/>
    <col min="4370" max="4370" width="1.5703125" style="217" customWidth="1"/>
    <col min="4371" max="4371" width="18.28515625" style="217" customWidth="1"/>
    <col min="4372" max="4372" width="11" style="217" customWidth="1"/>
    <col min="4373" max="4373" width="13.28515625" style="217" bestFit="1" customWidth="1"/>
    <col min="4374" max="4374" width="18" style="217" customWidth="1"/>
    <col min="4375" max="4375" width="11.42578125" style="217"/>
    <col min="4376" max="4376" width="11.140625" style="217" customWidth="1"/>
    <col min="4377" max="4377" width="11.42578125" style="217"/>
    <col min="4378" max="4378" width="17.42578125" style="217" customWidth="1"/>
    <col min="4379" max="4623" width="11.42578125" style="217"/>
    <col min="4624" max="4624" width="14.5703125" style="217" customWidth="1"/>
    <col min="4625" max="4625" width="12.7109375" style="217" customWidth="1"/>
    <col min="4626" max="4626" width="1.5703125" style="217" customWidth="1"/>
    <col min="4627" max="4627" width="18.28515625" style="217" customWidth="1"/>
    <col min="4628" max="4628" width="11" style="217" customWidth="1"/>
    <col min="4629" max="4629" width="13.28515625" style="217" bestFit="1" customWidth="1"/>
    <col min="4630" max="4630" width="18" style="217" customWidth="1"/>
    <col min="4631" max="4631" width="11.42578125" style="217"/>
    <col min="4632" max="4632" width="11.140625" style="217" customWidth="1"/>
    <col min="4633" max="4633" width="11.42578125" style="217"/>
    <col min="4634" max="4634" width="17.42578125" style="217" customWidth="1"/>
    <col min="4635" max="4879" width="11.42578125" style="217"/>
    <col min="4880" max="4880" width="14.5703125" style="217" customWidth="1"/>
    <col min="4881" max="4881" width="12.7109375" style="217" customWidth="1"/>
    <col min="4882" max="4882" width="1.5703125" style="217" customWidth="1"/>
    <col min="4883" max="4883" width="18.28515625" style="217" customWidth="1"/>
    <col min="4884" max="4884" width="11" style="217" customWidth="1"/>
    <col min="4885" max="4885" width="13.28515625" style="217" bestFit="1" customWidth="1"/>
    <col min="4886" max="4886" width="18" style="217" customWidth="1"/>
    <col min="4887" max="4887" width="11.42578125" style="217"/>
    <col min="4888" max="4888" width="11.140625" style="217" customWidth="1"/>
    <col min="4889" max="4889" width="11.42578125" style="217"/>
    <col min="4890" max="4890" width="17.42578125" style="217" customWidth="1"/>
    <col min="4891" max="5135" width="11.42578125" style="217"/>
    <col min="5136" max="5136" width="14.5703125" style="217" customWidth="1"/>
    <col min="5137" max="5137" width="12.7109375" style="217" customWidth="1"/>
    <col min="5138" max="5138" width="1.5703125" style="217" customWidth="1"/>
    <col min="5139" max="5139" width="18.28515625" style="217" customWidth="1"/>
    <col min="5140" max="5140" width="11" style="217" customWidth="1"/>
    <col min="5141" max="5141" width="13.28515625" style="217" bestFit="1" customWidth="1"/>
    <col min="5142" max="5142" width="18" style="217" customWidth="1"/>
    <col min="5143" max="5143" width="11.42578125" style="217"/>
    <col min="5144" max="5144" width="11.140625" style="217" customWidth="1"/>
    <col min="5145" max="5145" width="11.42578125" style="217"/>
    <col min="5146" max="5146" width="17.42578125" style="217" customWidth="1"/>
    <col min="5147" max="5391" width="11.42578125" style="217"/>
    <col min="5392" max="5392" width="14.5703125" style="217" customWidth="1"/>
    <col min="5393" max="5393" width="12.7109375" style="217" customWidth="1"/>
    <col min="5394" max="5394" width="1.5703125" style="217" customWidth="1"/>
    <col min="5395" max="5395" width="18.28515625" style="217" customWidth="1"/>
    <col min="5396" max="5396" width="11" style="217" customWidth="1"/>
    <col min="5397" max="5397" width="13.28515625" style="217" bestFit="1" customWidth="1"/>
    <col min="5398" max="5398" width="18" style="217" customWidth="1"/>
    <col min="5399" max="5399" width="11.42578125" style="217"/>
    <col min="5400" max="5400" width="11.140625" style="217" customWidth="1"/>
    <col min="5401" max="5401" width="11.42578125" style="217"/>
    <col min="5402" max="5402" width="17.42578125" style="217" customWidth="1"/>
    <col min="5403" max="5647" width="11.42578125" style="217"/>
    <col min="5648" max="5648" width="14.5703125" style="217" customWidth="1"/>
    <col min="5649" max="5649" width="12.7109375" style="217" customWidth="1"/>
    <col min="5650" max="5650" width="1.5703125" style="217" customWidth="1"/>
    <col min="5651" max="5651" width="18.28515625" style="217" customWidth="1"/>
    <col min="5652" max="5652" width="11" style="217" customWidth="1"/>
    <col min="5653" max="5653" width="13.28515625" style="217" bestFit="1" customWidth="1"/>
    <col min="5654" max="5654" width="18" style="217" customWidth="1"/>
    <col min="5655" max="5655" width="11.42578125" style="217"/>
    <col min="5656" max="5656" width="11.140625" style="217" customWidth="1"/>
    <col min="5657" max="5657" width="11.42578125" style="217"/>
    <col min="5658" max="5658" width="17.42578125" style="217" customWidth="1"/>
    <col min="5659" max="5903" width="11.42578125" style="217"/>
    <col min="5904" max="5904" width="14.5703125" style="217" customWidth="1"/>
    <col min="5905" max="5905" width="12.7109375" style="217" customWidth="1"/>
    <col min="5906" max="5906" width="1.5703125" style="217" customWidth="1"/>
    <col min="5907" max="5907" width="18.28515625" style="217" customWidth="1"/>
    <col min="5908" max="5908" width="11" style="217" customWidth="1"/>
    <col min="5909" max="5909" width="13.28515625" style="217" bestFit="1" customWidth="1"/>
    <col min="5910" max="5910" width="18" style="217" customWidth="1"/>
    <col min="5911" max="5911" width="11.42578125" style="217"/>
    <col min="5912" max="5912" width="11.140625" style="217" customWidth="1"/>
    <col min="5913" max="5913" width="11.42578125" style="217"/>
    <col min="5914" max="5914" width="17.42578125" style="217" customWidth="1"/>
    <col min="5915" max="6159" width="11.42578125" style="217"/>
    <col min="6160" max="6160" width="14.5703125" style="217" customWidth="1"/>
    <col min="6161" max="6161" width="12.7109375" style="217" customWidth="1"/>
    <col min="6162" max="6162" width="1.5703125" style="217" customWidth="1"/>
    <col min="6163" max="6163" width="18.28515625" style="217" customWidth="1"/>
    <col min="6164" max="6164" width="11" style="217" customWidth="1"/>
    <col min="6165" max="6165" width="13.28515625" style="217" bestFit="1" customWidth="1"/>
    <col min="6166" max="6166" width="18" style="217" customWidth="1"/>
    <col min="6167" max="6167" width="11.42578125" style="217"/>
    <col min="6168" max="6168" width="11.140625" style="217" customWidth="1"/>
    <col min="6169" max="6169" width="11.42578125" style="217"/>
    <col min="6170" max="6170" width="17.42578125" style="217" customWidth="1"/>
    <col min="6171" max="6415" width="11.42578125" style="217"/>
    <col min="6416" max="6416" width="14.5703125" style="217" customWidth="1"/>
    <col min="6417" max="6417" width="12.7109375" style="217" customWidth="1"/>
    <col min="6418" max="6418" width="1.5703125" style="217" customWidth="1"/>
    <col min="6419" max="6419" width="18.28515625" style="217" customWidth="1"/>
    <col min="6420" max="6420" width="11" style="217" customWidth="1"/>
    <col min="6421" max="6421" width="13.28515625" style="217" bestFit="1" customWidth="1"/>
    <col min="6422" max="6422" width="18" style="217" customWidth="1"/>
    <col min="6423" max="6423" width="11.42578125" style="217"/>
    <col min="6424" max="6424" width="11.140625" style="217" customWidth="1"/>
    <col min="6425" max="6425" width="11.42578125" style="217"/>
    <col min="6426" max="6426" width="17.42578125" style="217" customWidth="1"/>
    <col min="6427" max="6671" width="11.42578125" style="217"/>
    <col min="6672" max="6672" width="14.5703125" style="217" customWidth="1"/>
    <col min="6673" max="6673" width="12.7109375" style="217" customWidth="1"/>
    <col min="6674" max="6674" width="1.5703125" style="217" customWidth="1"/>
    <col min="6675" max="6675" width="18.28515625" style="217" customWidth="1"/>
    <col min="6676" max="6676" width="11" style="217" customWidth="1"/>
    <col min="6677" max="6677" width="13.28515625" style="217" bestFit="1" customWidth="1"/>
    <col min="6678" max="6678" width="18" style="217" customWidth="1"/>
    <col min="6679" max="6679" width="11.42578125" style="217"/>
    <col min="6680" max="6680" width="11.140625" style="217" customWidth="1"/>
    <col min="6681" max="6681" width="11.42578125" style="217"/>
    <col min="6682" max="6682" width="17.42578125" style="217" customWidth="1"/>
    <col min="6683" max="6927" width="11.42578125" style="217"/>
    <col min="6928" max="6928" width="14.5703125" style="217" customWidth="1"/>
    <col min="6929" max="6929" width="12.7109375" style="217" customWidth="1"/>
    <col min="6930" max="6930" width="1.5703125" style="217" customWidth="1"/>
    <col min="6931" max="6931" width="18.28515625" style="217" customWidth="1"/>
    <col min="6932" max="6932" width="11" style="217" customWidth="1"/>
    <col min="6933" max="6933" width="13.28515625" style="217" bestFit="1" customWidth="1"/>
    <col min="6934" max="6934" width="18" style="217" customWidth="1"/>
    <col min="6935" max="6935" width="11.42578125" style="217"/>
    <col min="6936" max="6936" width="11.140625" style="217" customWidth="1"/>
    <col min="6937" max="6937" width="11.42578125" style="217"/>
    <col min="6938" max="6938" width="17.42578125" style="217" customWidth="1"/>
    <col min="6939" max="7183" width="11.42578125" style="217"/>
    <col min="7184" max="7184" width="14.5703125" style="217" customWidth="1"/>
    <col min="7185" max="7185" width="12.7109375" style="217" customWidth="1"/>
    <col min="7186" max="7186" width="1.5703125" style="217" customWidth="1"/>
    <col min="7187" max="7187" width="18.28515625" style="217" customWidth="1"/>
    <col min="7188" max="7188" width="11" style="217" customWidth="1"/>
    <col min="7189" max="7189" width="13.28515625" style="217" bestFit="1" customWidth="1"/>
    <col min="7190" max="7190" width="18" style="217" customWidth="1"/>
    <col min="7191" max="7191" width="11.42578125" style="217"/>
    <col min="7192" max="7192" width="11.140625" style="217" customWidth="1"/>
    <col min="7193" max="7193" width="11.42578125" style="217"/>
    <col min="7194" max="7194" width="17.42578125" style="217" customWidth="1"/>
    <col min="7195" max="7439" width="11.42578125" style="217"/>
    <col min="7440" max="7440" width="14.5703125" style="217" customWidth="1"/>
    <col min="7441" max="7441" width="12.7109375" style="217" customWidth="1"/>
    <col min="7442" max="7442" width="1.5703125" style="217" customWidth="1"/>
    <col min="7443" max="7443" width="18.28515625" style="217" customWidth="1"/>
    <col min="7444" max="7444" width="11" style="217" customWidth="1"/>
    <col min="7445" max="7445" width="13.28515625" style="217" bestFit="1" customWidth="1"/>
    <col min="7446" max="7446" width="18" style="217" customWidth="1"/>
    <col min="7447" max="7447" width="11.42578125" style="217"/>
    <col min="7448" max="7448" width="11.140625" style="217" customWidth="1"/>
    <col min="7449" max="7449" width="11.42578125" style="217"/>
    <col min="7450" max="7450" width="17.42578125" style="217" customWidth="1"/>
    <col min="7451" max="7695" width="11.42578125" style="217"/>
    <col min="7696" max="7696" width="14.5703125" style="217" customWidth="1"/>
    <col min="7697" max="7697" width="12.7109375" style="217" customWidth="1"/>
    <col min="7698" max="7698" width="1.5703125" style="217" customWidth="1"/>
    <col min="7699" max="7699" width="18.28515625" style="217" customWidth="1"/>
    <col min="7700" max="7700" width="11" style="217" customWidth="1"/>
    <col min="7701" max="7701" width="13.28515625" style="217" bestFit="1" customWidth="1"/>
    <col min="7702" max="7702" width="18" style="217" customWidth="1"/>
    <col min="7703" max="7703" width="11.42578125" style="217"/>
    <col min="7704" max="7704" width="11.140625" style="217" customWidth="1"/>
    <col min="7705" max="7705" width="11.42578125" style="217"/>
    <col min="7706" max="7706" width="17.42578125" style="217" customWidth="1"/>
    <col min="7707" max="7951" width="11.42578125" style="217"/>
    <col min="7952" max="7952" width="14.5703125" style="217" customWidth="1"/>
    <col min="7953" max="7953" width="12.7109375" style="217" customWidth="1"/>
    <col min="7954" max="7954" width="1.5703125" style="217" customWidth="1"/>
    <col min="7955" max="7955" width="18.28515625" style="217" customWidth="1"/>
    <col min="7956" max="7956" width="11" style="217" customWidth="1"/>
    <col min="7957" max="7957" width="13.28515625" style="217" bestFit="1" customWidth="1"/>
    <col min="7958" max="7958" width="18" style="217" customWidth="1"/>
    <col min="7959" max="7959" width="11.42578125" style="217"/>
    <col min="7960" max="7960" width="11.140625" style="217" customWidth="1"/>
    <col min="7961" max="7961" width="11.42578125" style="217"/>
    <col min="7962" max="7962" width="17.42578125" style="217" customWidth="1"/>
    <col min="7963" max="8207" width="11.42578125" style="217"/>
    <col min="8208" max="8208" width="14.5703125" style="217" customWidth="1"/>
    <col min="8209" max="8209" width="12.7109375" style="217" customWidth="1"/>
    <col min="8210" max="8210" width="1.5703125" style="217" customWidth="1"/>
    <col min="8211" max="8211" width="18.28515625" style="217" customWidth="1"/>
    <col min="8212" max="8212" width="11" style="217" customWidth="1"/>
    <col min="8213" max="8213" width="13.28515625" style="217" bestFit="1" customWidth="1"/>
    <col min="8214" max="8214" width="18" style="217" customWidth="1"/>
    <col min="8215" max="8215" width="11.42578125" style="217"/>
    <col min="8216" max="8216" width="11.140625" style="217" customWidth="1"/>
    <col min="8217" max="8217" width="11.42578125" style="217"/>
    <col min="8218" max="8218" width="17.42578125" style="217" customWidth="1"/>
    <col min="8219" max="8463" width="11.42578125" style="217"/>
    <col min="8464" max="8464" width="14.5703125" style="217" customWidth="1"/>
    <col min="8465" max="8465" width="12.7109375" style="217" customWidth="1"/>
    <col min="8466" max="8466" width="1.5703125" style="217" customWidth="1"/>
    <col min="8467" max="8467" width="18.28515625" style="217" customWidth="1"/>
    <col min="8468" max="8468" width="11" style="217" customWidth="1"/>
    <col min="8469" max="8469" width="13.28515625" style="217" bestFit="1" customWidth="1"/>
    <col min="8470" max="8470" width="18" style="217" customWidth="1"/>
    <col min="8471" max="8471" width="11.42578125" style="217"/>
    <col min="8472" max="8472" width="11.140625" style="217" customWidth="1"/>
    <col min="8473" max="8473" width="11.42578125" style="217"/>
    <col min="8474" max="8474" width="17.42578125" style="217" customWidth="1"/>
    <col min="8475" max="8719" width="11.42578125" style="217"/>
    <col min="8720" max="8720" width="14.5703125" style="217" customWidth="1"/>
    <col min="8721" max="8721" width="12.7109375" style="217" customWidth="1"/>
    <col min="8722" max="8722" width="1.5703125" style="217" customWidth="1"/>
    <col min="8723" max="8723" width="18.28515625" style="217" customWidth="1"/>
    <col min="8724" max="8724" width="11" style="217" customWidth="1"/>
    <col min="8725" max="8725" width="13.28515625" style="217" bestFit="1" customWidth="1"/>
    <col min="8726" max="8726" width="18" style="217" customWidth="1"/>
    <col min="8727" max="8727" width="11.42578125" style="217"/>
    <col min="8728" max="8728" width="11.140625" style="217" customWidth="1"/>
    <col min="8729" max="8729" width="11.42578125" style="217"/>
    <col min="8730" max="8730" width="17.42578125" style="217" customWidth="1"/>
    <col min="8731" max="8975" width="11.42578125" style="217"/>
    <col min="8976" max="8976" width="14.5703125" style="217" customWidth="1"/>
    <col min="8977" max="8977" width="12.7109375" style="217" customWidth="1"/>
    <col min="8978" max="8978" width="1.5703125" style="217" customWidth="1"/>
    <col min="8979" max="8979" width="18.28515625" style="217" customWidth="1"/>
    <col min="8980" max="8980" width="11" style="217" customWidth="1"/>
    <col min="8981" max="8981" width="13.28515625" style="217" bestFit="1" customWidth="1"/>
    <col min="8982" max="8982" width="18" style="217" customWidth="1"/>
    <col min="8983" max="8983" width="11.42578125" style="217"/>
    <col min="8984" max="8984" width="11.140625" style="217" customWidth="1"/>
    <col min="8985" max="8985" width="11.42578125" style="217"/>
    <col min="8986" max="8986" width="17.42578125" style="217" customWidth="1"/>
    <col min="8987" max="9231" width="11.42578125" style="217"/>
    <col min="9232" max="9232" width="14.5703125" style="217" customWidth="1"/>
    <col min="9233" max="9233" width="12.7109375" style="217" customWidth="1"/>
    <col min="9234" max="9234" width="1.5703125" style="217" customWidth="1"/>
    <col min="9235" max="9235" width="18.28515625" style="217" customWidth="1"/>
    <col min="9236" max="9236" width="11" style="217" customWidth="1"/>
    <col min="9237" max="9237" width="13.28515625" style="217" bestFit="1" customWidth="1"/>
    <col min="9238" max="9238" width="18" style="217" customWidth="1"/>
    <col min="9239" max="9239" width="11.42578125" style="217"/>
    <col min="9240" max="9240" width="11.140625" style="217" customWidth="1"/>
    <col min="9241" max="9241" width="11.42578125" style="217"/>
    <col min="9242" max="9242" width="17.42578125" style="217" customWidth="1"/>
    <col min="9243" max="9487" width="11.42578125" style="217"/>
    <col min="9488" max="9488" width="14.5703125" style="217" customWidth="1"/>
    <col min="9489" max="9489" width="12.7109375" style="217" customWidth="1"/>
    <col min="9490" max="9490" width="1.5703125" style="217" customWidth="1"/>
    <col min="9491" max="9491" width="18.28515625" style="217" customWidth="1"/>
    <col min="9492" max="9492" width="11" style="217" customWidth="1"/>
    <col min="9493" max="9493" width="13.28515625" style="217" bestFit="1" customWidth="1"/>
    <col min="9494" max="9494" width="18" style="217" customWidth="1"/>
    <col min="9495" max="9495" width="11.42578125" style="217"/>
    <col min="9496" max="9496" width="11.140625" style="217" customWidth="1"/>
    <col min="9497" max="9497" width="11.42578125" style="217"/>
    <col min="9498" max="9498" width="17.42578125" style="217" customWidth="1"/>
    <col min="9499" max="9743" width="11.42578125" style="217"/>
    <col min="9744" max="9744" width="14.5703125" style="217" customWidth="1"/>
    <col min="9745" max="9745" width="12.7109375" style="217" customWidth="1"/>
    <col min="9746" max="9746" width="1.5703125" style="217" customWidth="1"/>
    <col min="9747" max="9747" width="18.28515625" style="217" customWidth="1"/>
    <col min="9748" max="9748" width="11" style="217" customWidth="1"/>
    <col min="9749" max="9749" width="13.28515625" style="217" bestFit="1" customWidth="1"/>
    <col min="9750" max="9750" width="18" style="217" customWidth="1"/>
    <col min="9751" max="9751" width="11.42578125" style="217"/>
    <col min="9752" max="9752" width="11.140625" style="217" customWidth="1"/>
    <col min="9753" max="9753" width="11.42578125" style="217"/>
    <col min="9754" max="9754" width="17.42578125" style="217" customWidth="1"/>
    <col min="9755" max="9999" width="11.42578125" style="217"/>
    <col min="10000" max="10000" width="14.5703125" style="217" customWidth="1"/>
    <col min="10001" max="10001" width="12.7109375" style="217" customWidth="1"/>
    <col min="10002" max="10002" width="1.5703125" style="217" customWidth="1"/>
    <col min="10003" max="10003" width="18.28515625" style="217" customWidth="1"/>
    <col min="10004" max="10004" width="11" style="217" customWidth="1"/>
    <col min="10005" max="10005" width="13.28515625" style="217" bestFit="1" customWidth="1"/>
    <col min="10006" max="10006" width="18" style="217" customWidth="1"/>
    <col min="10007" max="10007" width="11.42578125" style="217"/>
    <col min="10008" max="10008" width="11.140625" style="217" customWidth="1"/>
    <col min="10009" max="10009" width="11.42578125" style="217"/>
    <col min="10010" max="10010" width="17.42578125" style="217" customWidth="1"/>
    <col min="10011" max="10255" width="11.42578125" style="217"/>
    <col min="10256" max="10256" width="14.5703125" style="217" customWidth="1"/>
    <col min="10257" max="10257" width="12.7109375" style="217" customWidth="1"/>
    <col min="10258" max="10258" width="1.5703125" style="217" customWidth="1"/>
    <col min="10259" max="10259" width="18.28515625" style="217" customWidth="1"/>
    <col min="10260" max="10260" width="11" style="217" customWidth="1"/>
    <col min="10261" max="10261" width="13.28515625" style="217" bestFit="1" customWidth="1"/>
    <col min="10262" max="10262" width="18" style="217" customWidth="1"/>
    <col min="10263" max="10263" width="11.42578125" style="217"/>
    <col min="10264" max="10264" width="11.140625" style="217" customWidth="1"/>
    <col min="10265" max="10265" width="11.42578125" style="217"/>
    <col min="10266" max="10266" width="17.42578125" style="217" customWidth="1"/>
    <col min="10267" max="10511" width="11.42578125" style="217"/>
    <col min="10512" max="10512" width="14.5703125" style="217" customWidth="1"/>
    <col min="10513" max="10513" width="12.7109375" style="217" customWidth="1"/>
    <col min="10514" max="10514" width="1.5703125" style="217" customWidth="1"/>
    <col min="10515" max="10515" width="18.28515625" style="217" customWidth="1"/>
    <col min="10516" max="10516" width="11" style="217" customWidth="1"/>
    <col min="10517" max="10517" width="13.28515625" style="217" bestFit="1" customWidth="1"/>
    <col min="10518" max="10518" width="18" style="217" customWidth="1"/>
    <col min="10519" max="10519" width="11.42578125" style="217"/>
    <col min="10520" max="10520" width="11.140625" style="217" customWidth="1"/>
    <col min="10521" max="10521" width="11.42578125" style="217"/>
    <col min="10522" max="10522" width="17.42578125" style="217" customWidth="1"/>
    <col min="10523" max="10767" width="11.42578125" style="217"/>
    <col min="10768" max="10768" width="14.5703125" style="217" customWidth="1"/>
    <col min="10769" max="10769" width="12.7109375" style="217" customWidth="1"/>
    <col min="10770" max="10770" width="1.5703125" style="217" customWidth="1"/>
    <col min="10771" max="10771" width="18.28515625" style="217" customWidth="1"/>
    <col min="10772" max="10772" width="11" style="217" customWidth="1"/>
    <col min="10773" max="10773" width="13.28515625" style="217" bestFit="1" customWidth="1"/>
    <col min="10774" max="10774" width="18" style="217" customWidth="1"/>
    <col min="10775" max="10775" width="11.42578125" style="217"/>
    <col min="10776" max="10776" width="11.140625" style="217" customWidth="1"/>
    <col min="10777" max="10777" width="11.42578125" style="217"/>
    <col min="10778" max="10778" width="17.42578125" style="217" customWidth="1"/>
    <col min="10779" max="11023" width="11.42578125" style="217"/>
    <col min="11024" max="11024" width="14.5703125" style="217" customWidth="1"/>
    <col min="11025" max="11025" width="12.7109375" style="217" customWidth="1"/>
    <col min="11026" max="11026" width="1.5703125" style="217" customWidth="1"/>
    <col min="11027" max="11027" width="18.28515625" style="217" customWidth="1"/>
    <col min="11028" max="11028" width="11" style="217" customWidth="1"/>
    <col min="11029" max="11029" width="13.28515625" style="217" bestFit="1" customWidth="1"/>
    <col min="11030" max="11030" width="18" style="217" customWidth="1"/>
    <col min="11031" max="11031" width="11.42578125" style="217"/>
    <col min="11032" max="11032" width="11.140625" style="217" customWidth="1"/>
    <col min="11033" max="11033" width="11.42578125" style="217"/>
    <col min="11034" max="11034" width="17.42578125" style="217" customWidth="1"/>
    <col min="11035" max="11279" width="11.42578125" style="217"/>
    <col min="11280" max="11280" width="14.5703125" style="217" customWidth="1"/>
    <col min="11281" max="11281" width="12.7109375" style="217" customWidth="1"/>
    <col min="11282" max="11282" width="1.5703125" style="217" customWidth="1"/>
    <col min="11283" max="11283" width="18.28515625" style="217" customWidth="1"/>
    <col min="11284" max="11284" width="11" style="217" customWidth="1"/>
    <col min="11285" max="11285" width="13.28515625" style="217" bestFit="1" customWidth="1"/>
    <col min="11286" max="11286" width="18" style="217" customWidth="1"/>
    <col min="11287" max="11287" width="11.42578125" style="217"/>
    <col min="11288" max="11288" width="11.140625" style="217" customWidth="1"/>
    <col min="11289" max="11289" width="11.42578125" style="217"/>
    <col min="11290" max="11290" width="17.42578125" style="217" customWidth="1"/>
    <col min="11291" max="11535" width="11.42578125" style="217"/>
    <col min="11536" max="11536" width="14.5703125" style="217" customWidth="1"/>
    <col min="11537" max="11537" width="12.7109375" style="217" customWidth="1"/>
    <col min="11538" max="11538" width="1.5703125" style="217" customWidth="1"/>
    <col min="11539" max="11539" width="18.28515625" style="217" customWidth="1"/>
    <col min="11540" max="11540" width="11" style="217" customWidth="1"/>
    <col min="11541" max="11541" width="13.28515625" style="217" bestFit="1" customWidth="1"/>
    <col min="11542" max="11542" width="18" style="217" customWidth="1"/>
    <col min="11543" max="11543" width="11.42578125" style="217"/>
    <col min="11544" max="11544" width="11.140625" style="217" customWidth="1"/>
    <col min="11545" max="11545" width="11.42578125" style="217"/>
    <col min="11546" max="11546" width="17.42578125" style="217" customWidth="1"/>
    <col min="11547" max="11791" width="11.42578125" style="217"/>
    <col min="11792" max="11792" width="14.5703125" style="217" customWidth="1"/>
    <col min="11793" max="11793" width="12.7109375" style="217" customWidth="1"/>
    <col min="11794" max="11794" width="1.5703125" style="217" customWidth="1"/>
    <col min="11795" max="11795" width="18.28515625" style="217" customWidth="1"/>
    <col min="11796" max="11796" width="11" style="217" customWidth="1"/>
    <col min="11797" max="11797" width="13.28515625" style="217" bestFit="1" customWidth="1"/>
    <col min="11798" max="11798" width="18" style="217" customWidth="1"/>
    <col min="11799" max="11799" width="11.42578125" style="217"/>
    <col min="11800" max="11800" width="11.140625" style="217" customWidth="1"/>
    <col min="11801" max="11801" width="11.42578125" style="217"/>
    <col min="11802" max="11802" width="17.42578125" style="217" customWidth="1"/>
    <col min="11803" max="12047" width="11.42578125" style="217"/>
    <col min="12048" max="12048" width="14.5703125" style="217" customWidth="1"/>
    <col min="12049" max="12049" width="12.7109375" style="217" customWidth="1"/>
    <col min="12050" max="12050" width="1.5703125" style="217" customWidth="1"/>
    <col min="12051" max="12051" width="18.28515625" style="217" customWidth="1"/>
    <col min="12052" max="12052" width="11" style="217" customWidth="1"/>
    <col min="12053" max="12053" width="13.28515625" style="217" bestFit="1" customWidth="1"/>
    <col min="12054" max="12054" width="18" style="217" customWidth="1"/>
    <col min="12055" max="12055" width="11.42578125" style="217"/>
    <col min="12056" max="12056" width="11.140625" style="217" customWidth="1"/>
    <col min="12057" max="12057" width="11.42578125" style="217"/>
    <col min="12058" max="12058" width="17.42578125" style="217" customWidth="1"/>
    <col min="12059" max="12303" width="11.42578125" style="217"/>
    <col min="12304" max="12304" width="14.5703125" style="217" customWidth="1"/>
    <col min="12305" max="12305" width="12.7109375" style="217" customWidth="1"/>
    <col min="12306" max="12306" width="1.5703125" style="217" customWidth="1"/>
    <col min="12307" max="12307" width="18.28515625" style="217" customWidth="1"/>
    <col min="12308" max="12308" width="11" style="217" customWidth="1"/>
    <col min="12309" max="12309" width="13.28515625" style="217" bestFit="1" customWidth="1"/>
    <col min="12310" max="12310" width="18" style="217" customWidth="1"/>
    <col min="12311" max="12311" width="11.42578125" style="217"/>
    <col min="12312" max="12312" width="11.140625" style="217" customWidth="1"/>
    <col min="12313" max="12313" width="11.42578125" style="217"/>
    <col min="12314" max="12314" width="17.42578125" style="217" customWidth="1"/>
    <col min="12315" max="12559" width="11.42578125" style="217"/>
    <col min="12560" max="12560" width="14.5703125" style="217" customWidth="1"/>
    <col min="12561" max="12561" width="12.7109375" style="217" customWidth="1"/>
    <col min="12562" max="12562" width="1.5703125" style="217" customWidth="1"/>
    <col min="12563" max="12563" width="18.28515625" style="217" customWidth="1"/>
    <col min="12564" max="12564" width="11" style="217" customWidth="1"/>
    <col min="12565" max="12565" width="13.28515625" style="217" bestFit="1" customWidth="1"/>
    <col min="12566" max="12566" width="18" style="217" customWidth="1"/>
    <col min="12567" max="12567" width="11.42578125" style="217"/>
    <col min="12568" max="12568" width="11.140625" style="217" customWidth="1"/>
    <col min="12569" max="12569" width="11.42578125" style="217"/>
    <col min="12570" max="12570" width="17.42578125" style="217" customWidth="1"/>
    <col min="12571" max="12815" width="11.42578125" style="217"/>
    <col min="12816" max="12816" width="14.5703125" style="217" customWidth="1"/>
    <col min="12817" max="12817" width="12.7109375" style="217" customWidth="1"/>
    <col min="12818" max="12818" width="1.5703125" style="217" customWidth="1"/>
    <col min="12819" max="12819" width="18.28515625" style="217" customWidth="1"/>
    <col min="12820" max="12820" width="11" style="217" customWidth="1"/>
    <col min="12821" max="12821" width="13.28515625" style="217" bestFit="1" customWidth="1"/>
    <col min="12822" max="12822" width="18" style="217" customWidth="1"/>
    <col min="12823" max="12823" width="11.42578125" style="217"/>
    <col min="12824" max="12824" width="11.140625" style="217" customWidth="1"/>
    <col min="12825" max="12825" width="11.42578125" style="217"/>
    <col min="12826" max="12826" width="17.42578125" style="217" customWidth="1"/>
    <col min="12827" max="13071" width="11.42578125" style="217"/>
    <col min="13072" max="13072" width="14.5703125" style="217" customWidth="1"/>
    <col min="13073" max="13073" width="12.7109375" style="217" customWidth="1"/>
    <col min="13074" max="13074" width="1.5703125" style="217" customWidth="1"/>
    <col min="13075" max="13075" width="18.28515625" style="217" customWidth="1"/>
    <col min="13076" max="13076" width="11" style="217" customWidth="1"/>
    <col min="13077" max="13077" width="13.28515625" style="217" bestFit="1" customWidth="1"/>
    <col min="13078" max="13078" width="18" style="217" customWidth="1"/>
    <col min="13079" max="13079" width="11.42578125" style="217"/>
    <col min="13080" max="13080" width="11.140625" style="217" customWidth="1"/>
    <col min="13081" max="13081" width="11.42578125" style="217"/>
    <col min="13082" max="13082" width="17.42578125" style="217" customWidth="1"/>
    <col min="13083" max="13327" width="11.42578125" style="217"/>
    <col min="13328" max="13328" width="14.5703125" style="217" customWidth="1"/>
    <col min="13329" max="13329" width="12.7109375" style="217" customWidth="1"/>
    <col min="13330" max="13330" width="1.5703125" style="217" customWidth="1"/>
    <col min="13331" max="13331" width="18.28515625" style="217" customWidth="1"/>
    <col min="13332" max="13332" width="11" style="217" customWidth="1"/>
    <col min="13333" max="13333" width="13.28515625" style="217" bestFit="1" customWidth="1"/>
    <col min="13334" max="13334" width="18" style="217" customWidth="1"/>
    <col min="13335" max="13335" width="11.42578125" style="217"/>
    <col min="13336" max="13336" width="11.140625" style="217" customWidth="1"/>
    <col min="13337" max="13337" width="11.42578125" style="217"/>
    <col min="13338" max="13338" width="17.42578125" style="217" customWidth="1"/>
    <col min="13339" max="13583" width="11.42578125" style="217"/>
    <col min="13584" max="13584" width="14.5703125" style="217" customWidth="1"/>
    <col min="13585" max="13585" width="12.7109375" style="217" customWidth="1"/>
    <col min="13586" max="13586" width="1.5703125" style="217" customWidth="1"/>
    <col min="13587" max="13587" width="18.28515625" style="217" customWidth="1"/>
    <col min="13588" max="13588" width="11" style="217" customWidth="1"/>
    <col min="13589" max="13589" width="13.28515625" style="217" bestFit="1" customWidth="1"/>
    <col min="13590" max="13590" width="18" style="217" customWidth="1"/>
    <col min="13591" max="13591" width="11.42578125" style="217"/>
    <col min="13592" max="13592" width="11.140625" style="217" customWidth="1"/>
    <col min="13593" max="13593" width="11.42578125" style="217"/>
    <col min="13594" max="13594" width="17.42578125" style="217" customWidth="1"/>
    <col min="13595" max="13839" width="11.42578125" style="217"/>
    <col min="13840" max="13840" width="14.5703125" style="217" customWidth="1"/>
    <col min="13841" max="13841" width="12.7109375" style="217" customWidth="1"/>
    <col min="13842" max="13842" width="1.5703125" style="217" customWidth="1"/>
    <col min="13843" max="13843" width="18.28515625" style="217" customWidth="1"/>
    <col min="13844" max="13844" width="11" style="217" customWidth="1"/>
    <col min="13845" max="13845" width="13.28515625" style="217" bestFit="1" customWidth="1"/>
    <col min="13846" max="13846" width="18" style="217" customWidth="1"/>
    <col min="13847" max="13847" width="11.42578125" style="217"/>
    <col min="13848" max="13848" width="11.140625" style="217" customWidth="1"/>
    <col min="13849" max="13849" width="11.42578125" style="217"/>
    <col min="13850" max="13850" width="17.42578125" style="217" customWidth="1"/>
    <col min="13851" max="14095" width="11.42578125" style="217"/>
    <col min="14096" max="14096" width="14.5703125" style="217" customWidth="1"/>
    <col min="14097" max="14097" width="12.7109375" style="217" customWidth="1"/>
    <col min="14098" max="14098" width="1.5703125" style="217" customWidth="1"/>
    <col min="14099" max="14099" width="18.28515625" style="217" customWidth="1"/>
    <col min="14100" max="14100" width="11" style="217" customWidth="1"/>
    <col min="14101" max="14101" width="13.28515625" style="217" bestFit="1" customWidth="1"/>
    <col min="14102" max="14102" width="18" style="217" customWidth="1"/>
    <col min="14103" max="14103" width="11.42578125" style="217"/>
    <col min="14104" max="14104" width="11.140625" style="217" customWidth="1"/>
    <col min="14105" max="14105" width="11.42578125" style="217"/>
    <col min="14106" max="14106" width="17.42578125" style="217" customWidth="1"/>
    <col min="14107" max="14351" width="11.42578125" style="217"/>
    <col min="14352" max="14352" width="14.5703125" style="217" customWidth="1"/>
    <col min="14353" max="14353" width="12.7109375" style="217" customWidth="1"/>
    <col min="14354" max="14354" width="1.5703125" style="217" customWidth="1"/>
    <col min="14355" max="14355" width="18.28515625" style="217" customWidth="1"/>
    <col min="14356" max="14356" width="11" style="217" customWidth="1"/>
    <col min="14357" max="14357" width="13.28515625" style="217" bestFit="1" customWidth="1"/>
    <col min="14358" max="14358" width="18" style="217" customWidth="1"/>
    <col min="14359" max="14359" width="11.42578125" style="217"/>
    <col min="14360" max="14360" width="11.140625" style="217" customWidth="1"/>
    <col min="14361" max="14361" width="11.42578125" style="217"/>
    <col min="14362" max="14362" width="17.42578125" style="217" customWidth="1"/>
    <col min="14363" max="14607" width="11.42578125" style="217"/>
    <col min="14608" max="14608" width="14.5703125" style="217" customWidth="1"/>
    <col min="14609" max="14609" width="12.7109375" style="217" customWidth="1"/>
    <col min="14610" max="14610" width="1.5703125" style="217" customWidth="1"/>
    <col min="14611" max="14611" width="18.28515625" style="217" customWidth="1"/>
    <col min="14612" max="14612" width="11" style="217" customWidth="1"/>
    <col min="14613" max="14613" width="13.28515625" style="217" bestFit="1" customWidth="1"/>
    <col min="14614" max="14614" width="18" style="217" customWidth="1"/>
    <col min="14615" max="14615" width="11.42578125" style="217"/>
    <col min="14616" max="14616" width="11.140625" style="217" customWidth="1"/>
    <col min="14617" max="14617" width="11.42578125" style="217"/>
    <col min="14618" max="14618" width="17.42578125" style="217" customWidth="1"/>
    <col min="14619" max="14863" width="11.42578125" style="217"/>
    <col min="14864" max="14864" width="14.5703125" style="217" customWidth="1"/>
    <col min="14865" max="14865" width="12.7109375" style="217" customWidth="1"/>
    <col min="14866" max="14866" width="1.5703125" style="217" customWidth="1"/>
    <col min="14867" max="14867" width="18.28515625" style="217" customWidth="1"/>
    <col min="14868" max="14868" width="11" style="217" customWidth="1"/>
    <col min="14869" max="14869" width="13.28515625" style="217" bestFit="1" customWidth="1"/>
    <col min="14870" max="14870" width="18" style="217" customWidth="1"/>
    <col min="14871" max="14871" width="11.42578125" style="217"/>
    <col min="14872" max="14872" width="11.140625" style="217" customWidth="1"/>
    <col min="14873" max="14873" width="11.42578125" style="217"/>
    <col min="14874" max="14874" width="17.42578125" style="217" customWidth="1"/>
    <col min="14875" max="15119" width="11.42578125" style="217"/>
    <col min="15120" max="15120" width="14.5703125" style="217" customWidth="1"/>
    <col min="15121" max="15121" width="12.7109375" style="217" customWidth="1"/>
    <col min="15122" max="15122" width="1.5703125" style="217" customWidth="1"/>
    <col min="15123" max="15123" width="18.28515625" style="217" customWidth="1"/>
    <col min="15124" max="15124" width="11" style="217" customWidth="1"/>
    <col min="15125" max="15125" width="13.28515625" style="217" bestFit="1" customWidth="1"/>
    <col min="15126" max="15126" width="18" style="217" customWidth="1"/>
    <col min="15127" max="15127" width="11.42578125" style="217"/>
    <col min="15128" max="15128" width="11.140625" style="217" customWidth="1"/>
    <col min="15129" max="15129" width="11.42578125" style="217"/>
    <col min="15130" max="15130" width="17.42578125" style="217" customWidth="1"/>
    <col min="15131" max="15375" width="11.42578125" style="217"/>
    <col min="15376" max="15376" width="14.5703125" style="217" customWidth="1"/>
    <col min="15377" max="15377" width="12.7109375" style="217" customWidth="1"/>
    <col min="15378" max="15378" width="1.5703125" style="217" customWidth="1"/>
    <col min="15379" max="15379" width="18.28515625" style="217" customWidth="1"/>
    <col min="15380" max="15380" width="11" style="217" customWidth="1"/>
    <col min="15381" max="15381" width="13.28515625" style="217" bestFit="1" customWidth="1"/>
    <col min="15382" max="15382" width="18" style="217" customWidth="1"/>
    <col min="15383" max="15383" width="11.42578125" style="217"/>
    <col min="15384" max="15384" width="11.140625" style="217" customWidth="1"/>
    <col min="15385" max="15385" width="11.42578125" style="217"/>
    <col min="15386" max="15386" width="17.42578125" style="217" customWidth="1"/>
    <col min="15387" max="15631" width="11.42578125" style="217"/>
    <col min="15632" max="15632" width="14.5703125" style="217" customWidth="1"/>
    <col min="15633" max="15633" width="12.7109375" style="217" customWidth="1"/>
    <col min="15634" max="15634" width="1.5703125" style="217" customWidth="1"/>
    <col min="15635" max="15635" width="18.28515625" style="217" customWidth="1"/>
    <col min="15636" max="15636" width="11" style="217" customWidth="1"/>
    <col min="15637" max="15637" width="13.28515625" style="217" bestFit="1" customWidth="1"/>
    <col min="15638" max="15638" width="18" style="217" customWidth="1"/>
    <col min="15639" max="15639" width="11.42578125" style="217"/>
    <col min="15640" max="15640" width="11.140625" style="217" customWidth="1"/>
    <col min="15641" max="15641" width="11.42578125" style="217"/>
    <col min="15642" max="15642" width="17.42578125" style="217" customWidth="1"/>
    <col min="15643" max="15887" width="11.42578125" style="217"/>
    <col min="15888" max="15888" width="14.5703125" style="217" customWidth="1"/>
    <col min="15889" max="15889" width="12.7109375" style="217" customWidth="1"/>
    <col min="15890" max="15890" width="1.5703125" style="217" customWidth="1"/>
    <col min="15891" max="15891" width="18.28515625" style="217" customWidth="1"/>
    <col min="15892" max="15892" width="11" style="217" customWidth="1"/>
    <col min="15893" max="15893" width="13.28515625" style="217" bestFit="1" customWidth="1"/>
    <col min="15894" max="15894" width="18" style="217" customWidth="1"/>
    <col min="15895" max="15895" width="11.42578125" style="217"/>
    <col min="15896" max="15896" width="11.140625" style="217" customWidth="1"/>
    <col min="15897" max="15897" width="11.42578125" style="217"/>
    <col min="15898" max="15898" width="17.42578125" style="217" customWidth="1"/>
    <col min="15899" max="16143" width="11.42578125" style="217"/>
    <col min="16144" max="16144" width="14.5703125" style="217" customWidth="1"/>
    <col min="16145" max="16145" width="12.7109375" style="217" customWidth="1"/>
    <col min="16146" max="16146" width="1.5703125" style="217" customWidth="1"/>
    <col min="16147" max="16147" width="18.28515625" style="217" customWidth="1"/>
    <col min="16148" max="16148" width="11" style="217" customWidth="1"/>
    <col min="16149" max="16149" width="13.28515625" style="217" bestFit="1" customWidth="1"/>
    <col min="16150" max="16150" width="18" style="217" customWidth="1"/>
    <col min="16151" max="16151" width="11.42578125" style="217"/>
    <col min="16152" max="16152" width="11.140625" style="217" customWidth="1"/>
    <col min="16153" max="16153" width="11.42578125" style="217"/>
    <col min="16154" max="16154" width="17.42578125" style="217" customWidth="1"/>
    <col min="16155" max="16384" width="11.42578125" style="217"/>
  </cols>
  <sheetData>
    <row r="1" spans="1:74" ht="12.75" customHeight="1" x14ac:dyDescent="0.2">
      <c r="A1" s="517" t="s">
        <v>256</v>
      </c>
      <c r="B1" s="517"/>
      <c r="C1" s="517"/>
      <c r="D1" s="517"/>
      <c r="E1" s="517"/>
      <c r="F1" s="517"/>
      <c r="G1" s="517"/>
      <c r="H1" s="517"/>
      <c r="I1" s="517"/>
      <c r="J1" s="517"/>
      <c r="K1" s="517"/>
      <c r="L1" s="517"/>
      <c r="AJ1" s="217"/>
      <c r="AR1" s="165"/>
      <c r="AS1" s="158"/>
      <c r="AT1" s="158"/>
      <c r="AU1" s="158"/>
      <c r="AV1" s="158"/>
      <c r="AW1" s="158"/>
      <c r="AX1" s="158"/>
      <c r="AY1" s="158"/>
      <c r="AZ1" s="158"/>
      <c r="BA1" s="158"/>
      <c r="BB1" s="158"/>
      <c r="BC1" s="158"/>
      <c r="BD1" s="158"/>
      <c r="BE1" s="158"/>
      <c r="BF1" s="158"/>
      <c r="BG1" s="158"/>
      <c r="BH1" s="158"/>
      <c r="BI1" s="158"/>
      <c r="BM1" s="162" t="s">
        <v>1</v>
      </c>
    </row>
    <row r="2" spans="1:74" ht="12.75" customHeight="1" x14ac:dyDescent="0.2">
      <c r="A2" s="517"/>
      <c r="B2" s="517"/>
      <c r="C2" s="517"/>
      <c r="D2" s="517"/>
      <c r="E2" s="517"/>
      <c r="F2" s="517"/>
      <c r="G2" s="517"/>
      <c r="H2" s="517"/>
      <c r="I2" s="517"/>
      <c r="J2" s="517"/>
      <c r="K2" s="517"/>
      <c r="L2" s="517"/>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165"/>
      <c r="AS2" s="158"/>
      <c r="AT2" s="158"/>
      <c r="AU2" s="158"/>
      <c r="AV2" s="158"/>
      <c r="AW2" s="158"/>
      <c r="AX2" s="158"/>
      <c r="AY2" s="158"/>
      <c r="AZ2" s="158"/>
      <c r="BA2" s="158"/>
      <c r="BB2" s="158"/>
      <c r="BC2" s="158"/>
      <c r="BD2" s="158"/>
      <c r="BE2" s="158"/>
      <c r="BF2" s="158"/>
      <c r="BG2" s="158"/>
      <c r="BH2" s="158"/>
      <c r="BI2" s="158"/>
    </row>
    <row r="3" spans="1:74" ht="12.75" customHeight="1" x14ac:dyDescent="0.2">
      <c r="A3" s="517"/>
      <c r="B3" s="518"/>
      <c r="C3" s="518"/>
      <c r="D3" s="518"/>
      <c r="E3" s="518"/>
      <c r="F3" s="518"/>
      <c r="G3" s="518"/>
      <c r="H3" s="518"/>
      <c r="I3" s="518"/>
      <c r="J3" s="518"/>
      <c r="K3" s="518"/>
      <c r="L3" s="518"/>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219"/>
      <c r="AS3" s="158"/>
      <c r="AT3" s="158"/>
      <c r="AU3" s="158"/>
      <c r="AV3" s="158"/>
      <c r="AW3" s="158"/>
      <c r="AX3" s="158"/>
      <c r="AY3" s="158"/>
      <c r="AZ3" s="158"/>
      <c r="BA3" s="158"/>
      <c r="BB3" s="158"/>
      <c r="BC3" s="158"/>
      <c r="BD3" s="158"/>
      <c r="BE3" s="158"/>
      <c r="BF3" s="158"/>
      <c r="BG3" s="158"/>
      <c r="BH3" s="158"/>
      <c r="BI3" s="158"/>
    </row>
    <row r="4" spans="1:74" ht="12.75" customHeight="1" x14ac:dyDescent="0.25">
      <c r="A4" s="220"/>
      <c r="B4" s="15"/>
      <c r="C4" s="15"/>
      <c r="D4" s="221"/>
      <c r="E4" s="15"/>
      <c r="F4" s="15"/>
      <c r="G4" s="15"/>
      <c r="H4" s="15"/>
      <c r="I4" s="15"/>
      <c r="J4" s="15"/>
      <c r="K4" s="15"/>
      <c r="L4" s="15"/>
      <c r="M4" s="15"/>
      <c r="N4" s="15"/>
      <c r="O4" s="15"/>
      <c r="P4" s="15"/>
      <c r="Q4" s="15"/>
      <c r="R4" s="15"/>
      <c r="S4" s="15"/>
      <c r="T4" s="15"/>
      <c r="U4" s="15"/>
      <c r="V4" s="15"/>
      <c r="W4" s="15"/>
      <c r="X4" s="15"/>
      <c r="Y4" s="222"/>
      <c r="Z4" s="222"/>
      <c r="AA4" s="222"/>
      <c r="AB4" s="15"/>
      <c r="AC4" s="15"/>
      <c r="AD4" s="15"/>
      <c r="AE4" s="15"/>
      <c r="AF4" s="15"/>
      <c r="AG4" s="15"/>
      <c r="AH4" s="15"/>
      <c r="AI4" s="15"/>
      <c r="AJ4" s="15"/>
      <c r="AK4" s="15"/>
      <c r="AL4" s="15"/>
      <c r="AM4" s="15"/>
      <c r="AN4" s="15"/>
      <c r="AO4" s="15"/>
      <c r="AP4" s="15"/>
      <c r="AQ4" s="15"/>
      <c r="AR4" s="223"/>
      <c r="AS4" s="164"/>
      <c r="AT4" s="164"/>
      <c r="AU4" s="164"/>
      <c r="AV4" s="164"/>
      <c r="AW4" s="164"/>
      <c r="AX4" s="164"/>
      <c r="AY4" s="164"/>
      <c r="AZ4" s="164"/>
      <c r="BA4" s="164"/>
      <c r="BB4" s="164"/>
      <c r="BC4" s="165"/>
      <c r="BE4" s="224"/>
    </row>
    <row r="5" spans="1:74" ht="12.75" customHeight="1" x14ac:dyDescent="0.2">
      <c r="A5" s="520" t="s">
        <v>257</v>
      </c>
      <c r="B5" s="520"/>
      <c r="C5" s="520"/>
      <c r="D5" s="520"/>
      <c r="E5" s="520"/>
      <c r="F5" s="520"/>
      <c r="G5" s="520"/>
      <c r="H5" s="520"/>
      <c r="I5" s="520"/>
      <c r="J5" s="520"/>
      <c r="K5" s="520"/>
      <c r="L5" s="520"/>
      <c r="M5" s="520"/>
      <c r="N5" s="520"/>
      <c r="O5" s="520"/>
      <c r="P5" s="520"/>
      <c r="Q5" s="520"/>
      <c r="R5" s="520"/>
      <c r="S5" s="520"/>
      <c r="T5" s="520"/>
      <c r="U5" s="520"/>
      <c r="V5" s="520"/>
      <c r="W5" s="520"/>
      <c r="X5" s="520"/>
      <c r="Y5" s="520"/>
      <c r="Z5" s="520"/>
      <c r="AA5" s="520"/>
      <c r="AB5" s="520"/>
      <c r="AC5" s="520"/>
      <c r="AD5" s="520"/>
      <c r="AE5" s="520"/>
      <c r="AF5" s="520"/>
      <c r="AG5" s="520"/>
      <c r="AH5" s="520"/>
      <c r="AI5" s="520"/>
      <c r="AJ5" s="520"/>
      <c r="AK5" s="520"/>
      <c r="AL5" s="520"/>
      <c r="AM5" s="520"/>
      <c r="AN5" s="520"/>
      <c r="AO5" s="520"/>
      <c r="AP5" s="520"/>
      <c r="AQ5" s="520"/>
      <c r="AR5" s="520"/>
      <c r="AS5" s="166"/>
      <c r="AT5" s="166"/>
      <c r="AU5" s="166"/>
      <c r="AV5" s="166"/>
      <c r="AW5" s="166"/>
      <c r="AX5" s="166"/>
      <c r="AY5" s="166"/>
      <c r="AZ5" s="166"/>
      <c r="BA5" s="166"/>
      <c r="BB5" s="166"/>
      <c r="BC5" s="165"/>
      <c r="BE5" s="224"/>
    </row>
    <row r="6" spans="1:74" ht="12.75" customHeight="1" x14ac:dyDescent="0.2">
      <c r="A6" s="520"/>
      <c r="B6" s="520"/>
      <c r="C6" s="520"/>
      <c r="D6" s="520"/>
      <c r="E6" s="520"/>
      <c r="F6" s="520"/>
      <c r="G6" s="520"/>
      <c r="H6" s="520"/>
      <c r="I6" s="520"/>
      <c r="J6" s="520"/>
      <c r="K6" s="520"/>
      <c r="L6" s="520"/>
      <c r="M6" s="520"/>
      <c r="N6" s="520"/>
      <c r="O6" s="520"/>
      <c r="P6" s="520"/>
      <c r="Q6" s="520"/>
      <c r="R6" s="520"/>
      <c r="S6" s="520"/>
      <c r="T6" s="520"/>
      <c r="U6" s="520"/>
      <c r="V6" s="520"/>
      <c r="W6" s="520"/>
      <c r="X6" s="520"/>
      <c r="Y6" s="520"/>
      <c r="Z6" s="520"/>
      <c r="AA6" s="520"/>
      <c r="AB6" s="520"/>
      <c r="AC6" s="520"/>
      <c r="AD6" s="520"/>
      <c r="AE6" s="520"/>
      <c r="AF6" s="520"/>
      <c r="AG6" s="520"/>
      <c r="AH6" s="520"/>
      <c r="AI6" s="520"/>
      <c r="AJ6" s="520"/>
      <c r="AK6" s="520"/>
      <c r="AL6" s="520"/>
      <c r="AM6" s="520"/>
      <c r="AN6" s="520"/>
      <c r="AO6" s="520"/>
      <c r="AP6" s="520"/>
      <c r="AQ6" s="520"/>
      <c r="AR6" s="520"/>
      <c r="AS6" s="166"/>
      <c r="AT6" s="166"/>
      <c r="AU6" s="166"/>
      <c r="AV6" s="166"/>
      <c r="AW6" s="166"/>
      <c r="AX6" s="166"/>
      <c r="AY6" s="166"/>
      <c r="AZ6" s="166"/>
      <c r="BA6" s="166"/>
      <c r="BB6" s="166"/>
      <c r="BC6" s="168"/>
      <c r="BD6" s="225"/>
      <c r="BE6" s="225"/>
      <c r="BF6" s="225"/>
      <c r="BG6" s="225"/>
      <c r="BH6" s="225"/>
      <c r="BI6" s="225"/>
      <c r="BJ6" s="225"/>
      <c r="BK6" s="225"/>
      <c r="BL6" s="225"/>
      <c r="BM6" s="225"/>
      <c r="BN6" s="225"/>
      <c r="BO6" s="225"/>
      <c r="BP6" s="225"/>
      <c r="BQ6" s="225"/>
      <c r="BR6" s="225"/>
      <c r="BS6" s="225"/>
      <c r="BT6" s="225"/>
      <c r="BU6" s="225"/>
      <c r="BV6" s="225"/>
    </row>
    <row r="7" spans="1:74" ht="27" customHeight="1" x14ac:dyDescent="0.2">
      <c r="A7" s="520"/>
      <c r="B7" s="520"/>
      <c r="C7" s="520"/>
      <c r="D7" s="520"/>
      <c r="E7" s="520"/>
      <c r="F7" s="520"/>
      <c r="G7" s="520"/>
      <c r="H7" s="520"/>
      <c r="I7" s="520"/>
      <c r="J7" s="520"/>
      <c r="K7" s="520"/>
      <c r="L7" s="520"/>
      <c r="M7" s="520"/>
      <c r="N7" s="520"/>
      <c r="O7" s="520"/>
      <c r="P7" s="520"/>
      <c r="Q7" s="520"/>
      <c r="R7" s="520"/>
      <c r="S7" s="520"/>
      <c r="T7" s="520"/>
      <c r="U7" s="520"/>
      <c r="V7" s="520"/>
      <c r="W7" s="520"/>
      <c r="X7" s="520"/>
      <c r="Y7" s="520"/>
      <c r="Z7" s="520"/>
      <c r="AA7" s="520"/>
      <c r="AB7" s="520"/>
      <c r="AC7" s="520"/>
      <c r="AD7" s="520"/>
      <c r="AE7" s="520"/>
      <c r="AF7" s="520"/>
      <c r="AG7" s="520"/>
      <c r="AH7" s="520"/>
      <c r="AI7" s="520"/>
      <c r="AJ7" s="520"/>
      <c r="AK7" s="520"/>
      <c r="AL7" s="520"/>
      <c r="AM7" s="520"/>
      <c r="AN7" s="520"/>
      <c r="AO7" s="520"/>
      <c r="AP7" s="520"/>
      <c r="AQ7" s="520"/>
      <c r="AR7" s="520"/>
      <c r="AS7" s="170"/>
      <c r="AT7" s="170"/>
      <c r="AU7" s="170"/>
      <c r="AV7" s="170"/>
      <c r="AW7" s="170"/>
      <c r="AX7" s="170"/>
      <c r="AY7" s="170"/>
      <c r="AZ7" s="170"/>
      <c r="BA7" s="170"/>
      <c r="BB7" s="170"/>
      <c r="BC7" s="168"/>
      <c r="BD7" s="225"/>
      <c r="BE7" s="225"/>
      <c r="BF7" s="225"/>
      <c r="BG7" s="225"/>
      <c r="BH7" s="225"/>
      <c r="BI7" s="225"/>
      <c r="BJ7" s="225"/>
      <c r="BK7" s="225"/>
      <c r="BL7" s="225"/>
      <c r="BM7" s="225"/>
      <c r="BN7" s="225"/>
      <c r="BO7" s="225"/>
      <c r="BP7" s="225"/>
      <c r="BQ7" s="225"/>
      <c r="BR7" s="225"/>
      <c r="BS7" s="225"/>
      <c r="BT7" s="225"/>
      <c r="BU7" s="225"/>
      <c r="BV7" s="225"/>
    </row>
    <row r="8" spans="1:74" ht="12.75" customHeight="1" x14ac:dyDescent="0.2">
      <c r="A8" s="520"/>
      <c r="B8" s="520"/>
      <c r="C8" s="520"/>
      <c r="D8" s="520"/>
      <c r="E8" s="520"/>
      <c r="F8" s="520"/>
      <c r="G8" s="520"/>
      <c r="H8" s="520"/>
      <c r="I8" s="520"/>
      <c r="J8" s="520"/>
      <c r="K8" s="520"/>
      <c r="L8" s="520"/>
      <c r="M8" s="520"/>
      <c r="N8" s="520"/>
      <c r="O8" s="520"/>
      <c r="P8" s="520"/>
      <c r="Q8" s="520"/>
      <c r="R8" s="520"/>
      <c r="S8" s="520"/>
      <c r="T8" s="520"/>
      <c r="U8" s="520"/>
      <c r="V8" s="520"/>
      <c r="W8" s="520"/>
      <c r="X8" s="520"/>
      <c r="Y8" s="520"/>
      <c r="Z8" s="520"/>
      <c r="AA8" s="520"/>
      <c r="AB8" s="520"/>
      <c r="AC8" s="520"/>
      <c r="AD8" s="520"/>
      <c r="AE8" s="520"/>
      <c r="AF8" s="520"/>
      <c r="AG8" s="520"/>
      <c r="AH8" s="520"/>
      <c r="AI8" s="520"/>
      <c r="AJ8" s="520"/>
      <c r="AK8" s="520"/>
      <c r="AL8" s="520"/>
      <c r="AM8" s="520"/>
      <c r="AN8" s="520"/>
      <c r="AO8" s="520"/>
      <c r="AP8" s="520"/>
      <c r="AQ8" s="520"/>
      <c r="AR8" s="520"/>
      <c r="AS8" s="170"/>
      <c r="AT8" s="170"/>
      <c r="AU8" s="170"/>
      <c r="AV8" s="170"/>
      <c r="AW8" s="170"/>
      <c r="AX8" s="170"/>
      <c r="AY8" s="170"/>
      <c r="AZ8" s="170"/>
      <c r="BA8" s="170"/>
      <c r="BB8" s="170"/>
      <c r="BC8" s="168"/>
      <c r="BE8" s="224"/>
    </row>
    <row r="9" spans="1:74" ht="12.75" customHeight="1" x14ac:dyDescent="0.2">
      <c r="A9" s="520"/>
      <c r="B9" s="520"/>
      <c r="C9" s="520"/>
      <c r="D9" s="520"/>
      <c r="E9" s="520"/>
      <c r="F9" s="520"/>
      <c r="G9" s="520"/>
      <c r="H9" s="520"/>
      <c r="I9" s="520"/>
      <c r="J9" s="520"/>
      <c r="K9" s="520"/>
      <c r="L9" s="520"/>
      <c r="M9" s="520"/>
      <c r="N9" s="520"/>
      <c r="O9" s="520"/>
      <c r="P9" s="520"/>
      <c r="Q9" s="520"/>
      <c r="R9" s="520"/>
      <c r="S9" s="520"/>
      <c r="T9" s="520"/>
      <c r="U9" s="520"/>
      <c r="V9" s="520"/>
      <c r="W9" s="520"/>
      <c r="X9" s="520"/>
      <c r="Y9" s="520"/>
      <c r="Z9" s="520"/>
      <c r="AA9" s="520"/>
      <c r="AB9" s="520"/>
      <c r="AC9" s="520"/>
      <c r="AD9" s="520"/>
      <c r="AE9" s="520"/>
      <c r="AF9" s="520"/>
      <c r="AG9" s="520"/>
      <c r="AH9" s="520"/>
      <c r="AI9" s="520"/>
      <c r="AJ9" s="520"/>
      <c r="AK9" s="520"/>
      <c r="AL9" s="520"/>
      <c r="AM9" s="520"/>
      <c r="AN9" s="520"/>
      <c r="AO9" s="520"/>
      <c r="AP9" s="520"/>
      <c r="AQ9" s="520"/>
      <c r="AR9" s="520"/>
      <c r="AS9" s="171"/>
      <c r="AT9" s="171"/>
      <c r="AU9" s="171"/>
      <c r="AV9" s="171"/>
      <c r="AW9" s="171"/>
      <c r="AX9" s="171"/>
      <c r="AY9" s="171"/>
      <c r="AZ9" s="171"/>
      <c r="BA9" s="171"/>
      <c r="BB9" s="171"/>
      <c r="BC9" s="168"/>
      <c r="BE9" s="224"/>
    </row>
    <row r="10" spans="1:74" ht="12.75" customHeight="1" x14ac:dyDescent="0.2">
      <c r="A10" s="520"/>
      <c r="B10" s="520"/>
      <c r="C10" s="520"/>
      <c r="D10" s="520"/>
      <c r="E10" s="520"/>
      <c r="F10" s="520"/>
      <c r="G10" s="520"/>
      <c r="H10" s="520"/>
      <c r="I10" s="520"/>
      <c r="J10" s="520"/>
      <c r="K10" s="520"/>
      <c r="L10" s="520"/>
      <c r="M10" s="520"/>
      <c r="N10" s="520"/>
      <c r="O10" s="520"/>
      <c r="P10" s="520"/>
      <c r="Q10" s="520"/>
      <c r="R10" s="520"/>
      <c r="S10" s="520"/>
      <c r="T10" s="520"/>
      <c r="U10" s="520"/>
      <c r="V10" s="520"/>
      <c r="W10" s="520"/>
      <c r="X10" s="520"/>
      <c r="Y10" s="520"/>
      <c r="Z10" s="520"/>
      <c r="AA10" s="520"/>
      <c r="AB10" s="520"/>
      <c r="AC10" s="520"/>
      <c r="AD10" s="520"/>
      <c r="AE10" s="520"/>
      <c r="AF10" s="520"/>
      <c r="AG10" s="520"/>
      <c r="AH10" s="520"/>
      <c r="AI10" s="520"/>
      <c r="AJ10" s="520"/>
      <c r="AK10" s="520"/>
      <c r="AL10" s="520"/>
      <c r="AM10" s="520"/>
      <c r="AN10" s="520"/>
      <c r="AO10" s="520"/>
      <c r="AP10" s="520"/>
      <c r="AQ10" s="520"/>
      <c r="AR10" s="520"/>
      <c r="AS10" s="170"/>
      <c r="AT10" s="170"/>
      <c r="AU10" s="170"/>
      <c r="AV10" s="170"/>
      <c r="AW10" s="170"/>
      <c r="AX10" s="170"/>
      <c r="AY10" s="170"/>
      <c r="AZ10" s="170"/>
      <c r="BA10" s="170"/>
      <c r="BB10" s="170"/>
      <c r="BC10" s="168"/>
      <c r="BE10" s="224"/>
    </row>
    <row r="11" spans="1:74" ht="12.75" customHeight="1" x14ac:dyDescent="0.2">
      <c r="A11" s="520"/>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0"/>
      <c r="AH11" s="520"/>
      <c r="AI11" s="520"/>
      <c r="AJ11" s="520"/>
      <c r="AK11" s="520"/>
      <c r="AL11" s="520"/>
      <c r="AM11" s="520"/>
      <c r="AN11" s="520"/>
      <c r="AO11" s="520"/>
      <c r="AP11" s="520"/>
      <c r="AQ11" s="520"/>
      <c r="AR11" s="520"/>
      <c r="AS11" s="170"/>
      <c r="AT11" s="170"/>
      <c r="AU11" s="170"/>
      <c r="AV11" s="170"/>
      <c r="AW11" s="170"/>
      <c r="AX11" s="170"/>
      <c r="AY11" s="170"/>
      <c r="AZ11" s="170"/>
      <c r="BA11" s="170"/>
      <c r="BB11" s="170"/>
      <c r="BC11" s="168"/>
      <c r="BE11" s="224"/>
    </row>
    <row r="12" spans="1:74" ht="12.75" customHeight="1" x14ac:dyDescent="0.2">
      <c r="A12" s="520"/>
      <c r="B12" s="520"/>
      <c r="C12" s="520"/>
      <c r="D12" s="520"/>
      <c r="E12" s="520"/>
      <c r="F12" s="520"/>
      <c r="G12" s="520"/>
      <c r="H12" s="520"/>
      <c r="I12" s="520"/>
      <c r="J12" s="520"/>
      <c r="K12" s="520"/>
      <c r="L12" s="520"/>
      <c r="M12" s="520"/>
      <c r="N12" s="520"/>
      <c r="O12" s="520"/>
      <c r="P12" s="520"/>
      <c r="Q12" s="520"/>
      <c r="R12" s="520"/>
      <c r="S12" s="520"/>
      <c r="T12" s="520"/>
      <c r="U12" s="520"/>
      <c r="V12" s="520"/>
      <c r="W12" s="520"/>
      <c r="X12" s="520"/>
      <c r="Y12" s="520"/>
      <c r="Z12" s="520"/>
      <c r="AA12" s="520"/>
      <c r="AB12" s="520"/>
      <c r="AC12" s="520"/>
      <c r="AD12" s="520"/>
      <c r="AE12" s="520"/>
      <c r="AF12" s="520"/>
      <c r="AG12" s="520"/>
      <c r="AH12" s="520"/>
      <c r="AI12" s="520"/>
      <c r="AJ12" s="520"/>
      <c r="AK12" s="520"/>
      <c r="AL12" s="520"/>
      <c r="AM12" s="520"/>
      <c r="AN12" s="520"/>
      <c r="AO12" s="520"/>
      <c r="AP12" s="520"/>
      <c r="AQ12" s="520"/>
      <c r="AR12" s="520"/>
      <c r="AS12" s="170"/>
      <c r="AT12" s="170"/>
      <c r="AU12" s="170"/>
      <c r="AV12" s="170"/>
      <c r="AW12" s="170"/>
      <c r="AX12" s="170"/>
      <c r="AY12" s="170"/>
      <c r="AZ12" s="170"/>
      <c r="BA12" s="170"/>
      <c r="BB12" s="170"/>
      <c r="BC12" s="168"/>
      <c r="BE12" s="224"/>
    </row>
    <row r="13" spans="1:74" ht="12.75" customHeight="1" x14ac:dyDescent="0.2">
      <c r="A13" s="520"/>
      <c r="B13" s="520"/>
      <c r="C13" s="520"/>
      <c r="D13" s="520"/>
      <c r="E13" s="520"/>
      <c r="F13" s="520"/>
      <c r="G13" s="520"/>
      <c r="H13" s="520"/>
      <c r="I13" s="520"/>
      <c r="J13" s="520"/>
      <c r="K13" s="520"/>
      <c r="L13" s="520"/>
      <c r="M13" s="520"/>
      <c r="N13" s="520"/>
      <c r="O13" s="520"/>
      <c r="P13" s="520"/>
      <c r="Q13" s="520"/>
      <c r="R13" s="520"/>
      <c r="S13" s="520"/>
      <c r="T13" s="520"/>
      <c r="U13" s="520"/>
      <c r="V13" s="520"/>
      <c r="W13" s="520"/>
      <c r="X13" s="520"/>
      <c r="Y13" s="520"/>
      <c r="Z13" s="520"/>
      <c r="AA13" s="520"/>
      <c r="AB13" s="520"/>
      <c r="AC13" s="520"/>
      <c r="AD13" s="520"/>
      <c r="AE13" s="520"/>
      <c r="AF13" s="520"/>
      <c r="AG13" s="520"/>
      <c r="AH13" s="520"/>
      <c r="AI13" s="520"/>
      <c r="AJ13" s="520"/>
      <c r="AK13" s="520"/>
      <c r="AL13" s="520"/>
      <c r="AM13" s="520"/>
      <c r="AN13" s="520"/>
      <c r="AO13" s="520"/>
      <c r="AP13" s="520"/>
      <c r="AQ13" s="520"/>
      <c r="AR13" s="520"/>
      <c r="AS13" s="171"/>
      <c r="AT13" s="171"/>
      <c r="AU13" s="171"/>
      <c r="AV13" s="171"/>
      <c r="AW13" s="171"/>
      <c r="AX13" s="171"/>
      <c r="AY13" s="171"/>
      <c r="AZ13" s="171"/>
      <c r="BA13" s="171"/>
      <c r="BB13" s="171"/>
      <c r="BC13" s="168"/>
      <c r="BE13" s="224"/>
      <c r="BG13" s="217" t="s">
        <v>39</v>
      </c>
    </row>
    <row r="14" spans="1:74" ht="12.75" customHeight="1" x14ac:dyDescent="0.2">
      <c r="A14" s="520"/>
      <c r="B14" s="520"/>
      <c r="C14" s="520"/>
      <c r="D14" s="520"/>
      <c r="E14" s="520"/>
      <c r="F14" s="520"/>
      <c r="G14" s="520"/>
      <c r="H14" s="520"/>
      <c r="I14" s="520"/>
      <c r="J14" s="520"/>
      <c r="K14" s="520"/>
      <c r="L14" s="520"/>
      <c r="M14" s="520"/>
      <c r="N14" s="520"/>
      <c r="O14" s="520"/>
      <c r="P14" s="520"/>
      <c r="Q14" s="520"/>
      <c r="R14" s="520"/>
      <c r="S14" s="520"/>
      <c r="T14" s="520"/>
      <c r="U14" s="520"/>
      <c r="V14" s="520"/>
      <c r="W14" s="520"/>
      <c r="X14" s="520"/>
      <c r="Y14" s="520"/>
      <c r="Z14" s="520"/>
      <c r="AA14" s="520"/>
      <c r="AB14" s="520"/>
      <c r="AC14" s="520"/>
      <c r="AD14" s="520"/>
      <c r="AE14" s="520"/>
      <c r="AF14" s="520"/>
      <c r="AG14" s="520"/>
      <c r="AH14" s="520"/>
      <c r="AI14" s="520"/>
      <c r="AJ14" s="520"/>
      <c r="AK14" s="520"/>
      <c r="AL14" s="520"/>
      <c r="AM14" s="520"/>
      <c r="AN14" s="520"/>
      <c r="AO14" s="520"/>
      <c r="AP14" s="520"/>
      <c r="AQ14" s="520"/>
      <c r="AR14" s="520"/>
      <c r="AS14" s="226"/>
      <c r="AT14" s="226"/>
      <c r="AU14" s="226"/>
      <c r="AV14" s="226"/>
      <c r="AW14" s="226"/>
      <c r="AX14" s="226"/>
      <c r="AY14" s="226"/>
      <c r="AZ14" s="226"/>
      <c r="BA14" s="226"/>
      <c r="BB14" s="226"/>
      <c r="BC14" s="168"/>
      <c r="BE14" s="224"/>
    </row>
    <row r="15" spans="1:74" ht="12.75" customHeight="1" x14ac:dyDescent="0.2">
      <c r="A15" s="520"/>
      <c r="B15" s="520"/>
      <c r="C15" s="520"/>
      <c r="D15" s="520"/>
      <c r="E15" s="520"/>
      <c r="F15" s="520"/>
      <c r="G15" s="520"/>
      <c r="H15" s="520"/>
      <c r="I15" s="520"/>
      <c r="J15" s="520"/>
      <c r="K15" s="520"/>
      <c r="L15" s="520"/>
      <c r="M15" s="520"/>
      <c r="N15" s="520"/>
      <c r="O15" s="520"/>
      <c r="P15" s="520"/>
      <c r="Q15" s="520"/>
      <c r="R15" s="520"/>
      <c r="S15" s="520"/>
      <c r="T15" s="520"/>
      <c r="U15" s="520"/>
      <c r="V15" s="520"/>
      <c r="W15" s="520"/>
      <c r="X15" s="520"/>
      <c r="Y15" s="520"/>
      <c r="Z15" s="520"/>
      <c r="AA15" s="520"/>
      <c r="AB15" s="520"/>
      <c r="AC15" s="520"/>
      <c r="AD15" s="520"/>
      <c r="AE15" s="520"/>
      <c r="AF15" s="520"/>
      <c r="AG15" s="520"/>
      <c r="AH15" s="520"/>
      <c r="AI15" s="520"/>
      <c r="AJ15" s="520"/>
      <c r="AK15" s="520"/>
      <c r="AL15" s="520"/>
      <c r="AM15" s="520"/>
      <c r="AN15" s="520"/>
      <c r="AO15" s="520"/>
      <c r="AP15" s="520"/>
      <c r="AQ15" s="520"/>
      <c r="AR15" s="520"/>
      <c r="AS15" s="227"/>
      <c r="AT15" s="227"/>
      <c r="AU15" s="227"/>
      <c r="AV15" s="227"/>
      <c r="AW15" s="227"/>
      <c r="AX15" s="227"/>
      <c r="AY15" s="227"/>
      <c r="AZ15" s="227"/>
      <c r="BA15" s="227"/>
      <c r="BB15" s="227"/>
      <c r="BC15" s="168"/>
      <c r="BD15" s="172"/>
      <c r="BE15" s="173"/>
      <c r="BF15" s="172"/>
      <c r="BG15" s="172"/>
      <c r="BH15" s="172"/>
      <c r="BI15" s="172"/>
      <c r="BJ15" s="172"/>
      <c r="BK15" s="172"/>
      <c r="BL15" s="172"/>
      <c r="BM15" s="172"/>
      <c r="BN15" s="172"/>
      <c r="BO15" s="172"/>
      <c r="BP15" s="172"/>
      <c r="BQ15" s="172"/>
      <c r="BR15" s="172"/>
      <c r="BS15" s="172"/>
      <c r="BT15" s="172"/>
      <c r="BU15" s="172"/>
      <c r="BV15" s="172"/>
    </row>
    <row r="16" spans="1:74" ht="12.75" customHeight="1" x14ac:dyDescent="0.2">
      <c r="A16" s="520"/>
      <c r="B16" s="520"/>
      <c r="C16" s="520"/>
      <c r="D16" s="520"/>
      <c r="E16" s="520"/>
      <c r="F16" s="520"/>
      <c r="G16" s="520"/>
      <c r="H16" s="520"/>
      <c r="I16" s="520"/>
      <c r="J16" s="520"/>
      <c r="K16" s="520"/>
      <c r="L16" s="520"/>
      <c r="M16" s="520"/>
      <c r="N16" s="520"/>
      <c r="O16" s="520"/>
      <c r="P16" s="520"/>
      <c r="Q16" s="520"/>
      <c r="R16" s="520"/>
      <c r="S16" s="520"/>
      <c r="T16" s="520"/>
      <c r="U16" s="520"/>
      <c r="V16" s="520"/>
      <c r="W16" s="520"/>
      <c r="X16" s="520"/>
      <c r="Y16" s="520"/>
      <c r="Z16" s="520"/>
      <c r="AA16" s="520"/>
      <c r="AB16" s="520"/>
      <c r="AC16" s="520"/>
      <c r="AD16" s="520"/>
      <c r="AE16" s="520"/>
      <c r="AF16" s="520"/>
      <c r="AG16" s="520"/>
      <c r="AH16" s="520"/>
      <c r="AI16" s="520"/>
      <c r="AJ16" s="520"/>
      <c r="AK16" s="520"/>
      <c r="AL16" s="520"/>
      <c r="AM16" s="520"/>
      <c r="AN16" s="520"/>
      <c r="AO16" s="520"/>
      <c r="AP16" s="520"/>
      <c r="AQ16" s="520"/>
      <c r="AR16" s="520"/>
      <c r="AS16" s="171"/>
      <c r="AT16" s="171"/>
      <c r="AU16" s="171"/>
      <c r="AV16" s="171"/>
      <c r="AW16" s="171"/>
      <c r="AX16" s="171"/>
      <c r="AY16" s="171"/>
      <c r="AZ16" s="171"/>
      <c r="BA16" s="171"/>
      <c r="BB16" s="171"/>
      <c r="BC16" s="168"/>
      <c r="BD16" s="172"/>
      <c r="BE16" s="173"/>
      <c r="BF16" s="172"/>
      <c r="BG16" s="172"/>
      <c r="BH16" s="172"/>
      <c r="BI16" s="172"/>
      <c r="BJ16" s="172"/>
      <c r="BK16" s="172"/>
      <c r="BL16" s="172"/>
      <c r="BM16" s="172"/>
      <c r="BN16" s="172"/>
      <c r="BO16" s="172"/>
      <c r="BP16" s="172"/>
      <c r="BQ16" s="172"/>
      <c r="BR16" s="172"/>
      <c r="BS16" s="172"/>
      <c r="BT16" s="172"/>
      <c r="BU16" s="172"/>
      <c r="BV16" s="172"/>
    </row>
    <row r="17" spans="1:76" ht="12.75" customHeight="1" x14ac:dyDescent="0.2">
      <c r="A17" s="520"/>
      <c r="B17" s="520"/>
      <c r="C17" s="520"/>
      <c r="D17" s="520"/>
      <c r="E17" s="520"/>
      <c r="F17" s="520"/>
      <c r="G17" s="520"/>
      <c r="H17" s="520"/>
      <c r="I17" s="520"/>
      <c r="J17" s="520"/>
      <c r="K17" s="520"/>
      <c r="L17" s="520"/>
      <c r="M17" s="520"/>
      <c r="N17" s="520"/>
      <c r="O17" s="520"/>
      <c r="P17" s="520"/>
      <c r="Q17" s="520"/>
      <c r="R17" s="520"/>
      <c r="S17" s="520"/>
      <c r="T17" s="520"/>
      <c r="U17" s="520"/>
      <c r="V17" s="520"/>
      <c r="W17" s="520"/>
      <c r="X17" s="520"/>
      <c r="Y17" s="520"/>
      <c r="Z17" s="520"/>
      <c r="AA17" s="520"/>
      <c r="AB17" s="520"/>
      <c r="AC17" s="520"/>
      <c r="AD17" s="520"/>
      <c r="AE17" s="520"/>
      <c r="AF17" s="520"/>
      <c r="AG17" s="520"/>
      <c r="AH17" s="520"/>
      <c r="AI17" s="520"/>
      <c r="AJ17" s="520"/>
      <c r="AK17" s="520"/>
      <c r="AL17" s="520"/>
      <c r="AM17" s="520"/>
      <c r="AN17" s="520"/>
      <c r="AO17" s="520"/>
      <c r="AP17" s="520"/>
      <c r="AQ17" s="520"/>
      <c r="AR17" s="520"/>
      <c r="AS17" s="170"/>
      <c r="AT17" s="170"/>
      <c r="AU17" s="170"/>
      <c r="AV17" s="170"/>
      <c r="AW17" s="170"/>
      <c r="AX17" s="170"/>
      <c r="AY17" s="170"/>
      <c r="AZ17" s="170"/>
      <c r="BA17" s="170"/>
      <c r="BB17" s="170"/>
      <c r="BC17" s="168"/>
      <c r="BD17" s="172"/>
      <c r="BE17" s="173"/>
      <c r="BF17" s="172"/>
      <c r="BG17" s="172"/>
      <c r="BH17" s="172"/>
      <c r="BI17" s="172"/>
      <c r="BJ17" s="172"/>
      <c r="BK17" s="172"/>
      <c r="BL17" s="172"/>
      <c r="BM17" s="172"/>
      <c r="BN17" s="172"/>
      <c r="BO17" s="172"/>
      <c r="BP17" s="172"/>
      <c r="BQ17" s="172"/>
      <c r="BR17" s="172"/>
      <c r="BS17" s="172"/>
      <c r="BT17" s="172"/>
      <c r="BU17" s="172"/>
      <c r="BV17" s="172"/>
    </row>
    <row r="18" spans="1:76" ht="12.75" customHeight="1" x14ac:dyDescent="0.2">
      <c r="A18" s="520"/>
      <c r="B18" s="520"/>
      <c r="C18" s="520"/>
      <c r="D18" s="520"/>
      <c r="E18" s="520"/>
      <c r="F18" s="520"/>
      <c r="G18" s="520"/>
      <c r="H18" s="520"/>
      <c r="I18" s="520"/>
      <c r="J18" s="520"/>
      <c r="K18" s="520"/>
      <c r="L18" s="520"/>
      <c r="M18" s="520"/>
      <c r="N18" s="520"/>
      <c r="O18" s="520"/>
      <c r="P18" s="520"/>
      <c r="Q18" s="520"/>
      <c r="R18" s="520"/>
      <c r="S18" s="520"/>
      <c r="T18" s="520"/>
      <c r="U18" s="520"/>
      <c r="V18" s="520"/>
      <c r="W18" s="520"/>
      <c r="X18" s="520"/>
      <c r="Y18" s="520"/>
      <c r="Z18" s="520"/>
      <c r="AA18" s="520"/>
      <c r="AB18" s="520"/>
      <c r="AC18" s="520"/>
      <c r="AD18" s="520"/>
      <c r="AE18" s="520"/>
      <c r="AF18" s="520"/>
      <c r="AG18" s="520"/>
      <c r="AH18" s="520"/>
      <c r="AI18" s="520"/>
      <c r="AJ18" s="520"/>
      <c r="AK18" s="520"/>
      <c r="AL18" s="520"/>
      <c r="AM18" s="520"/>
      <c r="AN18" s="520"/>
      <c r="AO18" s="520"/>
      <c r="AP18" s="520"/>
      <c r="AQ18" s="520"/>
      <c r="AR18" s="520"/>
      <c r="AS18" s="170"/>
      <c r="AT18" s="170"/>
      <c r="AU18" s="170"/>
      <c r="AV18" s="170"/>
      <c r="AW18" s="170"/>
      <c r="AX18" s="170"/>
      <c r="AY18" s="170"/>
      <c r="AZ18" s="170"/>
      <c r="BA18" s="170"/>
      <c r="BB18" s="170"/>
      <c r="BC18" s="168"/>
      <c r="BD18" s="172"/>
      <c r="BE18" s="173"/>
      <c r="BF18" s="172"/>
      <c r="BG18" s="172"/>
      <c r="BH18" s="172"/>
      <c r="BI18" s="172"/>
      <c r="BJ18" s="172"/>
      <c r="BK18" s="172"/>
      <c r="BL18" s="172"/>
      <c r="BM18" s="172"/>
      <c r="BN18" s="172"/>
      <c r="BO18" s="172"/>
      <c r="BP18" s="172"/>
      <c r="BQ18" s="172"/>
      <c r="BR18" s="172"/>
      <c r="BS18" s="172"/>
      <c r="BT18" s="172"/>
      <c r="BU18" s="172"/>
      <c r="BV18" s="172"/>
    </row>
    <row r="19" spans="1:76" ht="12.75" customHeight="1" x14ac:dyDescent="0.2">
      <c r="A19" s="520"/>
      <c r="B19" s="520"/>
      <c r="C19" s="520"/>
      <c r="D19" s="520"/>
      <c r="E19" s="520"/>
      <c r="F19" s="520"/>
      <c r="G19" s="520"/>
      <c r="H19" s="520"/>
      <c r="I19" s="520"/>
      <c r="J19" s="520"/>
      <c r="K19" s="520"/>
      <c r="L19" s="520"/>
      <c r="M19" s="520"/>
      <c r="N19" s="520"/>
      <c r="O19" s="520"/>
      <c r="P19" s="520"/>
      <c r="Q19" s="520"/>
      <c r="R19" s="520"/>
      <c r="S19" s="520"/>
      <c r="T19" s="520"/>
      <c r="U19" s="520"/>
      <c r="V19" s="520"/>
      <c r="W19" s="520"/>
      <c r="X19" s="520"/>
      <c r="Y19" s="520"/>
      <c r="Z19" s="520"/>
      <c r="AA19" s="520"/>
      <c r="AB19" s="520"/>
      <c r="AC19" s="520"/>
      <c r="AD19" s="520"/>
      <c r="AE19" s="520"/>
      <c r="AF19" s="520"/>
      <c r="AG19" s="520"/>
      <c r="AH19" s="520"/>
      <c r="AI19" s="520"/>
      <c r="AJ19" s="520"/>
      <c r="AK19" s="520"/>
      <c r="AL19" s="520"/>
      <c r="AM19" s="520"/>
      <c r="AN19" s="520"/>
      <c r="AO19" s="520"/>
      <c r="AP19" s="520"/>
      <c r="AQ19" s="520"/>
      <c r="AR19" s="520"/>
      <c r="AS19" s="170"/>
      <c r="AT19" s="170"/>
      <c r="AU19" s="170"/>
      <c r="AV19" s="170"/>
      <c r="AW19" s="170"/>
      <c r="AX19" s="170"/>
      <c r="AY19" s="170"/>
      <c r="AZ19" s="170"/>
      <c r="BA19" s="170"/>
      <c r="BB19" s="170"/>
      <c r="BC19" s="168"/>
      <c r="BD19" s="172"/>
      <c r="BE19" s="173" t="str">
        <f ca="1">IFERROR(_xll.BDP($BL19,"PX_TO_SALES_RATIO")*1,"-")</f>
        <v>-</v>
      </c>
      <c r="BF19" s="172"/>
      <c r="BG19" s="172"/>
      <c r="BH19" s="172" t="str">
        <f ca="1">IFERROR(_xll.BDP($BL19,"PX_TO_FREE_CASH_FLOW")*1,"-")</f>
        <v>-</v>
      </c>
      <c r="BI19" s="172"/>
      <c r="BJ19" s="172"/>
      <c r="BK19" s="172"/>
      <c r="BL19" s="172"/>
      <c r="BM19" s="172"/>
      <c r="BN19" s="172"/>
      <c r="BO19" s="172"/>
      <c r="BP19" s="172"/>
      <c r="BQ19" s="172"/>
      <c r="BR19" s="172"/>
      <c r="BS19" s="172"/>
      <c r="BT19" s="172"/>
      <c r="BU19" s="172"/>
      <c r="BV19" s="172"/>
    </row>
    <row r="20" spans="1:76" ht="12.75" customHeight="1" x14ac:dyDescent="0.2">
      <c r="A20" s="520"/>
      <c r="B20" s="520"/>
      <c r="C20" s="520"/>
      <c r="D20" s="520"/>
      <c r="E20" s="520"/>
      <c r="F20" s="520"/>
      <c r="G20" s="520"/>
      <c r="H20" s="520"/>
      <c r="I20" s="520"/>
      <c r="J20" s="520"/>
      <c r="K20" s="520"/>
      <c r="L20" s="520"/>
      <c r="M20" s="520"/>
      <c r="N20" s="520"/>
      <c r="O20" s="520"/>
      <c r="P20" s="520"/>
      <c r="Q20" s="520"/>
      <c r="R20" s="520"/>
      <c r="S20" s="520"/>
      <c r="T20" s="520"/>
      <c r="U20" s="520"/>
      <c r="V20" s="520"/>
      <c r="W20" s="520"/>
      <c r="X20" s="520"/>
      <c r="Y20" s="520"/>
      <c r="Z20" s="520"/>
      <c r="AA20" s="520"/>
      <c r="AB20" s="520"/>
      <c r="AC20" s="520"/>
      <c r="AD20" s="520"/>
      <c r="AE20" s="520"/>
      <c r="AF20" s="520"/>
      <c r="AG20" s="520"/>
      <c r="AH20" s="520"/>
      <c r="AI20" s="520"/>
      <c r="AJ20" s="520"/>
      <c r="AK20" s="520"/>
      <c r="AL20" s="520"/>
      <c r="AM20" s="520"/>
      <c r="AN20" s="520"/>
      <c r="AO20" s="520"/>
      <c r="AP20" s="520"/>
      <c r="AQ20" s="520"/>
      <c r="AR20" s="520"/>
      <c r="AS20" s="170"/>
      <c r="AT20" s="170"/>
      <c r="AU20" s="170"/>
      <c r="AV20" s="170"/>
      <c r="AW20" s="170"/>
      <c r="AX20" s="170"/>
      <c r="AY20" s="170"/>
      <c r="AZ20" s="170"/>
      <c r="BA20" s="170"/>
      <c r="BB20" s="170"/>
      <c r="BC20" s="168"/>
      <c r="BD20" s="172"/>
      <c r="BE20" s="173"/>
      <c r="BF20" s="172"/>
      <c r="BG20" s="172"/>
      <c r="BH20" s="172"/>
      <c r="BI20" s="172"/>
      <c r="BJ20" s="172"/>
      <c r="BK20" s="172"/>
      <c r="BL20" s="172"/>
      <c r="BM20" s="172"/>
      <c r="BN20" s="172"/>
      <c r="BO20" s="172"/>
      <c r="BP20" s="172"/>
      <c r="BQ20" s="172"/>
      <c r="BR20" s="172"/>
      <c r="BS20" s="172"/>
      <c r="BT20" s="172"/>
      <c r="BU20" s="172"/>
      <c r="BV20" s="172"/>
    </row>
    <row r="21" spans="1:76" ht="12.75" customHeight="1" x14ac:dyDescent="0.2">
      <c r="A21" s="520"/>
      <c r="B21" s="520"/>
      <c r="C21" s="520"/>
      <c r="D21" s="520"/>
      <c r="E21" s="520"/>
      <c r="F21" s="520"/>
      <c r="G21" s="520"/>
      <c r="H21" s="520"/>
      <c r="I21" s="520"/>
      <c r="J21" s="520"/>
      <c r="K21" s="520"/>
      <c r="L21" s="520"/>
      <c r="M21" s="520"/>
      <c r="N21" s="520"/>
      <c r="O21" s="520"/>
      <c r="P21" s="520"/>
      <c r="Q21" s="520"/>
      <c r="R21" s="520"/>
      <c r="S21" s="520"/>
      <c r="T21" s="520"/>
      <c r="U21" s="520"/>
      <c r="V21" s="520"/>
      <c r="W21" s="520"/>
      <c r="X21" s="520"/>
      <c r="Y21" s="520"/>
      <c r="Z21" s="520"/>
      <c r="AA21" s="520"/>
      <c r="AB21" s="520"/>
      <c r="AC21" s="520"/>
      <c r="AD21" s="520"/>
      <c r="AE21" s="520"/>
      <c r="AF21" s="520"/>
      <c r="AG21" s="520"/>
      <c r="AH21" s="520"/>
      <c r="AI21" s="520"/>
      <c r="AJ21" s="520"/>
      <c r="AK21" s="520"/>
      <c r="AL21" s="520"/>
      <c r="AM21" s="520"/>
      <c r="AN21" s="520"/>
      <c r="AO21" s="520"/>
      <c r="AP21" s="520"/>
      <c r="AQ21" s="520"/>
      <c r="AR21" s="520"/>
      <c r="AS21" s="226"/>
      <c r="AT21" s="226"/>
      <c r="AU21" s="226"/>
      <c r="AV21" s="226"/>
      <c r="AW21" s="226"/>
      <c r="AX21" s="226"/>
      <c r="AY21" s="226"/>
      <c r="AZ21" s="226"/>
      <c r="BA21" s="226"/>
      <c r="BB21" s="226"/>
      <c r="BC21" s="168"/>
      <c r="BD21" s="228"/>
      <c r="BE21" s="228"/>
      <c r="BF21" s="228"/>
      <c r="BG21" s="228"/>
      <c r="BH21" s="228"/>
      <c r="BI21" s="228"/>
      <c r="BJ21" s="228"/>
      <c r="BK21" s="228"/>
      <c r="BL21" s="228"/>
      <c r="BM21" s="228"/>
      <c r="BN21" s="228"/>
      <c r="BO21" s="228"/>
      <c r="BP21" s="228"/>
      <c r="BQ21" s="228"/>
      <c r="BR21" s="228"/>
      <c r="BS21" s="228"/>
      <c r="BT21" s="172"/>
      <c r="BU21" s="172"/>
      <c r="BV21" s="172"/>
    </row>
    <row r="22" spans="1:76" s="229" customFormat="1" ht="12.75" customHeight="1" x14ac:dyDescent="0.2">
      <c r="A22" s="520"/>
      <c r="B22" s="520"/>
      <c r="C22" s="520"/>
      <c r="D22" s="520"/>
      <c r="E22" s="520"/>
      <c r="F22" s="520"/>
      <c r="G22" s="520"/>
      <c r="H22" s="520"/>
      <c r="I22" s="520"/>
      <c r="J22" s="520"/>
      <c r="K22" s="520"/>
      <c r="L22" s="520"/>
      <c r="M22" s="520"/>
      <c r="N22" s="520"/>
      <c r="O22" s="520"/>
      <c r="P22" s="520"/>
      <c r="Q22" s="520"/>
      <c r="R22" s="520"/>
      <c r="S22" s="520"/>
      <c r="T22" s="520"/>
      <c r="U22" s="520"/>
      <c r="V22" s="520"/>
      <c r="W22" s="520"/>
      <c r="X22" s="520"/>
      <c r="Y22" s="520"/>
      <c r="Z22" s="520"/>
      <c r="AA22" s="520"/>
      <c r="AB22" s="520"/>
      <c r="AC22" s="520"/>
      <c r="AD22" s="520"/>
      <c r="AE22" s="520"/>
      <c r="AF22" s="520"/>
      <c r="AG22" s="520"/>
      <c r="AH22" s="520"/>
      <c r="AI22" s="520"/>
      <c r="AJ22" s="520"/>
      <c r="AK22" s="520"/>
      <c r="AL22" s="520"/>
      <c r="AM22" s="520"/>
      <c r="AN22" s="520"/>
      <c r="AO22" s="520"/>
      <c r="AP22" s="520"/>
      <c r="AQ22" s="520"/>
      <c r="AR22" s="520"/>
      <c r="AS22" s="226"/>
      <c r="AT22" s="226"/>
      <c r="AU22" s="226"/>
      <c r="AV22" s="226"/>
      <c r="AW22" s="226"/>
      <c r="AX22" s="226"/>
      <c r="AY22" s="226"/>
      <c r="AZ22" s="226"/>
      <c r="BA22" s="226"/>
      <c r="BB22" s="226"/>
      <c r="BC22" s="168"/>
      <c r="BD22" s="174"/>
      <c r="BE22" s="175"/>
      <c r="BF22" s="174" t="str">
        <f>IF(OR(IFERROR(VLOOKUP(BP22,[1]ARS!A:EL,MATCH("Price To Earnings",[1]ARS!$4:$4,0),FALSE),"-")&lt;0,IFERROR(VLOOKUP(BP22,[1]ARS!A:EL,MATCH("Price To Earnings",[1]ARS!$4:$4,0),FALSE),"-")&gt;500),"-",IFERROR(VLOOKUP(BP22,[1]ARS!A:EL,MATCH("Price To Earnings",[1]ARS!$4:$4,0),FALSE),"-"))</f>
        <v>-</v>
      </c>
      <c r="BG22" s="174"/>
      <c r="BH22" s="174"/>
      <c r="BI22" s="174"/>
      <c r="BJ22" s="174"/>
      <c r="BK22" s="174"/>
      <c r="BL22" s="174"/>
      <c r="BM22" s="174"/>
      <c r="BN22" s="174"/>
      <c r="BO22" s="174"/>
      <c r="BP22" s="174"/>
      <c r="BQ22" s="174"/>
      <c r="BR22" s="174"/>
      <c r="BS22" s="174"/>
      <c r="BT22" s="174"/>
      <c r="BU22" s="174"/>
      <c r="BV22" s="174"/>
    </row>
    <row r="23" spans="1:76" ht="12.75" customHeight="1" x14ac:dyDescent="0.2">
      <c r="A23" s="520"/>
      <c r="B23" s="520"/>
      <c r="C23" s="520"/>
      <c r="D23" s="520"/>
      <c r="E23" s="520"/>
      <c r="F23" s="520"/>
      <c r="G23" s="520"/>
      <c r="H23" s="520"/>
      <c r="I23" s="520"/>
      <c r="J23" s="520"/>
      <c r="K23" s="520"/>
      <c r="L23" s="520"/>
      <c r="M23" s="520"/>
      <c r="N23" s="520"/>
      <c r="O23" s="520"/>
      <c r="P23" s="520"/>
      <c r="Q23" s="520"/>
      <c r="R23" s="520"/>
      <c r="S23" s="520"/>
      <c r="T23" s="520"/>
      <c r="U23" s="520"/>
      <c r="V23" s="520"/>
      <c r="W23" s="520"/>
      <c r="X23" s="520"/>
      <c r="Y23" s="520"/>
      <c r="Z23" s="520"/>
      <c r="AA23" s="520"/>
      <c r="AB23" s="520"/>
      <c r="AC23" s="520"/>
      <c r="AD23" s="520"/>
      <c r="AE23" s="520"/>
      <c r="AF23" s="520"/>
      <c r="AG23" s="520"/>
      <c r="AH23" s="520"/>
      <c r="AI23" s="520"/>
      <c r="AJ23" s="520"/>
      <c r="AK23" s="520"/>
      <c r="AL23" s="520"/>
      <c r="AM23" s="520"/>
      <c r="AN23" s="520"/>
      <c r="AO23" s="520"/>
      <c r="AP23" s="520"/>
      <c r="AQ23" s="520"/>
      <c r="AR23" s="520"/>
      <c r="AS23" s="226"/>
      <c r="AT23" s="226"/>
      <c r="AU23" s="226"/>
      <c r="AV23" s="226"/>
      <c r="AW23" s="226"/>
      <c r="AX23" s="226"/>
      <c r="AY23" s="226"/>
      <c r="AZ23" s="226"/>
      <c r="BA23" s="226"/>
      <c r="BB23" s="226"/>
      <c r="BC23" s="168"/>
      <c r="BD23" s="172"/>
      <c r="BE23" s="173"/>
      <c r="BF23" s="172" t="str">
        <f>IF(OR(IFERROR(VLOOKUP(BP23,[1]ARS!A:EL,MATCH("Price To Earnings",[1]ARS!$4:$4,0),FALSE),"-")&lt;0,IFERROR(VLOOKUP(BP23,[1]ARS!A:EL,MATCH("Price To Earnings",[1]ARS!$4:$4,0),FALSE),"-")&gt;500),"-",IFERROR(VLOOKUP(BP23,[1]ARS!A:EL,MATCH("Price To Earnings",[1]ARS!$4:$4,0),FALSE),"-"))</f>
        <v>-</v>
      </c>
      <c r="BG23" s="172"/>
      <c r="BH23" s="172"/>
      <c r="BI23" s="172"/>
      <c r="BJ23" s="172"/>
      <c r="BK23" s="172"/>
      <c r="BL23" s="172"/>
      <c r="BM23" s="172"/>
      <c r="BN23" s="172"/>
      <c r="BO23" s="172"/>
      <c r="BP23" s="172"/>
      <c r="BQ23" s="172"/>
      <c r="BR23" s="172"/>
      <c r="BS23" s="172"/>
      <c r="BT23" s="172"/>
      <c r="BU23" s="172"/>
      <c r="BV23" s="172"/>
    </row>
    <row r="24" spans="1:76" s="230" customFormat="1" ht="12.75" customHeight="1" x14ac:dyDescent="0.2">
      <c r="A24" s="520"/>
      <c r="B24" s="520"/>
      <c r="C24" s="520"/>
      <c r="D24" s="520"/>
      <c r="E24" s="520"/>
      <c r="F24" s="520"/>
      <c r="G24" s="520"/>
      <c r="H24" s="520"/>
      <c r="I24" s="520"/>
      <c r="J24" s="520"/>
      <c r="K24" s="520"/>
      <c r="L24" s="520"/>
      <c r="M24" s="520"/>
      <c r="N24" s="520"/>
      <c r="O24" s="520"/>
      <c r="P24" s="520"/>
      <c r="Q24" s="520"/>
      <c r="R24" s="520"/>
      <c r="S24" s="520"/>
      <c r="T24" s="520"/>
      <c r="U24" s="520"/>
      <c r="V24" s="520"/>
      <c r="W24" s="520"/>
      <c r="X24" s="520"/>
      <c r="Y24" s="520"/>
      <c r="Z24" s="520"/>
      <c r="AA24" s="520"/>
      <c r="AB24" s="520"/>
      <c r="AC24" s="520"/>
      <c r="AD24" s="520"/>
      <c r="AE24" s="520"/>
      <c r="AF24" s="520"/>
      <c r="AG24" s="520"/>
      <c r="AH24" s="520"/>
      <c r="AI24" s="520"/>
      <c r="AJ24" s="520"/>
      <c r="AK24" s="520"/>
      <c r="AL24" s="520"/>
      <c r="AM24" s="520"/>
      <c r="AN24" s="520"/>
      <c r="AO24" s="520"/>
      <c r="AP24" s="520"/>
      <c r="AQ24" s="520"/>
      <c r="AR24" s="520"/>
      <c r="AS24" s="227"/>
      <c r="AT24" s="227"/>
      <c r="AU24" s="227"/>
      <c r="AV24" s="227"/>
      <c r="AW24" s="227"/>
      <c r="AX24" s="227"/>
      <c r="AY24" s="227"/>
      <c r="AZ24" s="227"/>
      <c r="BA24" s="227"/>
      <c r="BB24" s="227"/>
      <c r="BC24" s="168"/>
      <c r="BD24" s="178"/>
      <c r="BE24" s="179"/>
      <c r="BF24" s="178" t="str">
        <f>IF(OR(IFERROR(VLOOKUP(BP24,[1]ARS!A:EL,MATCH("Price To Earnings",[1]ARS!$4:$4,0),FALSE),"-")&lt;0,IFERROR(VLOOKUP(BP24,[1]ARS!A:EL,MATCH("Price To Earnings",[1]ARS!$4:$4,0),FALSE),"-")&gt;500),"-",IFERROR(VLOOKUP(BP24,[1]ARS!A:EL,MATCH("Price To Earnings",[1]ARS!$4:$4,0),FALSE),"-"))</f>
        <v>-</v>
      </c>
      <c r="BG24" s="178"/>
      <c r="BH24" s="178"/>
      <c r="BI24" s="178"/>
      <c r="BJ24" s="178"/>
      <c r="BK24" s="178"/>
      <c r="BL24" s="178"/>
      <c r="BM24" s="178"/>
      <c r="BN24" s="178"/>
      <c r="BO24" s="178"/>
      <c r="BP24" s="178"/>
      <c r="BQ24" s="178"/>
      <c r="BR24" s="178"/>
      <c r="BS24" s="178"/>
      <c r="BT24" s="178"/>
      <c r="BU24" s="178"/>
      <c r="BV24" s="178"/>
    </row>
    <row r="25" spans="1:76" s="230" customFormat="1" ht="12.75" customHeight="1" x14ac:dyDescent="0.2">
      <c r="A25" s="520"/>
      <c r="B25" s="520"/>
      <c r="C25" s="520"/>
      <c r="D25" s="520"/>
      <c r="E25" s="520"/>
      <c r="F25" s="520"/>
      <c r="G25" s="520"/>
      <c r="H25" s="520"/>
      <c r="I25" s="520"/>
      <c r="J25" s="520"/>
      <c r="K25" s="520"/>
      <c r="L25" s="520"/>
      <c r="M25" s="520"/>
      <c r="N25" s="520"/>
      <c r="O25" s="520"/>
      <c r="P25" s="520"/>
      <c r="Q25" s="520"/>
      <c r="R25" s="520"/>
      <c r="S25" s="520"/>
      <c r="T25" s="520"/>
      <c r="U25" s="520"/>
      <c r="V25" s="520"/>
      <c r="W25" s="520"/>
      <c r="X25" s="520"/>
      <c r="Y25" s="520"/>
      <c r="Z25" s="520"/>
      <c r="AA25" s="520"/>
      <c r="AB25" s="520"/>
      <c r="AC25" s="520"/>
      <c r="AD25" s="520"/>
      <c r="AE25" s="520"/>
      <c r="AF25" s="520"/>
      <c r="AG25" s="520"/>
      <c r="AH25" s="520"/>
      <c r="AI25" s="520"/>
      <c r="AJ25" s="520"/>
      <c r="AK25" s="520"/>
      <c r="AL25" s="520"/>
      <c r="AM25" s="520"/>
      <c r="AN25" s="520"/>
      <c r="AO25" s="520"/>
      <c r="AP25" s="520"/>
      <c r="AQ25" s="520"/>
      <c r="AR25" s="520"/>
      <c r="AS25" s="227"/>
      <c r="AT25" s="227"/>
      <c r="AU25" s="227"/>
      <c r="AV25" s="227"/>
      <c r="AW25" s="227"/>
      <c r="AX25" s="227"/>
      <c r="AY25" s="227"/>
      <c r="AZ25" s="227"/>
      <c r="BA25" s="227"/>
      <c r="BB25" s="227"/>
      <c r="BC25" s="168"/>
      <c r="BD25" s="172"/>
      <c r="BE25" s="173"/>
      <c r="BF25" s="172" t="str">
        <f>IF(OR(IFERROR(VLOOKUP(BP25,[1]ARS!A:EL,MATCH("Price To Earnings",[1]ARS!$4:$4,0),FALSE),"-")&lt;0,IFERROR(VLOOKUP(BP25,[1]ARS!A:EL,MATCH("Price To Earnings",[1]ARS!$4:$4,0),FALSE),"-")&gt;500),"-",IFERROR(VLOOKUP(BP25,[1]ARS!A:EL,MATCH("Price To Earnings",[1]ARS!$4:$4,0),FALSE),"-"))</f>
        <v>-</v>
      </c>
      <c r="BG25" s="172"/>
      <c r="BH25" s="172"/>
      <c r="BI25" s="172"/>
      <c r="BJ25" s="172"/>
      <c r="BK25" s="172"/>
      <c r="BL25" s="172"/>
      <c r="BM25" s="172"/>
      <c r="BN25" s="172"/>
      <c r="BO25" s="172"/>
      <c r="BP25" s="172"/>
      <c r="BQ25" s="172"/>
      <c r="BR25" s="172"/>
      <c r="BS25" s="172"/>
      <c r="BT25" s="172"/>
      <c r="BU25" s="172"/>
      <c r="BV25" s="172"/>
      <c r="BX25" s="230" t="s">
        <v>157</v>
      </c>
    </row>
    <row r="26" spans="1:76" s="230" customFormat="1" ht="12.75" customHeight="1" x14ac:dyDescent="0.2">
      <c r="A26" s="520"/>
      <c r="B26" s="520"/>
      <c r="C26" s="520"/>
      <c r="D26" s="520"/>
      <c r="E26" s="520"/>
      <c r="F26" s="520"/>
      <c r="G26" s="520"/>
      <c r="H26" s="520"/>
      <c r="I26" s="520"/>
      <c r="J26" s="520"/>
      <c r="K26" s="520"/>
      <c r="L26" s="520"/>
      <c r="M26" s="520"/>
      <c r="N26" s="520"/>
      <c r="O26" s="520"/>
      <c r="P26" s="520"/>
      <c r="Q26" s="520"/>
      <c r="R26" s="520"/>
      <c r="S26" s="520"/>
      <c r="T26" s="520"/>
      <c r="U26" s="520"/>
      <c r="V26" s="520"/>
      <c r="W26" s="520"/>
      <c r="X26" s="520"/>
      <c r="Y26" s="520"/>
      <c r="Z26" s="520"/>
      <c r="AA26" s="520"/>
      <c r="AB26" s="520"/>
      <c r="AC26" s="520"/>
      <c r="AD26" s="520"/>
      <c r="AE26" s="520"/>
      <c r="AF26" s="520"/>
      <c r="AG26" s="520"/>
      <c r="AH26" s="520"/>
      <c r="AI26" s="520"/>
      <c r="AJ26" s="520"/>
      <c r="AK26" s="520"/>
      <c r="AL26" s="520"/>
      <c r="AM26" s="520"/>
      <c r="AN26" s="520"/>
      <c r="AO26" s="520"/>
      <c r="AP26" s="520"/>
      <c r="AQ26" s="520"/>
      <c r="AR26" s="520"/>
      <c r="AS26" s="169"/>
      <c r="AT26" s="169"/>
      <c r="AU26" s="169"/>
      <c r="AV26" s="169"/>
      <c r="AW26" s="169"/>
      <c r="AX26" s="169"/>
      <c r="AY26" s="169"/>
      <c r="AZ26" s="169"/>
      <c r="BA26" s="169"/>
      <c r="BB26" s="169"/>
      <c r="BC26" s="168"/>
      <c r="BD26" s="178"/>
      <c r="BE26" s="179"/>
      <c r="BF26" s="178" t="str">
        <f>IF(OR(IFERROR(VLOOKUP(BP26,[1]ARS!A:EL,MATCH("Price To Earnings",[1]ARS!$4:$4,0),FALSE),"-")&lt;0,IFERROR(VLOOKUP(BP26,[1]ARS!A:EL,MATCH("Price To Earnings",[1]ARS!$4:$4,0),FALSE),"-")&gt;500),"-",IFERROR(VLOOKUP(BP26,[1]ARS!A:EL,MATCH("Price To Earnings",[1]ARS!$4:$4,0),FALSE),"-"))</f>
        <v>-</v>
      </c>
      <c r="BG26" s="178"/>
      <c r="BH26" s="178"/>
      <c r="BI26" s="178"/>
      <c r="BJ26" s="178"/>
      <c r="BK26" s="178"/>
      <c r="BL26" s="178"/>
      <c r="BM26" s="178"/>
      <c r="BN26" s="178"/>
      <c r="BO26" s="178"/>
      <c r="BP26" s="178"/>
      <c r="BQ26" s="178"/>
      <c r="BR26" s="178"/>
      <c r="BS26" s="178"/>
      <c r="BT26" s="178"/>
      <c r="BU26" s="178"/>
      <c r="BV26" s="178"/>
      <c r="BX26" s="230" t="s">
        <v>47</v>
      </c>
    </row>
    <row r="27" spans="1:76" ht="12.75" customHeight="1" x14ac:dyDescent="0.2">
      <c r="A27" s="520"/>
      <c r="B27" s="520"/>
      <c r="C27" s="520"/>
      <c r="D27" s="520"/>
      <c r="E27" s="520"/>
      <c r="F27" s="520"/>
      <c r="G27" s="520"/>
      <c r="H27" s="520"/>
      <c r="I27" s="520"/>
      <c r="J27" s="520"/>
      <c r="K27" s="520"/>
      <c r="L27" s="520"/>
      <c r="M27" s="520"/>
      <c r="N27" s="520"/>
      <c r="O27" s="520"/>
      <c r="P27" s="520"/>
      <c r="Q27" s="520"/>
      <c r="R27" s="520"/>
      <c r="S27" s="520"/>
      <c r="T27" s="520"/>
      <c r="U27" s="520"/>
      <c r="V27" s="520"/>
      <c r="W27" s="520"/>
      <c r="X27" s="520"/>
      <c r="Y27" s="520"/>
      <c r="Z27" s="520"/>
      <c r="AA27" s="520"/>
      <c r="AB27" s="520"/>
      <c r="AC27" s="520"/>
      <c r="AD27" s="520"/>
      <c r="AE27" s="520"/>
      <c r="AF27" s="520"/>
      <c r="AG27" s="520"/>
      <c r="AH27" s="520"/>
      <c r="AI27" s="520"/>
      <c r="AJ27" s="520"/>
      <c r="AK27" s="520"/>
      <c r="AL27" s="520"/>
      <c r="AM27" s="520"/>
      <c r="AN27" s="520"/>
      <c r="AO27" s="520"/>
      <c r="AP27" s="520"/>
      <c r="AQ27" s="520"/>
      <c r="AR27" s="520"/>
      <c r="AS27" s="226"/>
      <c r="AT27" s="226"/>
      <c r="AU27" s="226"/>
      <c r="AV27" s="226"/>
      <c r="AW27" s="226"/>
      <c r="AX27" s="226"/>
      <c r="AY27" s="226"/>
      <c r="AZ27" s="226"/>
      <c r="BA27" s="226"/>
      <c r="BB27" s="226"/>
      <c r="BC27" s="168"/>
      <c r="BD27" s="172"/>
      <c r="BE27" s="173"/>
      <c r="BF27" s="172" t="str">
        <f>IF(OR(IFERROR(VLOOKUP(BP27,[1]ARS!A:EL,MATCH("Price To Earnings",[1]ARS!$4:$4,0),FALSE),"-")&lt;0,IFERROR(VLOOKUP(BP27,[1]ARS!A:EL,MATCH("Price To Earnings",[1]ARS!$4:$4,0),FALSE),"-")&gt;500),"-",IFERROR(VLOOKUP(BP27,[1]ARS!A:EL,MATCH("Price To Earnings",[1]ARS!$4:$4,0),FALSE),"-"))</f>
        <v>-</v>
      </c>
      <c r="BG27" s="172"/>
      <c r="BH27" s="172"/>
      <c r="BI27" s="172"/>
      <c r="BJ27" s="172"/>
      <c r="BK27" s="172"/>
      <c r="BL27" s="172"/>
      <c r="BM27" s="172"/>
      <c r="BN27" s="172"/>
      <c r="BO27" s="172"/>
      <c r="BP27" s="172"/>
      <c r="BQ27" s="172"/>
      <c r="BR27" s="172"/>
      <c r="BS27" s="172"/>
      <c r="BT27" s="172"/>
      <c r="BU27" s="172"/>
      <c r="BV27" s="172"/>
      <c r="BW27" s="172"/>
    </row>
    <row r="28" spans="1:76" ht="12.75" customHeight="1" x14ac:dyDescent="0.2">
      <c r="A28" s="520"/>
      <c r="B28" s="520"/>
      <c r="C28" s="520"/>
      <c r="D28" s="520"/>
      <c r="E28" s="520"/>
      <c r="F28" s="520"/>
      <c r="G28" s="520"/>
      <c r="H28" s="520"/>
      <c r="I28" s="520"/>
      <c r="J28" s="520"/>
      <c r="K28" s="520"/>
      <c r="L28" s="520"/>
      <c r="M28" s="520"/>
      <c r="N28" s="520"/>
      <c r="O28" s="520"/>
      <c r="P28" s="520"/>
      <c r="Q28" s="520"/>
      <c r="R28" s="520"/>
      <c r="S28" s="520"/>
      <c r="T28" s="520"/>
      <c r="U28" s="520"/>
      <c r="V28" s="520"/>
      <c r="W28" s="520"/>
      <c r="X28" s="520"/>
      <c r="Y28" s="520"/>
      <c r="Z28" s="520"/>
      <c r="AA28" s="520"/>
      <c r="AB28" s="520"/>
      <c r="AC28" s="520"/>
      <c r="AD28" s="520"/>
      <c r="AE28" s="520"/>
      <c r="AF28" s="520"/>
      <c r="AG28" s="520"/>
      <c r="AH28" s="520"/>
      <c r="AI28" s="520"/>
      <c r="AJ28" s="520"/>
      <c r="AK28" s="520"/>
      <c r="AL28" s="520"/>
      <c r="AM28" s="520"/>
      <c r="AN28" s="520"/>
      <c r="AO28" s="520"/>
      <c r="AP28" s="520"/>
      <c r="AQ28" s="520"/>
      <c r="AR28" s="520"/>
      <c r="AS28" s="227"/>
      <c r="AT28" s="227"/>
      <c r="AU28" s="227"/>
      <c r="AV28" s="227"/>
      <c r="AW28" s="227"/>
      <c r="AX28" s="227"/>
      <c r="AY28" s="227"/>
      <c r="AZ28" s="227"/>
      <c r="BA28" s="227"/>
      <c r="BB28" s="227"/>
      <c r="BC28" s="168"/>
      <c r="BD28" s="172"/>
      <c r="BE28" s="173"/>
      <c r="BF28" s="172" t="str">
        <f>IF(OR(IFERROR(VLOOKUP(BP28,[1]ARS!A:EL,MATCH("Price To Earnings",[1]ARS!$4:$4,0),FALSE),"-")&lt;0,IFERROR(VLOOKUP(BP28,[1]ARS!A:EL,MATCH("Price To Earnings",[1]ARS!$4:$4,0),FALSE),"-")&gt;500),"-",IFERROR(VLOOKUP(BP28,[1]ARS!A:EL,MATCH("Price To Earnings",[1]ARS!$4:$4,0),FALSE),"-"))</f>
        <v>-</v>
      </c>
      <c r="BG28" s="172"/>
      <c r="BH28" s="172"/>
      <c r="BI28" s="172"/>
      <c r="BJ28" s="172"/>
      <c r="BK28" s="172"/>
      <c r="BL28" s="172"/>
      <c r="BM28" s="172"/>
      <c r="BN28" s="172"/>
      <c r="BO28" s="172"/>
      <c r="BP28" s="172"/>
      <c r="BQ28" s="172"/>
      <c r="BR28" s="172"/>
      <c r="BS28" s="172"/>
      <c r="BT28" s="172"/>
      <c r="BU28" s="172"/>
      <c r="BV28" s="172"/>
    </row>
    <row r="29" spans="1:76" ht="12.75" customHeight="1" x14ac:dyDescent="0.2">
      <c r="A29" s="231"/>
      <c r="B29" s="231"/>
      <c r="C29" s="231"/>
      <c r="D29" s="231"/>
      <c r="E29" s="231"/>
      <c r="F29" s="231"/>
      <c r="G29" s="231"/>
      <c r="H29" s="231"/>
      <c r="I29" s="231"/>
      <c r="J29" s="231"/>
      <c r="K29" s="231"/>
      <c r="L29" s="231"/>
      <c r="M29" s="232"/>
      <c r="N29" s="231"/>
      <c r="O29" s="231"/>
      <c r="P29" s="231"/>
      <c r="Q29" s="231"/>
      <c r="R29" s="231"/>
      <c r="S29" s="231"/>
      <c r="T29" s="231"/>
      <c r="U29" s="231"/>
      <c r="V29" s="233"/>
      <c r="W29" s="233"/>
      <c r="X29" s="233"/>
      <c r="Y29" s="233"/>
      <c r="Z29" s="233"/>
      <c r="AA29" s="233"/>
      <c r="AB29" s="233"/>
      <c r="AC29" s="233"/>
      <c r="AD29" s="233"/>
      <c r="AE29" s="233"/>
      <c r="AF29" s="233"/>
      <c r="AG29" s="233"/>
      <c r="AH29" s="233"/>
      <c r="AI29" s="233"/>
      <c r="AJ29" s="233"/>
      <c r="AK29" s="233"/>
      <c r="AL29" s="233"/>
      <c r="AM29" s="233"/>
      <c r="AN29" s="233"/>
      <c r="AO29" s="233"/>
      <c r="AP29" s="233"/>
      <c r="AQ29" s="233"/>
      <c r="AR29" s="234"/>
      <c r="AS29" s="227"/>
      <c r="AT29" s="227"/>
      <c r="AU29" s="227"/>
      <c r="AV29" s="227"/>
      <c r="AW29" s="227"/>
      <c r="AX29" s="227"/>
      <c r="AY29" s="227"/>
      <c r="AZ29" s="227"/>
      <c r="BA29" s="227"/>
      <c r="BB29" s="227"/>
      <c r="BC29" s="168"/>
      <c r="BD29" s="172"/>
      <c r="BE29" s="173"/>
      <c r="BF29" s="172" t="str">
        <f>IF(OR(IFERROR(VLOOKUP(BP29,[1]ARS!A:EL,MATCH("Price To Earnings",[1]ARS!$4:$4,0),FALSE),"-")&lt;0,IFERROR(VLOOKUP(BP29,[1]ARS!A:EL,MATCH("Price To Earnings",[1]ARS!$4:$4,0),FALSE),"-")&gt;500),"-",IFERROR(VLOOKUP(BP29,[1]ARS!A:EL,MATCH("Price To Earnings",[1]ARS!$4:$4,0),FALSE),"-"))</f>
        <v>-</v>
      </c>
      <c r="BG29" s="172"/>
      <c r="BH29" s="172"/>
      <c r="BI29" s="172"/>
      <c r="BJ29" s="172"/>
      <c r="BK29" s="172"/>
      <c r="BL29" s="172"/>
      <c r="BM29" s="172"/>
      <c r="BN29" s="172"/>
      <c r="BO29" s="172"/>
      <c r="BP29" s="172"/>
      <c r="BQ29" s="172"/>
      <c r="BR29" s="172"/>
      <c r="BS29" s="172"/>
      <c r="BT29" s="172"/>
      <c r="BU29" s="172"/>
      <c r="BV29" s="172"/>
    </row>
    <row r="30" spans="1:76" ht="12.75" customHeight="1" x14ac:dyDescent="0.2">
      <c r="A30" s="235"/>
      <c r="B30" s="231"/>
      <c r="C30" s="231"/>
      <c r="D30" s="231"/>
      <c r="E30" s="231"/>
      <c r="F30" s="231"/>
      <c r="G30" s="231"/>
      <c r="H30" s="231"/>
      <c r="I30" s="231"/>
      <c r="J30" s="231"/>
      <c r="K30" s="231"/>
      <c r="L30" s="231"/>
      <c r="M30" s="231"/>
      <c r="N30" s="231"/>
      <c r="O30" s="231"/>
      <c r="P30" s="231"/>
      <c r="Q30" s="231"/>
      <c r="R30" s="231"/>
      <c r="S30" s="231"/>
      <c r="T30" s="231"/>
      <c r="U30" s="231"/>
      <c r="V30" s="233"/>
      <c r="W30" s="233"/>
      <c r="X30" s="233"/>
      <c r="Y30" s="233"/>
      <c r="Z30" s="233"/>
      <c r="AA30" s="233"/>
      <c r="AB30" s="233"/>
      <c r="AC30" s="233"/>
      <c r="AD30" s="233"/>
      <c r="AE30" s="233"/>
      <c r="AF30" s="233"/>
      <c r="AG30" s="233"/>
      <c r="AH30" s="233"/>
      <c r="AI30" s="233"/>
      <c r="AJ30" s="233"/>
      <c r="AK30" s="233"/>
      <c r="AL30" s="233"/>
      <c r="AM30" s="233"/>
      <c r="AN30" s="233"/>
      <c r="AO30" s="233"/>
      <c r="AP30" s="233"/>
      <c r="AQ30" s="233"/>
      <c r="AR30" s="236"/>
      <c r="AS30" s="169"/>
      <c r="AT30" s="169"/>
      <c r="AU30" s="169"/>
      <c r="AV30" s="169"/>
      <c r="AW30" s="169"/>
      <c r="AX30" s="169"/>
      <c r="AY30" s="169"/>
      <c r="AZ30" s="169"/>
      <c r="BA30" s="169"/>
      <c r="BB30" s="169"/>
      <c r="BC30" s="168"/>
      <c r="BD30" s="172"/>
      <c r="BE30" s="173"/>
      <c r="BF30" s="172" t="str">
        <f>IF(OR(IFERROR(VLOOKUP(BP30,[1]ARS!A:EL,MATCH("Price To Earnings",[1]ARS!$4:$4,0),FALSE),"-")&lt;0,IFERROR(VLOOKUP(BP30,[1]ARS!A:EL,MATCH("Price To Earnings",[1]ARS!$4:$4,0),FALSE),"-")&gt;500),"-",IFERROR(VLOOKUP(BP30,[1]ARS!A:EL,MATCH("Price To Earnings",[1]ARS!$4:$4,0),FALSE),"-"))</f>
        <v>-</v>
      </c>
      <c r="BG30" s="172"/>
      <c r="BH30" s="172"/>
      <c r="BI30" s="172"/>
      <c r="BJ30" s="172"/>
      <c r="BK30" s="172"/>
      <c r="BL30" s="172"/>
      <c r="BM30" s="172"/>
      <c r="BN30" s="172"/>
      <c r="BO30" s="172"/>
      <c r="BP30" s="172"/>
      <c r="BQ30" s="172"/>
      <c r="BR30" s="172"/>
      <c r="BS30" s="172"/>
      <c r="BT30" s="172"/>
      <c r="BU30" s="172"/>
      <c r="BV30" s="172"/>
    </row>
    <row r="31" spans="1:76" ht="12.75" customHeight="1" x14ac:dyDescent="0.2">
      <c r="A31" s="231"/>
      <c r="B31" s="231"/>
      <c r="C31" s="231"/>
      <c r="D31" s="231"/>
      <c r="E31" s="231"/>
      <c r="F31" s="231"/>
      <c r="G31" s="231"/>
      <c r="H31" s="231"/>
      <c r="I31" s="231"/>
      <c r="J31" s="231"/>
      <c r="K31" s="231"/>
      <c r="L31" s="231"/>
      <c r="M31" s="237"/>
      <c r="N31" s="231"/>
      <c r="O31" s="231"/>
      <c r="P31" s="231"/>
      <c r="Q31" s="231"/>
      <c r="R31" s="231"/>
      <c r="S31" s="231"/>
      <c r="T31" s="231"/>
      <c r="U31" s="231"/>
      <c r="V31" s="233"/>
      <c r="W31" s="233"/>
      <c r="X31" s="233"/>
      <c r="Y31" s="233"/>
      <c r="Z31" s="233"/>
      <c r="AA31" s="233"/>
      <c r="AB31" s="233"/>
      <c r="AC31" s="233"/>
      <c r="AD31" s="233"/>
      <c r="AE31" s="233"/>
      <c r="AF31" s="233"/>
      <c r="AG31" s="233"/>
      <c r="AH31" s="233"/>
      <c r="AI31" s="233"/>
      <c r="AJ31" s="233"/>
      <c r="AK31" s="233"/>
      <c r="AL31" s="233"/>
      <c r="AM31" s="233"/>
      <c r="AN31" s="233"/>
      <c r="AO31" s="233"/>
      <c r="AP31" s="233"/>
      <c r="AQ31" s="233"/>
      <c r="AR31" s="238"/>
      <c r="AS31" s="226"/>
      <c r="AT31" s="226"/>
      <c r="AU31" s="226"/>
      <c r="AV31" s="226"/>
      <c r="AW31" s="239"/>
      <c r="AX31" s="239"/>
      <c r="AY31" s="239"/>
      <c r="AZ31" s="226"/>
      <c r="BA31" s="226"/>
      <c r="BB31" s="226"/>
      <c r="BC31" s="181"/>
      <c r="BD31" s="172"/>
      <c r="BE31" s="173"/>
      <c r="BF31" s="172" t="str">
        <f>IF(OR(IFERROR(VLOOKUP(BP31,[1]ARS!A:EL,MATCH("Price To Earnings",[1]ARS!$4:$4,0),FALSE),"-")&lt;0,IFERROR(VLOOKUP(BP31,[1]ARS!A:EL,MATCH("Price To Earnings",[1]ARS!$4:$4,0),FALSE),"-")&gt;500),"-",IFERROR(VLOOKUP(BP31,[1]ARS!A:EL,MATCH("Price To Earnings",[1]ARS!$4:$4,0),FALSE),"-"))</f>
        <v>-</v>
      </c>
      <c r="BG31" s="172"/>
      <c r="BH31" s="172"/>
      <c r="BI31" s="172"/>
      <c r="BJ31" s="172"/>
      <c r="BK31" s="172"/>
      <c r="BL31" s="172"/>
      <c r="BM31" s="172"/>
      <c r="BN31" s="172"/>
      <c r="BO31" s="172"/>
      <c r="BP31" s="172"/>
      <c r="BQ31" s="172"/>
      <c r="BR31" s="172"/>
      <c r="BS31" s="172"/>
      <c r="BT31" s="172"/>
      <c r="BU31" s="172"/>
      <c r="BV31" s="172"/>
    </row>
    <row r="32" spans="1:76" ht="12.75" customHeight="1" x14ac:dyDescent="0.2">
      <c r="A32" s="233"/>
      <c r="B32" s="233"/>
      <c r="C32" s="233"/>
      <c r="D32" s="233"/>
      <c r="E32" s="233"/>
      <c r="F32" s="233"/>
      <c r="G32" s="233"/>
      <c r="H32" s="233"/>
      <c r="I32" s="233"/>
      <c r="J32" s="233"/>
      <c r="K32" s="233"/>
      <c r="L32" s="233"/>
      <c r="M32" s="233"/>
      <c r="N32" s="233"/>
      <c r="O32" s="233"/>
      <c r="P32" s="233"/>
      <c r="Q32" s="233"/>
      <c r="R32" s="233"/>
      <c r="S32" s="233"/>
      <c r="T32" s="233"/>
      <c r="U32" s="233"/>
      <c r="V32" s="233"/>
      <c r="W32" s="233"/>
      <c r="X32" s="233"/>
      <c r="Y32" s="233"/>
      <c r="Z32" s="233"/>
      <c r="AA32" s="233"/>
      <c r="AB32" s="233"/>
      <c r="AC32" s="233"/>
      <c r="AD32" s="233"/>
      <c r="AE32" s="233"/>
      <c r="AF32" s="233"/>
      <c r="AG32" s="233"/>
      <c r="AH32" s="233"/>
      <c r="AI32" s="233"/>
      <c r="AJ32" s="233"/>
      <c r="AK32" s="233"/>
      <c r="AL32" s="233"/>
      <c r="AM32" s="233"/>
      <c r="AN32" s="233"/>
      <c r="AO32" s="233"/>
      <c r="AP32" s="233"/>
      <c r="AQ32" s="233"/>
      <c r="AR32" s="233"/>
      <c r="AS32" s="226"/>
      <c r="AT32" s="226"/>
      <c r="AU32" s="226"/>
      <c r="AV32" s="226"/>
      <c r="AW32" s="226"/>
      <c r="AX32" s="226"/>
      <c r="AY32" s="226"/>
      <c r="AZ32" s="226"/>
      <c r="BA32" s="226"/>
      <c r="BB32" s="226"/>
      <c r="BC32" s="181"/>
      <c r="BD32" s="172"/>
      <c r="BE32" s="173"/>
      <c r="BF32" s="172" t="str">
        <f>IF(OR(IFERROR(VLOOKUP(BP32,[1]ARS!A:EL,MATCH("Price To Earnings",[1]ARS!$4:$4,0),FALSE),"-")&lt;0,IFERROR(VLOOKUP(BP32,[1]ARS!A:EL,MATCH("Price To Earnings",[1]ARS!$4:$4,0),FALSE),"-")&gt;500),"-",IFERROR(VLOOKUP(BP32,[1]ARS!A:EL,MATCH("Price To Earnings",[1]ARS!$4:$4,0),FALSE),"-"))</f>
        <v>-</v>
      </c>
      <c r="BG32" s="172"/>
      <c r="BH32" s="172"/>
      <c r="BI32" s="172"/>
      <c r="BJ32" s="172"/>
      <c r="BK32" s="172"/>
      <c r="BL32" s="172"/>
      <c r="BM32" s="172"/>
      <c r="BN32" s="172"/>
      <c r="BO32" s="172"/>
      <c r="BP32" s="172"/>
      <c r="BQ32" s="172"/>
      <c r="BR32" s="172"/>
      <c r="BS32" s="172"/>
      <c r="BT32" s="172"/>
      <c r="BU32" s="172"/>
      <c r="BV32" s="172"/>
    </row>
    <row r="33" spans="1:75" ht="12.75" customHeight="1" x14ac:dyDescent="0.2">
      <c r="A33" s="165"/>
      <c r="B33" s="165"/>
      <c r="C33" s="165"/>
      <c r="D33" s="240"/>
      <c r="E33" s="165"/>
      <c r="F33" s="165"/>
      <c r="G33" s="165"/>
      <c r="H33" s="165"/>
      <c r="I33" s="165"/>
      <c r="M33" s="241"/>
      <c r="P33" s="521"/>
      <c r="Q33" s="521"/>
      <c r="R33" s="521"/>
      <c r="S33" s="521"/>
      <c r="T33" s="521"/>
      <c r="U33" s="521"/>
      <c r="V33" s="521"/>
      <c r="W33" s="521"/>
      <c r="X33" s="521"/>
      <c r="Y33" s="521"/>
      <c r="Z33" s="521"/>
      <c r="AA33" s="521"/>
      <c r="AB33" s="521"/>
      <c r="AC33" s="233"/>
      <c r="AD33" s="233"/>
      <c r="AE33" s="233"/>
      <c r="AF33" s="233"/>
      <c r="AG33" s="233"/>
      <c r="AH33" s="233"/>
      <c r="AI33" s="233"/>
      <c r="AJ33" s="233"/>
      <c r="AK33" s="233"/>
      <c r="AL33" s="233"/>
      <c r="AM33" s="233"/>
      <c r="AN33" s="233"/>
      <c r="AO33" s="233"/>
      <c r="AP33" s="233"/>
      <c r="AQ33" s="233"/>
      <c r="AR33" s="165"/>
      <c r="AS33" s="226"/>
      <c r="AT33" s="226"/>
      <c r="AU33" s="226"/>
      <c r="AV33" s="226"/>
      <c r="AW33" s="226"/>
      <c r="AX33" s="226"/>
      <c r="AY33" s="226"/>
      <c r="AZ33" s="226"/>
      <c r="BA33" s="226"/>
      <c r="BB33" s="226"/>
      <c r="BC33" s="181"/>
      <c r="BD33" s="172"/>
      <c r="BE33" s="173"/>
      <c r="BF33" s="172" t="str">
        <f>IF(OR(IFERROR(VLOOKUP(BP33,[1]ARS!A:EL,MATCH("Price To Earnings",[1]ARS!$4:$4,0),FALSE),"-")&lt;0,IFERROR(VLOOKUP(BP33,[1]ARS!A:EL,MATCH("Price To Earnings",[1]ARS!$4:$4,0),FALSE),"-")&gt;500),"-",IFERROR(VLOOKUP(BP33,[1]ARS!A:EL,MATCH("Price To Earnings",[1]ARS!$4:$4,0),FALSE),"-"))</f>
        <v>-</v>
      </c>
      <c r="BG33" s="172"/>
      <c r="BH33" s="172"/>
      <c r="BI33" s="172"/>
      <c r="BJ33" s="172"/>
      <c r="BK33" s="172"/>
      <c r="BL33" s="172"/>
      <c r="BM33" s="172"/>
      <c r="BN33" s="172"/>
      <c r="BO33" s="172"/>
      <c r="BP33" s="172"/>
      <c r="BQ33" s="172"/>
      <c r="BR33" s="172"/>
      <c r="BS33" s="172"/>
      <c r="BT33" s="172"/>
      <c r="BU33" s="172"/>
      <c r="BV33" s="172"/>
    </row>
    <row r="34" spans="1:75" ht="12.75" customHeight="1" x14ac:dyDescent="0.2">
      <c r="A34" s="165"/>
      <c r="B34" s="165"/>
      <c r="C34" s="165"/>
      <c r="D34" s="240"/>
      <c r="E34" s="165"/>
      <c r="F34" s="165"/>
      <c r="G34" s="165"/>
      <c r="H34" s="165"/>
      <c r="I34" s="165"/>
      <c r="P34" s="242"/>
      <c r="Q34" s="242"/>
      <c r="R34" s="242"/>
      <c r="S34" s="242"/>
      <c r="T34" s="242"/>
      <c r="U34" s="242"/>
      <c r="V34" s="242"/>
      <c r="W34" s="242"/>
      <c r="X34" s="242"/>
      <c r="Y34" s="242"/>
      <c r="Z34" s="242"/>
      <c r="AA34" s="242"/>
      <c r="AB34" s="242"/>
      <c r="AC34" s="233"/>
      <c r="AD34" s="233"/>
      <c r="AE34" s="233"/>
      <c r="AF34" s="233"/>
      <c r="AG34" s="233"/>
      <c r="AH34" s="233"/>
      <c r="AI34" s="233"/>
      <c r="AJ34" s="233"/>
      <c r="AK34" s="233"/>
      <c r="AL34" s="233"/>
      <c r="AM34" s="233"/>
      <c r="AN34" s="233"/>
      <c r="AO34" s="233"/>
      <c r="AP34" s="233"/>
      <c r="AQ34" s="233"/>
      <c r="AR34" s="165"/>
      <c r="AS34" s="226"/>
      <c r="AT34" s="226"/>
      <c r="AU34" s="226"/>
      <c r="AV34" s="226"/>
      <c r="AW34" s="226"/>
      <c r="AX34" s="226"/>
      <c r="AY34" s="226"/>
      <c r="AZ34" s="226"/>
      <c r="BA34" s="226"/>
      <c r="BB34" s="226"/>
      <c r="BC34" s="181"/>
      <c r="BD34" s="172"/>
      <c r="BE34" s="173"/>
      <c r="BF34" s="172" t="str">
        <f>IF(OR(IFERROR(VLOOKUP(BP34,[1]ARS!A:EL,MATCH("Price To Earnings",[1]ARS!$4:$4,0),FALSE),"-")&lt;0,IFERROR(VLOOKUP(BP34,[1]ARS!A:EL,MATCH("Price To Earnings",[1]ARS!$4:$4,0),FALSE),"-")&gt;500),"-",IFERROR(VLOOKUP(BP34,[1]ARS!A:EL,MATCH("Price To Earnings",[1]ARS!$4:$4,0),FALSE),"-"))</f>
        <v>-</v>
      </c>
      <c r="BG34" s="172"/>
      <c r="BH34" s="172"/>
      <c r="BI34" s="172"/>
      <c r="BJ34" s="172"/>
      <c r="BK34" s="172"/>
      <c r="BL34" s="172"/>
      <c r="BM34" s="172"/>
      <c r="BN34" s="172"/>
      <c r="BO34" s="172"/>
      <c r="BP34" s="172"/>
      <c r="BQ34" s="172"/>
      <c r="BR34" s="172"/>
      <c r="BS34" s="243"/>
      <c r="BT34" s="172"/>
      <c r="BU34" s="172"/>
      <c r="BV34" s="172"/>
    </row>
    <row r="35" spans="1:75" ht="12.75" customHeight="1" x14ac:dyDescent="0.2">
      <c r="A35" s="165"/>
      <c r="B35" s="165"/>
      <c r="C35" s="165"/>
      <c r="D35" s="240"/>
      <c r="E35" s="165"/>
      <c r="F35" s="165"/>
      <c r="AA35" s="244"/>
      <c r="AB35" s="244"/>
      <c r="AC35" s="239"/>
      <c r="AD35" s="239"/>
      <c r="AE35" s="239"/>
      <c r="AF35" s="239"/>
      <c r="AG35" s="233"/>
      <c r="AH35" s="233"/>
      <c r="AI35" s="233"/>
      <c r="AJ35" s="233"/>
      <c r="AK35" s="233"/>
      <c r="AL35" s="233"/>
      <c r="AM35" s="233"/>
      <c r="AN35" s="233"/>
      <c r="AO35" s="233"/>
      <c r="AP35" s="233"/>
      <c r="AQ35" s="233"/>
      <c r="AR35" s="165"/>
      <c r="AS35" s="227"/>
      <c r="AT35" s="227"/>
      <c r="AU35" s="227"/>
      <c r="AV35" s="227"/>
      <c r="AW35" s="227"/>
      <c r="AX35" s="227"/>
      <c r="AY35" s="227"/>
      <c r="AZ35" s="227"/>
      <c r="BA35" s="227"/>
      <c r="BB35" s="227"/>
      <c r="BC35" s="181"/>
      <c r="BD35" s="172"/>
      <c r="BE35" s="173"/>
      <c r="BF35" s="172" t="str">
        <f>IF(OR(IFERROR(VLOOKUP(BP35,[1]ARS!A:EL,MATCH("Price To Earnings",[1]ARS!$4:$4,0),FALSE),"-")&lt;0,IFERROR(VLOOKUP(BP35,[1]ARS!A:EL,MATCH("Price To Earnings",[1]ARS!$4:$4,0),FALSE),"-")&gt;500),"-",IFERROR(VLOOKUP(BP35,[1]ARS!A:EL,MATCH("Price To Earnings",[1]ARS!$4:$4,0),FALSE),"-"))</f>
        <v>-</v>
      </c>
      <c r="BG35" s="172"/>
      <c r="BH35" s="172"/>
      <c r="BI35" s="172"/>
      <c r="BJ35" s="172"/>
      <c r="BK35" s="172"/>
      <c r="BL35" s="172"/>
      <c r="BM35" s="172"/>
      <c r="BN35" s="172"/>
      <c r="BO35" s="172"/>
      <c r="BP35" s="172"/>
      <c r="BQ35" s="172"/>
      <c r="BR35" s="172"/>
      <c r="BS35" s="243"/>
      <c r="BT35" s="172"/>
      <c r="BU35" s="172"/>
      <c r="BV35" s="172"/>
    </row>
    <row r="36" spans="1:75" ht="12.75" customHeight="1" x14ac:dyDescent="0.2">
      <c r="A36" s="165"/>
      <c r="B36" s="165"/>
      <c r="C36" s="165"/>
      <c r="D36" s="240"/>
      <c r="F36" s="165"/>
      <c r="L36" s="165"/>
      <c r="M36" s="165"/>
      <c r="N36" s="165"/>
      <c r="P36" s="245"/>
      <c r="Q36" s="245"/>
      <c r="R36" s="245"/>
      <c r="S36" s="245"/>
      <c r="T36" s="245"/>
      <c r="U36" s="244"/>
      <c r="V36" s="244"/>
      <c r="W36" s="244"/>
      <c r="X36" s="244"/>
      <c r="Y36" s="244"/>
      <c r="Z36" s="244"/>
      <c r="AA36" s="244"/>
      <c r="AB36" s="244"/>
      <c r="AC36" s="244"/>
      <c r="AD36" s="244"/>
      <c r="AE36" s="244"/>
      <c r="AF36" s="246"/>
      <c r="AI36" s="233"/>
      <c r="AJ36" s="233"/>
      <c r="AK36" s="233"/>
      <c r="AL36" s="233"/>
      <c r="AM36" s="233"/>
      <c r="AN36" s="233"/>
      <c r="AO36" s="233"/>
      <c r="AP36" s="233"/>
      <c r="AQ36" s="233"/>
      <c r="AR36" s="165"/>
      <c r="AS36" s="226"/>
      <c r="AT36" s="226"/>
      <c r="AU36" s="226"/>
      <c r="AV36" s="226"/>
      <c r="AW36" s="226"/>
      <c r="AX36" s="226"/>
      <c r="AY36" s="226"/>
      <c r="AZ36" s="226"/>
      <c r="BA36" s="226"/>
      <c r="BB36" s="226"/>
      <c r="BC36" s="181"/>
      <c r="BD36" s="172"/>
      <c r="BE36" s="173"/>
      <c r="BF36" s="172" t="str">
        <f>IF(OR(IFERROR(VLOOKUP(BP36,[1]ARS!A:EL,MATCH("Price To Earnings",[1]ARS!$4:$4,0),FALSE),"-")&lt;0,IFERROR(VLOOKUP(BP36,[1]ARS!A:EL,MATCH("Price To Earnings",[1]ARS!$4:$4,0),FALSE),"-")&gt;500),"-",IFERROR(VLOOKUP(BP36,[1]ARS!A:EL,MATCH("Price To Earnings",[1]ARS!$4:$4,0),FALSE),"-"))</f>
        <v>-</v>
      </c>
      <c r="BG36" s="172"/>
      <c r="BH36" s="172"/>
      <c r="BI36" s="172"/>
      <c r="BJ36" s="172"/>
      <c r="BK36" s="172"/>
      <c r="BL36" s="172"/>
      <c r="BM36" s="172"/>
      <c r="BN36" s="172"/>
      <c r="BO36" s="172"/>
      <c r="BP36" s="172"/>
      <c r="BQ36" s="172"/>
      <c r="BR36" s="172"/>
      <c r="BS36" s="243"/>
      <c r="BT36" s="172"/>
      <c r="BU36" s="172"/>
      <c r="BV36" s="172"/>
    </row>
    <row r="37" spans="1:75" ht="12.75" customHeight="1" x14ac:dyDescent="0.2">
      <c r="A37" s="165"/>
      <c r="B37" s="165"/>
      <c r="C37" s="165"/>
      <c r="D37" s="240"/>
      <c r="F37" s="165"/>
      <c r="G37" s="165"/>
      <c r="I37" s="246" t="s">
        <v>258</v>
      </c>
      <c r="J37" s="245"/>
      <c r="K37" s="245"/>
      <c r="L37" s="245"/>
      <c r="M37" s="245"/>
      <c r="N37" s="244"/>
      <c r="O37" s="244"/>
      <c r="P37" s="244"/>
      <c r="Q37" s="244"/>
      <c r="R37" s="244"/>
      <c r="S37" s="244"/>
      <c r="U37" s="246" t="s">
        <v>259</v>
      </c>
      <c r="V37" s="244"/>
      <c r="W37" s="244"/>
      <c r="AE37" s="244"/>
      <c r="AF37" s="246" t="s">
        <v>260</v>
      </c>
      <c r="AI37" s="233"/>
      <c r="AJ37" s="233"/>
      <c r="AK37" s="233"/>
      <c r="AL37" s="233"/>
      <c r="AM37" s="233"/>
      <c r="AN37" s="233"/>
      <c r="AO37" s="233"/>
      <c r="AP37" s="233"/>
      <c r="AQ37" s="233"/>
      <c r="AR37" s="165"/>
      <c r="AS37" s="227"/>
      <c r="AT37" s="227"/>
      <c r="AU37" s="227"/>
      <c r="AV37" s="227"/>
      <c r="AW37" s="227"/>
      <c r="AX37" s="227"/>
      <c r="AY37" s="227"/>
      <c r="AZ37" s="227"/>
      <c r="BA37" s="227"/>
      <c r="BB37" s="227"/>
      <c r="BC37" s="181"/>
      <c r="BD37" s="172"/>
      <c r="BE37" s="173"/>
      <c r="BF37" s="172"/>
      <c r="BG37" s="172"/>
      <c r="BH37" s="172"/>
      <c r="BI37" s="172"/>
      <c r="BJ37" s="172"/>
      <c r="BK37" s="172"/>
      <c r="BL37" s="172"/>
      <c r="BM37" s="172"/>
      <c r="BN37" s="172"/>
      <c r="BO37" s="172"/>
      <c r="BP37" s="172"/>
      <c r="BQ37" s="172"/>
      <c r="BR37" s="172"/>
      <c r="BS37" s="172"/>
      <c r="BT37" s="172"/>
      <c r="BU37" s="172"/>
      <c r="BV37" s="172"/>
      <c r="BW37" s="172"/>
    </row>
    <row r="38" spans="1:75" ht="12.75" customHeight="1" x14ac:dyDescent="0.2">
      <c r="A38" s="247"/>
      <c r="B38" s="247"/>
      <c r="C38" s="247"/>
      <c r="D38" s="247"/>
      <c r="F38" s="165"/>
      <c r="G38" s="165"/>
      <c r="I38" s="248" t="s">
        <v>261</v>
      </c>
      <c r="J38" s="245"/>
      <c r="K38" s="245"/>
      <c r="L38" s="245"/>
      <c r="M38" s="245"/>
      <c r="N38" s="244"/>
      <c r="O38" s="244"/>
      <c r="P38" s="244"/>
      <c r="Q38" s="244"/>
      <c r="R38" s="244"/>
      <c r="S38" s="244"/>
      <c r="U38" s="248" t="s">
        <v>262</v>
      </c>
      <c r="V38" s="244"/>
      <c r="W38" s="244"/>
      <c r="AE38" s="244"/>
      <c r="AF38" s="248" t="s">
        <v>263</v>
      </c>
      <c r="AI38" s="233"/>
      <c r="AJ38" s="233"/>
      <c r="AK38" s="233"/>
      <c r="AL38" s="233"/>
      <c r="AM38" s="233"/>
      <c r="AN38" s="233"/>
      <c r="AO38" s="233"/>
      <c r="AP38" s="233"/>
      <c r="AQ38" s="233"/>
      <c r="AR38" s="165"/>
      <c r="AS38" s="227"/>
      <c r="AT38" s="227"/>
      <c r="AU38" s="227"/>
      <c r="AV38" s="227"/>
      <c r="AW38" s="227"/>
      <c r="AX38" s="227"/>
      <c r="AY38" s="227"/>
      <c r="AZ38" s="227"/>
      <c r="BA38" s="227"/>
      <c r="BB38" s="227"/>
      <c r="BC38" s="181"/>
      <c r="BD38" s="172"/>
      <c r="BE38" s="173"/>
      <c r="BF38" s="172" t="str">
        <f>IF(OR(IFERROR(VLOOKUP(BP38,[1]ARS!A:EL,MATCH("Price To Earnings",[1]ARS!$4:$4,0),FALSE),"-")&lt;0,IFERROR(VLOOKUP(BP38,[1]ARS!A:EL,MATCH("Price To Earnings",[1]ARS!$4:$4,0),FALSE),"-")&gt;500),"-",IFERROR(VLOOKUP(BP38,[1]ARS!A:EL,MATCH("Price To Earnings",[1]ARS!$4:$4,0),FALSE),"-"))</f>
        <v>-</v>
      </c>
      <c r="BG38" s="172"/>
      <c r="BH38" s="172"/>
      <c r="BI38" s="172"/>
      <c r="BJ38" s="172"/>
      <c r="BK38" s="172"/>
      <c r="BL38" s="172"/>
      <c r="BM38" s="172"/>
      <c r="BN38" s="172"/>
      <c r="BO38" s="172"/>
      <c r="BP38" s="172"/>
      <c r="BQ38" s="172"/>
      <c r="BR38" s="172"/>
      <c r="BS38" s="172"/>
      <c r="BT38" s="172"/>
      <c r="BU38" s="172"/>
      <c r="BV38" s="172"/>
    </row>
    <row r="39" spans="1:75" ht="12.75" customHeight="1" x14ac:dyDescent="0.2">
      <c r="A39" s="247"/>
      <c r="B39" s="247"/>
      <c r="C39" s="247"/>
      <c r="D39" s="247"/>
      <c r="F39" s="247"/>
      <c r="G39" s="247"/>
      <c r="H39" s="247"/>
      <c r="I39" s="248" t="s">
        <v>264</v>
      </c>
      <c r="J39" s="249"/>
      <c r="K39" s="249"/>
      <c r="L39" s="249"/>
      <c r="M39" s="249"/>
      <c r="N39" s="249"/>
      <c r="O39" s="249"/>
      <c r="P39" s="249"/>
      <c r="Q39" s="249"/>
      <c r="R39" s="249"/>
      <c r="S39" s="239"/>
      <c r="U39" s="248" t="s">
        <v>265</v>
      </c>
      <c r="V39" s="239"/>
      <c r="W39" s="239"/>
      <c r="AE39" s="239"/>
      <c r="AF39" s="248" t="s">
        <v>266</v>
      </c>
      <c r="AI39" s="233"/>
      <c r="AJ39" s="233"/>
      <c r="AK39" s="233"/>
      <c r="AL39" s="233"/>
      <c r="AM39" s="233"/>
      <c r="AN39" s="233"/>
      <c r="AO39" s="233"/>
      <c r="AP39" s="233"/>
      <c r="AQ39" s="233"/>
      <c r="AR39" s="165"/>
      <c r="AS39" s="250"/>
      <c r="AT39" s="250"/>
      <c r="AU39" s="250"/>
      <c r="AV39" s="250"/>
      <c r="AW39" s="250"/>
      <c r="AX39" s="250"/>
      <c r="AY39" s="250"/>
      <c r="AZ39" s="250"/>
      <c r="BA39" s="250"/>
      <c r="BB39" s="250"/>
      <c r="BC39" s="250"/>
      <c r="BD39" s="172"/>
      <c r="BE39" s="173"/>
      <c r="BF39" s="172"/>
      <c r="BG39" s="172"/>
      <c r="BH39" s="172"/>
      <c r="BI39" s="172"/>
      <c r="BJ39" s="172"/>
      <c r="BK39" s="172"/>
      <c r="BL39" s="172"/>
      <c r="BM39" s="172"/>
      <c r="BN39" s="172"/>
      <c r="BO39" s="172"/>
      <c r="BP39" s="172"/>
      <c r="BQ39" s="172"/>
      <c r="BR39" s="172"/>
      <c r="BS39" s="172"/>
      <c r="BT39" s="172"/>
      <c r="BU39" s="172"/>
      <c r="BV39" s="172"/>
    </row>
    <row r="40" spans="1:75" ht="12.75" customHeight="1" x14ac:dyDescent="0.2">
      <c r="A40" s="247"/>
      <c r="B40" s="247"/>
      <c r="C40" s="247"/>
      <c r="D40" s="247"/>
      <c r="E40" s="247"/>
      <c r="F40" s="247"/>
      <c r="G40" s="247"/>
      <c r="H40" s="247"/>
      <c r="I40" s="248" t="s">
        <v>267</v>
      </c>
      <c r="J40" s="249"/>
      <c r="K40" s="249"/>
      <c r="L40" s="249"/>
      <c r="M40" s="249"/>
      <c r="N40" s="249"/>
      <c r="O40" s="249"/>
      <c r="P40" s="249"/>
      <c r="Q40" s="249"/>
      <c r="R40" s="249"/>
      <c r="S40" s="239"/>
      <c r="U40" s="248" t="s">
        <v>268</v>
      </c>
      <c r="V40" s="239"/>
      <c r="W40" s="239"/>
      <c r="AE40" s="248"/>
      <c r="AF40" s="248" t="s">
        <v>269</v>
      </c>
      <c r="AG40" s="248"/>
      <c r="AI40" s="233"/>
      <c r="AJ40" s="233"/>
      <c r="AK40" s="233"/>
      <c r="AL40" s="233"/>
      <c r="AM40" s="233"/>
      <c r="AN40" s="233"/>
      <c r="AO40" s="233"/>
      <c r="AP40" s="233"/>
      <c r="AQ40" s="233"/>
      <c r="AR40" s="165"/>
      <c r="AS40" s="250"/>
      <c r="AT40" s="250"/>
      <c r="AU40" s="250"/>
      <c r="AV40" s="250"/>
      <c r="AW40" s="250"/>
      <c r="AX40" s="250"/>
      <c r="AY40" s="250"/>
      <c r="AZ40" s="250"/>
      <c r="BA40" s="250"/>
      <c r="BB40" s="250"/>
      <c r="BC40" s="250"/>
      <c r="BD40" s="172"/>
      <c r="BE40" s="173"/>
      <c r="BF40" s="172" t="str">
        <f>IF(OR(IFERROR(VLOOKUP(BP40,[1]ARS!A:EL,MATCH("Price To Earnings",[1]ARS!$4:$4,0),FALSE),"-")&lt;0,IFERROR(VLOOKUP(BP40,[1]ARS!A:EL,MATCH("Price To Earnings",[1]ARS!$4:$4,0),FALSE),"-")&gt;500),"-",IFERROR(VLOOKUP(BP40,[1]ARS!A:EL,MATCH("Price To Earnings",[1]ARS!$4:$4,0),FALSE),"-"))</f>
        <v>-</v>
      </c>
      <c r="BG40" s="172"/>
      <c r="BH40" s="172"/>
      <c r="BI40" s="172"/>
      <c r="BJ40" s="172"/>
      <c r="BK40" s="172"/>
      <c r="BL40" s="172"/>
      <c r="BM40" s="172"/>
      <c r="BN40" s="172"/>
      <c r="BO40" s="172"/>
      <c r="BP40" s="172"/>
      <c r="BQ40" s="172"/>
      <c r="BR40" s="172"/>
      <c r="BS40" s="172"/>
      <c r="BT40" s="172"/>
      <c r="BU40" s="172"/>
      <c r="BV40" s="172"/>
    </row>
    <row r="41" spans="1:75" ht="12.75" customHeight="1" x14ac:dyDescent="0.2">
      <c r="A41" s="247"/>
      <c r="B41" s="247"/>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33"/>
      <c r="AA41" s="233"/>
      <c r="AB41" s="233"/>
      <c r="AC41" s="233"/>
      <c r="AD41" s="233"/>
      <c r="AE41" s="233"/>
      <c r="AF41" s="233"/>
      <c r="AI41" s="233"/>
      <c r="AJ41" s="233"/>
      <c r="AK41" s="233"/>
      <c r="AL41" s="233"/>
      <c r="AM41" s="233"/>
      <c r="AN41" s="233"/>
      <c r="AO41" s="233"/>
      <c r="AP41" s="233"/>
      <c r="AQ41" s="233"/>
      <c r="AR41" s="165"/>
      <c r="AS41" s="182"/>
      <c r="AT41" s="182"/>
      <c r="AU41" s="182"/>
      <c r="AV41" s="182"/>
      <c r="AW41" s="182"/>
      <c r="AX41" s="182"/>
      <c r="AY41" s="182"/>
      <c r="AZ41" s="182"/>
      <c r="BA41" s="182"/>
      <c r="BB41" s="182"/>
      <c r="BC41" s="181"/>
      <c r="BD41" s="172"/>
      <c r="BE41" s="173"/>
      <c r="BF41" s="172"/>
      <c r="BG41" s="172"/>
      <c r="BH41" s="172"/>
      <c r="BI41" s="172"/>
      <c r="BJ41" s="172"/>
      <c r="BK41" s="172"/>
      <c r="BL41" s="172"/>
      <c r="BM41" s="172"/>
      <c r="BN41" s="172"/>
      <c r="BO41" s="172"/>
      <c r="BP41" s="172"/>
      <c r="BQ41" s="172"/>
      <c r="BR41" s="172"/>
      <c r="BS41" s="172"/>
      <c r="BT41" s="172"/>
      <c r="BU41" s="172"/>
      <c r="BV41" s="172"/>
    </row>
    <row r="42" spans="1:75" ht="12.75" customHeight="1" x14ac:dyDescent="0.2">
      <c r="A42" s="247"/>
      <c r="B42" s="247"/>
      <c r="C42" s="247"/>
      <c r="D42" s="251"/>
      <c r="H42" s="247"/>
      <c r="I42" s="247"/>
      <c r="J42" s="247"/>
      <c r="K42" s="247"/>
      <c r="L42" s="247"/>
      <c r="M42" s="247"/>
      <c r="N42" s="247"/>
      <c r="O42" s="247"/>
      <c r="P42" s="247"/>
      <c r="Q42" s="247"/>
      <c r="R42" s="247"/>
      <c r="S42" s="247"/>
      <c r="T42" s="247"/>
      <c r="U42" s="247"/>
      <c r="V42" s="247"/>
      <c r="W42" s="233"/>
      <c r="X42" s="233"/>
      <c r="Z42" s="233"/>
      <c r="AA42" s="233"/>
      <c r="AB42" s="233"/>
      <c r="AC42" s="233"/>
      <c r="AD42" s="233"/>
      <c r="AE42" s="233"/>
      <c r="AF42" s="233"/>
      <c r="AI42" s="233"/>
      <c r="AJ42" s="233"/>
      <c r="AK42" s="233"/>
      <c r="AP42" s="233"/>
      <c r="AQ42" s="233"/>
      <c r="AR42" s="233"/>
      <c r="AS42" s="166"/>
      <c r="AT42" s="166"/>
      <c r="AU42" s="166"/>
      <c r="AV42" s="166"/>
      <c r="AW42" s="166"/>
      <c r="AX42" s="166"/>
      <c r="AY42" s="166"/>
      <c r="AZ42" s="166"/>
      <c r="BA42" s="166"/>
      <c r="BB42" s="166"/>
      <c r="BC42" s="168"/>
      <c r="BD42" s="172"/>
      <c r="BE42" s="173"/>
      <c r="BF42" s="172"/>
      <c r="BG42" s="172"/>
      <c r="BH42" s="172"/>
      <c r="BI42" s="172"/>
      <c r="BJ42" s="172"/>
      <c r="BK42" s="172"/>
      <c r="BL42" s="172"/>
      <c r="BM42" s="172"/>
      <c r="BN42" s="172"/>
      <c r="BO42" s="172"/>
      <c r="BP42" s="172"/>
      <c r="BQ42" s="172"/>
      <c r="BR42" s="172"/>
      <c r="BS42" s="172"/>
      <c r="BT42" s="172"/>
      <c r="BU42" s="172"/>
      <c r="BV42" s="172"/>
    </row>
    <row r="43" spans="1:75" ht="12.75" customHeight="1" x14ac:dyDescent="0.2">
      <c r="A43" s="247"/>
      <c r="B43" s="247"/>
      <c r="C43" s="247"/>
      <c r="D43" s="251"/>
      <c r="H43" s="247"/>
      <c r="I43" s="247"/>
      <c r="J43" s="247"/>
      <c r="K43" s="247"/>
      <c r="L43" s="247"/>
      <c r="M43" s="247"/>
      <c r="N43" s="247"/>
      <c r="O43" s="247"/>
      <c r="P43" s="247"/>
      <c r="Q43" s="247"/>
      <c r="R43" s="247"/>
      <c r="S43" s="247"/>
      <c r="T43" s="247"/>
      <c r="U43" s="247"/>
      <c r="V43" s="247"/>
      <c r="W43" s="233"/>
      <c r="X43" s="233"/>
      <c r="Z43" s="233"/>
      <c r="AA43" s="233"/>
      <c r="AB43" s="233"/>
      <c r="AC43" s="233"/>
      <c r="AD43" s="233"/>
      <c r="AE43" s="233"/>
      <c r="AF43" s="233"/>
      <c r="AI43" s="233"/>
      <c r="AJ43" s="233"/>
      <c r="AK43" s="233"/>
      <c r="AP43" s="233"/>
      <c r="AQ43" s="233"/>
      <c r="AR43" s="233"/>
      <c r="AS43" s="166"/>
      <c r="AT43" s="166"/>
      <c r="AU43" s="166"/>
      <c r="AV43" s="166"/>
      <c r="AW43" s="166"/>
      <c r="AX43" s="166"/>
      <c r="AY43" s="166"/>
      <c r="AZ43" s="166"/>
      <c r="BA43" s="166"/>
      <c r="BB43" s="166"/>
      <c r="BC43" s="168"/>
      <c r="BD43" s="172"/>
      <c r="BE43" s="173"/>
      <c r="BF43" s="172"/>
      <c r="BG43" s="172"/>
      <c r="BH43" s="172"/>
      <c r="BI43" s="172"/>
      <c r="BJ43" s="172"/>
      <c r="BK43" s="172"/>
      <c r="BL43" s="172"/>
      <c r="BM43" s="172"/>
      <c r="BN43" s="172"/>
      <c r="BO43" s="172"/>
      <c r="BP43" s="172"/>
      <c r="BQ43" s="172"/>
      <c r="BR43" s="172"/>
      <c r="BS43" s="172"/>
      <c r="BT43" s="172"/>
      <c r="BU43" s="172"/>
      <c r="BV43" s="172"/>
    </row>
    <row r="44" spans="1:75" ht="12.75" customHeight="1" x14ac:dyDescent="0.2">
      <c r="A44" s="252"/>
      <c r="B44" s="240"/>
      <c r="C44" s="253"/>
      <c r="D44" s="251"/>
      <c r="F44" s="203"/>
      <c r="G44" s="203"/>
      <c r="H44" s="172"/>
      <c r="I44" s="172"/>
      <c r="K44" s="254"/>
      <c r="S44" s="254"/>
      <c r="T44" s="172"/>
      <c r="V44" s="254"/>
      <c r="AF44" s="254"/>
      <c r="AI44" s="254"/>
      <c r="AJ44" s="217"/>
      <c r="AO44" s="206"/>
      <c r="AP44" s="172"/>
      <c r="AQ44" s="172"/>
      <c r="AR44" s="165"/>
      <c r="AS44" s="172"/>
      <c r="AT44" s="173"/>
      <c r="AU44" s="172"/>
      <c r="AV44" s="172"/>
      <c r="AW44" s="172"/>
      <c r="AX44" s="172"/>
      <c r="AY44" s="172"/>
      <c r="AZ44" s="172"/>
      <c r="BA44" s="172"/>
      <c r="BB44" s="172"/>
      <c r="BC44" s="172"/>
      <c r="BD44" s="172"/>
      <c r="BE44" s="173"/>
      <c r="BF44" s="172" t="str">
        <f>IF(OR(IFERROR(VLOOKUP(BP44,[1]ARS!A:EL,MATCH("Price To Earnings",[1]ARS!$4:$4,0),FALSE),"-")&lt;0,IFERROR(VLOOKUP(BP44,[1]ARS!A:EL,MATCH("Price To Earnings",[1]ARS!$4:$4,0),FALSE),"-")&gt;500),"-",IFERROR(VLOOKUP(BP44,[1]ARS!A:EL,MATCH("Price To Earnings",[1]ARS!$4:$4,0),FALSE),"-"))</f>
        <v>-</v>
      </c>
      <c r="BG44" s="172"/>
      <c r="BH44" s="172"/>
      <c r="BI44" s="172"/>
      <c r="BJ44" s="172"/>
      <c r="BK44" s="172"/>
      <c r="BL44" s="172"/>
      <c r="BM44" s="172"/>
      <c r="BN44" s="172"/>
      <c r="BO44" s="172"/>
      <c r="BP44" s="172"/>
      <c r="BQ44" s="172"/>
      <c r="BR44" s="172"/>
      <c r="BS44" s="172"/>
      <c r="BT44" s="172"/>
      <c r="BU44" s="172"/>
      <c r="BV44" s="172"/>
    </row>
    <row r="45" spans="1:75" ht="12.75" customHeight="1" x14ac:dyDescent="0.2">
      <c r="A45" s="255"/>
      <c r="B45" s="240"/>
      <c r="C45" s="253"/>
      <c r="D45" s="251"/>
      <c r="F45" s="256"/>
      <c r="G45" s="256"/>
      <c r="H45" s="172"/>
      <c r="I45" s="172"/>
      <c r="K45" s="257"/>
      <c r="S45" s="257"/>
      <c r="T45" s="172"/>
      <c r="V45" s="257"/>
      <c r="AF45" s="257"/>
      <c r="AI45" s="257"/>
      <c r="AJ45" s="217"/>
      <c r="AO45" s="206"/>
      <c r="AP45" s="172"/>
      <c r="AQ45" s="172"/>
      <c r="AR45" s="165"/>
      <c r="AS45" s="172"/>
      <c r="AT45" s="173"/>
      <c r="AU45" s="172"/>
      <c r="AV45" s="172"/>
      <c r="AW45" s="172"/>
      <c r="AX45" s="172"/>
      <c r="AY45" s="172"/>
      <c r="AZ45" s="172"/>
      <c r="BA45" s="172"/>
      <c r="BB45" s="172"/>
      <c r="BC45" s="172"/>
      <c r="BD45" s="172"/>
      <c r="BE45" s="173"/>
      <c r="BF45" s="172" t="str">
        <f>IF(OR(IFERROR(VLOOKUP(BP45,[1]ARS!A:EL,MATCH("Price To Earnings",[1]ARS!$4:$4,0),FALSE),"-")&lt;0,IFERROR(VLOOKUP(BP45,[1]ARS!A:EL,MATCH("Price To Earnings",[1]ARS!$4:$4,0),FALSE),"-")&gt;500),"-",IFERROR(VLOOKUP(BP45,[1]ARS!A:EL,MATCH("Price To Earnings",[1]ARS!$4:$4,0),FALSE),"-"))</f>
        <v>-</v>
      </c>
      <c r="BG45" s="172"/>
      <c r="BH45" s="172"/>
      <c r="BI45" s="172"/>
      <c r="BJ45" s="172"/>
      <c r="BK45" s="172"/>
      <c r="BL45" s="172"/>
      <c r="BM45" s="172"/>
      <c r="BN45" s="172"/>
      <c r="BO45" s="172"/>
      <c r="BP45" s="172"/>
      <c r="BQ45" s="172"/>
      <c r="BR45" s="172"/>
      <c r="BS45" s="172"/>
      <c r="BT45" s="172"/>
      <c r="BU45" s="172"/>
      <c r="BV45" s="172"/>
    </row>
    <row r="46" spans="1:75" ht="12.75" customHeight="1" x14ac:dyDescent="0.2">
      <c r="A46" s="258"/>
      <c r="B46" s="259"/>
      <c r="C46" s="253"/>
      <c r="D46" s="251"/>
      <c r="F46" s="260"/>
      <c r="G46" s="260"/>
      <c r="H46" s="172"/>
      <c r="I46" s="172"/>
      <c r="K46" s="257"/>
      <c r="S46" s="257"/>
      <c r="T46" s="172"/>
      <c r="V46" s="257"/>
      <c r="AF46" s="257"/>
      <c r="AI46" s="257"/>
      <c r="AJ46" s="217"/>
      <c r="AO46" s="206"/>
      <c r="AP46" s="172"/>
      <c r="AQ46" s="172"/>
      <c r="AR46" s="165"/>
      <c r="AS46" s="228"/>
      <c r="AT46" s="261"/>
      <c r="AU46" s="228"/>
      <c r="AV46" s="172"/>
      <c r="AW46" s="172"/>
      <c r="AX46" s="172"/>
      <c r="AY46" s="172"/>
      <c r="AZ46" s="172"/>
      <c r="BA46" s="172"/>
      <c r="BB46" s="172"/>
      <c r="BC46" s="172"/>
      <c r="BD46" s="172"/>
      <c r="BE46" s="173"/>
      <c r="BF46" s="172" t="str">
        <f>IF(OR(IFERROR(VLOOKUP(BP46,[1]ARS!A:EL,MATCH("Price To Earnings",[1]ARS!$4:$4,0),FALSE),"-")&lt;0,IFERROR(VLOOKUP(BP46,[1]ARS!A:EL,MATCH("Price To Earnings",[1]ARS!$4:$4,0),FALSE),"-")&gt;500),"-",IFERROR(VLOOKUP(BP46,[1]ARS!A:EL,MATCH("Price To Earnings",[1]ARS!$4:$4,0),FALSE),"-"))</f>
        <v>-</v>
      </c>
      <c r="BG46" s="172"/>
      <c r="BH46" s="172"/>
      <c r="BI46" s="172"/>
      <c r="BJ46" s="172"/>
      <c r="BK46" s="172"/>
      <c r="BL46" s="172"/>
      <c r="BM46" s="172"/>
      <c r="BN46" s="172"/>
      <c r="BO46" s="172"/>
      <c r="BP46" s="172"/>
      <c r="BQ46" s="172"/>
      <c r="BR46" s="172"/>
      <c r="BS46" s="172"/>
      <c r="BT46" s="172"/>
      <c r="BU46" s="172"/>
      <c r="BV46" s="172"/>
    </row>
    <row r="47" spans="1:75" ht="12.75" customHeight="1" x14ac:dyDescent="0.2">
      <c r="A47" s="262"/>
      <c r="B47" s="240"/>
      <c r="C47" s="253"/>
      <c r="D47" s="251"/>
      <c r="F47" s="211"/>
      <c r="G47" s="263"/>
      <c r="H47" s="172"/>
      <c r="I47" s="172"/>
      <c r="K47" s="257"/>
      <c r="S47" s="257"/>
      <c r="T47" s="172"/>
      <c r="V47" s="257"/>
      <c r="AF47" s="257"/>
      <c r="AI47" s="257"/>
      <c r="AJ47" s="217"/>
      <c r="AO47" s="206"/>
      <c r="AP47" s="172"/>
      <c r="AQ47" s="172"/>
      <c r="AR47" s="165"/>
      <c r="AS47" s="172"/>
      <c r="AT47" s="173"/>
      <c r="AU47" s="172"/>
      <c r="AV47" s="172"/>
      <c r="AW47" s="172"/>
      <c r="AX47" s="172"/>
      <c r="AY47" s="172"/>
      <c r="AZ47" s="172"/>
      <c r="BA47" s="172"/>
      <c r="BB47" s="172"/>
      <c r="BC47" s="172"/>
      <c r="BD47" s="172"/>
      <c r="BE47" s="173"/>
      <c r="BF47" s="172" t="str">
        <f>IF(OR(IFERROR(VLOOKUP(BP47,[1]ARS!A:EL,MATCH("Price To Earnings",[1]ARS!$4:$4,0),FALSE),"-")&lt;0,IFERROR(VLOOKUP(BP47,[1]ARS!A:EL,MATCH("Price To Earnings",[1]ARS!$4:$4,0),FALSE),"-")&gt;500),"-",IFERROR(VLOOKUP(BP47,[1]ARS!A:EL,MATCH("Price To Earnings",[1]ARS!$4:$4,0),FALSE),"-"))</f>
        <v>-</v>
      </c>
      <c r="BG47" s="172"/>
      <c r="BH47" s="172"/>
      <c r="BI47" s="172"/>
      <c r="BJ47" s="172"/>
      <c r="BK47" s="172"/>
      <c r="BL47" s="172"/>
      <c r="BM47" s="172"/>
      <c r="BN47" s="172"/>
      <c r="BO47" s="172"/>
      <c r="BP47" s="172"/>
      <c r="BQ47" s="172"/>
      <c r="BR47" s="172"/>
      <c r="BS47" s="172"/>
      <c r="BT47" s="172"/>
      <c r="BU47" s="172"/>
      <c r="BV47" s="172"/>
    </row>
    <row r="48" spans="1:75" ht="12.75" customHeight="1" x14ac:dyDescent="0.2">
      <c r="A48" s="262"/>
      <c r="B48" s="240"/>
      <c r="C48" s="253"/>
      <c r="D48" s="251"/>
      <c r="G48" s="257"/>
      <c r="I48" s="211"/>
      <c r="J48" s="263"/>
      <c r="K48" s="172"/>
      <c r="L48" s="172"/>
      <c r="M48" s="257"/>
      <c r="O48" s="257"/>
      <c r="P48" s="206"/>
      <c r="Q48" s="172"/>
      <c r="S48" s="257"/>
      <c r="T48" s="172"/>
      <c r="U48" s="206"/>
      <c r="V48" s="206"/>
      <c r="W48" s="257"/>
      <c r="AE48" s="257"/>
      <c r="AJ48" s="217"/>
      <c r="AM48" s="257"/>
      <c r="AN48" s="257"/>
      <c r="AO48" s="206"/>
      <c r="AP48" s="172"/>
      <c r="AQ48" s="172"/>
      <c r="AR48" s="165"/>
      <c r="AS48" s="172"/>
      <c r="AT48" s="173"/>
      <c r="AU48" s="172"/>
      <c r="AV48" s="172"/>
      <c r="AW48" s="172"/>
      <c r="AX48" s="172"/>
      <c r="AY48" s="172"/>
      <c r="AZ48" s="172"/>
      <c r="BA48" s="172"/>
      <c r="BB48" s="172"/>
      <c r="BC48" s="172"/>
      <c r="BD48" s="172"/>
      <c r="BE48" s="173"/>
      <c r="BF48" s="172" t="str">
        <f>IF(OR(IFERROR(VLOOKUP(BP48,[1]ARS!A:EL,MATCH("Price To Earnings",[1]ARS!$4:$4,0),FALSE),"-")&lt;0,IFERROR(VLOOKUP(BP48,[1]ARS!A:EL,MATCH("Price To Earnings",[1]ARS!$4:$4,0),FALSE),"-")&gt;500),"-",IFERROR(VLOOKUP(BP48,[1]ARS!A:EL,MATCH("Price To Earnings",[1]ARS!$4:$4,0),FALSE),"-"))</f>
        <v>-</v>
      </c>
      <c r="BG48" s="172"/>
      <c r="BH48" s="172"/>
      <c r="BI48" s="172"/>
      <c r="BJ48" s="172"/>
      <c r="BK48" s="172"/>
      <c r="BL48" s="172"/>
      <c r="BM48" s="172"/>
      <c r="BN48" s="172"/>
      <c r="BO48" s="172"/>
      <c r="BP48" s="172"/>
      <c r="BQ48" s="172"/>
      <c r="BR48" s="172"/>
      <c r="BS48" s="172"/>
      <c r="BT48" s="172"/>
      <c r="BU48" s="172"/>
      <c r="BV48" s="172"/>
    </row>
    <row r="49" spans="1:75" ht="12.75" customHeight="1" x14ac:dyDescent="0.2">
      <c r="A49" s="262"/>
      <c r="B49" s="240"/>
      <c r="C49" s="253"/>
      <c r="D49" s="251"/>
      <c r="H49" s="262"/>
      <c r="I49" s="165"/>
      <c r="J49" s="165"/>
      <c r="K49" s="165"/>
      <c r="L49" s="165"/>
      <c r="M49" s="264"/>
      <c r="N49" s="165"/>
      <c r="O49" s="240"/>
      <c r="P49" s="262"/>
      <c r="Q49" s="262"/>
      <c r="R49" s="262"/>
      <c r="S49" s="262"/>
      <c r="T49" s="262"/>
      <c r="U49" s="262"/>
      <c r="V49" s="262"/>
      <c r="W49" s="240"/>
      <c r="X49" s="165"/>
      <c r="Z49" s="165"/>
      <c r="AA49" s="165"/>
      <c r="AB49" s="165"/>
      <c r="AC49" s="165"/>
      <c r="AD49" s="165"/>
      <c r="AE49" s="165"/>
      <c r="AF49" s="165"/>
      <c r="AG49" s="165"/>
      <c r="AH49" s="165"/>
      <c r="AI49" s="165"/>
      <c r="AK49" s="165"/>
      <c r="AP49" s="165"/>
      <c r="AQ49" s="165"/>
      <c r="AR49" s="165"/>
      <c r="AS49" s="172"/>
      <c r="AT49" s="173"/>
      <c r="AU49" s="172"/>
      <c r="AV49" s="172"/>
      <c r="AW49" s="172"/>
      <c r="AX49" s="172"/>
      <c r="AY49" s="172"/>
      <c r="AZ49" s="172"/>
      <c r="BA49" s="172"/>
      <c r="BB49" s="172"/>
      <c r="BC49" s="172"/>
      <c r="BD49" s="172"/>
      <c r="BE49" s="173"/>
      <c r="BF49" s="172" t="str">
        <f>IF(OR(IFERROR(VLOOKUP(BP49,[1]ARS!A:EL,MATCH("Price To Earnings",[1]ARS!$4:$4,0),FALSE),"-")&lt;0,IFERROR(VLOOKUP(BP49,[1]ARS!A:EL,MATCH("Price To Earnings",[1]ARS!$4:$4,0),FALSE),"-")&gt;500),"-",IFERROR(VLOOKUP(BP49,[1]ARS!A:EL,MATCH("Price To Earnings",[1]ARS!$4:$4,0),FALSE),"-"))</f>
        <v>-</v>
      </c>
      <c r="BG49" s="172"/>
      <c r="BH49" s="172"/>
      <c r="BI49" s="172"/>
      <c r="BJ49" s="172"/>
      <c r="BK49" s="172"/>
      <c r="BL49" s="172"/>
      <c r="BM49" s="172"/>
      <c r="BN49" s="172"/>
      <c r="BO49" s="172"/>
      <c r="BP49" s="172"/>
      <c r="BQ49" s="172"/>
      <c r="BR49" s="172"/>
      <c r="BS49" s="172"/>
      <c r="BT49" s="172"/>
      <c r="BU49" s="172"/>
      <c r="BV49" s="172"/>
    </row>
    <row r="50" spans="1:75" ht="12.75" customHeight="1" x14ac:dyDescent="0.2">
      <c r="A50" s="262"/>
      <c r="B50" s="240"/>
      <c r="C50" s="253"/>
      <c r="D50" s="251"/>
      <c r="H50" s="262"/>
      <c r="I50" s="165"/>
      <c r="J50" s="165"/>
      <c r="K50" s="165"/>
      <c r="L50" s="165"/>
      <c r="M50" s="165"/>
      <c r="N50" s="165"/>
      <c r="P50" s="262"/>
      <c r="Q50" s="262"/>
      <c r="R50" s="262"/>
      <c r="S50" s="262"/>
      <c r="T50" s="262"/>
      <c r="U50" s="262"/>
      <c r="V50" s="262"/>
      <c r="W50" s="240"/>
      <c r="X50" s="165"/>
      <c r="Z50" s="165"/>
      <c r="AA50" s="165"/>
      <c r="AB50" s="165"/>
      <c r="AC50" s="165"/>
      <c r="AD50" s="165"/>
      <c r="AE50" s="165"/>
      <c r="AF50" s="165"/>
      <c r="AG50" s="165"/>
      <c r="AH50" s="165"/>
      <c r="AI50" s="165"/>
      <c r="AK50" s="165"/>
      <c r="AP50" s="165"/>
      <c r="AQ50" s="165"/>
      <c r="AR50" s="165"/>
      <c r="AS50" s="172"/>
      <c r="AT50" s="173"/>
      <c r="AU50" s="172"/>
      <c r="AV50" s="172"/>
      <c r="AW50" s="172"/>
      <c r="AX50" s="172"/>
      <c r="AY50" s="172"/>
      <c r="AZ50" s="172"/>
      <c r="BA50" s="172"/>
      <c r="BB50" s="172"/>
      <c r="BC50" s="172"/>
      <c r="BD50" s="172"/>
      <c r="BE50" s="173"/>
      <c r="BF50" s="172"/>
      <c r="BG50" s="172"/>
      <c r="BH50" s="172"/>
      <c r="BI50" s="172"/>
      <c r="BJ50" s="172"/>
      <c r="BK50" s="172"/>
      <c r="BL50" s="172"/>
      <c r="BM50" s="172"/>
      <c r="BN50" s="172"/>
      <c r="BO50" s="172"/>
      <c r="BP50" s="172"/>
      <c r="BQ50" s="172"/>
      <c r="BR50" s="172"/>
      <c r="BS50" s="172"/>
      <c r="BT50" s="172"/>
      <c r="BU50" s="172"/>
      <c r="BV50" s="172"/>
    </row>
    <row r="51" spans="1:75" ht="12.75" customHeight="1" x14ac:dyDescent="0.2">
      <c r="A51" s="262"/>
      <c r="B51" s="259"/>
      <c r="C51" s="265"/>
      <c r="D51" s="266"/>
      <c r="E51" s="165"/>
      <c r="F51" s="165"/>
      <c r="G51" s="165"/>
      <c r="H51" s="165"/>
      <c r="I51" s="165"/>
      <c r="J51" s="165"/>
      <c r="L51" s="266"/>
      <c r="M51" s="266"/>
      <c r="N51" s="266"/>
      <c r="O51" s="266"/>
      <c r="P51" s="267" t="s">
        <v>270</v>
      </c>
      <c r="T51" s="262"/>
      <c r="V51" s="268" t="s">
        <v>271</v>
      </c>
      <c r="Y51" s="165"/>
      <c r="AA51" s="269" t="s">
        <v>272</v>
      </c>
      <c r="AB51" s="165"/>
      <c r="AC51" s="165"/>
      <c r="AD51" s="165"/>
      <c r="AE51" s="165"/>
      <c r="AF51" s="165"/>
      <c r="AG51" s="165"/>
      <c r="AH51" s="165"/>
      <c r="AI51" s="165"/>
      <c r="AO51" s="165"/>
      <c r="AP51" s="165"/>
      <c r="AQ51" s="165"/>
      <c r="AR51" s="165"/>
      <c r="AS51" s="172"/>
      <c r="AT51" s="173"/>
      <c r="AU51" s="172"/>
      <c r="AV51" s="172"/>
      <c r="AW51" s="172"/>
      <c r="AX51" s="172"/>
      <c r="AY51" s="172"/>
      <c r="AZ51" s="172"/>
      <c r="BA51" s="172"/>
      <c r="BB51" s="172"/>
      <c r="BC51" s="172"/>
      <c r="BD51" s="172"/>
      <c r="BE51" s="173"/>
      <c r="BF51" s="172" t="str">
        <f>IF(OR(IFERROR(VLOOKUP(BP51,[1]ARS!A:EL,MATCH("Price To Earnings",[1]ARS!$4:$4,0),FALSE),"-")&lt;0,IFERROR(VLOOKUP(BP51,[1]ARS!A:EL,MATCH("Price To Earnings",[1]ARS!$4:$4,0),FALSE),"-")&gt;500),"-",IFERROR(VLOOKUP(BP51,[1]ARS!A:EL,MATCH("Price To Earnings",[1]ARS!$4:$4,0),FALSE),"-"))</f>
        <v>-</v>
      </c>
      <c r="BG51" s="172"/>
      <c r="BH51" s="172"/>
      <c r="BI51" s="172"/>
      <c r="BJ51" s="172"/>
      <c r="BK51" s="172"/>
      <c r="BL51" s="172"/>
      <c r="BM51" s="172"/>
      <c r="BN51" s="172"/>
      <c r="BO51" s="172"/>
      <c r="BP51" s="172"/>
      <c r="BQ51" s="172"/>
      <c r="BR51" s="172"/>
      <c r="BS51" s="172"/>
      <c r="BT51" s="172"/>
      <c r="BU51" s="172"/>
      <c r="BV51" s="172"/>
    </row>
    <row r="52" spans="1:75" ht="12.75" customHeight="1" x14ac:dyDescent="0.2">
      <c r="A52" s="262"/>
      <c r="B52" s="259"/>
      <c r="C52" s="265"/>
      <c r="D52" s="266"/>
      <c r="E52" s="165"/>
      <c r="F52" s="165"/>
      <c r="G52" s="165"/>
      <c r="H52" s="165"/>
      <c r="I52" s="165"/>
      <c r="J52" s="165"/>
      <c r="L52" s="266"/>
      <c r="M52" s="266"/>
      <c r="N52" s="266"/>
      <c r="O52" s="266"/>
      <c r="P52" s="267"/>
      <c r="T52" s="262"/>
      <c r="V52" s="268"/>
      <c r="Y52" s="165"/>
      <c r="AA52" s="269"/>
      <c r="AB52" s="165"/>
      <c r="AC52" s="165"/>
      <c r="AD52" s="165"/>
      <c r="AE52" s="165"/>
      <c r="AF52" s="165"/>
      <c r="AG52" s="165"/>
      <c r="AH52" s="165"/>
      <c r="AI52" s="165"/>
      <c r="AO52" s="165"/>
      <c r="AP52" s="165"/>
      <c r="AQ52" s="165"/>
      <c r="AR52" s="165"/>
      <c r="AS52" s="172"/>
      <c r="AT52" s="173"/>
      <c r="AU52" s="172"/>
      <c r="AV52" s="172"/>
      <c r="AW52" s="172"/>
      <c r="AX52" s="172"/>
      <c r="AY52" s="172"/>
      <c r="AZ52" s="172"/>
      <c r="BA52" s="172"/>
      <c r="BB52" s="172"/>
      <c r="BC52" s="172"/>
      <c r="BD52" s="172"/>
      <c r="BE52" s="173"/>
      <c r="BF52" s="172" t="str">
        <f>IF(OR(IFERROR(VLOOKUP(BP52,[1]ARS!A:EL,MATCH("Price To Earnings",[1]ARS!$4:$4,0),FALSE),"-")&lt;0,IFERROR(VLOOKUP(BP52,[1]ARS!A:EL,MATCH("Price To Earnings",[1]ARS!$4:$4,0),FALSE),"-")&gt;500),"-",IFERROR(VLOOKUP(BP52,[1]ARS!A:EL,MATCH("Price To Earnings",[1]ARS!$4:$4,0),FALSE),"-"))</f>
        <v>-</v>
      </c>
      <c r="BG52" s="172"/>
      <c r="BH52" s="172"/>
      <c r="BI52" s="172"/>
      <c r="BJ52" s="172"/>
      <c r="BK52" s="172"/>
      <c r="BL52" s="172"/>
      <c r="BM52" s="172"/>
      <c r="BN52" s="172"/>
      <c r="BO52" s="172"/>
      <c r="BP52" s="172"/>
      <c r="BQ52" s="172"/>
      <c r="BR52" s="172"/>
      <c r="BS52" s="172"/>
      <c r="BT52" s="172"/>
      <c r="BU52" s="172"/>
      <c r="BV52" s="172"/>
      <c r="BW52" s="172"/>
    </row>
    <row r="53" spans="1:75" ht="12.75" customHeight="1" x14ac:dyDescent="0.2">
      <c r="A53" s="206"/>
      <c r="B53" s="206"/>
      <c r="C53" s="172"/>
      <c r="D53" s="263"/>
      <c r="E53" s="263"/>
      <c r="F53" s="263"/>
      <c r="G53" s="263"/>
      <c r="H53" s="270"/>
      <c r="I53" s="172"/>
      <c r="J53" s="172"/>
      <c r="K53" s="172"/>
      <c r="L53" s="271"/>
      <c r="M53" s="172"/>
      <c r="N53" s="272"/>
      <c r="O53" s="172"/>
      <c r="P53" s="172"/>
      <c r="Q53" s="206"/>
      <c r="R53" s="172"/>
      <c r="S53" s="273"/>
      <c r="T53" s="206"/>
      <c r="U53" s="206"/>
      <c r="V53" s="206"/>
      <c r="W53" s="206"/>
      <c r="X53" s="206"/>
      <c r="Y53" s="206"/>
      <c r="Z53" s="206"/>
      <c r="AA53" s="206"/>
      <c r="AB53" s="206"/>
      <c r="AC53" s="172"/>
      <c r="AD53" s="172"/>
      <c r="AE53" s="172"/>
      <c r="AF53" s="172"/>
      <c r="AG53" s="206"/>
      <c r="AH53" s="206"/>
      <c r="AI53" s="206"/>
      <c r="AJ53" s="206"/>
      <c r="AK53" s="172"/>
      <c r="AL53" s="172"/>
      <c r="AM53" s="172"/>
      <c r="AN53" s="172"/>
      <c r="AO53" s="172"/>
      <c r="AP53" s="172"/>
      <c r="AQ53" s="172"/>
      <c r="AR53" s="172"/>
      <c r="AS53" s="172"/>
      <c r="AT53" s="173"/>
      <c r="AU53" s="172"/>
      <c r="AV53" s="172"/>
      <c r="AW53" s="172"/>
      <c r="AX53" s="172"/>
      <c r="AY53" s="172"/>
      <c r="AZ53" s="172"/>
      <c r="BA53" s="172"/>
      <c r="BB53" s="172"/>
      <c r="BC53" s="172"/>
      <c r="BD53" s="172"/>
      <c r="BE53" s="173"/>
      <c r="BF53" s="172" t="str">
        <f>IF(OR(IFERROR(VLOOKUP(BP53,[1]ARS!A:EL,MATCH("Price To Earnings",[1]ARS!$4:$4,0),FALSE),"-")&lt;0,IFERROR(VLOOKUP(BP53,[1]ARS!A:EL,MATCH("Price To Earnings",[1]ARS!$4:$4,0),FALSE),"-")&gt;500),"-",IFERROR(VLOOKUP(BP53,[1]ARS!A:EL,MATCH("Price To Earnings",[1]ARS!$4:$4,0),FALSE),"-"))</f>
        <v>-</v>
      </c>
      <c r="BG53" s="172"/>
      <c r="BH53" s="172"/>
      <c r="BI53" s="172"/>
      <c r="BJ53" s="172"/>
      <c r="BK53" s="172"/>
      <c r="BL53" s="172"/>
      <c r="BM53" s="172"/>
      <c r="BN53" s="172"/>
      <c r="BO53" s="172"/>
      <c r="BP53" s="172"/>
      <c r="BQ53" s="172"/>
      <c r="BR53" s="172"/>
      <c r="BS53" s="172"/>
      <c r="BT53" s="172"/>
      <c r="BU53" s="172"/>
      <c r="BV53" s="172"/>
    </row>
    <row r="54" spans="1:75" ht="12.75" customHeight="1" x14ac:dyDescent="0.2">
      <c r="A54" s="206"/>
      <c r="B54" s="206"/>
      <c r="C54" s="172"/>
      <c r="D54" s="263"/>
      <c r="E54" s="263"/>
      <c r="F54" s="263"/>
      <c r="G54" s="263"/>
      <c r="H54" s="270"/>
      <c r="I54" s="172"/>
      <c r="J54" s="172"/>
      <c r="K54" s="172"/>
      <c r="L54" s="271"/>
      <c r="M54" s="172"/>
      <c r="N54" s="272"/>
      <c r="O54" s="172"/>
      <c r="P54" s="172"/>
      <c r="Q54" s="206"/>
      <c r="R54" s="172"/>
      <c r="S54" s="273"/>
      <c r="T54" s="206"/>
      <c r="U54" s="206"/>
      <c r="V54" s="206"/>
      <c r="W54" s="206"/>
      <c r="X54" s="206"/>
      <c r="Y54" s="206"/>
      <c r="Z54" s="206"/>
      <c r="AA54" s="206"/>
      <c r="AB54" s="206"/>
      <c r="AC54" s="172"/>
      <c r="AD54" s="172"/>
      <c r="AE54" s="172"/>
      <c r="AF54" s="172"/>
      <c r="AG54" s="206"/>
      <c r="AH54" s="206"/>
      <c r="AI54" s="206"/>
      <c r="AJ54" s="206"/>
      <c r="AK54" s="172"/>
      <c r="AL54" s="172"/>
      <c r="AM54" s="172"/>
      <c r="AN54" s="172"/>
      <c r="AO54" s="172"/>
      <c r="AP54" s="172"/>
      <c r="AQ54" s="172"/>
      <c r="AR54" s="172"/>
      <c r="AS54" s="172"/>
      <c r="AT54" s="173"/>
      <c r="AU54" s="172"/>
      <c r="AV54" s="172"/>
      <c r="AW54" s="172"/>
      <c r="AX54" s="172"/>
      <c r="AY54" s="172"/>
      <c r="AZ54" s="172"/>
      <c r="BA54" s="172"/>
      <c r="BB54" s="172"/>
      <c r="BC54" s="172"/>
      <c r="BD54" s="172"/>
      <c r="BE54" s="173"/>
      <c r="BF54" s="172"/>
      <c r="BG54" s="172"/>
      <c r="BH54" s="172"/>
      <c r="BI54" s="172"/>
      <c r="BJ54" s="172"/>
      <c r="BK54" s="172"/>
      <c r="BL54" s="172"/>
      <c r="BM54" s="172"/>
      <c r="BN54" s="172"/>
      <c r="BO54" s="172"/>
      <c r="BP54" s="172"/>
      <c r="BQ54" s="172"/>
      <c r="BR54" s="172"/>
      <c r="BS54" s="172"/>
      <c r="BT54" s="172"/>
      <c r="BU54" s="172"/>
      <c r="BV54" s="172"/>
    </row>
    <row r="55" spans="1:75" ht="12.75" customHeight="1" x14ac:dyDescent="0.2">
      <c r="A55" s="206"/>
      <c r="B55" s="206"/>
      <c r="C55" s="172"/>
      <c r="D55" s="263"/>
      <c r="E55" s="263"/>
      <c r="F55" s="263"/>
      <c r="G55" s="263"/>
      <c r="H55" s="206"/>
      <c r="I55" s="263"/>
      <c r="J55" s="263"/>
      <c r="K55" s="271"/>
      <c r="L55" s="271"/>
      <c r="M55" s="172"/>
      <c r="N55" s="211"/>
      <c r="O55" s="206"/>
      <c r="P55" s="206"/>
      <c r="Q55" s="206"/>
      <c r="R55" s="206"/>
      <c r="S55" s="206"/>
      <c r="T55" s="206"/>
      <c r="U55" s="206"/>
      <c r="V55" s="206"/>
      <c r="W55" s="206"/>
      <c r="X55" s="206"/>
      <c r="Y55" s="206"/>
      <c r="Z55" s="206"/>
      <c r="AA55" s="206"/>
      <c r="AB55" s="206"/>
      <c r="AC55" s="206"/>
      <c r="AD55" s="206"/>
      <c r="AE55" s="206"/>
      <c r="AF55" s="206"/>
      <c r="AG55" s="206"/>
      <c r="AH55" s="206"/>
      <c r="AI55" s="206"/>
      <c r="AJ55" s="206"/>
      <c r="AK55" s="172"/>
      <c r="AL55" s="172"/>
      <c r="AM55" s="172"/>
      <c r="AN55" s="172"/>
      <c r="AO55" s="172"/>
      <c r="AP55" s="172"/>
      <c r="AQ55" s="172"/>
      <c r="AR55" s="172"/>
      <c r="AS55" s="172"/>
      <c r="AT55" s="173"/>
      <c r="AU55" s="172"/>
      <c r="AV55" s="172"/>
      <c r="AW55" s="172"/>
      <c r="AX55" s="172"/>
      <c r="AY55" s="172"/>
      <c r="AZ55" s="172"/>
      <c r="BA55" s="172"/>
      <c r="BB55" s="172"/>
      <c r="BC55" s="172"/>
      <c r="BD55" s="172"/>
      <c r="BE55" s="173"/>
      <c r="BF55" s="172" t="str">
        <f>IF(OR(IFERROR(VLOOKUP(BP55,[1]ARS!A:EL,MATCH("Price To Earnings",[1]ARS!$4:$4,0),FALSE),"-")&lt;0,IFERROR(VLOOKUP(BP55,[1]ARS!A:EL,MATCH("Price To Earnings",[1]ARS!$4:$4,0),FALSE),"-")&gt;500),"-",IFERROR(VLOOKUP(BP55,[1]ARS!A:EL,MATCH("Price To Earnings",[1]ARS!$4:$4,0),FALSE),"-"))</f>
        <v>-</v>
      </c>
      <c r="BG55" s="172"/>
      <c r="BH55" s="172"/>
      <c r="BI55" s="172"/>
      <c r="BJ55" s="172"/>
      <c r="BK55" s="172"/>
      <c r="BL55" s="172"/>
      <c r="BM55" s="172"/>
      <c r="BN55" s="172"/>
      <c r="BO55" s="172"/>
      <c r="BP55" s="172"/>
      <c r="BQ55" s="172"/>
      <c r="BR55" s="172"/>
      <c r="BS55" s="172"/>
      <c r="BT55" s="172"/>
      <c r="BU55" s="172"/>
      <c r="BV55" s="172"/>
    </row>
    <row r="56" spans="1:75" ht="12.75" customHeight="1" x14ac:dyDescent="0.2">
      <c r="A56" s="206"/>
      <c r="B56" s="206"/>
      <c r="C56" s="172"/>
      <c r="D56" s="263"/>
      <c r="E56" s="274"/>
      <c r="F56" s="263"/>
      <c r="G56" s="263"/>
      <c r="H56" s="206"/>
      <c r="I56" s="271"/>
      <c r="J56" s="263"/>
      <c r="K56" s="271"/>
      <c r="L56" s="271"/>
      <c r="M56" s="172"/>
      <c r="N56" s="211"/>
      <c r="O56" s="206"/>
      <c r="P56" s="206"/>
      <c r="Q56" s="206"/>
      <c r="R56" s="206"/>
      <c r="S56" s="206"/>
      <c r="T56" s="206"/>
      <c r="U56" s="206"/>
      <c r="V56" s="206"/>
      <c r="W56" s="206"/>
      <c r="X56" s="206"/>
      <c r="Y56" s="206"/>
      <c r="Z56" s="206"/>
      <c r="AA56" s="206"/>
      <c r="AB56" s="206"/>
      <c r="AC56" s="206"/>
      <c r="AD56" s="206"/>
      <c r="AE56" s="206"/>
      <c r="AF56" s="206"/>
      <c r="AG56" s="206"/>
      <c r="AH56" s="206"/>
      <c r="AI56" s="206"/>
      <c r="AJ56" s="206"/>
      <c r="AK56" s="172"/>
      <c r="AL56" s="173"/>
      <c r="AM56" s="172"/>
      <c r="AN56" s="172"/>
      <c r="AO56" s="172"/>
      <c r="AP56" s="172"/>
      <c r="AQ56" s="172"/>
      <c r="AR56" s="172"/>
      <c r="AS56" s="172"/>
      <c r="AT56" s="173"/>
      <c r="AU56" s="172"/>
      <c r="AV56" s="172"/>
      <c r="AW56" s="172"/>
      <c r="AX56" s="172"/>
      <c r="AY56" s="172"/>
      <c r="AZ56" s="172"/>
      <c r="BA56" s="172"/>
      <c r="BB56" s="172"/>
      <c r="BC56" s="172"/>
      <c r="BD56" s="172"/>
      <c r="BE56" s="173"/>
      <c r="BF56" s="172" t="str">
        <f>IF(OR(IFERROR(VLOOKUP(BP56,[1]ARS!A:EL,MATCH("Price To Earnings",[1]ARS!$4:$4,0),FALSE),"-")&lt;0,IFERROR(VLOOKUP(BP56,[1]ARS!A:EL,MATCH("Price To Earnings",[1]ARS!$4:$4,0),FALSE),"-")&gt;500),"-",IFERROR(VLOOKUP(BP56,[1]ARS!A:EL,MATCH("Price To Earnings",[1]ARS!$4:$4,0),FALSE),"-"))</f>
        <v>-</v>
      </c>
      <c r="BG56" s="172"/>
      <c r="BH56" s="172"/>
      <c r="BI56" s="172"/>
      <c r="BJ56" s="172"/>
      <c r="BK56" s="172"/>
      <c r="BL56" s="172"/>
      <c r="BM56" s="172"/>
      <c r="BN56" s="172"/>
      <c r="BO56" s="172"/>
      <c r="BP56" s="172"/>
      <c r="BQ56" s="172"/>
      <c r="BR56" s="172"/>
      <c r="BS56" s="172"/>
      <c r="BT56" s="172"/>
      <c r="BU56" s="172"/>
      <c r="BV56" s="172"/>
    </row>
    <row r="57" spans="1:75" ht="12.75" customHeight="1" x14ac:dyDescent="0.2">
      <c r="A57" s="206"/>
      <c r="B57" s="206"/>
      <c r="C57" s="172"/>
      <c r="D57" s="263"/>
      <c r="E57" s="263"/>
      <c r="F57" s="263"/>
      <c r="G57" s="263"/>
      <c r="H57" s="206"/>
      <c r="I57" s="271"/>
      <c r="J57" s="263"/>
      <c r="K57" s="271"/>
      <c r="L57" s="271"/>
      <c r="M57" s="172"/>
      <c r="N57" s="211"/>
      <c r="O57" s="206"/>
      <c r="P57" s="206"/>
      <c r="Q57" s="206"/>
      <c r="R57" s="206"/>
      <c r="S57" s="206"/>
      <c r="T57" s="206"/>
      <c r="U57" s="206"/>
      <c r="V57" s="206"/>
      <c r="W57" s="206"/>
      <c r="X57" s="206"/>
      <c r="Y57" s="206"/>
      <c r="Z57" s="206"/>
      <c r="AA57" s="206"/>
      <c r="AB57" s="206"/>
      <c r="AC57" s="206"/>
      <c r="AD57" s="206"/>
      <c r="AE57" s="206"/>
      <c r="AF57" s="206"/>
      <c r="AG57" s="206"/>
      <c r="AH57" s="206"/>
      <c r="AI57" s="206"/>
      <c r="AJ57" s="206"/>
      <c r="AK57" s="172"/>
      <c r="AL57" s="172"/>
      <c r="AM57" s="172"/>
      <c r="AN57" s="172"/>
      <c r="AO57" s="172"/>
      <c r="AP57" s="172"/>
      <c r="AQ57" s="172"/>
      <c r="AR57" s="172"/>
      <c r="AS57" s="172"/>
      <c r="AT57" s="173"/>
      <c r="AU57" s="172"/>
      <c r="AV57" s="172"/>
      <c r="AW57" s="172"/>
      <c r="AX57" s="172"/>
      <c r="AY57" s="172"/>
      <c r="AZ57" s="172"/>
      <c r="BA57" s="172"/>
      <c r="BB57" s="172"/>
      <c r="BC57" s="172"/>
      <c r="BD57" s="172"/>
      <c r="BE57" s="173"/>
      <c r="BF57" s="172" t="str">
        <f>IF(OR(IFERROR(VLOOKUP(BP57,[1]ARS!A:EL,MATCH("Price To Earnings",[1]ARS!$4:$4,0),FALSE),"-")&lt;0,IFERROR(VLOOKUP(BP57,[1]ARS!A:EL,MATCH("Price To Earnings",[1]ARS!$4:$4,0),FALSE),"-")&gt;500),"-",IFERROR(VLOOKUP(BP57,[1]ARS!A:EL,MATCH("Price To Earnings",[1]ARS!$4:$4,0),FALSE),"-"))</f>
        <v>-</v>
      </c>
      <c r="BG57" s="172"/>
      <c r="BH57" s="172"/>
      <c r="BI57" s="172"/>
      <c r="BJ57" s="172"/>
      <c r="BK57" s="172"/>
      <c r="BL57" s="172"/>
      <c r="BM57" s="172"/>
      <c r="BN57" s="172"/>
      <c r="BO57" s="172"/>
      <c r="BP57" s="172"/>
      <c r="BQ57" s="172"/>
      <c r="BR57" s="172"/>
      <c r="BS57" s="172"/>
      <c r="BT57" s="172"/>
      <c r="BU57" s="172"/>
      <c r="BV57" s="172"/>
    </row>
    <row r="58" spans="1:75" ht="12.75" customHeight="1" x14ac:dyDescent="0.2">
      <c r="A58" s="275"/>
      <c r="B58" s="275"/>
      <c r="C58" s="275"/>
      <c r="D58" s="275"/>
      <c r="E58" s="275"/>
      <c r="F58" s="275"/>
      <c r="G58" s="275"/>
      <c r="H58" s="275"/>
      <c r="I58" s="275"/>
      <c r="J58" s="275"/>
      <c r="K58" s="275"/>
      <c r="L58" s="275"/>
      <c r="M58" s="275"/>
      <c r="N58" s="206"/>
      <c r="O58" s="206"/>
      <c r="P58" s="206"/>
      <c r="Q58" s="206"/>
      <c r="R58" s="206"/>
      <c r="S58" s="206"/>
      <c r="T58" s="206"/>
      <c r="U58" s="206"/>
      <c r="V58" s="206"/>
      <c r="W58" s="206"/>
      <c r="X58" s="206"/>
      <c r="Y58" s="206"/>
      <c r="Z58" s="206"/>
      <c r="AA58" s="206"/>
      <c r="AB58" s="206"/>
      <c r="AC58" s="206"/>
      <c r="AD58" s="206"/>
      <c r="AE58" s="206"/>
      <c r="AF58" s="206"/>
      <c r="AG58" s="206"/>
      <c r="AH58" s="206"/>
      <c r="AI58" s="206"/>
      <c r="AJ58" s="206"/>
      <c r="AK58" s="172"/>
      <c r="AL58" s="172"/>
      <c r="AM58" s="172"/>
      <c r="AN58" s="172"/>
      <c r="AO58" s="172"/>
      <c r="AP58" s="172"/>
      <c r="AQ58" s="172"/>
      <c r="AR58" s="172"/>
      <c r="AS58" s="172"/>
      <c r="AT58" s="173"/>
      <c r="AU58" s="172"/>
      <c r="AV58" s="172"/>
      <c r="AW58" s="172"/>
      <c r="AX58" s="172"/>
      <c r="AY58" s="172"/>
      <c r="AZ58" s="172"/>
      <c r="BA58" s="172"/>
      <c r="BB58" s="172"/>
      <c r="BC58" s="172"/>
      <c r="BD58" s="172"/>
      <c r="BE58" s="173"/>
      <c r="BF58" s="172" t="str">
        <f>IF(OR(IFERROR(VLOOKUP(BP58,[1]ARS!A:EL,MATCH("Price To Earnings",[1]ARS!$4:$4,0),FALSE),"-")&lt;0,IFERROR(VLOOKUP(BP58,[1]ARS!A:EL,MATCH("Price To Earnings",[1]ARS!$4:$4,0),FALSE),"-")&gt;500),"-",IFERROR(VLOOKUP(BP58,[1]ARS!A:EL,MATCH("Price To Earnings",[1]ARS!$4:$4,0),FALSE),"-"))</f>
        <v>-</v>
      </c>
      <c r="BG58" s="172"/>
      <c r="BH58" s="172"/>
      <c r="BI58" s="172"/>
      <c r="BJ58" s="172"/>
      <c r="BK58" s="172"/>
      <c r="BL58" s="172"/>
      <c r="BM58" s="172"/>
      <c r="BN58" s="172"/>
      <c r="BO58" s="172"/>
      <c r="BP58" s="172"/>
      <c r="BQ58" s="172"/>
      <c r="BR58" s="172"/>
      <c r="BS58" s="172"/>
      <c r="BT58" s="172"/>
      <c r="BU58" s="172"/>
      <c r="BV58" s="172"/>
    </row>
    <row r="59" spans="1:75" ht="12.75" customHeight="1" x14ac:dyDescent="0.2">
      <c r="A59" s="208"/>
      <c r="B59" s="208"/>
      <c r="C59" s="208"/>
      <c r="D59" s="208"/>
      <c r="E59" s="208"/>
      <c r="F59" s="208"/>
      <c r="G59" s="208"/>
      <c r="H59" s="208"/>
      <c r="I59" s="208"/>
      <c r="J59" s="208"/>
      <c r="K59" s="208"/>
      <c r="L59" s="208"/>
      <c r="M59" s="208"/>
      <c r="N59" s="275"/>
      <c r="O59" s="275"/>
      <c r="P59" s="275"/>
      <c r="Q59" s="275"/>
      <c r="R59" s="275"/>
      <c r="S59" s="275"/>
      <c r="T59" s="275"/>
      <c r="U59" s="275"/>
      <c r="V59" s="275"/>
      <c r="W59" s="275"/>
      <c r="X59" s="275"/>
      <c r="Y59" s="275"/>
      <c r="Z59" s="275"/>
      <c r="AA59" s="275"/>
      <c r="AB59" s="275"/>
      <c r="AC59" s="275"/>
      <c r="AD59" s="275"/>
      <c r="AE59" s="275"/>
      <c r="AF59" s="275"/>
      <c r="AG59" s="275"/>
      <c r="AH59" s="275"/>
      <c r="AI59" s="275"/>
      <c r="AJ59" s="206"/>
      <c r="AK59" s="172"/>
      <c r="AL59" s="172"/>
      <c r="AM59" s="172"/>
      <c r="AN59" s="172"/>
      <c r="AO59" s="172"/>
      <c r="AP59" s="172"/>
      <c r="AQ59" s="172"/>
      <c r="AR59" s="172"/>
      <c r="AS59" s="172"/>
      <c r="AT59" s="173"/>
      <c r="AU59" s="172"/>
      <c r="AV59" s="172"/>
      <c r="AW59" s="172"/>
      <c r="AX59" s="172"/>
      <c r="AY59" s="172"/>
      <c r="AZ59" s="172"/>
      <c r="BA59" s="172"/>
      <c r="BB59" s="172"/>
      <c r="BC59" s="172"/>
      <c r="BD59" s="172"/>
      <c r="BE59" s="173"/>
      <c r="BF59" s="172" t="str">
        <f>IF(OR(IFERROR(VLOOKUP(BP59,[1]ARS!A:EL,MATCH("Price To Earnings",[1]ARS!$4:$4,0),FALSE),"-")&lt;0,IFERROR(VLOOKUP(BP59,[1]ARS!A:EL,MATCH("Price To Earnings",[1]ARS!$4:$4,0),FALSE),"-")&gt;500),"-",IFERROR(VLOOKUP(BP59,[1]ARS!A:EL,MATCH("Price To Earnings",[1]ARS!$4:$4,0),FALSE),"-"))</f>
        <v>-</v>
      </c>
      <c r="BG59" s="172"/>
      <c r="BH59" s="172"/>
      <c r="BI59" s="172"/>
      <c r="BJ59" s="172"/>
      <c r="BK59" s="172"/>
      <c r="BL59" s="172"/>
      <c r="BM59" s="172"/>
      <c r="BN59" s="172"/>
      <c r="BO59" s="172"/>
      <c r="BP59" s="172"/>
      <c r="BQ59" s="172"/>
      <c r="BR59" s="172"/>
      <c r="BS59" s="172"/>
      <c r="BT59" s="172"/>
      <c r="BU59" s="172"/>
      <c r="BV59" s="172"/>
    </row>
    <row r="60" spans="1:75" ht="12.75" customHeight="1" x14ac:dyDescent="0.2">
      <c r="A60" s="208"/>
      <c r="B60" s="208"/>
      <c r="C60" s="208"/>
      <c r="D60" s="208"/>
      <c r="E60" s="276"/>
      <c r="F60" s="208"/>
      <c r="G60" s="208"/>
      <c r="H60" s="208"/>
      <c r="I60" s="208"/>
      <c r="J60" s="208"/>
      <c r="K60" s="208"/>
      <c r="L60" s="208"/>
      <c r="M60" s="208"/>
      <c r="N60" s="208"/>
      <c r="O60" s="208"/>
      <c r="P60" s="208"/>
      <c r="Q60" s="208"/>
      <c r="R60" s="208"/>
      <c r="S60" s="208"/>
      <c r="T60" s="208"/>
      <c r="U60" s="208"/>
      <c r="V60" s="208"/>
      <c r="W60" s="208"/>
      <c r="X60" s="208"/>
      <c r="Y60" s="208"/>
      <c r="Z60" s="208"/>
      <c r="AA60" s="208"/>
      <c r="AB60" s="208"/>
      <c r="AC60" s="208"/>
      <c r="AD60" s="208"/>
      <c r="AE60" s="208"/>
      <c r="AF60" s="208"/>
      <c r="AG60" s="208"/>
      <c r="AH60" s="208"/>
      <c r="AI60" s="208"/>
      <c r="AJ60" s="206"/>
      <c r="AK60" s="172"/>
      <c r="AL60" s="172"/>
      <c r="AM60" s="172"/>
      <c r="AN60" s="172"/>
      <c r="AO60" s="172"/>
      <c r="AP60" s="172"/>
      <c r="AQ60" s="172"/>
      <c r="AR60" s="172"/>
      <c r="AS60" s="172"/>
      <c r="AT60" s="173"/>
      <c r="AU60" s="172"/>
      <c r="AV60" s="172"/>
      <c r="AW60" s="172"/>
      <c r="AX60" s="172"/>
      <c r="AY60" s="172"/>
      <c r="AZ60" s="172"/>
      <c r="BA60" s="172"/>
      <c r="BB60" s="172"/>
      <c r="BC60" s="172"/>
      <c r="BD60" s="172"/>
      <c r="BE60" s="173"/>
      <c r="BF60" s="172" t="str">
        <f>IF(OR(IFERROR(VLOOKUP(BP60,[1]ARS!A:EL,MATCH("Price To Earnings",[1]ARS!$4:$4,0),FALSE),"-")&lt;0,IFERROR(VLOOKUP(BP60,[1]ARS!A:EL,MATCH("Price To Earnings",[1]ARS!$4:$4,0),FALSE),"-")&gt;500),"-",IFERROR(VLOOKUP(BP60,[1]ARS!A:EL,MATCH("Price To Earnings",[1]ARS!$4:$4,0),FALSE),"-"))</f>
        <v>-</v>
      </c>
      <c r="BG60" s="172"/>
      <c r="BH60" s="172"/>
      <c r="BI60" s="172"/>
      <c r="BJ60" s="172"/>
      <c r="BK60" s="172"/>
      <c r="BL60" s="172"/>
      <c r="BM60" s="172"/>
      <c r="BN60" s="172"/>
      <c r="BO60" s="172"/>
      <c r="BP60" s="172"/>
      <c r="BQ60" s="172"/>
      <c r="BR60" s="172"/>
      <c r="BS60" s="172"/>
      <c r="BT60" s="172"/>
      <c r="BU60" s="172"/>
      <c r="BV60" s="172"/>
    </row>
    <row r="61" spans="1:75" ht="12.75" customHeight="1" x14ac:dyDescent="0.2">
      <c r="A61" s="206"/>
      <c r="B61" s="206"/>
      <c r="C61" s="206"/>
      <c r="D61" s="206"/>
      <c r="E61" s="206"/>
      <c r="F61" s="206"/>
      <c r="G61" s="206"/>
      <c r="H61" s="206"/>
      <c r="I61" s="206"/>
      <c r="J61" s="206"/>
      <c r="K61" s="206"/>
      <c r="L61" s="206"/>
      <c r="M61" s="206"/>
      <c r="N61" s="208"/>
      <c r="O61" s="208"/>
      <c r="P61" s="208"/>
      <c r="Q61" s="208"/>
      <c r="R61" s="208"/>
      <c r="S61" s="208"/>
      <c r="T61" s="208"/>
      <c r="U61" s="208"/>
      <c r="V61" s="208"/>
      <c r="W61" s="208"/>
      <c r="X61" s="208"/>
      <c r="Y61" s="208"/>
      <c r="Z61" s="208"/>
      <c r="AA61" s="208"/>
      <c r="AB61" s="208"/>
      <c r="AC61" s="208"/>
      <c r="AD61" s="208"/>
      <c r="AE61" s="208"/>
      <c r="AF61" s="208"/>
      <c r="AG61" s="208"/>
      <c r="AH61" s="208"/>
      <c r="AI61" s="208"/>
      <c r="AJ61" s="206"/>
      <c r="AK61" s="172"/>
      <c r="AL61" s="172"/>
      <c r="AM61" s="172"/>
      <c r="AN61" s="172"/>
      <c r="AO61" s="172"/>
      <c r="AP61" s="172"/>
      <c r="AQ61" s="172"/>
      <c r="AR61" s="172"/>
      <c r="AS61" s="172"/>
      <c r="AT61" s="173"/>
      <c r="AU61" s="172"/>
      <c r="AV61" s="172"/>
      <c r="AW61" s="172"/>
      <c r="AX61" s="172"/>
      <c r="AY61" s="172"/>
      <c r="AZ61" s="172"/>
      <c r="BA61" s="172"/>
      <c r="BB61" s="172"/>
      <c r="BC61" s="172"/>
      <c r="BD61" s="172"/>
      <c r="BE61" s="173"/>
      <c r="BF61" s="172" t="str">
        <f>IF(OR(IFERROR(VLOOKUP(BP61,[1]ARS!A:EL,MATCH("Price To Earnings",[1]ARS!$4:$4,0),FALSE),"-")&lt;0,IFERROR(VLOOKUP(BP61,[1]ARS!A:EL,MATCH("Price To Earnings",[1]ARS!$4:$4,0),FALSE),"-")&gt;500),"-",IFERROR(VLOOKUP(BP61,[1]ARS!A:EL,MATCH("Price To Earnings",[1]ARS!$4:$4,0),FALSE),"-"))</f>
        <v>-</v>
      </c>
      <c r="BG61" s="172"/>
      <c r="BH61" s="172"/>
      <c r="BI61" s="172"/>
      <c r="BJ61" s="172"/>
      <c r="BK61" s="172"/>
      <c r="BL61" s="172"/>
      <c r="BM61" s="172"/>
      <c r="BN61" s="172"/>
      <c r="BO61" s="172"/>
      <c r="BP61" s="172"/>
      <c r="BQ61" s="172"/>
      <c r="BR61" s="172"/>
      <c r="BS61" s="172"/>
      <c r="BT61" s="172"/>
      <c r="BU61" s="172"/>
      <c r="BV61" s="172"/>
    </row>
    <row r="62" spans="1:75" ht="12.75" customHeight="1" x14ac:dyDescent="0.2">
      <c r="A62" s="262"/>
      <c r="B62" s="259"/>
      <c r="C62" s="172"/>
      <c r="D62" s="172"/>
      <c r="E62" s="172"/>
      <c r="F62" s="172"/>
      <c r="G62" s="172"/>
      <c r="H62" s="172"/>
      <c r="I62" s="172"/>
      <c r="J62" s="172"/>
      <c r="K62" s="172"/>
      <c r="L62" s="172"/>
      <c r="M62" s="172"/>
      <c r="N62" s="172"/>
      <c r="O62" s="172"/>
      <c r="P62" s="172"/>
      <c r="Q62" s="172"/>
      <c r="R62" s="172"/>
      <c r="S62" s="172"/>
      <c r="T62" s="172"/>
      <c r="U62" s="172"/>
      <c r="V62" s="172"/>
      <c r="W62" s="172"/>
      <c r="X62" s="172"/>
      <c r="Y62" s="172"/>
      <c r="Z62" s="172"/>
      <c r="AA62" s="172"/>
      <c r="AB62" s="172"/>
      <c r="AC62" s="172"/>
      <c r="AD62" s="172"/>
      <c r="AE62" s="172"/>
      <c r="AF62" s="172"/>
      <c r="AG62" s="172"/>
      <c r="AH62" s="172"/>
      <c r="AI62" s="172"/>
      <c r="AJ62" s="206"/>
      <c r="AK62" s="172"/>
      <c r="AL62" s="172"/>
      <c r="AM62" s="172"/>
      <c r="AN62" s="172"/>
      <c r="AO62" s="172"/>
      <c r="AP62" s="172"/>
      <c r="AQ62" s="172"/>
      <c r="AR62" s="172"/>
      <c r="AS62" s="172"/>
      <c r="AT62" s="173"/>
      <c r="AU62" s="172"/>
      <c r="AV62" s="172"/>
      <c r="AW62" s="172"/>
      <c r="AX62" s="172"/>
      <c r="AY62" s="172"/>
      <c r="AZ62" s="172"/>
      <c r="BA62" s="172"/>
      <c r="BB62" s="172"/>
      <c r="BC62" s="172"/>
      <c r="BD62" s="172"/>
      <c r="BE62" s="172"/>
      <c r="BF62" s="172" t="str">
        <f>IF(OR(IFERROR(VLOOKUP(BP62,[1]ARS!A:EL,MATCH("Price To Earnings",[1]ARS!$4:$4,0),FALSE),"-")&lt;0,IFERROR(VLOOKUP(BP62,[1]ARS!A:EL,MATCH("Price To Earnings",[1]ARS!$4:$4,0),FALSE),"-")&gt;500),"-",IFERROR(VLOOKUP(BP62,[1]ARS!A:EL,MATCH("Price To Earnings",[1]ARS!$4:$4,0),FALSE),"-"))</f>
        <v>-</v>
      </c>
      <c r="BG62" s="172"/>
      <c r="BH62" s="172"/>
      <c r="BI62" s="172"/>
      <c r="BJ62" s="172"/>
      <c r="BK62" s="172"/>
      <c r="BL62" s="172"/>
      <c r="BM62" s="172"/>
      <c r="BN62" s="172"/>
      <c r="BO62" s="172"/>
      <c r="BP62" s="172"/>
      <c r="BQ62" s="172"/>
      <c r="BR62" s="172"/>
      <c r="BS62" s="172"/>
      <c r="BT62" s="172"/>
      <c r="BU62" s="172"/>
      <c r="BV62" s="172"/>
    </row>
    <row r="63" spans="1:75" ht="12.75" customHeight="1" x14ac:dyDescent="0.2">
      <c r="A63" s="172"/>
      <c r="B63" s="172"/>
      <c r="C63" s="172"/>
      <c r="D63" s="172"/>
      <c r="E63" s="213"/>
      <c r="F63" s="172"/>
      <c r="G63" s="172"/>
      <c r="H63" s="172"/>
      <c r="I63" s="172"/>
      <c r="J63" s="172"/>
      <c r="K63" s="172"/>
      <c r="L63" s="172"/>
      <c r="M63" s="172"/>
      <c r="N63" s="172"/>
      <c r="O63" s="172"/>
      <c r="P63" s="172"/>
      <c r="Q63" s="172"/>
      <c r="R63" s="172"/>
      <c r="S63" s="172"/>
      <c r="T63" s="172"/>
      <c r="U63" s="172"/>
      <c r="V63" s="172"/>
      <c r="W63" s="172"/>
      <c r="X63" s="172"/>
      <c r="Y63" s="172"/>
      <c r="Z63" s="172"/>
      <c r="AA63" s="172"/>
      <c r="AB63" s="172"/>
      <c r="AC63" s="172"/>
      <c r="AD63" s="172"/>
      <c r="AE63" s="172"/>
      <c r="AF63" s="172"/>
      <c r="AG63" s="172"/>
      <c r="AH63" s="172"/>
      <c r="AI63" s="172"/>
      <c r="AJ63" s="206"/>
      <c r="AK63" s="172"/>
      <c r="AL63" s="172"/>
      <c r="AM63" s="172"/>
      <c r="AN63" s="172"/>
      <c r="AO63" s="172"/>
      <c r="AP63" s="172"/>
      <c r="AQ63" s="172"/>
      <c r="AR63" s="172"/>
      <c r="AS63" s="172"/>
      <c r="AT63" s="173"/>
      <c r="AU63" s="172"/>
      <c r="AV63" s="172"/>
      <c r="AW63" s="172"/>
      <c r="AX63" s="172"/>
      <c r="AY63" s="172"/>
      <c r="AZ63" s="172"/>
      <c r="BA63" s="172"/>
      <c r="BB63" s="172"/>
      <c r="BC63" s="172"/>
      <c r="BD63" s="172"/>
      <c r="BE63" s="172"/>
      <c r="BF63" s="172" t="str">
        <f>IF(OR(IFERROR(VLOOKUP(BP63,[1]ARS!A:EL,MATCH("Price To Earnings",[1]ARS!$4:$4,0),FALSE),"-")&lt;0,IFERROR(VLOOKUP(BP63,[1]ARS!A:EL,MATCH("Price To Earnings",[1]ARS!$4:$4,0),FALSE),"-")&gt;500),"-",IFERROR(VLOOKUP(BP63,[1]ARS!A:EL,MATCH("Price To Earnings",[1]ARS!$4:$4,0),FALSE),"-"))</f>
        <v>-</v>
      </c>
      <c r="BG63" s="172"/>
      <c r="BH63" s="172"/>
      <c r="BI63" s="172"/>
      <c r="BJ63" s="172"/>
      <c r="BK63" s="172"/>
      <c r="BL63" s="172"/>
      <c r="BM63" s="172"/>
      <c r="BN63" s="172"/>
      <c r="BO63" s="172"/>
      <c r="BP63" s="172"/>
      <c r="BQ63" s="172"/>
      <c r="BR63" s="172"/>
      <c r="BS63" s="172"/>
      <c r="BT63" s="172"/>
      <c r="BU63" s="172"/>
      <c r="BV63" s="172"/>
      <c r="BW63" s="172"/>
    </row>
    <row r="64" spans="1:75" ht="12.75" customHeight="1" x14ac:dyDescent="0.2">
      <c r="A64" s="172"/>
      <c r="B64" s="172"/>
      <c r="C64" s="172"/>
      <c r="D64" s="172"/>
      <c r="E64" s="214"/>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72"/>
      <c r="AJ64" s="206"/>
      <c r="AK64" s="172"/>
      <c r="AL64" s="172"/>
      <c r="AM64" s="172"/>
      <c r="AN64" s="172"/>
      <c r="AO64" s="172"/>
      <c r="AP64" s="172"/>
      <c r="AQ64" s="172"/>
      <c r="AR64" s="172"/>
      <c r="AS64" s="172"/>
      <c r="AT64" s="173"/>
      <c r="AU64" s="172"/>
      <c r="AV64" s="172"/>
      <c r="AW64" s="172"/>
      <c r="AX64" s="172"/>
      <c r="AY64" s="172"/>
      <c r="AZ64" s="172"/>
      <c r="BA64" s="172"/>
      <c r="BB64" s="172"/>
      <c r="BC64" s="172"/>
      <c r="BD64" s="172"/>
      <c r="BE64" s="172"/>
      <c r="BF64" s="172" t="str">
        <f>IF(OR(IFERROR(VLOOKUP(BP64,[1]ARS!A:EL,MATCH("Price To Earnings",[1]ARS!$4:$4,0),FALSE),"-")&lt;0,IFERROR(VLOOKUP(BP64,[1]ARS!A:EL,MATCH("Price To Earnings",[1]ARS!$4:$4,0),FALSE),"-")&gt;500),"-",IFERROR(VLOOKUP(BP64,[1]ARS!A:EL,MATCH("Price To Earnings",[1]ARS!$4:$4,0),FALSE),"-"))</f>
        <v>-</v>
      </c>
      <c r="BG64" s="172"/>
      <c r="BH64" s="172"/>
      <c r="BI64" s="172"/>
      <c r="BJ64" s="172"/>
      <c r="BK64" s="172"/>
      <c r="BL64" s="172"/>
      <c r="BM64" s="172"/>
      <c r="BN64" s="172"/>
      <c r="BO64" s="172"/>
      <c r="BP64" s="172"/>
      <c r="BQ64" s="172"/>
      <c r="BR64" s="172"/>
      <c r="BS64" s="172"/>
      <c r="BT64" s="172"/>
      <c r="BU64" s="172"/>
      <c r="BV64" s="172"/>
    </row>
    <row r="65" spans="1:75" ht="12.75" customHeight="1" x14ac:dyDescent="0.2">
      <c r="A65" s="172"/>
      <c r="B65" s="172"/>
      <c r="C65" s="172"/>
      <c r="D65" s="172"/>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72"/>
      <c r="AJ65" s="206"/>
      <c r="AK65" s="172"/>
      <c r="AL65" s="172"/>
      <c r="AM65" s="172"/>
      <c r="AN65" s="172"/>
      <c r="AO65" s="172"/>
      <c r="AP65" s="172"/>
      <c r="AQ65" s="172"/>
      <c r="AR65" s="172"/>
      <c r="AS65" s="172"/>
      <c r="AT65" s="173"/>
      <c r="AU65" s="172"/>
      <c r="AV65" s="172"/>
      <c r="AW65" s="172"/>
      <c r="AX65" s="172"/>
      <c r="AY65" s="172"/>
      <c r="AZ65" s="172"/>
      <c r="BA65" s="172"/>
      <c r="BB65" s="172"/>
      <c r="BC65" s="172"/>
      <c r="BD65" s="172"/>
      <c r="BE65" s="172"/>
      <c r="BF65" s="172" t="str">
        <f>IF(OR(IFERROR(VLOOKUP(BP65,[1]ARS!A:EL,MATCH("Price To Earnings",[1]ARS!$4:$4,0),FALSE),"-")&lt;0,IFERROR(VLOOKUP(BP65,[1]ARS!A:EL,MATCH("Price To Earnings",[1]ARS!$4:$4,0),FALSE),"-")&gt;500),"-",IFERROR(VLOOKUP(BP65,[1]ARS!A:EL,MATCH("Price To Earnings",[1]ARS!$4:$4,0),FALSE),"-"))</f>
        <v>-</v>
      </c>
      <c r="BG65" s="172"/>
      <c r="BH65" s="172"/>
      <c r="BI65" s="172"/>
      <c r="BJ65" s="172"/>
      <c r="BK65" s="172"/>
      <c r="BL65" s="172"/>
      <c r="BM65" s="172"/>
      <c r="BN65" s="172"/>
      <c r="BO65" s="172"/>
      <c r="BP65" s="172"/>
      <c r="BQ65" s="172"/>
      <c r="BR65" s="172"/>
      <c r="BS65" s="172"/>
      <c r="BT65" s="172"/>
      <c r="BU65" s="172"/>
      <c r="BV65" s="172"/>
    </row>
    <row r="66" spans="1:75" ht="12.75" customHeight="1" x14ac:dyDescent="0.2">
      <c r="A66" s="172"/>
      <c r="B66" s="172"/>
      <c r="C66" s="172"/>
      <c r="D66" s="172"/>
      <c r="E66" s="172"/>
      <c r="F66" s="172"/>
      <c r="G66" s="172"/>
      <c r="H66" s="172"/>
      <c r="I66" s="172"/>
      <c r="J66" s="172"/>
      <c r="K66" s="172"/>
      <c r="L66" s="172"/>
      <c r="M66" s="172"/>
      <c r="N66" s="172"/>
      <c r="O66" s="172"/>
      <c r="P66" s="172"/>
      <c r="Q66" s="172"/>
      <c r="R66" s="172"/>
      <c r="S66" s="172"/>
      <c r="T66" s="172"/>
      <c r="U66" s="172"/>
      <c r="V66" s="172"/>
      <c r="W66" s="172"/>
      <c r="X66" s="172"/>
      <c r="Y66" s="172"/>
      <c r="Z66" s="172"/>
      <c r="AA66" s="172"/>
      <c r="AB66" s="172"/>
      <c r="AC66" s="172"/>
      <c r="AD66" s="172"/>
      <c r="AE66" s="172"/>
      <c r="AF66" s="172"/>
      <c r="AG66" s="172"/>
      <c r="AH66" s="172"/>
      <c r="AI66" s="172"/>
      <c r="AJ66" s="206"/>
      <c r="AK66" s="172"/>
      <c r="AL66" s="172"/>
      <c r="AM66" s="172"/>
      <c r="AN66" s="172"/>
      <c r="AO66" s="172"/>
      <c r="AP66" s="172"/>
      <c r="AQ66" s="172"/>
      <c r="AR66" s="172"/>
      <c r="AS66" s="172"/>
      <c r="AT66" s="173"/>
      <c r="AU66" s="172"/>
      <c r="AV66" s="172"/>
      <c r="AW66" s="172"/>
      <c r="AX66" s="172"/>
      <c r="AY66" s="172"/>
      <c r="AZ66" s="172"/>
      <c r="BA66" s="172"/>
      <c r="BB66" s="172"/>
      <c r="BC66" s="172"/>
      <c r="BD66" s="172"/>
      <c r="BE66" s="172"/>
      <c r="BF66" s="172" t="str">
        <f>IF(OR(IFERROR(VLOOKUP(BP66,[1]ARS!A:EL,MATCH("Price To Earnings",[1]ARS!$4:$4,0),FALSE),"-")&lt;0,IFERROR(VLOOKUP(BP66,[1]ARS!A:EL,MATCH("Price To Earnings",[1]ARS!$4:$4,0),FALSE),"-")&gt;500),"-",IFERROR(VLOOKUP(BP66,[1]ARS!A:EL,MATCH("Price To Earnings",[1]ARS!$4:$4,0),FALSE),"-"))</f>
        <v>-</v>
      </c>
      <c r="BG66" s="172"/>
      <c r="BH66" s="172"/>
      <c r="BI66" s="172"/>
      <c r="BJ66" s="172"/>
      <c r="BK66" s="172"/>
      <c r="BL66" s="172"/>
      <c r="BM66" s="172"/>
      <c r="BN66" s="172"/>
      <c r="BO66" s="172"/>
      <c r="BP66" s="172"/>
      <c r="BQ66" s="172"/>
      <c r="BR66" s="172"/>
      <c r="BS66" s="172"/>
      <c r="BT66" s="172"/>
      <c r="BU66" s="172"/>
      <c r="BV66" s="172"/>
    </row>
    <row r="67" spans="1:75" ht="12.75" customHeight="1" x14ac:dyDescent="0.2">
      <c r="A67" s="172"/>
      <c r="B67" s="172"/>
      <c r="C67" s="172"/>
      <c r="D67" s="172"/>
      <c r="E67" s="172"/>
      <c r="F67" s="172"/>
      <c r="G67" s="172"/>
      <c r="H67" s="172"/>
      <c r="I67" s="172"/>
      <c r="J67" s="172"/>
      <c r="K67" s="172"/>
      <c r="L67" s="172"/>
      <c r="M67" s="172"/>
      <c r="N67" s="172"/>
      <c r="O67" s="172"/>
      <c r="P67" s="172"/>
      <c r="Q67" s="172"/>
      <c r="R67" s="172"/>
      <c r="S67" s="172"/>
      <c r="T67" s="172"/>
      <c r="U67" s="172"/>
      <c r="V67" s="172"/>
      <c r="W67" s="172"/>
      <c r="X67" s="172"/>
      <c r="Y67" s="172"/>
      <c r="Z67" s="172"/>
      <c r="AA67" s="172"/>
      <c r="AB67" s="172"/>
      <c r="AC67" s="172"/>
      <c r="AD67" s="172"/>
      <c r="AE67" s="172"/>
      <c r="AF67" s="172"/>
      <c r="AG67" s="172"/>
      <c r="AH67" s="172"/>
      <c r="AI67" s="172"/>
      <c r="AJ67" s="206"/>
      <c r="AK67" s="172"/>
      <c r="AL67" s="172"/>
      <c r="AM67" s="172"/>
      <c r="AN67" s="172"/>
      <c r="AO67" s="172"/>
      <c r="AP67" s="172"/>
      <c r="AQ67" s="172"/>
      <c r="AR67" s="172"/>
      <c r="AS67" s="172"/>
      <c r="AT67" s="173"/>
      <c r="AU67" s="172"/>
      <c r="AV67" s="172"/>
      <c r="AW67" s="172"/>
      <c r="AX67" s="172"/>
      <c r="AY67" s="172"/>
      <c r="AZ67" s="172"/>
      <c r="BA67" s="172"/>
      <c r="BB67" s="172"/>
      <c r="BC67" s="172"/>
      <c r="BD67" s="172"/>
      <c r="BE67" s="172"/>
      <c r="BF67" s="172"/>
      <c r="BG67" s="172"/>
      <c r="BH67" s="172"/>
      <c r="BI67" s="172"/>
      <c r="BJ67" s="172"/>
      <c r="BK67" s="172"/>
      <c r="BL67" s="172"/>
      <c r="BM67" s="172"/>
      <c r="BN67" s="172"/>
      <c r="BO67" s="172"/>
      <c r="BP67" s="172"/>
      <c r="BQ67" s="172"/>
      <c r="BR67" s="172"/>
      <c r="BS67" s="172"/>
      <c r="BT67" s="172"/>
      <c r="BU67" s="172"/>
      <c r="BV67" s="172"/>
    </row>
    <row r="68" spans="1:75" ht="12.75" customHeight="1" x14ac:dyDescent="0.2">
      <c r="A68" s="172"/>
      <c r="B68" s="172"/>
      <c r="C68" s="172"/>
      <c r="D68" s="172"/>
      <c r="E68" s="172"/>
      <c r="F68" s="172"/>
      <c r="G68" s="172"/>
      <c r="H68" s="172"/>
      <c r="I68" s="172"/>
      <c r="J68" s="172"/>
      <c r="K68" s="172"/>
      <c r="L68" s="172"/>
      <c r="M68" s="172"/>
      <c r="N68" s="172"/>
      <c r="O68" s="172"/>
      <c r="P68" s="172"/>
      <c r="Q68" s="172"/>
      <c r="R68" s="172"/>
      <c r="S68" s="172"/>
      <c r="T68" s="172"/>
      <c r="U68" s="172"/>
      <c r="V68" s="172"/>
      <c r="W68" s="172"/>
      <c r="X68" s="172"/>
      <c r="Y68" s="172"/>
      <c r="Z68" s="172"/>
      <c r="AA68" s="172"/>
      <c r="AB68" s="172"/>
      <c r="AC68" s="172"/>
      <c r="AD68" s="172"/>
      <c r="AE68" s="172"/>
      <c r="AF68" s="172"/>
      <c r="AG68" s="172"/>
      <c r="AH68" s="172"/>
      <c r="AI68" s="172"/>
      <c r="AJ68" s="206"/>
      <c r="AK68" s="172"/>
      <c r="AL68" s="172"/>
      <c r="AM68" s="172"/>
      <c r="AN68" s="172"/>
      <c r="AO68" s="172"/>
      <c r="AP68" s="172"/>
      <c r="AQ68" s="172"/>
      <c r="AR68" s="172"/>
      <c r="AS68" s="172"/>
      <c r="AT68" s="173"/>
      <c r="AU68" s="172"/>
      <c r="AV68" s="172"/>
      <c r="AW68" s="172"/>
      <c r="AX68" s="172"/>
      <c r="AY68" s="172"/>
      <c r="AZ68" s="172"/>
      <c r="BA68" s="172"/>
      <c r="BB68" s="172"/>
      <c r="BC68" s="172"/>
      <c r="BD68" s="172"/>
      <c r="BE68" s="172"/>
      <c r="BF68" s="172" t="str">
        <f>IF(OR(IFERROR(VLOOKUP(BP68,[1]ARS!A:EL,MATCH("Price To Earnings",[1]ARS!$4:$4,0),FALSE),"-")&lt;0,IFERROR(VLOOKUP(BP68,[1]ARS!A:EL,MATCH("Price To Earnings",[1]ARS!$4:$4,0),FALSE),"-")&gt;500),"-",IFERROR(VLOOKUP(BP68,[1]ARS!A:EL,MATCH("Price To Earnings",[1]ARS!$4:$4,0),FALSE),"-"))</f>
        <v>-</v>
      </c>
      <c r="BG68" s="172"/>
      <c r="BH68" s="172"/>
      <c r="BI68" s="172"/>
      <c r="BJ68" s="172"/>
      <c r="BK68" s="172"/>
      <c r="BL68" s="172"/>
      <c r="BM68" s="172"/>
      <c r="BN68" s="172"/>
      <c r="BO68" s="172"/>
      <c r="BP68" s="172"/>
      <c r="BQ68" s="172"/>
      <c r="BR68" s="172"/>
      <c r="BS68" s="172"/>
      <c r="BT68" s="172"/>
      <c r="BU68" s="172"/>
      <c r="BV68" s="172"/>
    </row>
    <row r="69" spans="1:75" ht="12.75" customHeight="1" x14ac:dyDescent="0.2">
      <c r="A69" s="172"/>
      <c r="B69" s="172"/>
      <c r="C69" s="172"/>
      <c r="D69" s="172"/>
      <c r="E69" s="172"/>
      <c r="F69" s="172"/>
      <c r="G69" s="172"/>
      <c r="H69" s="172"/>
      <c r="I69" s="172"/>
      <c r="J69" s="172"/>
      <c r="K69" s="172"/>
      <c r="L69" s="172"/>
      <c r="M69" s="172"/>
      <c r="N69" s="172"/>
      <c r="O69" s="172"/>
      <c r="P69" s="172"/>
      <c r="Q69" s="172"/>
      <c r="R69" s="172"/>
      <c r="S69" s="172"/>
      <c r="T69" s="172"/>
      <c r="U69" s="172"/>
      <c r="V69" s="172"/>
      <c r="W69" s="172"/>
      <c r="X69" s="172"/>
      <c r="Y69" s="172"/>
      <c r="Z69" s="172"/>
      <c r="AA69" s="172"/>
      <c r="AB69" s="172"/>
      <c r="AC69" s="172"/>
      <c r="AD69" s="172"/>
      <c r="AE69" s="172"/>
      <c r="AF69" s="172"/>
      <c r="AG69" s="172"/>
      <c r="AH69" s="172"/>
      <c r="AI69" s="172"/>
      <c r="AJ69" s="206"/>
      <c r="AK69" s="172"/>
      <c r="AL69" s="172"/>
      <c r="AM69" s="172"/>
      <c r="AN69" s="172"/>
      <c r="AO69" s="172"/>
      <c r="AP69" s="172"/>
      <c r="AQ69" s="172"/>
      <c r="AR69" s="172"/>
      <c r="AS69" s="172"/>
      <c r="AT69" s="173"/>
      <c r="AU69" s="172"/>
      <c r="AV69" s="172"/>
      <c r="AW69" s="172"/>
      <c r="AX69" s="172"/>
      <c r="AY69" s="172"/>
      <c r="AZ69" s="172"/>
      <c r="BA69" s="172"/>
      <c r="BB69" s="172"/>
      <c r="BC69" s="172"/>
      <c r="BD69" s="172"/>
      <c r="BE69" s="172"/>
      <c r="BF69" s="172" t="str">
        <f>IF(OR(IFERROR(VLOOKUP(BP69,[1]ARS!A:EL,MATCH("Price To Earnings",[1]ARS!$4:$4,0),FALSE),"-")&lt;0,IFERROR(VLOOKUP(BP69,[1]ARS!A:EL,MATCH("Price To Earnings",[1]ARS!$4:$4,0),FALSE),"-")&gt;500),"-",IFERROR(VLOOKUP(BP69,[1]ARS!A:EL,MATCH("Price To Earnings",[1]ARS!$4:$4,0),FALSE),"-"))</f>
        <v>-</v>
      </c>
      <c r="BG69" s="172"/>
      <c r="BH69" s="172"/>
      <c r="BI69" s="172"/>
      <c r="BJ69" s="172"/>
      <c r="BK69" s="172"/>
      <c r="BL69" s="172"/>
      <c r="BM69" s="172"/>
      <c r="BN69" s="172"/>
      <c r="BO69" s="172"/>
      <c r="BP69" s="172"/>
      <c r="BQ69" s="172"/>
      <c r="BR69" s="172"/>
      <c r="BS69" s="172"/>
      <c r="BT69" s="172"/>
      <c r="BU69" s="172"/>
      <c r="BV69" s="172"/>
    </row>
    <row r="70" spans="1:75" ht="12.75" customHeight="1" x14ac:dyDescent="0.2">
      <c r="A70" s="172"/>
      <c r="B70" s="172"/>
      <c r="C70" s="172"/>
      <c r="D70" s="172"/>
      <c r="E70" s="172"/>
      <c r="F70" s="172"/>
      <c r="G70" s="172"/>
      <c r="H70" s="172"/>
      <c r="I70" s="172"/>
      <c r="J70" s="172"/>
      <c r="K70" s="172"/>
      <c r="L70" s="172"/>
      <c r="M70" s="172"/>
      <c r="N70" s="172"/>
      <c r="O70" s="172"/>
      <c r="P70" s="172"/>
      <c r="Q70" s="172"/>
      <c r="R70" s="172"/>
      <c r="S70" s="172"/>
      <c r="T70" s="172"/>
      <c r="U70" s="172"/>
      <c r="V70" s="172"/>
      <c r="W70" s="172"/>
      <c r="X70" s="172"/>
      <c r="Y70" s="172"/>
      <c r="Z70" s="172"/>
      <c r="AA70" s="172"/>
      <c r="AB70" s="172"/>
      <c r="AC70" s="172"/>
      <c r="AD70" s="172"/>
      <c r="AE70" s="172"/>
      <c r="AF70" s="172"/>
      <c r="AG70" s="172"/>
      <c r="AH70" s="172"/>
      <c r="AI70" s="172"/>
      <c r="AJ70" s="206"/>
      <c r="AK70" s="172"/>
      <c r="AL70" s="172"/>
      <c r="AM70" s="172"/>
      <c r="AN70" s="172"/>
      <c r="AO70" s="172"/>
      <c r="AP70" s="172"/>
      <c r="AQ70" s="172"/>
      <c r="AR70" s="172"/>
      <c r="AS70" s="172"/>
      <c r="AT70" s="173"/>
      <c r="AU70" s="172"/>
      <c r="AV70" s="172"/>
      <c r="AW70" s="172"/>
      <c r="AX70" s="172"/>
      <c r="AY70" s="172"/>
      <c r="AZ70" s="172"/>
      <c r="BA70" s="172"/>
      <c r="BB70" s="172"/>
      <c r="BC70" s="172"/>
      <c r="BD70" s="172"/>
      <c r="BE70" s="172"/>
      <c r="BF70" s="172" t="str">
        <f>IF(OR(IFERROR(VLOOKUP(BP70,[1]ARS!A:EL,MATCH("Price To Earnings",[1]ARS!$4:$4,0),FALSE),"-")&lt;0,IFERROR(VLOOKUP(BP70,[1]ARS!A:EL,MATCH("Price To Earnings",[1]ARS!$4:$4,0),FALSE),"-")&gt;500),"-",IFERROR(VLOOKUP(BP70,[1]ARS!A:EL,MATCH("Price To Earnings",[1]ARS!$4:$4,0),FALSE),"-"))</f>
        <v>-</v>
      </c>
      <c r="BG70" s="172"/>
      <c r="BH70" s="172"/>
      <c r="BI70" s="172"/>
      <c r="BJ70" s="172"/>
      <c r="BK70" s="172"/>
      <c r="BL70" s="172"/>
      <c r="BM70" s="172"/>
      <c r="BN70" s="172"/>
      <c r="BO70" s="172"/>
      <c r="BP70" s="172"/>
      <c r="BQ70" s="172"/>
      <c r="BR70" s="172"/>
      <c r="BS70" s="172"/>
      <c r="BT70" s="172"/>
      <c r="BU70" s="172"/>
      <c r="BV70" s="172"/>
    </row>
    <row r="71" spans="1:75" ht="12.75" customHeight="1" x14ac:dyDescent="0.2">
      <c r="A71" s="172"/>
      <c r="B71" s="172"/>
      <c r="C71" s="172"/>
      <c r="D71" s="172"/>
      <c r="E71" s="172"/>
      <c r="F71" s="172"/>
      <c r="G71" s="172"/>
      <c r="H71" s="172"/>
      <c r="I71" s="172"/>
      <c r="J71" s="172"/>
      <c r="K71" s="172"/>
      <c r="L71" s="172"/>
      <c r="M71" s="172"/>
      <c r="N71" s="172"/>
      <c r="O71" s="172"/>
      <c r="P71" s="172"/>
      <c r="Q71" s="172"/>
      <c r="R71" s="172"/>
      <c r="S71" s="172"/>
      <c r="T71" s="172"/>
      <c r="U71" s="172"/>
      <c r="V71" s="172"/>
      <c r="W71" s="172"/>
      <c r="X71" s="172"/>
      <c r="Y71" s="172"/>
      <c r="Z71" s="172"/>
      <c r="AA71" s="172"/>
      <c r="AB71" s="172"/>
      <c r="AC71" s="172"/>
      <c r="AD71" s="172"/>
      <c r="AE71" s="172"/>
      <c r="AF71" s="172"/>
      <c r="AG71" s="172"/>
      <c r="AH71" s="172"/>
      <c r="AI71" s="172"/>
      <c r="AJ71" s="206"/>
      <c r="AK71" s="172"/>
      <c r="AL71" s="172"/>
      <c r="AM71" s="172"/>
      <c r="AN71" s="172"/>
      <c r="AO71" s="172"/>
      <c r="AP71" s="172"/>
      <c r="AQ71" s="172"/>
      <c r="AR71" s="172"/>
      <c r="AS71" s="172"/>
      <c r="AT71" s="173"/>
      <c r="AU71" s="172"/>
      <c r="AV71" s="172"/>
      <c r="AW71" s="172"/>
      <c r="AX71" s="172"/>
      <c r="AY71" s="172"/>
      <c r="AZ71" s="172"/>
      <c r="BA71" s="172"/>
      <c r="BB71" s="172"/>
      <c r="BC71" s="172"/>
      <c r="BD71" s="172"/>
      <c r="BE71" s="172"/>
      <c r="BF71" s="172" t="str">
        <f>IF(OR(IFERROR(VLOOKUP(BP71,[1]ARS!A:EL,MATCH("Price To Earnings",[1]ARS!$4:$4,0),FALSE),"-")&lt;0,IFERROR(VLOOKUP(BP71,[1]ARS!A:EL,MATCH("Price To Earnings",[1]ARS!$4:$4,0),FALSE),"-")&gt;500),"-",IFERROR(VLOOKUP(BP71,[1]ARS!A:EL,MATCH("Price To Earnings",[1]ARS!$4:$4,0),FALSE),"-"))</f>
        <v>-</v>
      </c>
      <c r="BG71" s="172"/>
      <c r="BH71" s="172"/>
      <c r="BI71" s="172"/>
      <c r="BJ71" s="172"/>
      <c r="BK71" s="172"/>
      <c r="BL71" s="172"/>
      <c r="BM71" s="172"/>
      <c r="BN71" s="172"/>
      <c r="BO71" s="172"/>
      <c r="BP71" s="172"/>
      <c r="BQ71" s="172"/>
      <c r="BR71" s="172"/>
      <c r="BS71" s="172"/>
      <c r="BT71" s="172"/>
      <c r="BU71" s="172"/>
      <c r="BV71" s="172"/>
    </row>
    <row r="72" spans="1:75" ht="12.75" customHeight="1" x14ac:dyDescent="0.2">
      <c r="A72" s="172"/>
      <c r="B72" s="172"/>
      <c r="C72" s="172"/>
      <c r="D72" s="172"/>
      <c r="E72" s="215"/>
      <c r="F72" s="172"/>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206"/>
      <c r="AK72" s="172"/>
      <c r="AL72" s="172"/>
      <c r="AM72" s="172"/>
      <c r="AN72" s="172"/>
      <c r="AO72" s="172"/>
      <c r="AP72" s="172"/>
      <c r="AQ72" s="172"/>
      <c r="AR72" s="172"/>
      <c r="AS72" s="172"/>
      <c r="AT72" s="173"/>
      <c r="AU72" s="172"/>
      <c r="AV72" s="172"/>
      <c r="AW72" s="172"/>
      <c r="AX72" s="172"/>
      <c r="AY72" s="172"/>
      <c r="AZ72" s="172"/>
      <c r="BA72" s="172"/>
      <c r="BB72" s="172"/>
      <c r="BC72" s="172"/>
      <c r="BD72" s="172"/>
      <c r="BE72" s="172"/>
      <c r="BF72" s="172" t="str">
        <f>IF(OR(IFERROR(VLOOKUP(BP72,[1]ARS!A:EL,MATCH("Price To Earnings",[1]ARS!$4:$4,0),FALSE),"-")&lt;0,IFERROR(VLOOKUP(BP72,[1]ARS!A:EL,MATCH("Price To Earnings",[1]ARS!$4:$4,0),FALSE),"-")&gt;500),"-",IFERROR(VLOOKUP(BP72,[1]ARS!A:EL,MATCH("Price To Earnings",[1]ARS!$4:$4,0),FALSE),"-"))</f>
        <v>-</v>
      </c>
      <c r="BG72" s="172"/>
      <c r="BH72" s="172"/>
      <c r="BI72" s="172"/>
      <c r="BJ72" s="172"/>
      <c r="BK72" s="172"/>
      <c r="BL72" s="172"/>
      <c r="BM72" s="172"/>
      <c r="BN72" s="172"/>
      <c r="BO72" s="172"/>
      <c r="BP72" s="172"/>
      <c r="BQ72" s="172"/>
      <c r="BR72" s="172"/>
      <c r="BS72" s="172"/>
      <c r="BT72" s="172"/>
      <c r="BU72" s="172"/>
      <c r="BV72" s="172"/>
    </row>
    <row r="73" spans="1:75" ht="12.75" customHeight="1" x14ac:dyDescent="0.2">
      <c r="A73" s="172"/>
      <c r="B73" s="172"/>
      <c r="C73" s="172"/>
      <c r="D73" s="172"/>
      <c r="E73" s="172"/>
      <c r="F73" s="172"/>
      <c r="G73" s="172"/>
      <c r="H73" s="172"/>
      <c r="I73" s="172"/>
      <c r="J73" s="172"/>
      <c r="K73" s="172"/>
      <c r="L73" s="172"/>
      <c r="M73" s="172"/>
      <c r="N73" s="172"/>
      <c r="O73" s="172"/>
      <c r="P73" s="172"/>
      <c r="Q73" s="172"/>
      <c r="R73" s="172"/>
      <c r="S73" s="172"/>
      <c r="T73" s="172"/>
      <c r="U73" s="172"/>
      <c r="V73" s="172"/>
      <c r="W73" s="172"/>
      <c r="X73" s="172"/>
      <c r="Y73" s="172"/>
      <c r="Z73" s="172"/>
      <c r="AA73" s="172"/>
      <c r="AB73" s="172"/>
      <c r="AC73" s="172"/>
      <c r="AD73" s="172"/>
      <c r="AE73" s="172"/>
      <c r="AF73" s="172"/>
      <c r="AG73" s="172"/>
      <c r="AH73" s="172"/>
      <c r="AI73" s="172"/>
      <c r="AJ73" s="206"/>
      <c r="AK73" s="172"/>
      <c r="AL73" s="172"/>
      <c r="AM73" s="172"/>
      <c r="AN73" s="172"/>
      <c r="AO73" s="172"/>
      <c r="AP73" s="172"/>
      <c r="AQ73" s="172"/>
      <c r="AR73" s="172"/>
      <c r="AS73" s="172"/>
      <c r="AT73" s="173"/>
      <c r="AU73" s="172"/>
      <c r="AV73" s="172"/>
      <c r="AW73" s="172"/>
      <c r="AX73" s="172"/>
      <c r="AY73" s="172"/>
      <c r="AZ73" s="172"/>
      <c r="BA73" s="172"/>
      <c r="BB73" s="172"/>
      <c r="BC73" s="172"/>
      <c r="BD73" s="172"/>
      <c r="BE73" s="172"/>
      <c r="BF73" s="172" t="str">
        <f>IF(OR(IFERROR(VLOOKUP(BP73,[1]ARS!A:EL,MATCH("Price To Earnings",[1]ARS!$4:$4,0),FALSE),"-")&lt;0,IFERROR(VLOOKUP(BP73,[1]ARS!A:EL,MATCH("Price To Earnings",[1]ARS!$4:$4,0),FALSE),"-")&gt;500),"-",IFERROR(VLOOKUP(BP73,[1]ARS!A:EL,MATCH("Price To Earnings",[1]ARS!$4:$4,0),FALSE),"-"))</f>
        <v>-</v>
      </c>
      <c r="BG73" s="172"/>
      <c r="BH73" s="172"/>
      <c r="BI73" s="172"/>
      <c r="BJ73" s="172"/>
      <c r="BK73" s="172"/>
      <c r="BL73" s="172"/>
      <c r="BM73" s="172"/>
      <c r="BN73" s="172"/>
      <c r="BO73" s="172"/>
      <c r="BP73" s="172"/>
      <c r="BQ73" s="172"/>
      <c r="BR73" s="172"/>
      <c r="BS73" s="172"/>
      <c r="BT73" s="172"/>
      <c r="BU73" s="172"/>
      <c r="BV73" s="172"/>
    </row>
    <row r="74" spans="1:75" ht="12.75" customHeight="1" x14ac:dyDescent="0.2">
      <c r="A74" s="172"/>
      <c r="B74" s="172"/>
      <c r="C74" s="172"/>
      <c r="D74" s="172"/>
      <c r="E74" s="172"/>
      <c r="F74" s="172"/>
      <c r="G74" s="172"/>
      <c r="H74" s="172"/>
      <c r="I74" s="172"/>
      <c r="J74" s="172"/>
      <c r="K74" s="172"/>
      <c r="L74" s="172"/>
      <c r="M74" s="172"/>
      <c r="N74" s="172"/>
      <c r="O74" s="172"/>
      <c r="P74" s="172"/>
      <c r="Q74" s="172"/>
      <c r="R74" s="172"/>
      <c r="S74" s="172"/>
      <c r="T74" s="172"/>
      <c r="U74" s="172"/>
      <c r="V74" s="172"/>
      <c r="W74" s="172"/>
      <c r="X74" s="172"/>
      <c r="Y74" s="172"/>
      <c r="Z74" s="172"/>
      <c r="AA74" s="172"/>
      <c r="AB74" s="172"/>
      <c r="AC74" s="172"/>
      <c r="AD74" s="172"/>
      <c r="AE74" s="172"/>
      <c r="AF74" s="172"/>
      <c r="AG74" s="172"/>
      <c r="AH74" s="172"/>
      <c r="AI74" s="172"/>
      <c r="AJ74" s="206"/>
      <c r="AK74" s="172"/>
      <c r="AL74" s="172"/>
      <c r="AM74" s="172"/>
      <c r="AN74" s="172"/>
      <c r="AO74" s="172"/>
      <c r="AP74" s="172"/>
      <c r="AQ74" s="172"/>
      <c r="AR74" s="172"/>
      <c r="AS74" s="172"/>
      <c r="AT74" s="173"/>
      <c r="AU74" s="172"/>
      <c r="AV74" s="172"/>
      <c r="AW74" s="172"/>
      <c r="AX74" s="172"/>
      <c r="AY74" s="172"/>
      <c r="AZ74" s="172"/>
      <c r="BA74" s="172"/>
      <c r="BB74" s="172"/>
      <c r="BC74" s="172"/>
      <c r="BD74" s="172"/>
      <c r="BE74" s="172"/>
      <c r="BF74" s="172" t="str">
        <f>IF(OR(IFERROR(VLOOKUP(BP74,[1]ARS!A:EL,MATCH("Price To Earnings",[1]ARS!$4:$4,0),FALSE),"-")&lt;0,IFERROR(VLOOKUP(BP74,[1]ARS!A:EL,MATCH("Price To Earnings",[1]ARS!$4:$4,0),FALSE),"-")&gt;500),"-",IFERROR(VLOOKUP(BP74,[1]ARS!A:EL,MATCH("Price To Earnings",[1]ARS!$4:$4,0),FALSE),"-"))</f>
        <v>-</v>
      </c>
      <c r="BG74" s="172"/>
      <c r="BH74" s="172"/>
      <c r="BI74" s="172"/>
      <c r="BJ74" s="172"/>
      <c r="BK74" s="172"/>
      <c r="BL74" s="172"/>
      <c r="BM74" s="172"/>
      <c r="BN74" s="172"/>
      <c r="BO74" s="172"/>
      <c r="BP74" s="172"/>
      <c r="BQ74" s="172"/>
      <c r="BR74" s="172"/>
      <c r="BS74" s="172"/>
      <c r="BT74" s="172"/>
      <c r="BU74" s="172"/>
      <c r="BV74" s="172"/>
    </row>
    <row r="75" spans="1:75" ht="12.75" customHeight="1" x14ac:dyDescent="0.2">
      <c r="A75" s="172"/>
      <c r="B75" s="172"/>
      <c r="C75" s="172"/>
      <c r="D75" s="172"/>
      <c r="E75" s="172"/>
      <c r="F75" s="172"/>
      <c r="G75" s="172"/>
      <c r="H75" s="172"/>
      <c r="I75" s="172"/>
      <c r="J75" s="172"/>
      <c r="K75" s="172"/>
      <c r="L75" s="172"/>
      <c r="M75" s="172"/>
      <c r="N75" s="172"/>
      <c r="O75" s="172"/>
      <c r="P75" s="172"/>
      <c r="Q75" s="172"/>
      <c r="R75" s="172"/>
      <c r="S75" s="172"/>
      <c r="T75" s="172"/>
      <c r="U75" s="172"/>
      <c r="V75" s="172"/>
      <c r="W75" s="172"/>
      <c r="X75" s="172"/>
      <c r="Y75" s="172"/>
      <c r="Z75" s="172"/>
      <c r="AA75" s="172"/>
      <c r="AB75" s="172"/>
      <c r="AC75" s="172"/>
      <c r="AD75" s="172"/>
      <c r="AE75" s="172"/>
      <c r="AF75" s="172"/>
      <c r="AG75" s="172"/>
      <c r="AH75" s="172"/>
      <c r="AI75" s="172"/>
      <c r="AJ75" s="206"/>
      <c r="AK75" s="172"/>
      <c r="AL75" s="172"/>
      <c r="AM75" s="172"/>
      <c r="AN75" s="172"/>
      <c r="AO75" s="172"/>
      <c r="AP75" s="172"/>
      <c r="AQ75" s="172"/>
      <c r="AR75" s="172"/>
      <c r="AS75" s="172"/>
      <c r="AT75" s="173"/>
      <c r="AU75" s="172"/>
      <c r="AV75" s="172"/>
      <c r="AW75" s="172"/>
      <c r="AX75" s="172"/>
      <c r="AY75" s="172"/>
      <c r="AZ75" s="172"/>
      <c r="BA75" s="172"/>
      <c r="BB75" s="172"/>
      <c r="BC75" s="172"/>
      <c r="BD75" s="172"/>
      <c r="BE75" s="172"/>
      <c r="BF75" s="172" t="str">
        <f>IF(OR(IFERROR(VLOOKUP(BP75,[1]ARS!A:EL,MATCH("Price To Earnings",[1]ARS!$4:$4,0),FALSE),"-")&lt;0,IFERROR(VLOOKUP(BP75,[1]ARS!A:EL,MATCH("Price To Earnings",[1]ARS!$4:$4,0),FALSE),"-")&gt;500),"-",IFERROR(VLOOKUP(BP75,[1]ARS!A:EL,MATCH("Price To Earnings",[1]ARS!$4:$4,0),FALSE),"-"))</f>
        <v>-</v>
      </c>
      <c r="BG75" s="172"/>
      <c r="BH75" s="172"/>
      <c r="BI75" s="172"/>
      <c r="BJ75" s="172"/>
      <c r="BK75" s="172"/>
      <c r="BL75" s="172"/>
      <c r="BM75" s="172"/>
      <c r="BN75" s="172"/>
      <c r="BO75" s="172"/>
      <c r="BP75" s="172"/>
      <c r="BQ75" s="172"/>
      <c r="BR75" s="172"/>
      <c r="BS75" s="172"/>
      <c r="BT75" s="172"/>
      <c r="BU75" s="172"/>
      <c r="BV75" s="172"/>
      <c r="BW75" s="172"/>
    </row>
    <row r="76" spans="1:75" ht="12.75" customHeight="1" x14ac:dyDescent="0.2">
      <c r="A76" s="172"/>
      <c r="B76" s="172"/>
      <c r="C76" s="172"/>
      <c r="D76" s="172"/>
      <c r="E76" s="172"/>
      <c r="F76" s="172"/>
      <c r="G76" s="172"/>
      <c r="H76" s="172"/>
      <c r="I76" s="172"/>
      <c r="J76" s="172"/>
      <c r="K76" s="172"/>
      <c r="L76" s="172"/>
      <c r="M76" s="172"/>
      <c r="N76" s="172"/>
      <c r="O76" s="172"/>
      <c r="P76" s="172"/>
      <c r="Q76" s="172"/>
      <c r="R76" s="172"/>
      <c r="S76" s="172"/>
      <c r="T76" s="172"/>
      <c r="U76" s="172"/>
      <c r="V76" s="172"/>
      <c r="W76" s="172"/>
      <c r="X76" s="172"/>
      <c r="Y76" s="172"/>
      <c r="Z76" s="172"/>
      <c r="AA76" s="172"/>
      <c r="AB76" s="172"/>
      <c r="AC76" s="172"/>
      <c r="AD76" s="172"/>
      <c r="AE76" s="172"/>
      <c r="AF76" s="172"/>
      <c r="AG76" s="172"/>
      <c r="AH76" s="172"/>
      <c r="AI76" s="172"/>
      <c r="AJ76" s="206"/>
      <c r="AK76" s="172"/>
      <c r="AL76" s="172"/>
      <c r="AM76" s="172"/>
      <c r="AN76" s="172"/>
      <c r="AO76" s="172"/>
      <c r="AP76" s="172"/>
      <c r="AQ76" s="172"/>
      <c r="AR76" s="172"/>
      <c r="AS76" s="172"/>
      <c r="AT76" s="173"/>
      <c r="AU76" s="172"/>
      <c r="AV76" s="172"/>
      <c r="AW76" s="172"/>
      <c r="AX76" s="172"/>
      <c r="AY76" s="172"/>
      <c r="AZ76" s="172"/>
      <c r="BA76" s="172"/>
      <c r="BB76" s="172"/>
      <c r="BC76" s="172"/>
      <c r="BD76" s="172"/>
      <c r="BE76" s="172"/>
      <c r="BF76" s="172" t="str">
        <f>IF(OR(IFERROR(VLOOKUP(BP76,[1]ARS!A:EL,MATCH("Price To Earnings",[1]ARS!$4:$4,0),FALSE),"-")&lt;0,IFERROR(VLOOKUP(BP76,[1]ARS!A:EL,MATCH("Price To Earnings",[1]ARS!$4:$4,0),FALSE),"-")&gt;500),"-",IFERROR(VLOOKUP(BP76,[1]ARS!A:EL,MATCH("Price To Earnings",[1]ARS!$4:$4,0),FALSE),"-"))</f>
        <v>-</v>
      </c>
      <c r="BG76" s="172"/>
      <c r="BH76" s="172"/>
      <c r="BI76" s="172"/>
      <c r="BJ76" s="172"/>
      <c r="BK76" s="172"/>
      <c r="BL76" s="172"/>
      <c r="BM76" s="172"/>
      <c r="BN76" s="172"/>
      <c r="BO76" s="172"/>
      <c r="BP76" s="172"/>
      <c r="BQ76" s="172"/>
      <c r="BR76" s="172"/>
      <c r="BS76" s="172"/>
      <c r="BT76" s="172"/>
      <c r="BU76" s="172"/>
      <c r="BV76" s="172"/>
    </row>
    <row r="77" spans="1:75" ht="12.75" customHeight="1" x14ac:dyDescent="0.2">
      <c r="A77" s="172"/>
      <c r="B77" s="172"/>
      <c r="C77" s="172"/>
      <c r="D77" s="172"/>
      <c r="E77" s="213"/>
      <c r="F77" s="172"/>
      <c r="G77" s="172"/>
      <c r="H77" s="172"/>
      <c r="I77" s="172"/>
      <c r="J77" s="172"/>
      <c r="K77" s="172"/>
      <c r="L77" s="172"/>
      <c r="M77" s="172"/>
      <c r="N77" s="172"/>
      <c r="O77" s="172"/>
      <c r="P77" s="172"/>
      <c r="Q77" s="172"/>
      <c r="R77" s="172"/>
      <c r="S77" s="172"/>
      <c r="T77" s="172"/>
      <c r="U77" s="172"/>
      <c r="V77" s="172"/>
      <c r="W77" s="172"/>
      <c r="X77" s="172"/>
      <c r="Y77" s="172"/>
      <c r="Z77" s="172"/>
      <c r="AA77" s="172"/>
      <c r="AB77" s="172"/>
      <c r="AC77" s="172"/>
      <c r="AD77" s="172"/>
      <c r="AE77" s="172"/>
      <c r="AF77" s="172"/>
      <c r="AG77" s="172"/>
      <c r="AH77" s="172"/>
      <c r="AI77" s="172"/>
      <c r="AJ77" s="206"/>
      <c r="AK77" s="172"/>
      <c r="AL77" s="172"/>
      <c r="AM77" s="172"/>
      <c r="AN77" s="172"/>
      <c r="AO77" s="172"/>
      <c r="AP77" s="172"/>
      <c r="AQ77" s="172"/>
      <c r="AR77" s="172"/>
      <c r="AS77" s="172"/>
      <c r="AT77" s="173"/>
      <c r="AU77" s="172"/>
      <c r="AV77" s="172"/>
      <c r="AW77" s="172"/>
      <c r="AX77" s="172"/>
      <c r="AY77" s="172"/>
      <c r="AZ77" s="172"/>
      <c r="BA77" s="172"/>
      <c r="BB77" s="172"/>
      <c r="BC77" s="172"/>
      <c r="BD77" s="172"/>
      <c r="BE77" s="172"/>
      <c r="BF77" s="172"/>
      <c r="BG77" s="172"/>
      <c r="BH77" s="172"/>
      <c r="BI77" s="172"/>
      <c r="BJ77" s="172"/>
      <c r="BK77" s="172"/>
      <c r="BL77" s="172"/>
      <c r="BM77" s="172"/>
      <c r="BN77" s="172"/>
      <c r="BO77" s="172"/>
      <c r="BP77" s="172"/>
      <c r="BQ77" s="172"/>
      <c r="BR77" s="172"/>
      <c r="BS77" s="172"/>
      <c r="BT77" s="172"/>
      <c r="BU77" s="172"/>
      <c r="BV77" s="172"/>
    </row>
    <row r="78" spans="1:75" ht="12.75" customHeight="1" x14ac:dyDescent="0.2">
      <c r="A78" s="172"/>
      <c r="B78" s="172"/>
      <c r="C78" s="172"/>
      <c r="D78" s="172"/>
      <c r="E78" s="172"/>
      <c r="F78" s="172"/>
      <c r="G78" s="172"/>
      <c r="H78" s="172"/>
      <c r="I78" s="172"/>
      <c r="J78" s="172"/>
      <c r="K78" s="172"/>
      <c r="L78" s="172"/>
      <c r="M78" s="172"/>
      <c r="N78" s="172"/>
      <c r="O78" s="172"/>
      <c r="P78" s="172"/>
      <c r="Q78" s="172"/>
      <c r="R78" s="172"/>
      <c r="S78" s="172"/>
      <c r="T78" s="172"/>
      <c r="U78" s="172"/>
      <c r="V78" s="172"/>
      <c r="W78" s="172"/>
      <c r="X78" s="172"/>
      <c r="Y78" s="172"/>
      <c r="Z78" s="172"/>
      <c r="AA78" s="172"/>
      <c r="AB78" s="172"/>
      <c r="AC78" s="172"/>
      <c r="AD78" s="172"/>
      <c r="AE78" s="172"/>
      <c r="AF78" s="172"/>
      <c r="AG78" s="172"/>
      <c r="AH78" s="172"/>
      <c r="AI78" s="172"/>
      <c r="AJ78" s="206"/>
      <c r="AK78" s="172"/>
      <c r="AL78" s="172"/>
      <c r="AM78" s="172"/>
      <c r="AN78" s="172"/>
      <c r="AO78" s="172"/>
      <c r="AP78" s="172"/>
      <c r="AQ78" s="172"/>
      <c r="AR78" s="172"/>
      <c r="AS78" s="172"/>
      <c r="AT78" s="173"/>
      <c r="AU78" s="172"/>
      <c r="AV78" s="172"/>
      <c r="AW78" s="172"/>
      <c r="AX78" s="172"/>
      <c r="AY78" s="172"/>
      <c r="AZ78" s="172"/>
      <c r="BA78" s="172"/>
      <c r="BB78" s="172"/>
      <c r="BC78" s="172"/>
      <c r="BD78" s="172"/>
      <c r="BE78" s="172"/>
      <c r="BF78" s="172" t="str">
        <f>IF(OR(IFERROR(VLOOKUP(BP78,[1]ARS!A:EL,MATCH("Price To Earnings",[1]ARS!$4:$4,0),FALSE),"-")&lt;0,IFERROR(VLOOKUP(BP78,[1]ARS!A:EL,MATCH("Price To Earnings",[1]ARS!$4:$4,0),FALSE),"-")&gt;500),"-",IFERROR(VLOOKUP(BP78,[1]ARS!A:EL,MATCH("Price To Earnings",[1]ARS!$4:$4,0),FALSE),"-"))</f>
        <v>-</v>
      </c>
      <c r="BG78" s="172"/>
      <c r="BH78" s="172"/>
      <c r="BI78" s="172"/>
      <c r="BJ78" s="172"/>
      <c r="BK78" s="172"/>
      <c r="BL78" s="172"/>
      <c r="BM78" s="172"/>
      <c r="BN78" s="172"/>
      <c r="BO78" s="172"/>
      <c r="BP78" s="172"/>
      <c r="BQ78" s="172"/>
      <c r="BR78" s="172"/>
      <c r="BS78" s="172"/>
      <c r="BT78" s="172"/>
      <c r="BU78" s="172"/>
      <c r="BV78" s="172"/>
    </row>
    <row r="79" spans="1:75" ht="12.75" customHeight="1" x14ac:dyDescent="0.2">
      <c r="A79" s="172"/>
      <c r="B79" s="172"/>
      <c r="C79" s="172"/>
      <c r="D79" s="172"/>
      <c r="E79" s="172"/>
      <c r="F79" s="172"/>
      <c r="G79" s="172"/>
      <c r="H79" s="172"/>
      <c r="I79" s="172"/>
      <c r="J79" s="172"/>
      <c r="K79" s="172"/>
      <c r="L79" s="172"/>
      <c r="M79" s="172"/>
      <c r="N79" s="172"/>
      <c r="O79" s="172"/>
      <c r="P79" s="172"/>
      <c r="Q79" s="172"/>
      <c r="R79" s="172"/>
      <c r="S79" s="172"/>
      <c r="T79" s="172"/>
      <c r="U79" s="172"/>
      <c r="V79" s="172"/>
      <c r="W79" s="172"/>
      <c r="X79" s="172"/>
      <c r="Y79" s="172"/>
      <c r="Z79" s="172"/>
      <c r="AA79" s="172"/>
      <c r="AB79" s="172"/>
      <c r="AC79" s="172"/>
      <c r="AD79" s="172"/>
      <c r="AE79" s="172"/>
      <c r="AF79" s="172"/>
      <c r="AG79" s="172"/>
      <c r="AH79" s="172"/>
      <c r="AI79" s="172"/>
      <c r="AJ79" s="206"/>
      <c r="AK79" s="172"/>
      <c r="AL79" s="172"/>
      <c r="AM79" s="172"/>
      <c r="AN79" s="172"/>
      <c r="AO79" s="172"/>
      <c r="AP79" s="172"/>
      <c r="AQ79" s="172"/>
      <c r="AR79" s="172"/>
      <c r="AS79" s="172"/>
      <c r="AT79" s="173"/>
      <c r="AU79" s="277"/>
      <c r="AV79" s="277"/>
      <c r="AW79" s="277"/>
      <c r="AX79" s="172"/>
      <c r="AY79" s="172"/>
      <c r="AZ79" s="172"/>
      <c r="BA79" s="172"/>
      <c r="BB79" s="172"/>
      <c r="BC79" s="172"/>
      <c r="BD79" s="172"/>
      <c r="BE79" s="172"/>
      <c r="BF79" s="172" t="str">
        <f>IF(OR(IFERROR(VLOOKUP(BP79,[1]ARS!A:EL,MATCH("Price To Earnings",[1]ARS!$4:$4,0),FALSE),"-")&lt;0,IFERROR(VLOOKUP(BP79,[1]ARS!A:EL,MATCH("Price To Earnings",[1]ARS!$4:$4,0),FALSE),"-")&gt;500),"-",IFERROR(VLOOKUP(BP79,[1]ARS!A:EL,MATCH("Price To Earnings",[1]ARS!$4:$4,0),FALSE),"-"))</f>
        <v>-</v>
      </c>
      <c r="BG79" s="172"/>
      <c r="BH79" s="172"/>
      <c r="BI79" s="172"/>
      <c r="BJ79" s="172"/>
      <c r="BK79" s="172"/>
      <c r="BL79" s="172"/>
      <c r="BM79" s="172"/>
      <c r="BN79" s="172"/>
      <c r="BO79" s="172"/>
      <c r="BP79" s="172"/>
      <c r="BQ79" s="172"/>
      <c r="BR79" s="172"/>
      <c r="BS79" s="172"/>
      <c r="BT79" s="172"/>
      <c r="BU79" s="172"/>
      <c r="BV79" s="172"/>
    </row>
    <row r="80" spans="1:75" ht="12.75" customHeight="1" x14ac:dyDescent="0.2">
      <c r="A80" s="172"/>
      <c r="B80" s="172"/>
      <c r="C80" s="172"/>
      <c r="D80" s="172"/>
      <c r="E80" s="172"/>
      <c r="F80" s="172"/>
      <c r="G80" s="172"/>
      <c r="H80" s="172"/>
      <c r="I80" s="172"/>
      <c r="J80" s="172"/>
      <c r="K80" s="172"/>
      <c r="L80" s="172"/>
      <c r="M80" s="172"/>
      <c r="N80" s="172"/>
      <c r="O80" s="172"/>
      <c r="P80" s="172"/>
      <c r="Q80" s="172"/>
      <c r="R80" s="172"/>
      <c r="S80" s="172"/>
      <c r="T80" s="172"/>
      <c r="U80" s="172"/>
      <c r="V80" s="172"/>
      <c r="W80" s="172"/>
      <c r="X80" s="172"/>
      <c r="Y80" s="172"/>
      <c r="Z80" s="172"/>
      <c r="AA80" s="172"/>
      <c r="AB80" s="172"/>
      <c r="AC80" s="172"/>
      <c r="AD80" s="172"/>
      <c r="AE80" s="172"/>
      <c r="AF80" s="172"/>
      <c r="AG80" s="172"/>
      <c r="AH80" s="172"/>
      <c r="AI80" s="172"/>
      <c r="AJ80" s="206"/>
      <c r="AK80" s="172"/>
      <c r="AL80" s="172"/>
      <c r="AM80" s="172"/>
      <c r="AN80" s="172"/>
      <c r="AO80" s="172"/>
      <c r="AP80" s="172"/>
      <c r="AQ80" s="172"/>
      <c r="AR80" s="172"/>
      <c r="AS80" s="172"/>
      <c r="AT80" s="173"/>
      <c r="AU80" s="277"/>
      <c r="AV80" s="277"/>
      <c r="AW80" s="277"/>
      <c r="AX80" s="172"/>
      <c r="AY80" s="172"/>
      <c r="AZ80" s="172"/>
      <c r="BA80" s="172"/>
      <c r="BB80" s="172"/>
      <c r="BC80" s="172"/>
      <c r="BD80" s="172"/>
      <c r="BE80" s="172"/>
      <c r="BF80" s="172" t="str">
        <f>IF(OR(IFERROR(VLOOKUP(BP80,[1]ARS!A:EL,MATCH("Price To Earnings",[1]ARS!$4:$4,0),FALSE),"-")&lt;0,IFERROR(VLOOKUP(BP80,[1]ARS!A:EL,MATCH("Price To Earnings",[1]ARS!$4:$4,0),FALSE),"-")&gt;500),"-",IFERROR(VLOOKUP(BP80,[1]ARS!A:EL,MATCH("Price To Earnings",[1]ARS!$4:$4,0),FALSE),"-"))</f>
        <v>-</v>
      </c>
      <c r="BG80" s="172"/>
      <c r="BH80" s="172"/>
      <c r="BI80" s="172"/>
      <c r="BJ80" s="172"/>
      <c r="BK80" s="172"/>
      <c r="BL80" s="172"/>
      <c r="BM80" s="172"/>
      <c r="BN80" s="172"/>
      <c r="BO80" s="172"/>
      <c r="BP80" s="172"/>
      <c r="BQ80" s="172"/>
      <c r="BR80" s="172"/>
      <c r="BS80" s="172"/>
      <c r="BT80" s="172"/>
      <c r="BU80" s="172"/>
      <c r="BV80" s="172"/>
    </row>
    <row r="81" spans="1:75" ht="12.75" customHeight="1" x14ac:dyDescent="0.2">
      <c r="A81" s="172"/>
      <c r="B81" s="172"/>
      <c r="C81" s="172"/>
      <c r="D81" s="172"/>
      <c r="E81" s="172"/>
      <c r="F81" s="172"/>
      <c r="G81" s="172"/>
      <c r="H81" s="172"/>
      <c r="I81" s="172"/>
      <c r="J81" s="172"/>
      <c r="K81" s="172"/>
      <c r="L81" s="172"/>
      <c r="M81" s="172"/>
      <c r="N81" s="172"/>
      <c r="O81" s="172"/>
      <c r="P81" s="172"/>
      <c r="Q81" s="172"/>
      <c r="R81" s="172"/>
      <c r="S81" s="172"/>
      <c r="T81" s="172"/>
      <c r="U81" s="172"/>
      <c r="V81" s="172"/>
      <c r="W81" s="172"/>
      <c r="X81" s="172"/>
      <c r="Y81" s="172"/>
      <c r="Z81" s="172"/>
      <c r="AA81" s="172"/>
      <c r="AB81" s="172"/>
      <c r="AC81" s="172"/>
      <c r="AD81" s="172"/>
      <c r="AE81" s="172"/>
      <c r="AF81" s="172"/>
      <c r="AG81" s="172"/>
      <c r="AH81" s="172"/>
      <c r="AI81" s="172"/>
      <c r="AJ81" s="206"/>
      <c r="AK81" s="172"/>
      <c r="AL81" s="172"/>
      <c r="AM81" s="172"/>
      <c r="AN81" s="172"/>
      <c r="AO81" s="172"/>
      <c r="AP81" s="172"/>
      <c r="AQ81" s="172"/>
      <c r="AR81" s="172"/>
      <c r="AS81" s="172"/>
      <c r="AT81" s="173"/>
      <c r="AU81" s="277"/>
      <c r="AV81" s="277"/>
      <c r="AW81" s="277"/>
      <c r="AX81" s="172"/>
      <c r="AY81" s="172"/>
      <c r="AZ81" s="172"/>
      <c r="BA81" s="172"/>
      <c r="BB81" s="172"/>
      <c r="BC81" s="172"/>
      <c r="BD81" s="172"/>
      <c r="BE81" s="172"/>
      <c r="BF81" s="172" t="str">
        <f>IF(OR(IFERROR(VLOOKUP(BP81,[1]ARS!A:EL,MATCH("Price To Earnings",[1]ARS!$4:$4,0),FALSE),"-")&lt;0,IFERROR(VLOOKUP(BP81,[1]ARS!A:EL,MATCH("Price To Earnings",[1]ARS!$4:$4,0),FALSE),"-")&gt;500),"-",IFERROR(VLOOKUP(BP81,[1]ARS!A:EL,MATCH("Price To Earnings",[1]ARS!$4:$4,0),FALSE),"-"))</f>
        <v>-</v>
      </c>
      <c r="BG81" s="172"/>
      <c r="BH81" s="172"/>
      <c r="BI81" s="172"/>
      <c r="BJ81" s="172"/>
      <c r="BK81" s="172"/>
      <c r="BL81" s="172"/>
      <c r="BM81" s="172"/>
      <c r="BN81" s="172"/>
      <c r="BO81" s="172"/>
      <c r="BP81" s="172"/>
      <c r="BQ81" s="172"/>
      <c r="BR81" s="172"/>
      <c r="BS81" s="172"/>
      <c r="BT81" s="172"/>
      <c r="BU81" s="172"/>
      <c r="BV81" s="172"/>
    </row>
    <row r="82" spans="1:75" ht="12.75" customHeight="1" x14ac:dyDescent="0.2">
      <c r="A82" s="172"/>
      <c r="B82" s="172"/>
      <c r="C82" s="172"/>
      <c r="D82" s="172"/>
      <c r="E82" s="172"/>
      <c r="F82" s="172"/>
      <c r="G82" s="172"/>
      <c r="H82" s="172"/>
      <c r="I82" s="172"/>
      <c r="J82" s="172"/>
      <c r="K82" s="172"/>
      <c r="L82" s="172"/>
      <c r="M82" s="172"/>
      <c r="N82" s="172"/>
      <c r="O82" s="172"/>
      <c r="P82" s="172"/>
      <c r="Q82" s="172"/>
      <c r="R82" s="172"/>
      <c r="S82" s="172"/>
      <c r="T82" s="172"/>
      <c r="U82" s="172"/>
      <c r="V82" s="172"/>
      <c r="W82" s="172"/>
      <c r="X82" s="172"/>
      <c r="Y82" s="172"/>
      <c r="Z82" s="172"/>
      <c r="AA82" s="172"/>
      <c r="AB82" s="172"/>
      <c r="AC82" s="172"/>
      <c r="AD82" s="172"/>
      <c r="AE82" s="172"/>
      <c r="AF82" s="172"/>
      <c r="AG82" s="172"/>
      <c r="AH82" s="172"/>
      <c r="AI82" s="172"/>
      <c r="AJ82" s="206"/>
      <c r="AK82" s="172"/>
      <c r="AL82" s="172"/>
      <c r="AM82" s="172"/>
      <c r="AN82" s="172"/>
      <c r="AO82" s="172"/>
      <c r="AP82" s="172"/>
      <c r="AQ82" s="172"/>
      <c r="AR82" s="172"/>
      <c r="AS82" s="172"/>
      <c r="AT82" s="173"/>
      <c r="AU82" s="277"/>
      <c r="AV82" s="277"/>
      <c r="AW82" s="277"/>
      <c r="AX82" s="172"/>
      <c r="AY82" s="172"/>
      <c r="AZ82" s="172"/>
      <c r="BA82" s="172"/>
      <c r="BB82" s="172"/>
      <c r="BC82" s="172"/>
      <c r="BD82" s="172"/>
      <c r="BE82" s="172"/>
      <c r="BF82" s="172" t="str">
        <f>IF(OR(IFERROR(VLOOKUP(BP82,[1]ARS!A:EL,MATCH("Price To Earnings",[1]ARS!$4:$4,0),FALSE),"-")&lt;0,IFERROR(VLOOKUP(BP82,[1]ARS!A:EL,MATCH("Price To Earnings",[1]ARS!$4:$4,0),FALSE),"-")&gt;500),"-",IFERROR(VLOOKUP(BP82,[1]ARS!A:EL,MATCH("Price To Earnings",[1]ARS!$4:$4,0),FALSE),"-"))</f>
        <v>-</v>
      </c>
      <c r="BG82" s="172"/>
      <c r="BH82" s="172"/>
      <c r="BI82" s="172"/>
      <c r="BJ82" s="172"/>
      <c r="BK82" s="172"/>
      <c r="BL82" s="172"/>
      <c r="BM82" s="172"/>
      <c r="BN82" s="172"/>
      <c r="BO82" s="172"/>
      <c r="BP82" s="172"/>
      <c r="BQ82" s="172"/>
      <c r="BR82" s="172"/>
      <c r="BS82" s="172"/>
      <c r="BT82" s="172"/>
      <c r="BU82" s="172"/>
      <c r="BV82" s="172"/>
    </row>
    <row r="83" spans="1:75" ht="12.75" customHeight="1" x14ac:dyDescent="0.2">
      <c r="A83" s="172"/>
      <c r="B83" s="172"/>
      <c r="C83" s="172"/>
      <c r="D83" s="172"/>
      <c r="E83" s="172"/>
      <c r="F83" s="172"/>
      <c r="G83" s="172"/>
      <c r="H83" s="172"/>
      <c r="I83" s="172"/>
      <c r="J83" s="172"/>
      <c r="K83" s="172"/>
      <c r="L83" s="172"/>
      <c r="M83" s="172"/>
      <c r="N83" s="172"/>
      <c r="O83" s="172"/>
      <c r="P83" s="172"/>
      <c r="Q83" s="172"/>
      <c r="R83" s="172"/>
      <c r="S83" s="172"/>
      <c r="T83" s="172"/>
      <c r="U83" s="172"/>
      <c r="V83" s="172"/>
      <c r="W83" s="172"/>
      <c r="X83" s="172"/>
      <c r="Y83" s="172"/>
      <c r="Z83" s="172"/>
      <c r="AA83" s="172"/>
      <c r="AB83" s="172"/>
      <c r="AC83" s="172"/>
      <c r="AD83" s="172"/>
      <c r="AE83" s="172"/>
      <c r="AF83" s="172"/>
      <c r="AG83" s="172"/>
      <c r="AH83" s="172"/>
      <c r="AI83" s="172"/>
      <c r="AJ83" s="206"/>
      <c r="AK83" s="172"/>
      <c r="AL83" s="172"/>
      <c r="AM83" s="172"/>
      <c r="AN83" s="172"/>
      <c r="AO83" s="172"/>
      <c r="AP83" s="172"/>
      <c r="AQ83" s="172"/>
      <c r="AR83" s="172"/>
      <c r="AS83" s="172"/>
      <c r="AT83" s="173"/>
      <c r="AU83" s="277"/>
      <c r="AV83" s="277"/>
      <c r="AW83" s="277"/>
      <c r="AX83" s="172"/>
      <c r="AY83" s="172"/>
      <c r="AZ83" s="172"/>
      <c r="BA83" s="172"/>
      <c r="BB83" s="172"/>
      <c r="BC83" s="172"/>
      <c r="BD83" s="172"/>
      <c r="BE83" s="172"/>
      <c r="BF83" s="172" t="str">
        <f>IF(OR(IFERROR(VLOOKUP(BP83,[1]ARS!A:EL,MATCH("Price To Earnings",[1]ARS!$4:$4,0),FALSE),"-")&lt;0,IFERROR(VLOOKUP(BP83,[1]ARS!A:EL,MATCH("Price To Earnings",[1]ARS!$4:$4,0),FALSE),"-")&gt;500),"-",IFERROR(VLOOKUP(BP83,[1]ARS!A:EL,MATCH("Price To Earnings",[1]ARS!$4:$4,0),FALSE),"-"))</f>
        <v>-</v>
      </c>
      <c r="BG83" s="172"/>
      <c r="BH83" s="172"/>
      <c r="BI83" s="172"/>
      <c r="BJ83" s="172"/>
      <c r="BK83" s="172"/>
      <c r="BL83" s="172"/>
      <c r="BM83" s="172"/>
      <c r="BN83" s="172"/>
      <c r="BO83" s="172"/>
      <c r="BP83" s="172"/>
      <c r="BQ83" s="172"/>
      <c r="BR83" s="172"/>
      <c r="BS83" s="172"/>
      <c r="BT83" s="172"/>
      <c r="BU83" s="172"/>
      <c r="BV83" s="172"/>
    </row>
    <row r="84" spans="1:75" ht="12.75" customHeight="1" x14ac:dyDescent="0.2">
      <c r="A84" s="172"/>
      <c r="B84" s="172"/>
      <c r="C84" s="172"/>
      <c r="D84" s="172"/>
      <c r="E84" s="172"/>
      <c r="F84" s="172"/>
      <c r="G84" s="172"/>
      <c r="H84" s="172"/>
      <c r="I84" s="172"/>
      <c r="J84" s="172"/>
      <c r="K84" s="172"/>
      <c r="L84" s="172"/>
      <c r="M84" s="172"/>
      <c r="N84" s="172"/>
      <c r="O84" s="172"/>
      <c r="P84" s="172"/>
      <c r="Q84" s="172"/>
      <c r="R84" s="172"/>
      <c r="S84" s="172"/>
      <c r="T84" s="172"/>
      <c r="U84" s="172"/>
      <c r="V84" s="172"/>
      <c r="W84" s="172"/>
      <c r="X84" s="172"/>
      <c r="Y84" s="172"/>
      <c r="Z84" s="172"/>
      <c r="AA84" s="172"/>
      <c r="AB84" s="172"/>
      <c r="AC84" s="172"/>
      <c r="AD84" s="172"/>
      <c r="AE84" s="172"/>
      <c r="AF84" s="172"/>
      <c r="AG84" s="172"/>
      <c r="AH84" s="172"/>
      <c r="AI84" s="172"/>
      <c r="AJ84" s="206"/>
      <c r="AK84" s="172"/>
      <c r="AL84" s="172"/>
      <c r="AM84" s="172"/>
      <c r="AN84" s="172"/>
      <c r="AO84" s="172"/>
      <c r="AP84" s="172"/>
      <c r="AQ84" s="172"/>
      <c r="AR84" s="172"/>
      <c r="AS84" s="172"/>
      <c r="AT84" s="173"/>
      <c r="AU84" s="277"/>
      <c r="AV84" s="277"/>
      <c r="AW84" s="277"/>
      <c r="AX84" s="172"/>
      <c r="AY84" s="172"/>
      <c r="AZ84" s="172"/>
      <c r="BA84" s="172"/>
      <c r="BB84" s="172"/>
      <c r="BC84" s="172"/>
      <c r="BD84" s="172"/>
      <c r="BE84" s="172"/>
      <c r="BF84" s="172"/>
      <c r="BG84" s="172"/>
      <c r="BH84" s="172"/>
      <c r="BI84" s="172"/>
      <c r="BJ84" s="172"/>
      <c r="BK84" s="172"/>
      <c r="BL84" s="172"/>
      <c r="BM84" s="172"/>
      <c r="BN84" s="172"/>
      <c r="BO84" s="172"/>
      <c r="BP84" s="172"/>
      <c r="BQ84" s="172"/>
      <c r="BR84" s="172"/>
      <c r="BS84" s="172"/>
      <c r="BT84" s="172"/>
      <c r="BU84" s="172"/>
      <c r="BV84" s="172"/>
    </row>
    <row r="85" spans="1:75" ht="12.75" customHeight="1" x14ac:dyDescent="0.2">
      <c r="A85" s="172"/>
      <c r="B85" s="172"/>
      <c r="C85" s="172"/>
      <c r="D85" s="172"/>
      <c r="E85" s="172"/>
      <c r="F85" s="172"/>
      <c r="G85" s="172"/>
      <c r="H85" s="172"/>
      <c r="I85" s="172"/>
      <c r="J85" s="172"/>
      <c r="K85" s="172"/>
      <c r="L85" s="172"/>
      <c r="M85" s="172"/>
      <c r="N85" s="172"/>
      <c r="O85" s="172"/>
      <c r="P85" s="172"/>
      <c r="Q85" s="172"/>
      <c r="R85" s="172"/>
      <c r="S85" s="172"/>
      <c r="T85" s="172"/>
      <c r="U85" s="172"/>
      <c r="V85" s="172"/>
      <c r="W85" s="172"/>
      <c r="X85" s="172"/>
      <c r="Y85" s="172"/>
      <c r="Z85" s="172"/>
      <c r="AA85" s="172"/>
      <c r="AB85" s="172"/>
      <c r="AC85" s="172"/>
      <c r="AD85" s="172"/>
      <c r="AE85" s="172"/>
      <c r="AF85" s="172"/>
      <c r="AG85" s="172"/>
      <c r="AH85" s="172"/>
      <c r="AI85" s="172"/>
      <c r="AJ85" s="206"/>
      <c r="AK85" s="172"/>
      <c r="AL85" s="172"/>
      <c r="AM85" s="172"/>
      <c r="AN85" s="172"/>
      <c r="AO85" s="172"/>
      <c r="AP85" s="172"/>
      <c r="AQ85" s="172"/>
      <c r="AR85" s="172"/>
      <c r="AS85" s="172"/>
      <c r="AT85" s="173"/>
      <c r="AU85" s="277"/>
      <c r="AV85" s="277"/>
      <c r="AW85" s="277"/>
      <c r="AX85" s="172"/>
      <c r="AY85" s="172"/>
      <c r="AZ85" s="172"/>
      <c r="BA85" s="172"/>
      <c r="BB85" s="172"/>
      <c r="BC85" s="172"/>
      <c r="BD85" s="172"/>
      <c r="BE85" s="172"/>
      <c r="BF85" s="172" t="str">
        <f>IF(OR(IFERROR(VLOOKUP(BP85,[1]ARS!A:EL,MATCH("Price To Earnings",[1]ARS!$4:$4,0),FALSE),"-")&lt;0,IFERROR(VLOOKUP(BP85,[1]ARS!A:EL,MATCH("Price To Earnings",[1]ARS!$4:$4,0),FALSE),"-")&gt;500),"-",IFERROR(VLOOKUP(BP85,[1]ARS!A:EL,MATCH("Price To Earnings",[1]ARS!$4:$4,0),FALSE),"-"))</f>
        <v>-</v>
      </c>
      <c r="BG85" s="172"/>
      <c r="BH85" s="172"/>
      <c r="BI85" s="172"/>
      <c r="BJ85" s="172"/>
      <c r="BK85" s="172"/>
      <c r="BL85" s="172"/>
      <c r="BM85" s="172"/>
      <c r="BN85" s="172"/>
      <c r="BO85" s="172"/>
      <c r="BP85" s="172"/>
      <c r="BQ85" s="172"/>
      <c r="BR85" s="172"/>
      <c r="BS85" s="172"/>
      <c r="BT85" s="172"/>
      <c r="BU85" s="172"/>
      <c r="BV85" s="172"/>
      <c r="BW85" s="172"/>
    </row>
    <row r="86" spans="1:75" ht="12.75" customHeight="1" x14ac:dyDescent="0.2">
      <c r="A86" s="172"/>
      <c r="B86" s="172"/>
      <c r="C86" s="172"/>
      <c r="D86" s="172"/>
      <c r="E86" s="172"/>
      <c r="F86" s="172"/>
      <c r="G86" s="172"/>
      <c r="H86" s="172"/>
      <c r="I86" s="172"/>
      <c r="J86" s="172"/>
      <c r="K86" s="172"/>
      <c r="L86" s="172"/>
      <c r="M86" s="172"/>
      <c r="N86" s="172"/>
      <c r="O86" s="172"/>
      <c r="P86" s="172"/>
      <c r="Q86" s="172"/>
      <c r="R86" s="172"/>
      <c r="S86" s="172"/>
      <c r="T86" s="172"/>
      <c r="U86" s="172"/>
      <c r="V86" s="172"/>
      <c r="W86" s="172"/>
      <c r="X86" s="172"/>
      <c r="Y86" s="172"/>
      <c r="Z86" s="172"/>
      <c r="AA86" s="172"/>
      <c r="AB86" s="172"/>
      <c r="AC86" s="172"/>
      <c r="AD86" s="172"/>
      <c r="AE86" s="172"/>
      <c r="AF86" s="172"/>
      <c r="AG86" s="172"/>
      <c r="AH86" s="172"/>
      <c r="AI86" s="172"/>
      <c r="AJ86" s="206"/>
      <c r="AK86" s="172"/>
      <c r="AL86" s="172"/>
      <c r="AM86" s="172"/>
      <c r="AN86" s="172"/>
      <c r="AO86" s="172"/>
      <c r="AP86" s="172"/>
      <c r="AQ86" s="172"/>
      <c r="AR86" s="172"/>
      <c r="AS86" s="172"/>
      <c r="AT86" s="173"/>
      <c r="AU86" s="277"/>
      <c r="AV86" s="277"/>
      <c r="AW86" s="277"/>
      <c r="AX86" s="172"/>
      <c r="AY86" s="172"/>
      <c r="AZ86" s="172"/>
      <c r="BA86" s="172"/>
      <c r="BB86" s="172"/>
      <c r="BC86" s="172"/>
      <c r="BD86" s="172"/>
      <c r="BE86" s="172"/>
      <c r="BF86" s="172" t="str">
        <f>IF(OR(IFERROR(VLOOKUP(BP86,[1]ARS!A:EL,MATCH("Price To Earnings",[1]ARS!$4:$4,0),FALSE),"-")&lt;0,IFERROR(VLOOKUP(BP86,[1]ARS!A:EL,MATCH("Price To Earnings",[1]ARS!$4:$4,0),FALSE),"-")&gt;500),"-",IFERROR(VLOOKUP(BP86,[1]ARS!A:EL,MATCH("Price To Earnings",[1]ARS!$4:$4,0),FALSE),"-"))</f>
        <v>-</v>
      </c>
      <c r="BG86" s="172"/>
      <c r="BH86" s="172"/>
      <c r="BI86" s="172"/>
      <c r="BJ86" s="172"/>
      <c r="BK86" s="172"/>
      <c r="BL86" s="172"/>
      <c r="BM86" s="172"/>
      <c r="BN86" s="172"/>
      <c r="BO86" s="172"/>
      <c r="BP86" s="172"/>
      <c r="BQ86" s="172"/>
      <c r="BR86" s="172"/>
      <c r="BS86" s="172"/>
      <c r="BT86" s="172"/>
      <c r="BU86" s="172"/>
      <c r="BV86" s="172"/>
    </row>
    <row r="87" spans="1:75" ht="12.75" customHeight="1" x14ac:dyDescent="0.2">
      <c r="A87" s="172"/>
      <c r="B87" s="172"/>
      <c r="C87" s="172"/>
      <c r="D87" s="172"/>
      <c r="E87" s="172"/>
      <c r="F87" s="172"/>
      <c r="G87" s="172"/>
      <c r="H87" s="172"/>
      <c r="I87" s="172"/>
      <c r="J87" s="172"/>
      <c r="K87" s="172"/>
      <c r="L87" s="172"/>
      <c r="M87" s="172"/>
      <c r="N87" s="172"/>
      <c r="O87" s="172"/>
      <c r="P87" s="172"/>
      <c r="Q87" s="172"/>
      <c r="R87" s="172"/>
      <c r="S87" s="172"/>
      <c r="T87" s="172"/>
      <c r="U87" s="172"/>
      <c r="V87" s="172"/>
      <c r="W87" s="172"/>
      <c r="X87" s="172"/>
      <c r="Y87" s="172"/>
      <c r="Z87" s="172"/>
      <c r="AA87" s="172"/>
      <c r="AB87" s="172"/>
      <c r="AC87" s="172"/>
      <c r="AD87" s="172"/>
      <c r="AE87" s="172"/>
      <c r="AF87" s="172"/>
      <c r="AG87" s="172"/>
      <c r="AH87" s="172"/>
      <c r="AI87" s="172"/>
      <c r="AJ87" s="206"/>
      <c r="AK87" s="172"/>
      <c r="AL87" s="172"/>
      <c r="AM87" s="172"/>
      <c r="AN87" s="172"/>
      <c r="AO87" s="172"/>
      <c r="AP87" s="172"/>
      <c r="AQ87" s="172"/>
      <c r="AR87" s="172"/>
      <c r="AS87" s="172"/>
      <c r="AT87" s="173"/>
      <c r="AU87" s="277"/>
      <c r="AV87" s="277"/>
      <c r="AW87" s="277"/>
      <c r="AX87" s="172"/>
      <c r="AY87" s="172"/>
      <c r="AZ87" s="172"/>
      <c r="BA87" s="172"/>
      <c r="BB87" s="172"/>
      <c r="BC87" s="172"/>
      <c r="BD87" s="172"/>
      <c r="BE87" s="172"/>
      <c r="BF87" s="172" t="str">
        <f>IF(OR(IFERROR(VLOOKUP(BP87,[1]ARS!A:EL,MATCH("Price To Earnings",[1]ARS!$4:$4,0),FALSE),"-")&lt;0,IFERROR(VLOOKUP(BP87,[1]ARS!A:EL,MATCH("Price To Earnings",[1]ARS!$4:$4,0),FALSE),"-")&gt;500),"-",IFERROR(VLOOKUP(BP87,[1]ARS!A:EL,MATCH("Price To Earnings",[1]ARS!$4:$4,0),FALSE),"-"))</f>
        <v>-</v>
      </c>
      <c r="BG87" s="172"/>
      <c r="BH87" s="172"/>
      <c r="BI87" s="172"/>
      <c r="BJ87" s="172"/>
      <c r="BK87" s="172"/>
      <c r="BL87" s="172"/>
      <c r="BM87" s="172"/>
      <c r="BN87" s="172"/>
      <c r="BO87" s="172"/>
      <c r="BP87" s="172"/>
      <c r="BQ87" s="172"/>
      <c r="BR87" s="172"/>
      <c r="BS87" s="172"/>
      <c r="BT87" s="172"/>
      <c r="BU87" s="172"/>
      <c r="BV87" s="172"/>
    </row>
    <row r="88" spans="1:75" ht="12.75" customHeight="1" x14ac:dyDescent="0.2">
      <c r="A88" s="172"/>
      <c r="B88" s="172"/>
      <c r="C88" s="172"/>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72"/>
      <c r="AC88" s="172"/>
      <c r="AD88" s="172"/>
      <c r="AE88" s="172"/>
      <c r="AF88" s="172"/>
      <c r="AG88" s="172"/>
      <c r="AH88" s="172"/>
      <c r="AI88" s="172"/>
      <c r="AJ88" s="206"/>
      <c r="AK88" s="172"/>
      <c r="AL88" s="172"/>
      <c r="AM88" s="172"/>
      <c r="AN88" s="172"/>
      <c r="AO88" s="172"/>
      <c r="AP88" s="172"/>
      <c r="AQ88" s="172"/>
      <c r="AR88" s="172"/>
      <c r="AS88" s="172"/>
      <c r="AT88" s="173"/>
      <c r="AU88" s="277"/>
      <c r="AV88" s="277"/>
      <c r="AW88" s="277"/>
      <c r="AX88" s="172"/>
      <c r="AY88" s="172"/>
      <c r="AZ88" s="172"/>
      <c r="BA88" s="172"/>
      <c r="BB88" s="172"/>
      <c r="BC88" s="172"/>
      <c r="BD88" s="172"/>
      <c r="BE88" s="172"/>
      <c r="BF88" s="172" t="str">
        <f>IF(OR(IFERROR(VLOOKUP(BP88,[1]ARS!A:EL,MATCH("Price To Earnings",[1]ARS!$4:$4,0),FALSE),"-")&lt;0,IFERROR(VLOOKUP(BP88,[1]ARS!A:EL,MATCH("Price To Earnings",[1]ARS!$4:$4,0),FALSE),"-")&gt;500),"-",IFERROR(VLOOKUP(BP88,[1]ARS!A:EL,MATCH("Price To Earnings",[1]ARS!$4:$4,0),FALSE),"-"))</f>
        <v>-</v>
      </c>
      <c r="BG88" s="172"/>
      <c r="BH88" s="172"/>
      <c r="BI88" s="172"/>
      <c r="BJ88" s="172"/>
      <c r="BK88" s="172"/>
      <c r="BL88" s="172"/>
      <c r="BM88" s="172"/>
      <c r="BN88" s="172"/>
      <c r="BO88" s="172"/>
      <c r="BP88" s="172"/>
      <c r="BQ88" s="172"/>
      <c r="BR88" s="172"/>
      <c r="BS88" s="172"/>
      <c r="BT88" s="172"/>
      <c r="BU88" s="172"/>
      <c r="BV88" s="172"/>
    </row>
    <row r="89" spans="1:75" ht="12.75" customHeight="1" x14ac:dyDescent="0.2">
      <c r="A89" s="172"/>
      <c r="B89" s="172"/>
      <c r="C89" s="172"/>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72"/>
      <c r="AC89" s="172"/>
      <c r="AD89" s="172"/>
      <c r="AE89" s="172"/>
      <c r="AF89" s="172"/>
      <c r="AG89" s="172"/>
      <c r="AH89" s="172"/>
      <c r="AI89" s="172"/>
      <c r="AJ89" s="206"/>
      <c r="AK89" s="172"/>
      <c r="AL89" s="172"/>
      <c r="AM89" s="172"/>
      <c r="AN89" s="172"/>
      <c r="AO89" s="172"/>
      <c r="AP89" s="172"/>
      <c r="AQ89" s="172"/>
      <c r="AR89" s="172"/>
      <c r="AS89" s="172"/>
      <c r="AT89" s="173"/>
      <c r="AU89" s="277"/>
      <c r="AV89" s="277"/>
      <c r="AW89" s="277"/>
      <c r="AX89" s="172"/>
      <c r="AY89" s="172"/>
      <c r="AZ89" s="172"/>
      <c r="BA89" s="172"/>
      <c r="BB89" s="172"/>
      <c r="BC89" s="172"/>
      <c r="BD89" s="172"/>
      <c r="BE89" s="172"/>
      <c r="BF89" s="172" t="str">
        <f>IF(OR(IFERROR(VLOOKUP(BP89,[1]ARS!A:EL,MATCH("Price To Earnings",[1]ARS!$4:$4,0),FALSE),"-")&lt;0,IFERROR(VLOOKUP(BP89,[1]ARS!A:EL,MATCH("Price To Earnings",[1]ARS!$4:$4,0),FALSE),"-")&gt;500),"-",IFERROR(VLOOKUP(BP89,[1]ARS!A:EL,MATCH("Price To Earnings",[1]ARS!$4:$4,0),FALSE),"-"))</f>
        <v>-</v>
      </c>
      <c r="BG89" s="172"/>
      <c r="BH89" s="172"/>
      <c r="BI89" s="172"/>
      <c r="BJ89" s="172"/>
      <c r="BK89" s="172"/>
      <c r="BL89" s="172"/>
      <c r="BM89" s="172"/>
      <c r="BN89" s="172"/>
      <c r="BO89" s="172"/>
      <c r="BP89" s="172"/>
      <c r="BQ89" s="172"/>
      <c r="BR89" s="172"/>
      <c r="BS89" s="172"/>
      <c r="BT89" s="172"/>
      <c r="BU89" s="172"/>
      <c r="BV89" s="172"/>
    </row>
    <row r="90" spans="1:75" ht="12.75" customHeight="1" x14ac:dyDescent="0.2">
      <c r="A90" s="172"/>
      <c r="B90" s="172"/>
      <c r="C90" s="172"/>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172"/>
      <c r="AC90" s="172"/>
      <c r="AD90" s="172"/>
      <c r="AE90" s="172"/>
      <c r="AF90" s="172"/>
      <c r="AG90" s="172"/>
      <c r="AH90" s="172"/>
      <c r="AI90" s="172"/>
      <c r="AJ90" s="206"/>
      <c r="AK90" s="172"/>
      <c r="AL90" s="172"/>
      <c r="AM90" s="172"/>
      <c r="AN90" s="172"/>
      <c r="AO90" s="172"/>
      <c r="AP90" s="172"/>
      <c r="AQ90" s="172"/>
      <c r="AR90" s="172"/>
      <c r="AS90" s="172"/>
      <c r="AT90" s="173"/>
      <c r="AU90" s="277"/>
      <c r="AV90" s="277"/>
      <c r="AW90" s="277"/>
      <c r="AX90" s="172"/>
      <c r="AY90" s="172"/>
      <c r="AZ90" s="172"/>
      <c r="BA90" s="172"/>
      <c r="BB90" s="172"/>
      <c r="BC90" s="172"/>
      <c r="BD90" s="172"/>
      <c r="BE90" s="172"/>
      <c r="BF90" s="172" t="str">
        <f>IF(OR(IFERROR(VLOOKUP(BP90,[1]ARS!A:EL,MATCH("Price To Earnings",[1]ARS!$4:$4,0),FALSE),"-")&lt;0,IFERROR(VLOOKUP(BP90,[1]ARS!A:EL,MATCH("Price To Earnings",[1]ARS!$4:$4,0),FALSE),"-")&gt;500),"-",IFERROR(VLOOKUP(BP90,[1]ARS!A:EL,MATCH("Price To Earnings",[1]ARS!$4:$4,0),FALSE),"-"))</f>
        <v>-</v>
      </c>
      <c r="BG90" s="172"/>
      <c r="BH90" s="172"/>
      <c r="BI90" s="172"/>
      <c r="BJ90" s="172"/>
      <c r="BK90" s="172"/>
      <c r="BL90" s="172"/>
      <c r="BM90" s="172"/>
      <c r="BN90" s="172"/>
      <c r="BO90" s="172"/>
      <c r="BP90" s="172"/>
      <c r="BQ90" s="172"/>
      <c r="BR90" s="172"/>
      <c r="BS90" s="172"/>
      <c r="BT90" s="172"/>
      <c r="BU90" s="172"/>
      <c r="BV90" s="172"/>
    </row>
    <row r="91" spans="1:75" ht="12.75" customHeight="1" x14ac:dyDescent="0.2">
      <c r="A91" s="172"/>
      <c r="B91" s="172"/>
      <c r="C91" s="172"/>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172"/>
      <c r="AC91" s="172"/>
      <c r="AD91" s="172"/>
      <c r="AE91" s="172"/>
      <c r="AF91" s="172"/>
      <c r="AG91" s="172"/>
      <c r="AH91" s="172"/>
      <c r="AI91" s="172"/>
      <c r="AJ91" s="206"/>
      <c r="AK91" s="172"/>
      <c r="AL91" s="172"/>
      <c r="AM91" s="172"/>
      <c r="AN91" s="172"/>
      <c r="AO91" s="172"/>
      <c r="AP91" s="172"/>
      <c r="AQ91" s="172"/>
      <c r="AR91" s="172"/>
      <c r="AS91" s="172"/>
      <c r="AT91" s="173"/>
      <c r="AU91" s="277"/>
      <c r="AV91" s="277"/>
      <c r="AW91" s="277"/>
      <c r="AX91" s="172"/>
      <c r="AY91" s="172"/>
      <c r="AZ91" s="172"/>
      <c r="BA91" s="172"/>
      <c r="BB91" s="172"/>
      <c r="BC91" s="172"/>
      <c r="BD91" s="172"/>
      <c r="BE91" s="172"/>
      <c r="BF91" s="172" t="str">
        <f>IF(OR(IFERROR(VLOOKUP(BP91,[1]ARS!A:EL,MATCH("Price To Earnings",[1]ARS!$4:$4,0),FALSE),"-")&lt;0,IFERROR(VLOOKUP(BP91,[1]ARS!A:EL,MATCH("Price To Earnings",[1]ARS!$4:$4,0),FALSE),"-")&gt;500),"-",IFERROR(VLOOKUP(BP91,[1]ARS!A:EL,MATCH("Price To Earnings",[1]ARS!$4:$4,0),FALSE),"-"))</f>
        <v>-</v>
      </c>
      <c r="BG91" s="172"/>
      <c r="BH91" s="172"/>
      <c r="BI91" s="172"/>
      <c r="BJ91" s="172"/>
      <c r="BK91" s="172"/>
      <c r="BL91" s="172"/>
      <c r="BM91" s="172"/>
      <c r="BN91" s="172"/>
      <c r="BO91" s="172"/>
      <c r="BP91" s="172"/>
      <c r="BQ91" s="172"/>
      <c r="BR91" s="172"/>
      <c r="BS91" s="172"/>
      <c r="BT91" s="172"/>
      <c r="BU91" s="172"/>
      <c r="BV91" s="172"/>
    </row>
    <row r="92" spans="1:75" ht="12.75" customHeight="1" x14ac:dyDescent="0.2">
      <c r="AT92" s="224"/>
      <c r="AU92" s="278"/>
      <c r="AV92" s="278"/>
      <c r="AW92" s="278"/>
      <c r="BF92" s="217" t="str">
        <f>IF(OR(IFERROR(VLOOKUP(BP92,[1]ARS!A:EL,MATCH("Price To Earnings",[1]ARS!$4:$4,0),FALSE),"-")&lt;0,IFERROR(VLOOKUP(BP92,[1]ARS!A:EL,MATCH("Price To Earnings",[1]ARS!$4:$4,0),FALSE),"-")&gt;500),"-",IFERROR(VLOOKUP(BP92,[1]ARS!A:EL,MATCH("Price To Earnings",[1]ARS!$4:$4,0),FALSE),"-"))</f>
        <v>-</v>
      </c>
    </row>
    <row r="93" spans="1:75" ht="12.75" customHeight="1" x14ac:dyDescent="0.2">
      <c r="AT93" s="224"/>
      <c r="AU93" s="278"/>
      <c r="AV93" s="278"/>
      <c r="AW93" s="278"/>
      <c r="BF93" s="217" t="str">
        <f>IF(OR(IFERROR(VLOOKUP(BP93,[1]ARS!A:EL,MATCH("Price To Earnings",[1]ARS!$4:$4,0),FALSE),"-")&lt;0,IFERROR(VLOOKUP(BP93,[1]ARS!A:EL,MATCH("Price To Earnings",[1]ARS!$4:$4,0),FALSE),"-")&gt;500),"-",IFERROR(VLOOKUP(BP93,[1]ARS!A:EL,MATCH("Price To Earnings",[1]ARS!$4:$4,0),FALSE),"-"))</f>
        <v>-</v>
      </c>
    </row>
    <row r="94" spans="1:75" ht="12.75" customHeight="1" x14ac:dyDescent="0.2">
      <c r="AT94" s="224"/>
      <c r="AU94" s="278"/>
      <c r="AV94" s="278"/>
      <c r="AW94" s="278"/>
      <c r="BF94" s="217" t="str">
        <f>IF(OR(IFERROR(VLOOKUP(BP94,[1]ARS!A:EL,MATCH("Price To Earnings",[1]ARS!$4:$4,0),FALSE),"-")&lt;0,IFERROR(VLOOKUP(BP94,[1]ARS!A:EL,MATCH("Price To Earnings",[1]ARS!$4:$4,0),FALSE),"-")&gt;500),"-",IFERROR(VLOOKUP(BP94,[1]ARS!A:EL,MATCH("Price To Earnings",[1]ARS!$4:$4,0),FALSE),"-"))</f>
        <v>-</v>
      </c>
    </row>
    <row r="95" spans="1:75" ht="12.75" customHeight="1" x14ac:dyDescent="0.2">
      <c r="AT95" s="224"/>
      <c r="AU95" s="278"/>
      <c r="AV95" s="278"/>
      <c r="AW95" s="278"/>
    </row>
    <row r="96" spans="1:75" ht="12.75" customHeight="1" x14ac:dyDescent="0.2">
      <c r="AT96" s="224"/>
      <c r="AU96" s="278"/>
      <c r="AV96" s="278"/>
      <c r="AW96" s="278"/>
      <c r="BF96" s="217" t="str">
        <f>IF(OR(IFERROR(VLOOKUP(BP96,[1]ARS!A:EL,MATCH("Price To Earnings",[1]ARS!$4:$4,0),FALSE),"-")&lt;0,IFERROR(VLOOKUP(BP96,[1]ARS!A:EL,MATCH("Price To Earnings",[1]ARS!$4:$4,0),FALSE),"-")&gt;500),"-",IFERROR(VLOOKUP(BP96,[1]ARS!A:EL,MATCH("Price To Earnings",[1]ARS!$4:$4,0),FALSE),"-"))</f>
        <v>-</v>
      </c>
    </row>
    <row r="97" spans="46:58" ht="12.75" customHeight="1" x14ac:dyDescent="0.2">
      <c r="AT97" s="224"/>
      <c r="AU97" s="278"/>
      <c r="AV97" s="278"/>
      <c r="AW97" s="278"/>
      <c r="BF97" s="217" t="str">
        <f>IF(OR(IFERROR(VLOOKUP(BP97,[1]ARS!A:EL,MATCH("Price To Earnings",[1]ARS!$4:$4,0),FALSE),"-")&lt;0,IFERROR(VLOOKUP(BP97,[1]ARS!A:EL,MATCH("Price To Earnings",[1]ARS!$4:$4,0),FALSE),"-")&gt;500),"-",IFERROR(VLOOKUP(BP97,[1]ARS!A:EL,MATCH("Price To Earnings",[1]ARS!$4:$4,0),FALSE),"-"))</f>
        <v>-</v>
      </c>
    </row>
    <row r="98" spans="46:58" ht="12.75" customHeight="1" x14ac:dyDescent="0.2">
      <c r="AT98" s="224"/>
      <c r="AU98" s="278"/>
      <c r="AV98" s="278"/>
      <c r="AW98" s="278"/>
    </row>
    <row r="99" spans="46:58" ht="12.75" customHeight="1" x14ac:dyDescent="0.2">
      <c r="AT99" s="224"/>
      <c r="AU99" s="278"/>
      <c r="AV99" s="278"/>
      <c r="AW99" s="278"/>
    </row>
    <row r="100" spans="46:58" ht="12.75" customHeight="1" x14ac:dyDescent="0.2">
      <c r="AT100" s="224"/>
      <c r="AU100" s="278"/>
      <c r="AV100" s="278"/>
      <c r="AW100" s="278"/>
    </row>
    <row r="101" spans="46:58" ht="12.75" customHeight="1" x14ac:dyDescent="0.2">
      <c r="AT101" s="224"/>
      <c r="AU101" s="278"/>
      <c r="AV101" s="278"/>
      <c r="AW101" s="278"/>
    </row>
    <row r="102" spans="46:58" ht="12.75" customHeight="1" x14ac:dyDescent="0.2">
      <c r="AT102" s="224"/>
      <c r="AU102" s="278"/>
      <c r="AV102" s="278"/>
      <c r="AW102" s="278"/>
    </row>
    <row r="103" spans="46:58" ht="12.75" customHeight="1" x14ac:dyDescent="0.2">
      <c r="AT103" s="224"/>
      <c r="AU103" s="278"/>
      <c r="AV103" s="278"/>
      <c r="AW103" s="278"/>
    </row>
    <row r="104" spans="46:58" ht="12.75" customHeight="1" x14ac:dyDescent="0.2">
      <c r="AT104" s="224"/>
      <c r="AU104" s="278"/>
      <c r="AV104" s="278"/>
      <c r="AW104" s="278"/>
    </row>
    <row r="105" spans="46:58" ht="12.75" customHeight="1" x14ac:dyDescent="0.2">
      <c r="AT105" s="224"/>
      <c r="AU105" s="278"/>
      <c r="AV105" s="278"/>
      <c r="AW105" s="278"/>
    </row>
    <row r="106" spans="46:58" ht="12.75" customHeight="1" x14ac:dyDescent="0.2">
      <c r="AT106" s="224"/>
      <c r="AU106" s="278"/>
      <c r="AV106" s="278"/>
      <c r="AW106" s="278"/>
    </row>
    <row r="107" spans="46:58" ht="12.75" customHeight="1" x14ac:dyDescent="0.2">
      <c r="AT107" s="224"/>
      <c r="AU107" s="278"/>
      <c r="AV107" s="278"/>
      <c r="AW107" s="278"/>
    </row>
    <row r="108" spans="46:58" ht="12.75" customHeight="1" x14ac:dyDescent="0.2">
      <c r="AT108" s="224"/>
      <c r="AU108" s="278"/>
      <c r="AV108" s="278"/>
      <c r="AW108" s="278"/>
    </row>
    <row r="109" spans="46:58" ht="12.75" customHeight="1" x14ac:dyDescent="0.2">
      <c r="AT109" s="224"/>
    </row>
    <row r="110" spans="46:58" ht="12.75" customHeight="1" x14ac:dyDescent="0.2">
      <c r="AT110" s="224"/>
    </row>
    <row r="111" spans="46:58" ht="12.75" customHeight="1" x14ac:dyDescent="0.2">
      <c r="AT111" s="224"/>
    </row>
    <row r="112" spans="46:58" ht="12.75" customHeight="1" x14ac:dyDescent="0.2">
      <c r="AT112" s="224"/>
    </row>
    <row r="113" spans="46:46" ht="12.75" customHeight="1" x14ac:dyDescent="0.2">
      <c r="AT113" s="224"/>
    </row>
    <row r="114" spans="46:46" ht="12.75" customHeight="1" x14ac:dyDescent="0.2">
      <c r="AT114" s="224"/>
    </row>
    <row r="115" spans="46:46" ht="12.75" customHeight="1" x14ac:dyDescent="0.2">
      <c r="AT115" s="224"/>
    </row>
    <row r="116" spans="46:46" ht="12.75" customHeight="1" x14ac:dyDescent="0.2">
      <c r="AT116" s="224"/>
    </row>
    <row r="117" spans="46:46" ht="12.75" customHeight="1" x14ac:dyDescent="0.2">
      <c r="AT117" s="224"/>
    </row>
    <row r="118" spans="46:46" ht="12.75" customHeight="1" x14ac:dyDescent="0.2">
      <c r="AT118" s="224"/>
    </row>
    <row r="119" spans="46:46" ht="12.75" customHeight="1" x14ac:dyDescent="0.2">
      <c r="AT119" s="224"/>
    </row>
    <row r="120" spans="46:46" ht="12.75" customHeight="1" x14ac:dyDescent="0.2">
      <c r="AT120" s="224"/>
    </row>
    <row r="121" spans="46:46" ht="12.75" customHeight="1" x14ac:dyDescent="0.2">
      <c r="AT121" s="224"/>
    </row>
    <row r="122" spans="46:46" ht="12.75" customHeight="1" x14ac:dyDescent="0.2">
      <c r="AT122" s="224"/>
    </row>
    <row r="123" spans="46:46" ht="12.75" customHeight="1" x14ac:dyDescent="0.2">
      <c r="AT123" s="224"/>
    </row>
    <row r="124" spans="46:46" ht="12.75" customHeight="1" x14ac:dyDescent="0.2">
      <c r="AT124" s="224"/>
    </row>
    <row r="125" spans="46:46" ht="12.75" customHeight="1" x14ac:dyDescent="0.2">
      <c r="AT125" s="224"/>
    </row>
    <row r="126" spans="46:46" ht="12.75" customHeight="1" x14ac:dyDescent="0.2">
      <c r="AT126" s="224"/>
    </row>
    <row r="127" spans="46:46" ht="12.75" customHeight="1" x14ac:dyDescent="0.2">
      <c r="AT127" s="224"/>
    </row>
    <row r="128" spans="46:46" ht="12.75" customHeight="1" x14ac:dyDescent="0.2">
      <c r="AT128" s="224"/>
    </row>
    <row r="129" spans="46:49" ht="12.75" customHeight="1" x14ac:dyDescent="0.2">
      <c r="AT129" s="224"/>
    </row>
    <row r="130" spans="46:49" ht="12.75" customHeight="1" x14ac:dyDescent="0.2">
      <c r="AT130" s="224"/>
    </row>
    <row r="131" spans="46:49" ht="12.75" customHeight="1" x14ac:dyDescent="0.2">
      <c r="AT131" s="224"/>
      <c r="AU131" s="279"/>
      <c r="AV131" s="279"/>
      <c r="AW131" s="279"/>
    </row>
    <row r="132" spans="46:49" ht="12.75" customHeight="1" x14ac:dyDescent="0.2">
      <c r="AT132" s="224"/>
      <c r="AU132" s="279"/>
      <c r="AV132" s="279"/>
      <c r="AW132" s="279"/>
    </row>
    <row r="133" spans="46:49" ht="12.75" customHeight="1" x14ac:dyDescent="0.2">
      <c r="AT133" s="224"/>
      <c r="AU133" s="279"/>
      <c r="AV133" s="279"/>
      <c r="AW133" s="279"/>
    </row>
    <row r="134" spans="46:49" ht="12.75" customHeight="1" x14ac:dyDescent="0.2">
      <c r="AT134" s="224"/>
      <c r="AU134" s="279"/>
      <c r="AV134" s="279"/>
      <c r="AW134" s="279"/>
    </row>
    <row r="135" spans="46:49" ht="12.75" customHeight="1" x14ac:dyDescent="0.2">
      <c r="AT135" s="224"/>
    </row>
    <row r="136" spans="46:49" ht="12.75" customHeight="1" x14ac:dyDescent="0.2">
      <c r="AT136" s="224"/>
    </row>
    <row r="137" spans="46:49" ht="12.75" customHeight="1" x14ac:dyDescent="0.2">
      <c r="AT137" s="224"/>
    </row>
    <row r="138" spans="46:49" ht="12.75" customHeight="1" x14ac:dyDescent="0.2">
      <c r="AT138" s="224"/>
    </row>
    <row r="139" spans="46:49" ht="12.75" customHeight="1" x14ac:dyDescent="0.2">
      <c r="AT139" s="224"/>
    </row>
    <row r="140" spans="46:49" ht="12.75" customHeight="1" x14ac:dyDescent="0.2">
      <c r="AT140" s="224"/>
    </row>
    <row r="141" spans="46:49" ht="12.75" customHeight="1" x14ac:dyDescent="0.2">
      <c r="AT141" s="224"/>
    </row>
    <row r="142" spans="46:49" ht="12.75" customHeight="1" x14ac:dyDescent="0.2">
      <c r="AT142" s="224"/>
    </row>
    <row r="143" spans="46:49" ht="12.75" customHeight="1" x14ac:dyDescent="0.2">
      <c r="AT143" s="224"/>
    </row>
    <row r="144" spans="46:49" ht="12.75" customHeight="1" x14ac:dyDescent="0.2">
      <c r="AT144" s="224"/>
    </row>
    <row r="145" spans="46:46" ht="12.75" customHeight="1" x14ac:dyDescent="0.2">
      <c r="AT145" s="224"/>
    </row>
    <row r="146" spans="46:46" ht="12.75" customHeight="1" x14ac:dyDescent="0.2">
      <c r="AT146" s="224"/>
    </row>
    <row r="147" spans="46:46" ht="12.75" customHeight="1" x14ac:dyDescent="0.2">
      <c r="AT147" s="224"/>
    </row>
    <row r="148" spans="46:46" ht="12.75" customHeight="1" x14ac:dyDescent="0.2">
      <c r="AT148" s="224"/>
    </row>
    <row r="149" spans="46:46" ht="12.75" customHeight="1" x14ac:dyDescent="0.2">
      <c r="AT149" s="224"/>
    </row>
    <row r="150" spans="46:46" ht="12.75" customHeight="1" x14ac:dyDescent="0.2">
      <c r="AT150" s="224"/>
    </row>
    <row r="151" spans="46:46" ht="12.75" customHeight="1" x14ac:dyDescent="0.2">
      <c r="AT151" s="224"/>
    </row>
    <row r="152" spans="46:46" ht="12.75" customHeight="1" x14ac:dyDescent="0.2">
      <c r="AT152" s="224"/>
    </row>
    <row r="153" spans="46:46" ht="12.75" customHeight="1" x14ac:dyDescent="0.2">
      <c r="AT153" s="224"/>
    </row>
    <row r="154" spans="46:46" ht="12.75" customHeight="1" x14ac:dyDescent="0.2">
      <c r="AT154" s="224"/>
    </row>
    <row r="155" spans="46:46" ht="12.75" customHeight="1" x14ac:dyDescent="0.2">
      <c r="AT155" s="224"/>
    </row>
    <row r="156" spans="46:46" ht="12.75" customHeight="1" x14ac:dyDescent="0.2">
      <c r="AT156" s="224"/>
    </row>
    <row r="157" spans="46:46" ht="12.75" customHeight="1" x14ac:dyDescent="0.2">
      <c r="AT157" s="224"/>
    </row>
    <row r="158" spans="46:46" ht="12.75" customHeight="1" x14ac:dyDescent="0.2">
      <c r="AT158" s="224"/>
    </row>
    <row r="159" spans="46:46" ht="12.75" customHeight="1" x14ac:dyDescent="0.2">
      <c r="AT159" s="224"/>
    </row>
    <row r="160" spans="46:46" ht="12.75" customHeight="1" x14ac:dyDescent="0.2">
      <c r="AT160" s="224"/>
    </row>
    <row r="161" spans="46:49" ht="12.75" customHeight="1" x14ac:dyDescent="0.2">
      <c r="AT161" s="224"/>
    </row>
    <row r="162" spans="46:49" ht="12.75" customHeight="1" x14ac:dyDescent="0.2">
      <c r="AT162" s="224"/>
    </row>
    <row r="163" spans="46:49" ht="12.75" customHeight="1" x14ac:dyDescent="0.2">
      <c r="AT163" s="224"/>
    </row>
    <row r="164" spans="46:49" ht="12.75" customHeight="1" x14ac:dyDescent="0.2">
      <c r="AT164" s="224"/>
    </row>
    <row r="165" spans="46:49" ht="12.75" customHeight="1" x14ac:dyDescent="0.2">
      <c r="AT165" s="224"/>
    </row>
    <row r="166" spans="46:49" ht="12.75" customHeight="1" x14ac:dyDescent="0.2">
      <c r="AT166" s="224"/>
    </row>
    <row r="167" spans="46:49" ht="12.75" customHeight="1" x14ac:dyDescent="0.2">
      <c r="AT167" s="224"/>
    </row>
    <row r="168" spans="46:49" ht="12.75" customHeight="1" x14ac:dyDescent="0.2">
      <c r="AT168" s="224"/>
    </row>
    <row r="169" spans="46:49" ht="12.75" customHeight="1" x14ac:dyDescent="0.2">
      <c r="AT169" s="224"/>
    </row>
    <row r="170" spans="46:49" ht="12.75" customHeight="1" x14ac:dyDescent="0.2">
      <c r="AT170" s="224"/>
    </row>
    <row r="171" spans="46:49" ht="12.75" customHeight="1" x14ac:dyDescent="0.2">
      <c r="AT171" s="224"/>
      <c r="AU171" s="280"/>
      <c r="AV171" s="280"/>
      <c r="AW171" s="280"/>
    </row>
    <row r="172" spans="46:49" ht="12.75" customHeight="1" x14ac:dyDescent="0.2">
      <c r="AT172" s="224"/>
      <c r="AU172" s="280"/>
      <c r="AV172" s="280"/>
      <c r="AW172" s="280"/>
    </row>
    <row r="173" spans="46:49" ht="12.75" customHeight="1" x14ac:dyDescent="0.2">
      <c r="AT173" s="224"/>
      <c r="AU173" s="280"/>
      <c r="AV173" s="280"/>
      <c r="AW173" s="280"/>
    </row>
    <row r="174" spans="46:49" ht="12.75" customHeight="1" x14ac:dyDescent="0.2">
      <c r="AT174" s="224"/>
      <c r="AU174" s="280"/>
      <c r="AV174" s="280"/>
      <c r="AW174" s="280"/>
    </row>
    <row r="175" spans="46:49" ht="12.75" customHeight="1" x14ac:dyDescent="0.2">
      <c r="AT175" s="224"/>
      <c r="AU175" s="280"/>
      <c r="AV175" s="280"/>
      <c r="AW175" s="280"/>
    </row>
    <row r="176" spans="46:49" ht="12.75" customHeight="1" x14ac:dyDescent="0.2">
      <c r="AT176" s="224"/>
      <c r="AU176" s="280"/>
      <c r="AV176" s="280"/>
      <c r="AW176" s="280"/>
    </row>
    <row r="177" spans="46:49" ht="12.75" customHeight="1" x14ac:dyDescent="0.2">
      <c r="AT177" s="224"/>
      <c r="AU177" s="280"/>
      <c r="AV177" s="280"/>
      <c r="AW177" s="280"/>
    </row>
    <row r="178" spans="46:49" ht="12.75" customHeight="1" x14ac:dyDescent="0.2">
      <c r="AT178" s="224"/>
      <c r="AU178" s="280"/>
      <c r="AV178" s="280"/>
      <c r="AW178" s="280"/>
    </row>
    <row r="179" spans="46:49" ht="12.75" customHeight="1" x14ac:dyDescent="0.2">
      <c r="AT179" s="224"/>
      <c r="AU179" s="280"/>
      <c r="AV179" s="280"/>
      <c r="AW179" s="280"/>
    </row>
    <row r="180" spans="46:49" ht="12.75" customHeight="1" x14ac:dyDescent="0.2">
      <c r="AT180" s="224"/>
      <c r="AU180" s="280"/>
      <c r="AV180" s="280"/>
      <c r="AW180" s="280"/>
    </row>
    <row r="181" spans="46:49" ht="12.75" customHeight="1" x14ac:dyDescent="0.2">
      <c r="AT181" s="224"/>
      <c r="AU181" s="280"/>
      <c r="AV181" s="280"/>
      <c r="AW181" s="280"/>
    </row>
    <row r="182" spans="46:49" ht="12.75" customHeight="1" x14ac:dyDescent="0.2">
      <c r="AT182" s="224"/>
      <c r="AU182" s="280"/>
      <c r="AV182" s="280"/>
      <c r="AW182" s="280"/>
    </row>
    <row r="183" spans="46:49" ht="12.75" customHeight="1" x14ac:dyDescent="0.2">
      <c r="AT183" s="224"/>
      <c r="AU183" s="280"/>
      <c r="AV183" s="280"/>
      <c r="AW183" s="280"/>
    </row>
    <row r="184" spans="46:49" ht="12.75" customHeight="1" x14ac:dyDescent="0.2">
      <c r="AT184" s="224"/>
      <c r="AU184" s="280"/>
      <c r="AV184" s="280"/>
      <c r="AW184" s="280"/>
    </row>
    <row r="185" spans="46:49" ht="12.75" customHeight="1" x14ac:dyDescent="0.2">
      <c r="AT185" s="224"/>
      <c r="AU185" s="280"/>
      <c r="AV185" s="280"/>
      <c r="AW185" s="280"/>
    </row>
    <row r="186" spans="46:49" ht="12.75" customHeight="1" x14ac:dyDescent="0.2">
      <c r="AT186" s="224"/>
      <c r="AU186" s="280"/>
      <c r="AV186" s="280"/>
      <c r="AW186" s="280"/>
    </row>
    <row r="187" spans="46:49" ht="12.75" customHeight="1" x14ac:dyDescent="0.2">
      <c r="AT187" s="224"/>
      <c r="AU187" s="280"/>
      <c r="AV187" s="280"/>
      <c r="AW187" s="280"/>
    </row>
    <row r="188" spans="46:49" ht="12.75" customHeight="1" x14ac:dyDescent="0.2">
      <c r="AT188" s="224"/>
      <c r="AU188" s="280"/>
      <c r="AV188" s="280"/>
      <c r="AW188" s="280"/>
    </row>
    <row r="189" spans="46:49" ht="12.75" customHeight="1" x14ac:dyDescent="0.2">
      <c r="AT189" s="224"/>
      <c r="AU189" s="280"/>
      <c r="AV189" s="280"/>
      <c r="AW189" s="280"/>
    </row>
    <row r="190" spans="46:49" ht="12.75" customHeight="1" x14ac:dyDescent="0.2">
      <c r="AT190" s="224"/>
      <c r="AU190" s="280"/>
      <c r="AV190" s="280"/>
      <c r="AW190" s="280"/>
    </row>
    <row r="191" spans="46:49" ht="12.75" customHeight="1" x14ac:dyDescent="0.2">
      <c r="AT191" s="224"/>
      <c r="AU191" s="280"/>
      <c r="AV191" s="280"/>
      <c r="AW191" s="280"/>
    </row>
    <row r="192" spans="46:49" ht="12.75" customHeight="1" x14ac:dyDescent="0.2">
      <c r="AT192" s="224"/>
      <c r="AU192" s="280"/>
      <c r="AV192" s="280"/>
      <c r="AW192" s="280"/>
    </row>
    <row r="193" spans="46:49" ht="12.75" customHeight="1" x14ac:dyDescent="0.2">
      <c r="AT193" s="224"/>
      <c r="AU193" s="280"/>
      <c r="AV193" s="280"/>
      <c r="AW193" s="280"/>
    </row>
    <row r="194" spans="46:49" ht="12.75" customHeight="1" x14ac:dyDescent="0.2">
      <c r="AT194" s="224"/>
      <c r="AU194" s="280"/>
      <c r="AV194" s="280"/>
      <c r="AW194" s="280"/>
    </row>
    <row r="195" spans="46:49" ht="12.75" customHeight="1" x14ac:dyDescent="0.2">
      <c r="AT195" s="224"/>
      <c r="AU195" s="280"/>
      <c r="AV195" s="280"/>
      <c r="AW195" s="280"/>
    </row>
    <row r="196" spans="46:49" ht="12.75" customHeight="1" x14ac:dyDescent="0.2">
      <c r="AT196" s="224"/>
      <c r="AU196" s="280"/>
      <c r="AV196" s="280"/>
      <c r="AW196" s="280"/>
    </row>
    <row r="197" spans="46:49" ht="12.75" customHeight="1" x14ac:dyDescent="0.2">
      <c r="AT197" s="224"/>
      <c r="AU197" s="280"/>
      <c r="AV197" s="280"/>
      <c r="AW197" s="280"/>
    </row>
    <row r="198" spans="46:49" ht="12.75" customHeight="1" x14ac:dyDescent="0.2">
      <c r="AT198" s="224"/>
      <c r="AU198" s="280"/>
      <c r="AV198" s="280"/>
      <c r="AW198" s="280"/>
    </row>
    <row r="199" spans="46:49" ht="12.75" customHeight="1" x14ac:dyDescent="0.2">
      <c r="AT199" s="224"/>
      <c r="AU199" s="280"/>
      <c r="AV199" s="280"/>
      <c r="AW199" s="280"/>
    </row>
    <row r="200" spans="46:49" ht="12.75" customHeight="1" x14ac:dyDescent="0.2">
      <c r="AT200" s="224"/>
    </row>
    <row r="201" spans="46:49" ht="12.75" customHeight="1" x14ac:dyDescent="0.2">
      <c r="AT201" s="224"/>
    </row>
    <row r="202" spans="46:49" ht="12.75" customHeight="1" x14ac:dyDescent="0.2">
      <c r="AT202" s="224"/>
    </row>
    <row r="203" spans="46:49" ht="12.75" customHeight="1" x14ac:dyDescent="0.2">
      <c r="AT203" s="224"/>
    </row>
    <row r="204" spans="46:49" ht="12.75" customHeight="1" x14ac:dyDescent="0.2">
      <c r="AT204" s="224"/>
    </row>
    <row r="205" spans="46:49" ht="12.75" customHeight="1" x14ac:dyDescent="0.2">
      <c r="AT205" s="224"/>
    </row>
    <row r="206" spans="46:49" ht="12.75" customHeight="1" x14ac:dyDescent="0.2">
      <c r="AT206" s="224"/>
    </row>
    <row r="207" spans="46:49" ht="12.75" customHeight="1" x14ac:dyDescent="0.2">
      <c r="AT207" s="224"/>
    </row>
    <row r="208" spans="46:49" ht="12.75" customHeight="1" x14ac:dyDescent="0.2">
      <c r="AT208" s="224"/>
    </row>
    <row r="209" spans="46:46" ht="12.75" customHeight="1" x14ac:dyDescent="0.2">
      <c r="AT209" s="224"/>
    </row>
    <row r="210" spans="46:46" ht="12.75" customHeight="1" x14ac:dyDescent="0.2">
      <c r="AT210" s="224"/>
    </row>
    <row r="211" spans="46:46" ht="12.75" customHeight="1" x14ac:dyDescent="0.2">
      <c r="AT211" s="224"/>
    </row>
    <row r="212" spans="46:46" ht="12.75" customHeight="1" x14ac:dyDescent="0.2">
      <c r="AT212" s="224"/>
    </row>
    <row r="213" spans="46:46" ht="12.75" customHeight="1" x14ac:dyDescent="0.2">
      <c r="AT213" s="224"/>
    </row>
    <row r="214" spans="46:46" ht="12.75" customHeight="1" x14ac:dyDescent="0.2">
      <c r="AT214" s="224"/>
    </row>
    <row r="215" spans="46:46" ht="12.75" customHeight="1" x14ac:dyDescent="0.2">
      <c r="AT215" s="224"/>
    </row>
    <row r="216" spans="46:46" ht="12.75" customHeight="1" x14ac:dyDescent="0.2">
      <c r="AT216" s="224"/>
    </row>
    <row r="217" spans="46:46" ht="12.75" customHeight="1" x14ac:dyDescent="0.2">
      <c r="AT217" s="224"/>
    </row>
    <row r="218" spans="46:46" ht="12.75" customHeight="1" x14ac:dyDescent="0.2">
      <c r="AT218" s="224"/>
    </row>
    <row r="219" spans="46:46" ht="12.75" customHeight="1" x14ac:dyDescent="0.2">
      <c r="AT219" s="224"/>
    </row>
    <row r="220" spans="46:46" ht="12.75" customHeight="1" x14ac:dyDescent="0.2">
      <c r="AT220" s="224"/>
    </row>
    <row r="221" spans="46:46" ht="12.75" customHeight="1" x14ac:dyDescent="0.2">
      <c r="AT221" s="224"/>
    </row>
    <row r="222" spans="46:46" ht="12.75" customHeight="1" x14ac:dyDescent="0.2">
      <c r="AT222" s="224"/>
    </row>
    <row r="223" spans="46:46" ht="12.75" customHeight="1" x14ac:dyDescent="0.2">
      <c r="AT223" s="224"/>
    </row>
    <row r="224" spans="46:46" ht="12.75" customHeight="1" x14ac:dyDescent="0.2">
      <c r="AT224" s="224"/>
    </row>
    <row r="225" spans="46:46" ht="12.75" customHeight="1" x14ac:dyDescent="0.2">
      <c r="AT225" s="224"/>
    </row>
    <row r="226" spans="46:46" ht="12.75" customHeight="1" x14ac:dyDescent="0.2">
      <c r="AT226" s="224"/>
    </row>
    <row r="227" spans="46:46" ht="12.75" customHeight="1" x14ac:dyDescent="0.2">
      <c r="AT227" s="224"/>
    </row>
    <row r="228" spans="46:46" ht="12.75" customHeight="1" x14ac:dyDescent="0.2">
      <c r="AT228" s="224"/>
    </row>
    <row r="229" spans="46:46" ht="12.75" customHeight="1" x14ac:dyDescent="0.2">
      <c r="AT229" s="224"/>
    </row>
    <row r="230" spans="46:46" ht="12.75" customHeight="1" x14ac:dyDescent="0.2">
      <c r="AT230" s="224"/>
    </row>
    <row r="231" spans="46:46" ht="12.75" customHeight="1" x14ac:dyDescent="0.2">
      <c r="AT231" s="224"/>
    </row>
    <row r="232" spans="46:46" ht="12.75" customHeight="1" x14ac:dyDescent="0.2">
      <c r="AT232" s="224"/>
    </row>
    <row r="233" spans="46:46" ht="12.75" customHeight="1" x14ac:dyDescent="0.2">
      <c r="AT233" s="224"/>
    </row>
    <row r="234" spans="46:46" ht="12.75" customHeight="1" x14ac:dyDescent="0.2">
      <c r="AT234" s="224"/>
    </row>
    <row r="235" spans="46:46" ht="12.75" customHeight="1" x14ac:dyDescent="0.2">
      <c r="AT235" s="224"/>
    </row>
    <row r="236" spans="46:46" ht="12.75" customHeight="1" x14ac:dyDescent="0.2">
      <c r="AT236" s="224"/>
    </row>
    <row r="237" spans="46:46" ht="12.75" customHeight="1" x14ac:dyDescent="0.2">
      <c r="AT237" s="224"/>
    </row>
    <row r="238" spans="46:46" ht="12.75" customHeight="1" x14ac:dyDescent="0.2">
      <c r="AT238" s="224"/>
    </row>
    <row r="239" spans="46:46" ht="12.75" customHeight="1" x14ac:dyDescent="0.2">
      <c r="AT239" s="224"/>
    </row>
    <row r="240" spans="46:46" ht="12.75" customHeight="1" x14ac:dyDescent="0.2">
      <c r="AT240" s="224"/>
    </row>
    <row r="241" spans="46:46" ht="12.75" customHeight="1" x14ac:dyDescent="0.2">
      <c r="AT241" s="224"/>
    </row>
    <row r="242" spans="46:46" ht="12.75" customHeight="1" x14ac:dyDescent="0.2">
      <c r="AT242" s="224"/>
    </row>
    <row r="243" spans="46:46" ht="12.75" customHeight="1" x14ac:dyDescent="0.2">
      <c r="AT243" s="224"/>
    </row>
    <row r="244" spans="46:46" ht="12.75" customHeight="1" x14ac:dyDescent="0.2">
      <c r="AT244" s="224"/>
    </row>
    <row r="245" spans="46:46" ht="12.75" customHeight="1" x14ac:dyDescent="0.2">
      <c r="AT245" s="224"/>
    </row>
    <row r="246" spans="46:46" ht="12.75" customHeight="1" x14ac:dyDescent="0.2">
      <c r="AT246" s="224"/>
    </row>
    <row r="247" spans="46:46" ht="12.75" customHeight="1" x14ac:dyDescent="0.2">
      <c r="AT247" s="224"/>
    </row>
    <row r="248" spans="46:46" ht="12.75" customHeight="1" x14ac:dyDescent="0.2">
      <c r="AT248" s="224"/>
    </row>
    <row r="249" spans="46:46" ht="12.75" customHeight="1" x14ac:dyDescent="0.2">
      <c r="AT249" s="224"/>
    </row>
    <row r="250" spans="46:46" ht="12.75" customHeight="1" x14ac:dyDescent="0.2">
      <c r="AT250" s="224"/>
    </row>
    <row r="251" spans="46:46" ht="12.75" customHeight="1" x14ac:dyDescent="0.2">
      <c r="AT251" s="224"/>
    </row>
    <row r="252" spans="46:46" ht="12.75" customHeight="1" x14ac:dyDescent="0.2">
      <c r="AT252" s="224"/>
    </row>
    <row r="253" spans="46:46" ht="12.75" customHeight="1" x14ac:dyDescent="0.2">
      <c r="AT253" s="224"/>
    </row>
    <row r="254" spans="46:46" ht="12.75" customHeight="1" x14ac:dyDescent="0.2">
      <c r="AT254" s="224"/>
    </row>
    <row r="255" spans="46:46" ht="12.75" customHeight="1" x14ac:dyDescent="0.2">
      <c r="AT255" s="224"/>
    </row>
    <row r="256" spans="46:46" ht="12.75" customHeight="1" x14ac:dyDescent="0.2">
      <c r="AT256" s="224"/>
    </row>
    <row r="257" spans="46:46" ht="12.75" customHeight="1" x14ac:dyDescent="0.2">
      <c r="AT257" s="224"/>
    </row>
    <row r="258" spans="46:46" ht="12.75" customHeight="1" x14ac:dyDescent="0.2">
      <c r="AT258" s="224"/>
    </row>
    <row r="259" spans="46:46" ht="12.75" customHeight="1" x14ac:dyDescent="0.2">
      <c r="AT259" s="224"/>
    </row>
    <row r="260" spans="46:46" ht="12.75" customHeight="1" x14ac:dyDescent="0.2">
      <c r="AT260" s="224"/>
    </row>
    <row r="261" spans="46:46" ht="12.75" customHeight="1" x14ac:dyDescent="0.2">
      <c r="AT261" s="224"/>
    </row>
    <row r="262" spans="46:46" ht="12.75" customHeight="1" x14ac:dyDescent="0.2">
      <c r="AT262" s="224"/>
    </row>
    <row r="263" spans="46:46" ht="12.75" customHeight="1" x14ac:dyDescent="0.2">
      <c r="AT263" s="224"/>
    </row>
    <row r="264" spans="46:46" ht="12.75" customHeight="1" x14ac:dyDescent="0.2">
      <c r="AT264" s="224"/>
    </row>
    <row r="265" spans="46:46" ht="12.75" customHeight="1" x14ac:dyDescent="0.2">
      <c r="AT265" s="224"/>
    </row>
    <row r="266" spans="46:46" ht="12.75" customHeight="1" x14ac:dyDescent="0.2">
      <c r="AT266" s="224"/>
    </row>
    <row r="267" spans="46:46" ht="12.75" customHeight="1" x14ac:dyDescent="0.2">
      <c r="AT267" s="224"/>
    </row>
    <row r="268" spans="46:46" ht="12.75" customHeight="1" x14ac:dyDescent="0.2">
      <c r="AT268" s="224"/>
    </row>
    <row r="269" spans="46:46" ht="12.75" customHeight="1" x14ac:dyDescent="0.2">
      <c r="AT269" s="224"/>
    </row>
    <row r="270" spans="46:46" ht="12.75" customHeight="1" x14ac:dyDescent="0.2">
      <c r="AT270" s="224"/>
    </row>
    <row r="271" spans="46:46" ht="12.75" customHeight="1" x14ac:dyDescent="0.2">
      <c r="AT271" s="224"/>
    </row>
    <row r="272" spans="46:46" ht="12.75" customHeight="1" x14ac:dyDescent="0.2">
      <c r="AT272" s="224"/>
    </row>
    <row r="273" spans="46:46" ht="12.75" customHeight="1" x14ac:dyDescent="0.2">
      <c r="AT273" s="224"/>
    </row>
    <row r="274" spans="46:46" ht="12.75" customHeight="1" x14ac:dyDescent="0.2">
      <c r="AT274" s="224"/>
    </row>
    <row r="275" spans="46:46" ht="12.75" customHeight="1" x14ac:dyDescent="0.2">
      <c r="AT275" s="224"/>
    </row>
    <row r="276" spans="46:46" ht="12.75" customHeight="1" x14ac:dyDescent="0.2">
      <c r="AT276" s="224"/>
    </row>
    <row r="277" spans="46:46" ht="12.75" customHeight="1" x14ac:dyDescent="0.2">
      <c r="AT277" s="224"/>
    </row>
    <row r="278" spans="46:46" ht="12.75" customHeight="1" x14ac:dyDescent="0.2">
      <c r="AT278" s="224"/>
    </row>
    <row r="279" spans="46:46" ht="12.75" customHeight="1" x14ac:dyDescent="0.2">
      <c r="AT279" s="224"/>
    </row>
    <row r="280" spans="46:46" ht="12.75" customHeight="1" x14ac:dyDescent="0.2">
      <c r="AT280" s="224"/>
    </row>
    <row r="281" spans="46:46" ht="12.75" customHeight="1" x14ac:dyDescent="0.2">
      <c r="AT281" s="224"/>
    </row>
    <row r="282" spans="46:46" ht="12.75" customHeight="1" x14ac:dyDescent="0.2">
      <c r="AT282" s="224"/>
    </row>
    <row r="283" spans="46:46" ht="12.75" customHeight="1" x14ac:dyDescent="0.2">
      <c r="AT283" s="224"/>
    </row>
    <row r="284" spans="46:46" ht="12.75" customHeight="1" x14ac:dyDescent="0.2">
      <c r="AT284" s="224"/>
    </row>
    <row r="285" spans="46:46" ht="12.75" customHeight="1" x14ac:dyDescent="0.2">
      <c r="AT285" s="224"/>
    </row>
    <row r="286" spans="46:46" ht="12.75" customHeight="1" x14ac:dyDescent="0.2">
      <c r="AT286" s="224"/>
    </row>
    <row r="287" spans="46:46" ht="12.75" customHeight="1" x14ac:dyDescent="0.2">
      <c r="AT287" s="224"/>
    </row>
    <row r="288" spans="46:46" ht="12.75" customHeight="1" x14ac:dyDescent="0.2">
      <c r="AT288" s="224"/>
    </row>
    <row r="289" spans="46:46" ht="12.75" customHeight="1" x14ac:dyDescent="0.2">
      <c r="AT289" s="224"/>
    </row>
    <row r="290" spans="46:46" ht="12.75" customHeight="1" x14ac:dyDescent="0.2">
      <c r="AT290" s="224"/>
    </row>
    <row r="291" spans="46:46" ht="12.75" customHeight="1" x14ac:dyDescent="0.2">
      <c r="AT291" s="224"/>
    </row>
    <row r="292" spans="46:46" ht="12.75" customHeight="1" x14ac:dyDescent="0.2">
      <c r="AT292" s="224"/>
    </row>
    <row r="293" spans="46:46" ht="12.75" customHeight="1" x14ac:dyDescent="0.2">
      <c r="AT293" s="224"/>
    </row>
    <row r="294" spans="46:46" ht="12.75" customHeight="1" x14ac:dyDescent="0.2">
      <c r="AT294" s="224"/>
    </row>
    <row r="295" spans="46:46" ht="12.75" customHeight="1" x14ac:dyDescent="0.2">
      <c r="AT295" s="224"/>
    </row>
    <row r="296" spans="46:46" ht="12.75" customHeight="1" x14ac:dyDescent="0.2">
      <c r="AT296" s="224"/>
    </row>
    <row r="297" spans="46:46" ht="12.75" customHeight="1" x14ac:dyDescent="0.2">
      <c r="AT297" s="224"/>
    </row>
    <row r="298" spans="46:46" ht="12.75" customHeight="1" x14ac:dyDescent="0.2">
      <c r="AT298" s="224"/>
    </row>
    <row r="299" spans="46:46" ht="12.75" customHeight="1" x14ac:dyDescent="0.2">
      <c r="AT299" s="224"/>
    </row>
    <row r="300" spans="46:46" ht="12.75" customHeight="1" x14ac:dyDescent="0.2">
      <c r="AT300" s="224"/>
    </row>
    <row r="301" spans="46:46" ht="12.75" customHeight="1" x14ac:dyDescent="0.2">
      <c r="AT301" s="224"/>
    </row>
    <row r="302" spans="46:46" ht="12.75" customHeight="1" x14ac:dyDescent="0.2">
      <c r="AT302" s="224"/>
    </row>
    <row r="303" spans="46:46" ht="12.75" customHeight="1" x14ac:dyDescent="0.2">
      <c r="AT303" s="224"/>
    </row>
    <row r="304" spans="46:46" ht="12.75" customHeight="1" x14ac:dyDescent="0.2">
      <c r="AT304" s="224"/>
    </row>
    <row r="305" spans="46:46" ht="12.75" customHeight="1" x14ac:dyDescent="0.2">
      <c r="AT305" s="224"/>
    </row>
    <row r="306" spans="46:46" ht="12.75" customHeight="1" x14ac:dyDescent="0.2">
      <c r="AT306" s="224"/>
    </row>
    <row r="307" spans="46:46" ht="12.75" customHeight="1" x14ac:dyDescent="0.2">
      <c r="AT307" s="224"/>
    </row>
    <row r="308" spans="46:46" ht="12.75" customHeight="1" x14ac:dyDescent="0.2">
      <c r="AT308" s="224"/>
    </row>
    <row r="309" spans="46:46" ht="12.75" customHeight="1" x14ac:dyDescent="0.2">
      <c r="AT309" s="224"/>
    </row>
    <row r="310" spans="46:46" ht="12.75" customHeight="1" x14ac:dyDescent="0.2">
      <c r="AT310" s="224"/>
    </row>
    <row r="311" spans="46:46" ht="12.75" customHeight="1" x14ac:dyDescent="0.2">
      <c r="AT311" s="224"/>
    </row>
    <row r="312" spans="46:46" ht="12.75" customHeight="1" x14ac:dyDescent="0.2">
      <c r="AT312" s="224"/>
    </row>
    <row r="313" spans="46:46" ht="12.75" customHeight="1" x14ac:dyDescent="0.2">
      <c r="AT313" s="224"/>
    </row>
    <row r="314" spans="46:46" ht="12.75" customHeight="1" x14ac:dyDescent="0.2">
      <c r="AT314" s="224"/>
    </row>
    <row r="315" spans="46:46" ht="12.75" customHeight="1" x14ac:dyDescent="0.2">
      <c r="AT315" s="224"/>
    </row>
    <row r="316" spans="46:46" ht="12.75" customHeight="1" x14ac:dyDescent="0.2">
      <c r="AT316" s="224"/>
    </row>
    <row r="317" spans="46:46" ht="12.75" customHeight="1" x14ac:dyDescent="0.2">
      <c r="AT317" s="224"/>
    </row>
    <row r="318" spans="46:46" ht="12.75" customHeight="1" x14ac:dyDescent="0.2">
      <c r="AT318" s="224"/>
    </row>
    <row r="319" spans="46:46" ht="12.75" customHeight="1" x14ac:dyDescent="0.2">
      <c r="AT319" s="224"/>
    </row>
    <row r="320" spans="46:46" ht="12.75" customHeight="1" x14ac:dyDescent="0.2">
      <c r="AT320" s="224"/>
    </row>
    <row r="321" spans="46:46" ht="12.75" customHeight="1" x14ac:dyDescent="0.2">
      <c r="AT321" s="224"/>
    </row>
    <row r="322" spans="46:46" ht="12.75" customHeight="1" x14ac:dyDescent="0.2">
      <c r="AT322" s="224"/>
    </row>
    <row r="323" spans="46:46" ht="12.75" customHeight="1" x14ac:dyDescent="0.2">
      <c r="AT323" s="224"/>
    </row>
    <row r="324" spans="46:46" ht="12.75" customHeight="1" x14ac:dyDescent="0.2">
      <c r="AT324" s="224"/>
    </row>
    <row r="325" spans="46:46" ht="12.75" customHeight="1" x14ac:dyDescent="0.2">
      <c r="AT325" s="224"/>
    </row>
    <row r="326" spans="46:46" ht="12.75" customHeight="1" x14ac:dyDescent="0.2">
      <c r="AT326" s="224"/>
    </row>
    <row r="327" spans="46:46" ht="12.75" customHeight="1" x14ac:dyDescent="0.2">
      <c r="AT327" s="224"/>
    </row>
    <row r="328" spans="46:46" ht="12.75" customHeight="1" x14ac:dyDescent="0.2">
      <c r="AT328" s="224"/>
    </row>
    <row r="329" spans="46:46" ht="12.75" customHeight="1" x14ac:dyDescent="0.2">
      <c r="AT329" s="224"/>
    </row>
  </sheetData>
  <mergeCells count="6">
    <mergeCell ref="A1:L3"/>
    <mergeCell ref="A5:AR28"/>
    <mergeCell ref="P33:T33"/>
    <mergeCell ref="U33:W33"/>
    <mergeCell ref="X33:Z33"/>
    <mergeCell ref="AA33:AB33"/>
  </mergeCells>
  <hyperlinks>
    <hyperlink ref="U40" display="fmatsuda@invertironline.com"/>
    <hyperlink ref="P51" display="www.invertironline.com"/>
    <hyperlink ref="AF40"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Mariano Gasparoli</dc:creator>
  <cp:lastModifiedBy>Flavia Matsuda</cp:lastModifiedBy>
  <dcterms:created xsi:type="dcterms:W3CDTF">2018-06-14T18:01:57Z</dcterms:created>
  <dcterms:modified xsi:type="dcterms:W3CDTF">2018-06-14T20:26:30Z</dcterms:modified>
</cp:coreProperties>
</file>