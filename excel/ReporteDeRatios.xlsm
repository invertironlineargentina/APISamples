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K:\Research\RR_Reporte de Ratios\Sinergia SUPV\"/>
    </mc:Choice>
  </mc:AlternateContent>
  <bookViews>
    <workbookView xWindow="0" yWindow="0" windowWidth="28800" windowHeight="12135"/>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 r:id="rId8"/>
  </externalReferences>
  <definedNames>
    <definedName name="_xlnm.Print_Area" localSheetId="5">Disclaimer!$A$1:$S$37</definedName>
    <definedName name="_xlnm.Print_Area" localSheetId="3">Earnings!$A$1:$AF$119</definedName>
    <definedName name="_xlnm.Print_Area" localSheetId="2">Fundamentals!$A$1:$W$117</definedName>
    <definedName name="_xlnm.Print_Area" localSheetId="4">Glosario!$A$1:$K$132</definedName>
    <definedName name="_xlnm.Print_Area" localSheetId="0">Heatmap!$B$3:$R$89</definedName>
    <definedName name="_xlnm.Print_Area" localSheetId="1">Mercado!$B$1:$Y$124</definedName>
    <definedName name="CIQWBGuid" hidden="1">"cddf7c10-2bd3-45f5-9c6e-436007013129"</definedName>
    <definedName name="fechas">'[1]Heatmap CA'!$P$2:$AA$2</definedName>
    <definedName name="precios">'[1]Heatmap CA'!$B$4:$N$78</definedName>
    <definedName name="rendimientos">'[1]Heatmap CA'!$P$4:$AA$78</definedName>
    <definedName name="RICs">'[1]Heatmap CA'!$A$4:$A$78</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9" i="6" l="1"/>
  <c r="B144" i="5"/>
  <c r="B145" i="5" s="1"/>
  <c r="B146" i="5" s="1"/>
  <c r="B140" i="5"/>
  <c r="B141" i="5" s="1"/>
  <c r="B142" i="5" s="1"/>
  <c r="P98" i="5"/>
  <c r="G85" i="5"/>
  <c r="G84" i="5"/>
  <c r="G83" i="5"/>
  <c r="G82" i="5"/>
  <c r="G81" i="5"/>
  <c r="G80" i="5"/>
  <c r="G79" i="5"/>
  <c r="G78" i="5"/>
  <c r="G77" i="5"/>
  <c r="G76" i="5"/>
  <c r="G75" i="5"/>
  <c r="G74" i="5"/>
  <c r="G73" i="5"/>
  <c r="G72" i="5"/>
  <c r="G71" i="5"/>
  <c r="G70" i="5"/>
  <c r="G69" i="5"/>
  <c r="G68" i="5"/>
  <c r="G67" i="5"/>
  <c r="G66" i="5"/>
  <c r="G65" i="5"/>
  <c r="G64" i="5"/>
  <c r="G63" i="5"/>
  <c r="G62" i="5"/>
  <c r="G61" i="5"/>
  <c r="G60" i="5"/>
  <c r="G59" i="5"/>
  <c r="G57" i="5"/>
  <c r="G56" i="5"/>
  <c r="G55" i="5"/>
  <c r="G54" i="5"/>
  <c r="G53" i="5"/>
  <c r="G52" i="5"/>
  <c r="G51" i="5"/>
  <c r="G50" i="5"/>
  <c r="G49" i="5"/>
</calcChain>
</file>

<file path=xl/sharedStrings.xml><?xml version="1.0" encoding="utf-8"?>
<sst xmlns="http://schemas.openxmlformats.org/spreadsheetml/2006/main" count="2479" uniqueCount="482">
  <si>
    <t>Reporte de ratios Argentina</t>
  </si>
  <si>
    <t>Heatmap de Mercado</t>
  </si>
  <si>
    <t>Rendimientos calculados en base al precio de cierre al último día hábil de cada mes</t>
  </si>
  <si>
    <t>Variación MoM</t>
  </si>
  <si>
    <t>Ticker</t>
  </si>
  <si>
    <t>Evolución de Precios - Últimos 12 meses</t>
  </si>
  <si>
    <t>Rdto. Acum. 12 M</t>
  </si>
  <si>
    <t>RICH</t>
  </si>
  <si>
    <t>GCLA</t>
  </si>
  <si>
    <t>SAMI</t>
  </si>
  <si>
    <t>INTR</t>
  </si>
  <si>
    <t>BRIO</t>
  </si>
  <si>
    <t>METR</t>
  </si>
  <si>
    <t>TXAR</t>
  </si>
  <si>
    <t>MIRG</t>
  </si>
  <si>
    <t>HAVA</t>
  </si>
  <si>
    <t>MOLI</t>
  </si>
  <si>
    <t>TGNO4</t>
  </si>
  <si>
    <t>IRSA</t>
  </si>
  <si>
    <t>TECO2</t>
  </si>
  <si>
    <t>MOLA</t>
  </si>
  <si>
    <t>BYMA</t>
  </si>
  <si>
    <t>CRES</t>
  </si>
  <si>
    <t>CAPX</t>
  </si>
  <si>
    <t>CGPA2</t>
  </si>
  <si>
    <t>VALO</t>
  </si>
  <si>
    <t>CECO2</t>
  </si>
  <si>
    <t>COME</t>
  </si>
  <si>
    <t>CARC</t>
  </si>
  <si>
    <t>TGSU2</t>
  </si>
  <si>
    <t>TGLT</t>
  </si>
  <si>
    <t>CADO</t>
  </si>
  <si>
    <t>DGCU2</t>
  </si>
  <si>
    <t>HARG</t>
  </si>
  <si>
    <t>PGR</t>
  </si>
  <si>
    <t>PATA</t>
  </si>
  <si>
    <t>AGRO</t>
  </si>
  <si>
    <t>CELU</t>
  </si>
  <si>
    <t>BPAT</t>
  </si>
  <si>
    <t>MORI</t>
  </si>
  <si>
    <t>FERR</t>
  </si>
  <si>
    <t>AUSO</t>
  </si>
  <si>
    <t>BOLT</t>
  </si>
  <si>
    <t>PATY</t>
  </si>
  <si>
    <t>INVJ</t>
  </si>
  <si>
    <t>ALUA</t>
  </si>
  <si>
    <t>LONG</t>
  </si>
  <si>
    <t>BBAR</t>
  </si>
  <si>
    <t>PSUR</t>
  </si>
  <si>
    <t>EDN</t>
  </si>
  <si>
    <t>FIPL</t>
  </si>
  <si>
    <t>LEDE</t>
  </si>
  <si>
    <t>SEMI</t>
  </si>
  <si>
    <t>BHIP</t>
  </si>
  <si>
    <t>INAG</t>
  </si>
  <si>
    <t>ESME</t>
  </si>
  <si>
    <t>CAPU</t>
  </si>
  <si>
    <t>COLO</t>
  </si>
  <si>
    <t>MERA</t>
  </si>
  <si>
    <t>POLL</t>
  </si>
  <si>
    <t>APBR</t>
  </si>
  <si>
    <t>CEPU</t>
  </si>
  <si>
    <t>OEST</t>
  </si>
  <si>
    <t>LOMA</t>
  </si>
  <si>
    <t>CTIO</t>
  </si>
  <si>
    <t>BMA</t>
  </si>
  <si>
    <t>INDU</t>
  </si>
  <si>
    <t>GGAL</t>
  </si>
  <si>
    <t>IRCP</t>
  </si>
  <si>
    <t>ROSE</t>
  </si>
  <si>
    <t>PAMP</t>
  </si>
  <si>
    <t>CVH</t>
  </si>
  <si>
    <t>TS</t>
  </si>
  <si>
    <t>YPFD</t>
  </si>
  <si>
    <t>GRIM</t>
  </si>
  <si>
    <t>GARO</t>
  </si>
  <si>
    <t>DYCA</t>
  </si>
  <si>
    <t>RIGO</t>
  </si>
  <si>
    <t>TRAN</t>
  </si>
  <si>
    <t>GBAN</t>
  </si>
  <si>
    <t>DOME</t>
  </si>
  <si>
    <t>C9&gt;.15</t>
  </si>
  <si>
    <t>verde 255</t>
  </si>
  <si>
    <t>Y(C9&lt;=0.15,C9&gt;0.1)</t>
  </si>
  <si>
    <t>verde 200</t>
  </si>
  <si>
    <t>Y(C9&lt;=0.1,C9&gt;0.05)</t>
  </si>
  <si>
    <t>verde 150</t>
  </si>
  <si>
    <t>Y(C9&lt;=0.05,C9&gt;0)</t>
  </si>
  <si>
    <t>rojo 255, verde 255</t>
  </si>
  <si>
    <t>Y(C9&lt;=-0.0,C9&gt;-0.05)</t>
  </si>
  <si>
    <t>rojo 255, verde 150</t>
  </si>
  <si>
    <t>Y(C9&lt;=-0.05,C9&gt;-0.1)</t>
  </si>
  <si>
    <t>Y(C9&lt;=-0.1,C9&gt;-0.15)</t>
  </si>
  <si>
    <t>C9&lt;-.15</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</si>
  <si>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</si>
  <si>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</si>
  <si>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</si>
  <si>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</si>
  <si>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</si>
  <si>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</si>
  <si>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</si>
  <si>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</si>
  <si>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</si>
  <si>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</si>
  <si>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</si>
  <si>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</si>
  <si>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</si>
  <si>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</si>
  <si>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</si>
  <si>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Agosto</t>
  </si>
  <si>
    <t>30 días</t>
  </si>
  <si>
    <t>90 días</t>
  </si>
  <si>
    <t>Mkt cap (Mil mill)</t>
  </si>
  <si>
    <t>EV (Mil mill)</t>
  </si>
  <si>
    <t>EV/EBITDA</t>
  </si>
  <si>
    <t>P/S</t>
  </si>
  <si>
    <t>P/E</t>
  </si>
  <si>
    <t>P/E est.</t>
  </si>
  <si>
    <t>P/B</t>
  </si>
  <si>
    <t>P/FCF</t>
  </si>
  <si>
    <t>CONSUMO BÁSICO</t>
  </si>
  <si>
    <t>Promedio</t>
  </si>
  <si>
    <t>Prom.</t>
  </si>
  <si>
    <t>CONSUMO DISCRECIONAL</t>
  </si>
  <si>
    <t>ENERGÍA</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</si>
  <si>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</si>
  <si>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</si>
  <si>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</si>
  <si>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</si>
  <si>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</si>
  <si>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</si>
  <si>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</si>
  <si>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</si>
  <si>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</si>
  <si>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</si>
  <si>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</si>
  <si>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</si>
  <si>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</si>
  <si>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</si>
  <si>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</si>
  <si>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</si>
  <si>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</si>
  <si>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</si>
  <si>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</si>
  <si>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</si>
  <si>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</si>
  <si>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</si>
  <si>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</si>
  <si>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</si>
  <si>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</si>
  <si>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</si>
  <si>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</si>
  <si>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</si>
  <si>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</si>
  <si>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</si>
  <si>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</si>
  <si>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</si>
  <si>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</si>
  <si>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</si>
  <si>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</si>
  <si>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</si>
  <si>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</si>
  <si>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</si>
  <si>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</si>
  <si>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4Q2019</t>
  </si>
  <si>
    <t>3Q2019</t>
  </si>
  <si>
    <t>2Q2019</t>
  </si>
  <si>
    <t>1Q2019</t>
  </si>
  <si>
    <t>4Q2018</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</si>
  <si>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</si>
  <si>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</si>
  <si>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</si>
  <si>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</si>
  <si>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</si>
  <si>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</si>
  <si>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</si>
  <si>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</si>
  <si>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</si>
  <si>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</si>
  <si>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</si>
  <si>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</si>
  <si>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</si>
  <si>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</si>
  <si>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</si>
  <si>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</si>
  <si>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</si>
  <si>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</si>
  <si>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</si>
  <si>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4 Q</t>
  </si>
  <si>
    <t>3 Q</t>
  </si>
  <si>
    <t>2 Q</t>
  </si>
  <si>
    <t>1 Q</t>
  </si>
  <si>
    <t>4Q</t>
  </si>
  <si>
    <t>1Q</t>
  </si>
  <si>
    <t>3Q</t>
  </si>
  <si>
    <t>PATA.BA</t>
  </si>
  <si>
    <t>MOLA.BA</t>
  </si>
  <si>
    <t>MOLI.BA</t>
  </si>
  <si>
    <t>ESME.BA</t>
  </si>
  <si>
    <t>SAMI.BA</t>
  </si>
  <si>
    <t>LEDE.BA</t>
  </si>
  <si>
    <t>INVJ.BA</t>
  </si>
  <si>
    <t>PATY.BA</t>
  </si>
  <si>
    <t>INTR.BA</t>
  </si>
  <si>
    <t>SEMI.BA</t>
  </si>
  <si>
    <t>MORI.BA</t>
  </si>
  <si>
    <t>MIRG.BA</t>
  </si>
  <si>
    <t>HAVA.BA</t>
  </si>
  <si>
    <t>GRIM.BA</t>
  </si>
  <si>
    <t>TGLT.BA</t>
  </si>
  <si>
    <t>LONG.BA</t>
  </si>
  <si>
    <t>PSUR.BA</t>
  </si>
  <si>
    <t>DOME.BA</t>
  </si>
  <si>
    <t>APBR.BA</t>
  </si>
  <si>
    <t>TS.BA</t>
  </si>
  <si>
    <t>YPFD.BA</t>
  </si>
  <si>
    <t>TGSU2.BA</t>
  </si>
  <si>
    <t>TGNO4.BA</t>
  </si>
  <si>
    <t>PGR.BA</t>
  </si>
  <si>
    <t>COME.BA</t>
  </si>
  <si>
    <t>CARC.BA</t>
  </si>
  <si>
    <t>GGAL.BA</t>
  </si>
  <si>
    <t>BMA.BA</t>
  </si>
  <si>
    <t>FRAN.BA</t>
  </si>
  <si>
    <t>BRIO.BA</t>
  </si>
  <si>
    <t>BYMA.BA</t>
  </si>
  <si>
    <t>BPAT.BA</t>
  </si>
  <si>
    <t>BHIP.BA</t>
  </si>
  <si>
    <t>VALO.BA</t>
  </si>
  <si>
    <t>AUSO.BA</t>
  </si>
  <si>
    <t>OEST.BA</t>
  </si>
  <si>
    <t>CAPU.BA</t>
  </si>
  <si>
    <t>CADO.BA</t>
  </si>
  <si>
    <t>FERR.BA</t>
  </si>
  <si>
    <t>DYCA.BA</t>
  </si>
  <si>
    <t>-</t>
  </si>
  <si>
    <t>AGRO.BA</t>
  </si>
  <si>
    <t>GARO.BA</t>
  </si>
  <si>
    <t>INAG.BA</t>
  </si>
  <si>
    <t>POLL.BA</t>
  </si>
  <si>
    <t>IRSA.BA</t>
  </si>
  <si>
    <t>IRCP.BA</t>
  </si>
  <si>
    <t>CRES.BA</t>
  </si>
  <si>
    <t>CTIO.BA</t>
  </si>
  <si>
    <t>TXAR.BA</t>
  </si>
  <si>
    <t>LOMA.BA</t>
  </si>
  <si>
    <t>ALUA.BA</t>
  </si>
  <si>
    <t>HARG.BA</t>
  </si>
  <si>
    <t>INDU.BA</t>
  </si>
  <si>
    <t>RIGO.BA</t>
  </si>
  <si>
    <t>CELU.BA</t>
  </si>
  <si>
    <t>COLO.BA</t>
  </si>
  <si>
    <t>FIPL.BA</t>
  </si>
  <si>
    <t>RICH.BA</t>
  </si>
  <si>
    <t>ROSE.BA</t>
  </si>
  <si>
    <t>PAMP.BA</t>
  </si>
  <si>
    <t>EDN.BA</t>
  </si>
  <si>
    <t>TRAN.BA</t>
  </si>
  <si>
    <t>METR.BA</t>
  </si>
  <si>
    <t>GBAN.BA</t>
  </si>
  <si>
    <t>CAPX.BA</t>
  </si>
  <si>
    <t>CGPA2.BA</t>
  </si>
  <si>
    <t>DGCU2.BA</t>
  </si>
  <si>
    <t>CEPU.BA</t>
  </si>
  <si>
    <t>CECO2.BA</t>
  </si>
  <si>
    <t>BOLT.BA</t>
  </si>
  <si>
    <t>TEF.BA</t>
  </si>
  <si>
    <t>TECO2.BA</t>
  </si>
  <si>
    <t>CVH.BA</t>
  </si>
  <si>
    <t>GCLA.BA</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</si>
  <si>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</si>
  <si>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</si>
  <si>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</si>
  <si>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</si>
  <si>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</si>
  <si>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</si>
  <si>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</si>
  <si>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</si>
  <si>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</si>
  <si>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</si>
  <si>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</si>
  <si>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</si>
  <si>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</si>
  <si>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</si>
  <si>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</si>
  <si>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</si>
  <si>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</si>
  <si>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</si>
  <si>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</si>
  <si>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</si>
  <si>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</si>
  <si>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</si>
  <si>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</si>
  <si>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</si>
  <si>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</si>
  <si>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</si>
  <si>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</si>
  <si>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</si>
  <si>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</si>
  <si>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</si>
  <si>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</si>
  <si>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</si>
  <si>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</si>
  <si>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</si>
  <si>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</si>
  <si>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</si>
  <si>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</si>
  <si>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</si>
  <si>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</si>
  <si>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x</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</si>
  <si>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</si>
  <si>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</si>
  <si>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</si>
  <si>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</si>
  <si>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</si>
  <si>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</si>
  <si>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</si>
  <si>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</si>
  <si>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</si>
  <si>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</si>
  <si>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</si>
  <si>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</si>
  <si>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</si>
  <si>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</si>
  <si>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</si>
  <si>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</si>
  <si>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</si>
  <si>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</si>
  <si>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</si>
  <si>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</si>
  <si>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</si>
  <si>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</si>
  <si>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</si>
  <si>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</si>
  <si>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</si>
  <si>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</si>
  <si>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</si>
  <si>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</si>
  <si>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</si>
  <si>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</si>
  <si>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</si>
  <si>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</si>
  <si>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</si>
  <si>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</si>
  <si>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</si>
  <si>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</si>
  <si>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</si>
  <si>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</si>
  <si>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</si>
  <si>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</si>
  <si>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</si>
  <si>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</si>
  <si>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</si>
  <si>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</si>
  <si>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</si>
  <si>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</si>
  <si>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</si>
  <si>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</si>
  <si>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CABLEVISION HOLDING S.A.</t>
  </si>
  <si>
    <t>DISTRIBUIDORA DE GAS CUYANA S.A.</t>
  </si>
  <si>
    <t>DOMEC S.A.</t>
  </si>
  <si>
    <t>DYCASA SOCIEDAD ANONIMA</t>
  </si>
  <si>
    <t>EMPRESA DISTRIB. Y COMERCIALZADORA NORTE S.A. (EDENOR S.A.)</t>
  </si>
  <si>
    <t>BODEGAS ESMERALDA S.A.</t>
  </si>
  <si>
    <t>FERRUM S.A.</t>
  </si>
  <si>
    <t>TEF</t>
  </si>
  <si>
    <t>FIPLASTO S.A.</t>
  </si>
  <si>
    <t>FRAN</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</si>
  <si>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</si>
  <si>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</si>
  <si>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</si>
  <si>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</si>
  <si>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</si>
  <si>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</si>
  <si>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</si>
  <si>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</si>
  <si>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</si>
  <si>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</si>
  <si>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</si>
  <si>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</si>
  <si>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</si>
  <si>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</si>
  <si>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SUPV</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</si>
  <si>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</si>
  <si>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</si>
  <si>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</si>
  <si>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</si>
  <si>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</si>
  <si>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</si>
  <si>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</si>
  <si>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</si>
  <si>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</si>
  <si>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</si>
  <si>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</si>
  <si>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</si>
  <si>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</si>
  <si>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</si>
  <si>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</si>
  <si>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</si>
  <si>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</si>
  <si>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</si>
  <si>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</si>
  <si>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</si>
  <si>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</si>
  <si>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</si>
  <si>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</si>
  <si>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</si>
  <si>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</si>
  <si>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</si>
  <si>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</si>
  <si>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</si>
  <si>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</si>
  <si>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</si>
  <si>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</si>
  <si>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</si>
  <si>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</si>
  <si>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</si>
  <si>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</si>
  <si>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</si>
  <si>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</si>
  <si>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</si>
  <si>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</si>
  <si>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</si>
  <si>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</si>
  <si>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</si>
  <si>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</si>
  <si>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</si>
  <si>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</si>
  <si>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</si>
  <si>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</si>
  <si>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</si>
  <si>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</si>
  <si>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</si>
  <si>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</si>
  <si>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</si>
  <si>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</si>
  <si>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</si>
  <si>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</si>
  <si>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</si>
  <si>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</si>
  <si>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</si>
  <si>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</si>
  <si>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</si>
  <si>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</si>
  <si>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</si>
  <si>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</si>
  <si>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</si>
  <si>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</si>
  <si>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</si>
  <si>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</si>
  <si>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</si>
  <si>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José Ignacio Bano</t>
  </si>
  <si>
    <t>Gerente de BI&amp;R</t>
  </si>
  <si>
    <t>jbano@invertironline.com</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</si>
  <si>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</si>
  <si>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Flavia Matsuda</t>
  </si>
  <si>
    <t>Coordinadora de Research</t>
  </si>
  <si>
    <t>fmatsuda@invertironline.com</t>
  </si>
  <si>
    <t>@InvertirOnline</t>
  </si>
  <si>
    <t>InvertirOnline.com</t>
  </si>
  <si>
    <t>invertirOnline</t>
  </si>
  <si>
    <t>invertirOnline.com</t>
  </si>
  <si>
    <t>Grales., Comerc. y Admin.</t>
  </si>
  <si>
    <t>Remuneraciones</t>
  </si>
  <si>
    <t>Marketing y Publicidad</t>
  </si>
  <si>
    <t>Depreciación</t>
  </si>
  <si>
    <t>4 de Septiembre  de 2019</t>
  </si>
  <si>
    <t>Oct-18</t>
  </si>
  <si>
    <t>Nov-18</t>
  </si>
  <si>
    <t>Dec-18</t>
  </si>
  <si>
    <t>Jan-19</t>
  </si>
  <si>
    <t>Feb-19</t>
  </si>
  <si>
    <t>Mar-19</t>
  </si>
  <si>
    <t>Apr-19</t>
  </si>
  <si>
    <t>May-19</t>
  </si>
  <si>
    <t>Jun-19</t>
  </si>
  <si>
    <t>Jul-19</t>
  </si>
  <si>
    <t>Aug-19</t>
  </si>
  <si>
    <t>Sep-19</t>
  </si>
  <si>
    <t>BBAR.BA</t>
  </si>
  <si>
    <t>MERA.BA</t>
  </si>
  <si>
    <t>The record could not be found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</si>
</sst>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_);&quot;&lt;&quot;\-0%"/>
    <numFmt numFmtId="165" formatCode="&quot;&gt;&quot;0%"/>
    <numFmt numFmtId="166" formatCode="0.0%"/>
    <numFmt numFmtId="167" formatCode="_(* #,##0.0_);_(* \(#,##0.0\);_(* &quot;-&quot;??_);_(@_)"/>
    <numFmt numFmtId="168" formatCode="0.0"/>
    <numFmt numFmtId="169" formatCode="_(* #,##0_);_(* \(#,##0\);_(* &quot;-&quot;??_);_(@_)"/>
    <numFmt numFmtId="170" formatCode="_(* #,##0.0000_);_(* \(#,##0.0000\);_(* &quot;-&quot;??_);_(@_)"/>
    <numFmt numFmtId="171" formatCode="m/d/yy;@"/>
  </numFmts>
  <fonts count="4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sz val="8"/>
      <color theme="1"/>
      <name val="Calibri"/>
      <family val="2"/>
      <scheme val="minor"/>
    </font>
    <font>
      <b/>
      <sz val="10.5"/>
      <color theme="1"/>
      <name val="Calibri"/>
      <family val="2"/>
      <scheme val="minor"/>
    </font>
    <font>
      <sz val="10"/>
      <color theme="1"/>
      <name val="Calibri"/>
      <family val="2"/>
      <scheme val="minor"/>
    </font>
    <font>
      <u/>
      <sz val="11"/>
      <color theme="1"/>
      <name val="Calibri"/>
      <family val="2"/>
      <scheme val="minor"/>
    </font>
    <font>
      <b/>
      <sz val="11"/>
      <name val="Calibri"/>
      <family val="2"/>
      <scheme val="minor"/>
    </font>
    <font>
      <sz val="10"/>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s>
  <fills count="9">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theme="0"/>
      </left>
      <right style="thin">
        <color theme="0"/>
      </right>
      <top/>
      <bottom/>
      <diagonal/>
    </border>
    <border>
      <left style="thin">
        <color theme="0"/>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style="thin">
        <color theme="0"/>
      </right>
      <top style="thin">
        <color theme="0"/>
      </top>
      <bottom/>
      <diagonal/>
    </border>
    <border>
      <left style="thin">
        <color theme="0"/>
      </left>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cellStyleXfs>
  <cellXfs count="336">
    <xf numFmtId="0" fontId="0" fillId="0" borderId="0" xfId="0"/>
    <xf numFmtId="14" fontId="0" fillId="0" borderId="0" xfId="0" applyNumberFormat="1"/>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5" xfId="3" applyFont="1" applyFill="1" applyBorder="1" applyAlignment="1">
      <alignment horizontal="center" vertical="center" wrapText="1"/>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10" xfId="3" applyFont="1" applyFill="1" applyBorder="1" applyAlignment="1">
      <alignment horizontal="center" vertical="center"/>
    </xf>
    <xf numFmtId="0" fontId="10" fillId="2" borderId="10" xfId="3" applyFont="1" applyFill="1" applyBorder="1" applyAlignment="1">
      <alignment horizontal="center" vertical="center" wrapText="1"/>
    </xf>
    <xf numFmtId="0" fontId="10" fillId="2" borderId="11" xfId="3" applyFont="1" applyFill="1" applyBorder="1" applyAlignment="1">
      <alignment horizontal="center" vertical="center" wrapText="1"/>
    </xf>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14" xfId="3" applyFont="1" applyFill="1" applyBorder="1" applyAlignment="1">
      <alignment horizontal="center" vertical="center" wrapText="1"/>
    </xf>
    <xf numFmtId="0" fontId="10" fillId="2" borderId="15" xfId="3" applyFont="1" applyFill="1" applyBorder="1" applyAlignment="1">
      <alignment horizontal="center" vertical="center" wrapText="1"/>
    </xf>
    <xf numFmtId="0" fontId="10" fillId="2" borderId="16" xfId="3" applyFont="1" applyFill="1" applyBorder="1" applyAlignment="1">
      <alignment horizontal="center" vertical="center"/>
    </xf>
    <xf numFmtId="0" fontId="10" fillId="2" borderId="16" xfId="3" applyFont="1" applyFill="1" applyBorder="1" applyAlignment="1">
      <alignment horizontal="center" vertical="center" wrapText="1"/>
    </xf>
    <xf numFmtId="0" fontId="10" fillId="2" borderId="17" xfId="3" applyFont="1" applyFill="1" applyBorder="1" applyAlignment="1">
      <alignment horizontal="center" vertical="center" wrapText="1"/>
    </xf>
    <xf numFmtId="0" fontId="0" fillId="0" borderId="15" xfId="0" applyFill="1" applyBorder="1"/>
    <xf numFmtId="10" fontId="1" fillId="0" borderId="18"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43" fontId="0" fillId="0" borderId="0" xfId="1" applyFont="1"/>
    <xf numFmtId="0" fontId="0" fillId="0" borderId="0" xfId="0" applyBorder="1" applyAlignment="1">
      <alignment horizontal="right"/>
    </xf>
    <xf numFmtId="0" fontId="0" fillId="0" borderId="12" xfId="0" applyFill="1" applyBorder="1"/>
    <xf numFmtId="9" fontId="1" fillId="0" borderId="18" xfId="2" applyNumberFormat="1" applyFont="1" applyFill="1" applyBorder="1" applyAlignment="1">
      <alignment horizontal="center" vertical="center"/>
    </xf>
    <xf numFmtId="0" fontId="0" fillId="0" borderId="16" xfId="0" applyFill="1" applyBorder="1" applyAlignment="1">
      <alignment horizontal="right"/>
    </xf>
    <xf numFmtId="0" fontId="0" fillId="0" borderId="16"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9"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1" xfId="3" applyFont="1" applyFill="1" applyBorder="1" applyAlignment="1">
      <alignment horizontal="center" vertical="center"/>
    </xf>
    <xf numFmtId="0" fontId="10" fillId="2" borderId="22" xfId="3" applyFont="1" applyFill="1" applyBorder="1" applyAlignment="1">
      <alignment horizontal="center" vertical="center"/>
    </xf>
    <xf numFmtId="0" fontId="10" fillId="2" borderId="23" xfId="3" applyFont="1" applyFill="1" applyBorder="1" applyAlignment="1">
      <alignment horizontal="center" vertical="center"/>
    </xf>
    <xf numFmtId="0" fontId="10" fillId="2" borderId="24"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25" xfId="3" applyFont="1" applyFill="1" applyBorder="1" applyAlignment="1">
      <alignment horizontal="center" vertical="center"/>
    </xf>
    <xf numFmtId="0" fontId="10" fillId="2" borderId="26"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0" xfId="3" applyFont="1" applyFill="1" applyBorder="1" applyAlignment="1">
      <alignment horizontal="center" vertical="center" wrapText="1"/>
    </xf>
    <xf numFmtId="0" fontId="10" fillId="2" borderId="27" xfId="3" applyFont="1" applyFill="1" applyBorder="1" applyAlignment="1">
      <alignment horizontal="center" vertical="center" wrapText="1"/>
    </xf>
    <xf numFmtId="0" fontId="10" fillId="2" borderId="20" xfId="3" applyFont="1" applyFill="1" applyBorder="1" applyAlignment="1">
      <alignment vertical="center" wrapText="1"/>
    </xf>
    <xf numFmtId="0" fontId="10" fillId="2" borderId="20" xfId="3" applyNumberFormat="1" applyFont="1" applyFill="1" applyBorder="1" applyAlignment="1">
      <alignment horizontal="center" vertical="center" wrapText="1"/>
    </xf>
    <xf numFmtId="0" fontId="10" fillId="2" borderId="28"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43" fontId="0" fillId="0" borderId="0" xfId="1" applyFont="1" applyAlignment="1">
      <alignment horizontal="center" vertical="center"/>
    </xf>
    <xf numFmtId="166"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43" fontId="0" fillId="0" borderId="0" xfId="1" applyFont="1" applyAlignment="1">
      <alignment horizontal="center"/>
    </xf>
    <xf numFmtId="9" fontId="0" fillId="0" borderId="0" xfId="2" applyNumberFormat="1" applyFont="1" applyAlignment="1">
      <alignment horizontal="center"/>
    </xf>
    <xf numFmtId="167" fontId="0" fillId="0" borderId="0" xfId="1" applyNumberFormat="1" applyFont="1" applyAlignment="1">
      <alignment horizontal="center"/>
    </xf>
    <xf numFmtId="0" fontId="0" fillId="0" borderId="0" xfId="0" applyAlignment="1">
      <alignment horizontal="right"/>
    </xf>
    <xf numFmtId="167" fontId="0" fillId="0" borderId="16" xfId="1" applyNumberFormat="1" applyFont="1" applyBorder="1" applyAlignment="1">
      <alignment horizontal="center"/>
    </xf>
    <xf numFmtId="0" fontId="15" fillId="0" borderId="10" xfId="0" applyFont="1" applyBorder="1"/>
    <xf numFmtId="0" fontId="0" fillId="0" borderId="10" xfId="0" applyBorder="1"/>
    <xf numFmtId="166" fontId="0" fillId="0" borderId="10" xfId="0" applyNumberFormat="1" applyFont="1" applyBorder="1" applyAlignment="1">
      <alignment horizontal="center"/>
    </xf>
    <xf numFmtId="9" fontId="0" fillId="0" borderId="10" xfId="0" applyNumberFormat="1" applyFont="1" applyBorder="1" applyAlignment="1">
      <alignment horizontal="center"/>
    </xf>
    <xf numFmtId="43" fontId="0" fillId="0" borderId="10" xfId="1" applyFont="1" applyBorder="1" applyAlignment="1">
      <alignment horizontal="center"/>
    </xf>
    <xf numFmtId="167" fontId="0" fillId="0" borderId="10" xfId="1" applyNumberFormat="1" applyFont="1" applyBorder="1" applyAlignment="1">
      <alignment horizontal="center"/>
    </xf>
    <xf numFmtId="2" fontId="0" fillId="0" borderId="10" xfId="0" applyNumberFormat="1" applyFont="1" applyBorder="1" applyAlignment="1">
      <alignment horizontal="center"/>
    </xf>
    <xf numFmtId="167" fontId="0" fillId="0" borderId="10" xfId="0" applyNumberFormat="1" applyFont="1" applyBorder="1" applyAlignment="1">
      <alignment horizontal="center"/>
    </xf>
    <xf numFmtId="168" fontId="0" fillId="0" borderId="10" xfId="0" applyNumberFormat="1" applyFont="1" applyBorder="1" applyAlignment="1">
      <alignment horizontal="center"/>
    </xf>
    <xf numFmtId="0" fontId="15" fillId="0" borderId="10" xfId="0" applyFont="1" applyBorder="1" applyAlignment="1">
      <alignment horizontal="right"/>
    </xf>
    <xf numFmtId="9" fontId="0" fillId="0" borderId="0" xfId="2" applyNumberFormat="1" applyFont="1"/>
    <xf numFmtId="167" fontId="0" fillId="0" borderId="0" xfId="1" applyNumberFormat="1" applyFont="1"/>
    <xf numFmtId="166" fontId="0" fillId="0" borderId="0" xfId="2" applyNumberFormat="1" applyFont="1"/>
    <xf numFmtId="0" fontId="3" fillId="3" borderId="0" xfId="0" applyFont="1" applyFill="1"/>
    <xf numFmtId="9" fontId="3" fillId="3" borderId="0" xfId="2" applyFont="1" applyFill="1"/>
    <xf numFmtId="43" fontId="3" fillId="3" borderId="0" xfId="1" applyFont="1" applyFill="1"/>
    <xf numFmtId="9" fontId="3" fillId="3" borderId="0" xfId="2" applyNumberFormat="1" applyFont="1" applyFill="1"/>
    <xf numFmtId="167" fontId="3" fillId="3" borderId="0" xfId="1" applyNumberFormat="1" applyFont="1" applyFill="1"/>
    <xf numFmtId="166" fontId="3" fillId="3" borderId="0" xfId="2" applyNumberFormat="1" applyFont="1" applyFill="1"/>
    <xf numFmtId="0" fontId="3" fillId="3" borderId="0" xfId="0" applyFont="1" applyFill="1" applyAlignment="1">
      <alignment horizontal="right"/>
    </xf>
    <xf numFmtId="43" fontId="0" fillId="4" borderId="0" xfId="1" applyFont="1" applyFill="1"/>
    <xf numFmtId="169" fontId="0" fillId="0" borderId="0" xfId="1" applyNumberFormat="1" applyFont="1"/>
    <xf numFmtId="170" fontId="0" fillId="4" borderId="0" xfId="1" applyNumberFormat="1" applyFont="1" applyFill="1"/>
    <xf numFmtId="0" fontId="10" fillId="2" borderId="25" xfId="3" applyFont="1" applyFill="1" applyBorder="1" applyAlignment="1">
      <alignment horizontal="right" vertical="center"/>
    </xf>
    <xf numFmtId="0" fontId="10" fillId="2" borderId="28" xfId="3" applyFont="1" applyFill="1" applyBorder="1" applyAlignment="1">
      <alignment horizontal="right" vertical="center"/>
    </xf>
    <xf numFmtId="43" fontId="0" fillId="0" borderId="10" xfId="1" applyNumberFormat="1" applyFont="1" applyBorder="1" applyAlignment="1">
      <alignment horizontal="center"/>
    </xf>
    <xf numFmtId="166" fontId="0" fillId="0" borderId="10" xfId="2" applyNumberFormat="1" applyFont="1" applyBorder="1" applyAlignment="1">
      <alignment horizontal="center"/>
    </xf>
    <xf numFmtId="43" fontId="0" fillId="0" borderId="0" xfId="1" applyFont="1" applyAlignment="1"/>
    <xf numFmtId="0" fontId="15" fillId="0" borderId="0" xfId="0" applyFont="1" applyBorder="1"/>
    <xf numFmtId="166" fontId="0" fillId="0" borderId="0" xfId="2" applyNumberFormat="1" applyFont="1" applyBorder="1"/>
    <xf numFmtId="9" fontId="0" fillId="0" borderId="0" xfId="2" applyFont="1" applyBorder="1"/>
    <xf numFmtId="43" fontId="0" fillId="0" borderId="0" xfId="1" applyFont="1" applyBorder="1"/>
    <xf numFmtId="9" fontId="0" fillId="0" borderId="0" xfId="2" applyNumberFormat="1" applyFont="1" applyBorder="1"/>
    <xf numFmtId="167" fontId="0" fillId="0" borderId="0" xfId="1" applyNumberFormat="1" applyFont="1" applyBorder="1"/>
    <xf numFmtId="0" fontId="15" fillId="0" borderId="0" xfId="0" applyFont="1" applyBorder="1" applyAlignment="1">
      <alignment horizontal="right"/>
    </xf>
    <xf numFmtId="0" fontId="10" fillId="2" borderId="24" xfId="3" applyFont="1" applyFill="1" applyBorder="1" applyAlignment="1">
      <alignment horizontal="center" vertical="center"/>
    </xf>
    <xf numFmtId="0" fontId="10" fillId="2" borderId="19" xfId="3" applyFont="1" applyFill="1" applyBorder="1" applyAlignment="1">
      <alignment horizontal="right" vertical="center"/>
    </xf>
    <xf numFmtId="0" fontId="10" fillId="2" borderId="27" xfId="3" applyFont="1" applyFill="1" applyBorder="1" applyAlignment="1">
      <alignment horizontal="center" vertical="center"/>
    </xf>
    <xf numFmtId="0" fontId="10" fillId="2" borderId="26" xfId="3" applyFont="1" applyFill="1" applyBorder="1" applyAlignment="1">
      <alignment horizontal="right" vertical="center"/>
    </xf>
    <xf numFmtId="169" fontId="0" fillId="0" borderId="0" xfId="1" applyNumberFormat="1" applyFont="1" applyAlignment="1">
      <alignment horizontal="center"/>
    </xf>
    <xf numFmtId="169" fontId="0" fillId="0" borderId="10" xfId="1" applyNumberFormat="1" applyFont="1" applyBorder="1" applyAlignment="1">
      <alignment horizontal="center"/>
    </xf>
    <xf numFmtId="0" fontId="15" fillId="0" borderId="5" xfId="0" applyFont="1" applyBorder="1"/>
    <xf numFmtId="0" fontId="0" fillId="0" borderId="5" xfId="0" applyBorder="1"/>
    <xf numFmtId="166" fontId="0" fillId="0" borderId="5" xfId="0" applyNumberFormat="1" applyFont="1" applyBorder="1" applyAlignment="1">
      <alignment horizontal="center"/>
    </xf>
    <xf numFmtId="9" fontId="0" fillId="0" borderId="5" xfId="0" applyNumberFormat="1" applyFont="1" applyBorder="1" applyAlignment="1">
      <alignment horizontal="center"/>
    </xf>
    <xf numFmtId="43" fontId="0" fillId="0" borderId="5" xfId="1" applyFont="1" applyBorder="1" applyAlignment="1">
      <alignment horizontal="center"/>
    </xf>
    <xf numFmtId="167" fontId="0" fillId="0" borderId="5" xfId="1" applyNumberFormat="1" applyFont="1" applyBorder="1" applyAlignment="1">
      <alignment horizontal="center"/>
    </xf>
    <xf numFmtId="167" fontId="0" fillId="0" borderId="5" xfId="0" applyNumberFormat="1" applyFont="1" applyBorder="1" applyAlignment="1">
      <alignment horizontal="center"/>
    </xf>
    <xf numFmtId="0" fontId="15" fillId="0" borderId="5"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8" fillId="0" borderId="0" xfId="0" applyFont="1"/>
    <xf numFmtId="0" fontId="10" fillId="5" borderId="19" xfId="3" applyFont="1" applyFill="1" applyBorder="1" applyAlignment="1">
      <alignment horizontal="center" vertical="center"/>
    </xf>
    <xf numFmtId="0" fontId="10" fillId="5" borderId="24" xfId="3" applyFont="1" applyFill="1" applyBorder="1" applyAlignment="1">
      <alignment horizontal="center" vertical="center"/>
    </xf>
    <xf numFmtId="0" fontId="10" fillId="5" borderId="24" xfId="3" applyFont="1" applyFill="1" applyBorder="1" applyAlignment="1">
      <alignment horizontal="center" vertical="center" wrapText="1"/>
    </xf>
    <xf numFmtId="0" fontId="10" fillId="5" borderId="21" xfId="3" applyFont="1" applyFill="1" applyBorder="1" applyAlignment="1">
      <alignment horizontal="center" vertical="center"/>
    </xf>
    <xf numFmtId="0" fontId="10" fillId="5" borderId="22" xfId="3" applyFont="1" applyFill="1" applyBorder="1" applyAlignment="1">
      <alignment horizontal="center" vertical="center"/>
    </xf>
    <xf numFmtId="0" fontId="10" fillId="5" borderId="23" xfId="3" applyFont="1" applyFill="1" applyBorder="1" applyAlignment="1">
      <alignment horizontal="center" vertical="center"/>
    </xf>
    <xf numFmtId="0" fontId="10" fillId="5" borderId="26" xfId="3" applyFont="1" applyFill="1" applyBorder="1" applyAlignment="1">
      <alignment horizontal="center" vertical="center"/>
    </xf>
    <xf numFmtId="0" fontId="10" fillId="5" borderId="27" xfId="3" applyFont="1" applyFill="1" applyBorder="1" applyAlignment="1">
      <alignment horizontal="center" vertical="center"/>
    </xf>
    <xf numFmtId="0" fontId="10" fillId="5" borderId="27" xfId="3" applyFont="1" applyFill="1" applyBorder="1" applyAlignment="1">
      <alignment horizontal="center" vertical="center" wrapText="1"/>
    </xf>
    <xf numFmtId="0" fontId="10" fillId="5" borderId="21" xfId="3" applyFont="1" applyFill="1" applyBorder="1" applyAlignment="1">
      <alignment horizontal="center" vertical="center" wrapText="1"/>
    </xf>
    <xf numFmtId="0" fontId="10" fillId="5" borderId="20" xfId="3" applyFont="1" applyFill="1" applyBorder="1" applyAlignment="1">
      <alignment horizontal="center" vertical="center" wrapText="1"/>
    </xf>
    <xf numFmtId="0" fontId="20" fillId="5" borderId="20" xfId="3" applyFont="1" applyFill="1" applyBorder="1" applyAlignment="1">
      <alignment horizontal="center" vertical="center" wrapText="1"/>
    </xf>
    <xf numFmtId="0" fontId="20" fillId="5" borderId="20" xfId="3" applyNumberFormat="1" applyFont="1" applyFill="1" applyBorder="1" applyAlignment="1">
      <alignment horizontal="center" vertical="center" wrapText="1"/>
    </xf>
    <xf numFmtId="2" fontId="17" fillId="0" borderId="0" xfId="0" applyNumberFormat="1" applyFont="1"/>
    <xf numFmtId="171" fontId="0" fillId="0" borderId="0" xfId="0" applyNumberFormat="1" applyAlignment="1">
      <alignment horizontal="right"/>
    </xf>
    <xf numFmtId="43" fontId="0" fillId="0" borderId="0" xfId="1" applyFont="1" applyAlignment="1">
      <alignment horizontal="right"/>
    </xf>
    <xf numFmtId="9" fontId="0" fillId="0" borderId="0" xfId="2" applyNumberFormat="1" applyFont="1" applyAlignment="1">
      <alignment horizontal="right"/>
    </xf>
    <xf numFmtId="169" fontId="0" fillId="0" borderId="0" xfId="1" applyNumberFormat="1" applyFont="1" applyAlignment="1">
      <alignment horizontal="right"/>
    </xf>
    <xf numFmtId="166" fontId="0" fillId="0" borderId="0" xfId="2" applyNumberFormat="1" applyFont="1" applyAlignment="1">
      <alignment horizontal="right"/>
    </xf>
    <xf numFmtId="43" fontId="0" fillId="0" borderId="0" xfId="1" applyFont="1" applyAlignment="1">
      <alignment horizontal="right" vertical="center"/>
    </xf>
    <xf numFmtId="0" fontId="0" fillId="0" borderId="10" xfId="0" applyBorder="1" applyAlignment="1">
      <alignment horizontal="right"/>
    </xf>
    <xf numFmtId="43" fontId="0" fillId="0" borderId="10" xfId="1" applyFont="1" applyBorder="1" applyAlignment="1">
      <alignment horizontal="right" vertical="center"/>
    </xf>
    <xf numFmtId="43" fontId="0" fillId="0" borderId="10" xfId="1" applyFont="1" applyBorder="1" applyAlignment="1">
      <alignment horizontal="right"/>
    </xf>
    <xf numFmtId="9" fontId="0" fillId="0" borderId="10" xfId="2" applyNumberFormat="1" applyFont="1" applyBorder="1" applyAlignment="1">
      <alignment horizontal="right"/>
    </xf>
    <xf numFmtId="169" fontId="0" fillId="0" borderId="10" xfId="1" applyNumberFormat="1" applyFont="1" applyBorder="1" applyAlignment="1">
      <alignment horizontal="right"/>
    </xf>
    <xf numFmtId="166" fontId="0" fillId="0" borderId="10" xfId="2" applyNumberFormat="1" applyFont="1" applyBorder="1" applyAlignment="1">
      <alignment horizontal="right"/>
    </xf>
    <xf numFmtId="167" fontId="0" fillId="0" borderId="10" xfId="1" applyNumberFormat="1" applyFont="1" applyBorder="1"/>
    <xf numFmtId="43" fontId="3" fillId="3" borderId="0" xfId="1" applyFont="1" applyFill="1" applyAlignment="1">
      <alignment horizontal="right" vertical="center"/>
    </xf>
    <xf numFmtId="43" fontId="3" fillId="3" borderId="0" xfId="1" applyFont="1" applyFill="1" applyAlignment="1">
      <alignment horizontal="right"/>
    </xf>
    <xf numFmtId="9" fontId="3" fillId="3" borderId="0" xfId="2" applyNumberFormat="1" applyFont="1" applyFill="1" applyAlignment="1">
      <alignment horizontal="right"/>
    </xf>
    <xf numFmtId="169" fontId="3" fillId="3" borderId="0" xfId="1" applyNumberFormat="1" applyFont="1" applyFill="1" applyAlignment="1">
      <alignment horizontal="right"/>
    </xf>
    <xf numFmtId="166" fontId="3" fillId="3" borderId="0" xfId="2" applyNumberFormat="1" applyFont="1" applyFill="1" applyAlignment="1">
      <alignment horizontal="right"/>
    </xf>
    <xf numFmtId="167" fontId="0" fillId="0" borderId="0" xfId="1" applyNumberFormat="1" applyFont="1" applyAlignment="1">
      <alignment horizontal="right"/>
    </xf>
    <xf numFmtId="171" fontId="0" fillId="0" borderId="10" xfId="0" applyNumberFormat="1" applyBorder="1" applyAlignment="1">
      <alignment horizontal="right"/>
    </xf>
    <xf numFmtId="171" fontId="3" fillId="3" borderId="0" xfId="0" applyNumberFormat="1" applyFont="1" applyFill="1" applyAlignment="1">
      <alignment horizontal="right"/>
    </xf>
    <xf numFmtId="43" fontId="0" fillId="0" borderId="0" xfId="1" applyFont="1" applyBorder="1" applyAlignment="1">
      <alignment vertical="center"/>
    </xf>
    <xf numFmtId="43" fontId="10" fillId="5" borderId="21" xfId="1" applyFont="1" applyFill="1" applyBorder="1" applyAlignment="1">
      <alignment horizontal="center" vertical="center"/>
    </xf>
    <xf numFmtId="43" fontId="10" fillId="5" borderId="22" xfId="1" applyFont="1" applyFill="1" applyBorder="1" applyAlignment="1">
      <alignment horizontal="center" vertical="center"/>
    </xf>
    <xf numFmtId="0" fontId="10" fillId="5" borderId="25" xfId="3" applyFont="1" applyFill="1" applyBorder="1" applyAlignment="1">
      <alignment horizontal="center" vertical="center"/>
    </xf>
    <xf numFmtId="0" fontId="10" fillId="5" borderId="29" xfId="3" applyFont="1" applyFill="1" applyBorder="1" applyAlignment="1">
      <alignment horizontal="center" vertical="center"/>
    </xf>
    <xf numFmtId="0" fontId="20" fillId="5" borderId="21" xfId="3" applyFont="1" applyFill="1" applyBorder="1" applyAlignment="1">
      <alignment horizontal="center" vertical="center" wrapText="1"/>
    </xf>
    <xf numFmtId="167" fontId="0" fillId="0" borderId="10" xfId="1" applyNumberFormat="1" applyFont="1" applyBorder="1" applyAlignment="1">
      <alignment horizontal="right"/>
    </xf>
    <xf numFmtId="167" fontId="1" fillId="0" borderId="0" xfId="1" applyNumberFormat="1" applyFont="1" applyAlignment="1">
      <alignment horizontal="right"/>
    </xf>
    <xf numFmtId="167" fontId="3" fillId="3" borderId="0" xfId="1" applyNumberFormat="1" applyFont="1" applyFill="1" applyAlignment="1">
      <alignment horizontal="right"/>
    </xf>
    <xf numFmtId="9" fontId="0" fillId="0" borderId="10" xfId="2" applyFont="1" applyBorder="1" applyAlignment="1">
      <alignment horizontal="right"/>
    </xf>
    <xf numFmtId="171" fontId="0" fillId="0" borderId="0" xfId="0" applyNumberFormat="1" applyFill="1" applyAlignment="1">
      <alignment horizontal="right"/>
    </xf>
    <xf numFmtId="43" fontId="10" fillId="5" borderId="21" xfId="1" applyFont="1" applyFill="1" applyBorder="1" applyAlignment="1">
      <alignment horizontal="center" vertical="center" wrapText="1"/>
    </xf>
    <xf numFmtId="43" fontId="0" fillId="0" borderId="5" xfId="1" applyFont="1" applyBorder="1" applyAlignment="1">
      <alignment horizontal="right" vertical="center"/>
    </xf>
    <xf numFmtId="43" fontId="0" fillId="0" borderId="5" xfId="1" applyFont="1" applyBorder="1" applyAlignment="1">
      <alignment horizontal="right"/>
    </xf>
    <xf numFmtId="9" fontId="0" fillId="0" borderId="5" xfId="2" applyNumberFormat="1" applyFont="1" applyBorder="1" applyAlignment="1">
      <alignment horizontal="right"/>
    </xf>
    <xf numFmtId="169" fontId="0" fillId="0" borderId="5" xfId="1" applyNumberFormat="1" applyFont="1" applyBorder="1" applyAlignment="1">
      <alignment horizontal="right"/>
    </xf>
    <xf numFmtId="166" fontId="0" fillId="0" borderId="5" xfId="2" applyNumberFormat="1" applyFont="1" applyBorder="1" applyAlignment="1">
      <alignment horizontal="right"/>
    </xf>
    <xf numFmtId="167" fontId="0" fillId="0" borderId="5" xfId="1" applyNumberFormat="1" applyFont="1" applyBorder="1" applyAlignment="1">
      <alignment horizontal="right"/>
    </xf>
    <xf numFmtId="43" fontId="0" fillId="0" borderId="0" xfId="1" applyFont="1" applyAlignment="1">
      <alignment vertical="center"/>
    </xf>
    <xf numFmtId="0" fontId="21" fillId="0" borderId="0" xfId="0" applyFont="1"/>
    <xf numFmtId="0" fontId="22" fillId="0" borderId="0" xfId="0" applyFont="1"/>
    <xf numFmtId="0" fontId="23" fillId="0" borderId="0" xfId="0" applyFont="1"/>
    <xf numFmtId="0" fontId="23" fillId="0" borderId="0" xfId="0" applyFont="1" applyFill="1"/>
    <xf numFmtId="0" fontId="2" fillId="0" borderId="0" xfId="0" applyFont="1" applyFill="1"/>
    <xf numFmtId="0" fontId="2" fillId="0" borderId="0" xfId="0" applyFont="1" applyAlignment="1">
      <alignment horizontal="right"/>
    </xf>
    <xf numFmtId="0" fontId="10" fillId="6" borderId="19" xfId="3" applyFont="1" applyFill="1" applyBorder="1" applyAlignment="1">
      <alignment horizontal="center" vertical="center"/>
    </xf>
    <xf numFmtId="0" fontId="10" fillId="6" borderId="20" xfId="3" applyFont="1" applyFill="1" applyBorder="1" applyAlignment="1">
      <alignment horizontal="center" vertical="center"/>
    </xf>
    <xf numFmtId="0" fontId="10" fillId="0" borderId="0" xfId="3" applyFont="1" applyFill="1" applyBorder="1" applyAlignment="1">
      <alignment horizontal="center" vertical="center"/>
    </xf>
    <xf numFmtId="0" fontId="10" fillId="6" borderId="24" xfId="3" applyFont="1" applyFill="1" applyBorder="1" applyAlignment="1">
      <alignment horizontal="center" vertical="center"/>
    </xf>
    <xf numFmtId="0" fontId="10" fillId="6" borderId="26" xfId="3" applyFont="1" applyFill="1" applyBorder="1" applyAlignment="1">
      <alignment horizontal="center" vertical="center"/>
    </xf>
    <xf numFmtId="0" fontId="10" fillId="6" borderId="24"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6" borderId="27" xfId="3" applyFont="1" applyFill="1" applyBorder="1" applyAlignment="1">
      <alignment horizontal="center" vertical="center"/>
    </xf>
    <xf numFmtId="0" fontId="14" fillId="3" borderId="30" xfId="0" applyFont="1" applyFill="1" applyBorder="1" applyAlignment="1">
      <alignment horizontal="left"/>
    </xf>
    <xf numFmtId="0" fontId="14" fillId="3" borderId="0" xfId="0" applyFont="1" applyFill="1" applyBorder="1" applyAlignment="1">
      <alignment horizontal="left"/>
    </xf>
    <xf numFmtId="0" fontId="14" fillId="3" borderId="22" xfId="0" applyFont="1" applyFill="1" applyBorder="1" applyAlignment="1"/>
    <xf numFmtId="0" fontId="14" fillId="3" borderId="23" xfId="0" applyFont="1" applyFill="1" applyBorder="1" applyAlignment="1"/>
    <xf numFmtId="0" fontId="0" fillId="0" borderId="22" xfId="0" applyFill="1" applyBorder="1"/>
    <xf numFmtId="0" fontId="0" fillId="3" borderId="21" xfId="0" applyFill="1" applyBorder="1"/>
    <xf numFmtId="0" fontId="0" fillId="3" borderId="22" xfId="0" applyFill="1" applyBorder="1"/>
    <xf numFmtId="0" fontId="0" fillId="3" borderId="23" xfId="0" applyFill="1" applyBorder="1"/>
    <xf numFmtId="0" fontId="0" fillId="3" borderId="20" xfId="0" applyFill="1" applyBorder="1" applyAlignment="1">
      <alignment horizontal="right"/>
    </xf>
    <xf numFmtId="169" fontId="24" fillId="0" borderId="0" xfId="1" applyNumberFormat="1" applyFont="1"/>
    <xf numFmtId="169" fontId="24" fillId="0" borderId="0" xfId="1" applyNumberFormat="1" applyFont="1" applyFill="1"/>
    <xf numFmtId="0" fontId="25" fillId="0" borderId="0" xfId="0" applyFont="1"/>
    <xf numFmtId="0" fontId="25" fillId="0" borderId="0" xfId="0" quotePrefix="1" applyFont="1"/>
    <xf numFmtId="43" fontId="24" fillId="0" borderId="0" xfId="1" applyFont="1" applyAlignment="1">
      <alignment vertical="center"/>
    </xf>
    <xf numFmtId="43" fontId="24" fillId="0" borderId="0" xfId="1" applyFont="1" applyFill="1" applyAlignment="1">
      <alignment vertical="center"/>
    </xf>
    <xf numFmtId="169" fontId="24" fillId="0" borderId="10" xfId="1" applyNumberFormat="1" applyFont="1" applyBorder="1"/>
    <xf numFmtId="43" fontId="24" fillId="0" borderId="10" xfId="1" applyFont="1" applyBorder="1" applyAlignment="1">
      <alignment vertical="center"/>
    </xf>
    <xf numFmtId="0" fontId="0" fillId="0" borderId="10" xfId="0" applyFill="1" applyBorder="1"/>
    <xf numFmtId="169" fontId="26" fillId="3" borderId="0" xfId="1" applyNumberFormat="1" applyFont="1" applyFill="1"/>
    <xf numFmtId="169" fontId="26" fillId="0" borderId="0" xfId="1" applyNumberFormat="1" applyFont="1" applyFill="1"/>
    <xf numFmtId="0" fontId="3" fillId="0" borderId="0" xfId="0" applyFont="1" applyFill="1"/>
    <xf numFmtId="169" fontId="17" fillId="0" borderId="0" xfId="1" applyNumberFormat="1" applyFont="1"/>
    <xf numFmtId="169" fontId="17" fillId="0" borderId="10" xfId="1" applyNumberFormat="1" applyFont="1" applyBorder="1"/>
    <xf numFmtId="43" fontId="24" fillId="0" borderId="10" xfId="1" applyFont="1" applyFill="1" applyBorder="1" applyAlignment="1">
      <alignment vertical="center"/>
    </xf>
    <xf numFmtId="169" fontId="24" fillId="0" borderId="10" xfId="1" applyNumberFormat="1" applyFont="1" applyFill="1" applyBorder="1"/>
    <xf numFmtId="43" fontId="24" fillId="0" borderId="0" xfId="1" applyNumberFormat="1" applyFont="1"/>
    <xf numFmtId="169" fontId="24" fillId="0" borderId="0" xfId="1" applyNumberFormat="1" applyFont="1" applyBorder="1"/>
    <xf numFmtId="43" fontId="24" fillId="0" borderId="0" xfId="1" applyFont="1" applyBorder="1" applyAlignment="1">
      <alignment vertical="center"/>
    </xf>
    <xf numFmtId="43" fontId="24" fillId="0" borderId="0" xfId="1" applyFont="1" applyFill="1" applyBorder="1" applyAlignment="1">
      <alignment vertical="center"/>
    </xf>
    <xf numFmtId="169" fontId="24" fillId="0" borderId="0" xfId="1" applyNumberFormat="1" applyFont="1" applyFill="1" applyBorder="1"/>
    <xf numFmtId="0" fontId="0" fillId="0" borderId="0" xfId="0" applyFill="1" applyBorder="1"/>
    <xf numFmtId="169" fontId="24" fillId="0" borderId="0" xfId="1" applyNumberFormat="1" applyFont="1" applyAlignment="1">
      <alignment horizontal="right"/>
    </xf>
    <xf numFmtId="169" fontId="24" fillId="0" borderId="0" xfId="1" applyNumberFormat="1" applyFont="1" applyFill="1" applyAlignment="1">
      <alignment horizontal="right"/>
    </xf>
    <xf numFmtId="169" fontId="27" fillId="0" borderId="0" xfId="1" applyNumberFormat="1" applyFont="1"/>
    <xf numFmtId="169" fontId="24" fillId="0" borderId="5" xfId="1" applyNumberFormat="1" applyFont="1" applyBorder="1"/>
    <xf numFmtId="43" fontId="24" fillId="0" borderId="5" xfId="1" applyFont="1" applyBorder="1" applyAlignment="1">
      <alignment vertical="center"/>
    </xf>
    <xf numFmtId="0" fontId="0" fillId="0" borderId="5" xfId="0" applyFill="1" applyBorder="1"/>
    <xf numFmtId="0" fontId="28"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43" fontId="0" fillId="0" borderId="0" xfId="1" applyFont="1" applyAlignment="1">
      <alignment horizontal="justify" vertical="center" wrapText="1"/>
    </xf>
    <xf numFmtId="0" fontId="0" fillId="0" borderId="0" xfId="0" applyAlignment="1">
      <alignment horizontal="left" vertical="top" wrapText="1"/>
    </xf>
    <xf numFmtId="43" fontId="0" fillId="0" borderId="0" xfId="1" applyFont="1" applyAlignment="1">
      <alignment horizontal="left" vertical="center" wrapText="1"/>
    </xf>
    <xf numFmtId="43" fontId="0" fillId="0" borderId="0" xfId="1" applyFont="1" applyAlignment="1">
      <alignment horizontal="justify" vertical="center"/>
    </xf>
    <xf numFmtId="0" fontId="0" fillId="0" borderId="0" xfId="0" applyAlignment="1">
      <alignment horizontal="justify" vertical="top"/>
    </xf>
    <xf numFmtId="0" fontId="29"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30" fillId="0" borderId="0" xfId="3" applyFont="1" applyFill="1" applyBorder="1" applyAlignment="1">
      <alignment vertical="center"/>
    </xf>
    <xf numFmtId="0" fontId="30" fillId="0" borderId="0" xfId="3" applyFont="1" applyAlignment="1">
      <alignment vertical="center"/>
    </xf>
    <xf numFmtId="49" fontId="27" fillId="0" borderId="0" xfId="3" applyNumberFormat="1" applyFont="1" applyFill="1" applyBorder="1" applyAlignment="1">
      <alignment vertical="center" wrapText="1"/>
    </xf>
    <xf numFmtId="0" fontId="0" fillId="0" borderId="0" xfId="0" applyFont="1" applyAlignment="1">
      <alignment horizontal="justify" vertical="top" wrapText="1"/>
    </xf>
    <xf numFmtId="0" fontId="27" fillId="0" borderId="0" xfId="0" applyFont="1" applyAlignment="1">
      <alignment horizontal="left" vertical="center"/>
    </xf>
    <xf numFmtId="0" fontId="27" fillId="0" borderId="0" xfId="0" applyFont="1" applyBorder="1" applyAlignment="1">
      <alignment horizontal="left" vertical="center"/>
    </xf>
    <xf numFmtId="0" fontId="31" fillId="0" borderId="0" xfId="0" applyFont="1" applyAlignment="1">
      <alignment horizontal="left" vertical="center"/>
    </xf>
    <xf numFmtId="0" fontId="31" fillId="0" borderId="0" xfId="0" applyFont="1" applyBorder="1" applyAlignment="1">
      <alignment horizontal="left" vertical="center"/>
    </xf>
    <xf numFmtId="0" fontId="27" fillId="0" borderId="0" xfId="0" applyFont="1" applyAlignment="1">
      <alignment vertical="center" wrapText="1"/>
    </xf>
    <xf numFmtId="0" fontId="27" fillId="0" borderId="0" xfId="0" applyFont="1" applyBorder="1" applyAlignment="1">
      <alignment vertical="center" wrapText="1"/>
    </xf>
    <xf numFmtId="0" fontId="0" fillId="0" borderId="0" xfId="0" applyFont="1" applyAlignment="1">
      <alignment horizontal="left" vertical="top" wrapText="1"/>
    </xf>
    <xf numFmtId="0" fontId="27" fillId="0" borderId="0" xfId="0" applyFont="1" applyAlignment="1">
      <alignment vertical="center"/>
    </xf>
    <xf numFmtId="0" fontId="27"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2" fillId="0" borderId="0" xfId="3" applyFont="1" applyFill="1" applyBorder="1" applyAlignment="1">
      <alignment vertical="center"/>
    </xf>
    <xf numFmtId="0" fontId="33" fillId="0" borderId="0" xfId="3" applyFont="1" applyFill="1" applyBorder="1" applyAlignment="1">
      <alignment vertical="center"/>
    </xf>
    <xf numFmtId="0" fontId="34" fillId="0" borderId="0" xfId="3" applyFont="1" applyFill="1" applyBorder="1" applyAlignment="1">
      <alignment vertical="center"/>
    </xf>
    <xf numFmtId="43" fontId="34" fillId="0" borderId="0" xfId="1" applyFont="1" applyFill="1" applyBorder="1" applyAlignment="1">
      <alignment vertical="center"/>
    </xf>
    <xf numFmtId="49" fontId="25" fillId="0" borderId="0" xfId="3" applyNumberFormat="1" applyFont="1" applyFill="1" applyBorder="1" applyAlignment="1">
      <alignment vertical="top" wrapText="1"/>
    </xf>
    <xf numFmtId="0" fontId="35" fillId="0" borderId="0" xfId="3" applyFont="1"/>
    <xf numFmtId="14" fontId="35" fillId="0" borderId="0" xfId="3" applyNumberFormat="1" applyFont="1"/>
    <xf numFmtId="0" fontId="29" fillId="0" borderId="16" xfId="3" applyFont="1" applyFill="1" applyBorder="1" applyAlignment="1">
      <alignment vertical="center"/>
    </xf>
    <xf numFmtId="0" fontId="29" fillId="0" borderId="12" xfId="3" applyFont="1" applyFill="1" applyBorder="1" applyAlignment="1">
      <alignment vertical="center"/>
    </xf>
    <xf numFmtId="43" fontId="0" fillId="0" borderId="16" xfId="1" applyFont="1" applyBorder="1" applyAlignment="1">
      <alignment vertical="center"/>
    </xf>
    <xf numFmtId="43" fontId="36" fillId="0" borderId="0" xfId="1" applyFont="1" applyFill="1" applyBorder="1" applyAlignment="1">
      <alignment vertical="center"/>
    </xf>
    <xf numFmtId="0" fontId="36" fillId="0" borderId="16" xfId="3" applyFont="1" applyFill="1" applyBorder="1" applyAlignment="1">
      <alignment vertical="center"/>
    </xf>
    <xf numFmtId="0" fontId="36" fillId="0" borderId="0" xfId="3" applyFont="1" applyFill="1" applyBorder="1" applyAlignment="1">
      <alignment vertical="center"/>
    </xf>
    <xf numFmtId="0" fontId="36" fillId="0" borderId="0" xfId="3" applyFont="1" applyFill="1" applyBorder="1" applyAlignment="1">
      <alignment horizontal="justify" vertical="center"/>
    </xf>
    <xf numFmtId="0" fontId="37" fillId="0" borderId="0" xfId="3" applyFont="1" applyBorder="1"/>
    <xf numFmtId="0" fontId="35" fillId="0" borderId="0" xfId="3" applyFont="1" applyBorder="1"/>
    <xf numFmtId="14" fontId="35" fillId="0" borderId="0" xfId="3" applyNumberFormat="1" applyFont="1" applyBorder="1"/>
    <xf numFmtId="0" fontId="27" fillId="0" borderId="0" xfId="0" applyFont="1" applyFill="1" applyBorder="1" applyAlignment="1"/>
    <xf numFmtId="0" fontId="27" fillId="0" borderId="15" xfId="0" applyFont="1" applyFill="1" applyBorder="1"/>
    <xf numFmtId="43" fontId="38" fillId="0" borderId="0" xfId="1" applyFont="1" applyFill="1" applyBorder="1" applyAlignment="1">
      <alignment vertical="center"/>
    </xf>
    <xf numFmtId="0" fontId="27" fillId="0" borderId="0" xfId="0" applyFont="1"/>
    <xf numFmtId="0" fontId="27" fillId="0" borderId="7" xfId="0" applyFont="1" applyFill="1" applyBorder="1"/>
    <xf numFmtId="0" fontId="38" fillId="0" borderId="0" xfId="3" applyFont="1" applyFill="1" applyBorder="1" applyAlignment="1">
      <alignment vertical="center"/>
    </xf>
    <xf numFmtId="0" fontId="9" fillId="0" borderId="0" xfId="3" applyFont="1" applyBorder="1"/>
    <xf numFmtId="0" fontId="9" fillId="0" borderId="0" xfId="3" applyFont="1"/>
    <xf numFmtId="49" fontId="39" fillId="0" borderId="0" xfId="3" applyNumberFormat="1" applyFont="1" applyFill="1" applyBorder="1" applyAlignment="1">
      <alignment vertical="top" wrapText="1"/>
    </xf>
    <xf numFmtId="0" fontId="37" fillId="0" borderId="0" xfId="3" applyFont="1"/>
    <xf numFmtId="0" fontId="27" fillId="0" borderId="15" xfId="0" applyFont="1" applyBorder="1"/>
    <xf numFmtId="0" fontId="39" fillId="0" borderId="0" xfId="0" applyFont="1" applyFill="1" applyBorder="1" applyAlignment="1"/>
    <xf numFmtId="0" fontId="30" fillId="0" borderId="0" xfId="0" applyFont="1" applyFill="1" applyBorder="1" applyAlignment="1"/>
    <xf numFmtId="0" fontId="38" fillId="0" borderId="0" xfId="0" applyFont="1" applyFill="1" applyBorder="1" applyAlignment="1"/>
    <xf numFmtId="0" fontId="40" fillId="0" borderId="0" xfId="3" applyFont="1" applyFill="1" applyBorder="1" applyAlignment="1">
      <alignment vertical="center"/>
    </xf>
    <xf numFmtId="0" fontId="9" fillId="0" borderId="0" xfId="3" applyFont="1" applyFill="1" applyBorder="1"/>
    <xf numFmtId="0" fontId="41" fillId="0" borderId="0" xfId="3" applyFont="1"/>
    <xf numFmtId="0" fontId="9" fillId="0" borderId="0" xfId="3" applyFont="1" applyFill="1"/>
    <xf numFmtId="43" fontId="9" fillId="0" borderId="0" xfId="1" applyFont="1" applyAlignment="1">
      <alignment vertical="center"/>
    </xf>
    <xf numFmtId="0" fontId="27" fillId="0" borderId="0" xfId="0" applyFont="1" applyFill="1" applyBorder="1"/>
    <xf numFmtId="0" fontId="39" fillId="0" borderId="0" xfId="0" applyFont="1" applyFill="1" applyAlignment="1">
      <alignment horizontal="center"/>
    </xf>
    <xf numFmtId="0" fontId="39" fillId="0" borderId="0" xfId="0" applyFont="1" applyFill="1"/>
    <xf numFmtId="0" fontId="39" fillId="0" borderId="0" xfId="0" applyFont="1" applyFill="1" applyBorder="1" applyAlignment="1">
      <alignment horizontal="center"/>
    </xf>
    <xf numFmtId="0" fontId="3" fillId="0" borderId="16" xfId="0" applyFont="1" applyFill="1" applyBorder="1" applyAlignment="1">
      <alignment horizontal="center"/>
    </xf>
    <xf numFmtId="0" fontId="0" fillId="0" borderId="0" xfId="0" applyFill="1" applyBorder="1" applyAlignment="1"/>
    <xf numFmtId="0" fontId="0" fillId="7" borderId="0" xfId="0" applyFill="1" applyBorder="1" applyAlignment="1"/>
    <xf numFmtId="0" fontId="12" fillId="0" borderId="0" xfId="3" applyFont="1" applyFill="1" applyBorder="1" applyAlignment="1">
      <alignment vertical="center"/>
    </xf>
    <xf numFmtId="0" fontId="3" fillId="0" borderId="5" xfId="0" applyFont="1" applyBorder="1" applyAlignment="1">
      <alignment horizontal="center"/>
    </xf>
    <xf numFmtId="0" fontId="3" fillId="0" borderId="5" xfId="0" applyFont="1" applyBorder="1" applyAlignment="1">
      <alignment horizontal="center" wrapText="1"/>
    </xf>
    <xf numFmtId="0" fontId="0" fillId="0" borderId="0" xfId="0" applyBorder="1" applyAlignment="1"/>
    <xf numFmtId="0" fontId="0" fillId="0" borderId="10" xfId="0" applyFill="1" applyBorder="1" applyAlignment="1">
      <alignment horizontal="center"/>
    </xf>
    <xf numFmtId="0" fontId="0" fillId="0" borderId="10" xfId="1" applyNumberFormat="1" applyFont="1" applyFill="1" applyBorder="1" applyAlignment="1">
      <alignment horizontal="center" vertical="center"/>
    </xf>
    <xf numFmtId="0" fontId="9" fillId="8" borderId="0" xfId="3" applyFont="1" applyFill="1" applyBorder="1"/>
    <xf numFmtId="10" fontId="0" fillId="8" borderId="0" xfId="0" applyNumberFormat="1" applyFill="1" applyBorder="1" applyAlignment="1"/>
    <xf numFmtId="0" fontId="0" fillId="0" borderId="0" xfId="0" applyFill="1" applyAlignment="1">
      <alignment horizontal="center"/>
    </xf>
    <xf numFmtId="43" fontId="39" fillId="0" borderId="0" xfId="1" applyFont="1" applyFill="1" applyAlignment="1">
      <alignment vertical="center"/>
    </xf>
    <xf numFmtId="0" fontId="0" fillId="0" borderId="0" xfId="1" applyNumberFormat="1" applyFont="1" applyFill="1" applyAlignment="1">
      <alignment horizontal="center" vertical="center"/>
    </xf>
    <xf numFmtId="10" fontId="0" fillId="0" borderId="0" xfId="0" applyNumberFormat="1" applyAlignment="1"/>
    <xf numFmtId="0" fontId="9" fillId="8" borderId="0" xfId="3" applyFont="1" applyFill="1"/>
    <xf numFmtId="10" fontId="0" fillId="8" borderId="0" xfId="0" applyNumberFormat="1" applyFill="1" applyAlignment="1"/>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0" borderId="0" xfId="0" applyFill="1" applyBorder="1" applyAlignment="1">
      <alignment horizontal="center"/>
    </xf>
    <xf numFmtId="10" fontId="0" fillId="0" borderId="0" xfId="0" applyNumberFormat="1" applyBorder="1" applyAlignment="1"/>
    <xf numFmtId="0" fontId="0" fillId="0" borderId="16" xfId="0" applyNumberFormat="1" applyFill="1" applyBorder="1" applyAlignment="1">
      <alignment horizontal="center"/>
    </xf>
    <xf numFmtId="0" fontId="0" fillId="0" borderId="16" xfId="0" applyFill="1" applyBorder="1" applyAlignment="1">
      <alignment horizontal="center"/>
    </xf>
    <xf numFmtId="0" fontId="39" fillId="0" borderId="0" xfId="0" applyFont="1" applyFill="1" applyAlignment="1"/>
    <xf numFmtId="0" fontId="0" fillId="0" borderId="15" xfId="0" applyBorder="1"/>
    <xf numFmtId="0" fontId="0" fillId="0" borderId="15" xfId="0" applyFont="1" applyBorder="1"/>
    <xf numFmtId="0" fontId="28" fillId="0" borderId="0" xfId="0" applyFont="1" applyBorder="1"/>
    <xf numFmtId="10" fontId="0" fillId="0" borderId="0" xfId="2" applyNumberFormat="1" applyFont="1"/>
    <xf numFmtId="0" fontId="34" fillId="0" borderId="15" xfId="0" applyFont="1" applyBorder="1"/>
    <xf numFmtId="0" fontId="42" fillId="0" borderId="0" xfId="0" applyFont="1" applyBorder="1" applyAlignment="1">
      <alignment horizontal="justify" wrapText="1"/>
    </xf>
    <xf numFmtId="0" fontId="12" fillId="0" borderId="0" xfId="0" applyFont="1" applyBorder="1"/>
    <xf numFmtId="0" fontId="12" fillId="0" borderId="0" xfId="0" applyFont="1"/>
    <xf numFmtId="0" fontId="43" fillId="0" borderId="0" xfId="0" applyFont="1" applyBorder="1" applyAlignment="1">
      <alignment horizontal="justify" vertical="center" wrapText="1"/>
    </xf>
    <xf numFmtId="0" fontId="43" fillId="0" borderId="15" xfId="0" applyFont="1" applyBorder="1" applyAlignment="1">
      <alignment wrapText="1"/>
    </xf>
    <xf numFmtId="0" fontId="30" fillId="0" borderId="0" xfId="0" quotePrefix="1" applyFont="1" applyBorder="1"/>
    <xf numFmtId="0" fontId="30" fillId="0" borderId="0" xfId="0" applyFont="1" applyBorder="1"/>
    <xf numFmtId="0" fontId="43" fillId="0" borderId="0" xfId="0" applyFont="1" applyBorder="1" applyAlignment="1">
      <alignment vertical="center"/>
    </xf>
    <xf numFmtId="43" fontId="43" fillId="0" borderId="0" xfId="1" applyFont="1" applyBorder="1" applyAlignment="1">
      <alignment vertical="center"/>
    </xf>
  </cellXfs>
  <cellStyles count="4">
    <cellStyle name="Millares" xfId="1" builtinId="3"/>
    <cellStyle name="Normal" xfId="0" builtinId="0"/>
    <cellStyle name="Normal 2" xfId="3"/>
    <cellStyle name="Porcentaje" xfId="2" builtinId="5"/>
  </cellStyles>
  <dxfs count="18">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4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38100</xdr:colOff>
      <xdr:row>26</xdr:row>
      <xdr:rowOff>104775</xdr:rowOff>
    </xdr:from>
    <xdr:to>
      <xdr:col>12</xdr:col>
      <xdr:colOff>131445</xdr:colOff>
      <xdr:row>27</xdr:row>
      <xdr:rowOff>188595</xdr:rowOff>
    </xdr:to>
    <xdr:sp macro="" textlink="">
      <xdr:nvSpPr>
        <xdr:cNvPr id="2" name="Freeform 286">
          <a:extLst>
            <a:ext uri="{FF2B5EF4-FFF2-40B4-BE49-F238E27FC236}">
              <a16:creationId xmlns:a16="http://schemas.microsoft.com/office/drawing/2014/main" xmlns="" id="{00000000-0008-0000-2400-00000B000000}"/>
            </a:ext>
          </a:extLst>
        </xdr:cNvPr>
        <xdr:cNvSpPr/>
      </xdr:nvSpPr>
      <xdr:spPr>
        <a:xfrm>
          <a:off x="8534400" y="50577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28</xdr:row>
      <xdr:rowOff>104775</xdr:rowOff>
    </xdr:from>
    <xdr:to>
      <xdr:col>12</xdr:col>
      <xdr:colOff>131445</xdr:colOff>
      <xdr:row>29</xdr:row>
      <xdr:rowOff>188595</xdr:rowOff>
    </xdr:to>
    <xdr:sp macro="" textlink="">
      <xdr:nvSpPr>
        <xdr:cNvPr id="3" name="Freeform 126">
          <a:extLst>
            <a:ext uri="{FF2B5EF4-FFF2-40B4-BE49-F238E27FC236}">
              <a16:creationId xmlns:a16="http://schemas.microsoft.com/office/drawing/2014/main" xmlns="" id="{00000000-0008-0000-2400-00000C000000}"/>
            </a:ext>
          </a:extLst>
        </xdr:cNvPr>
        <xdr:cNvSpPr/>
      </xdr:nvSpPr>
      <xdr:spPr>
        <a:xfrm>
          <a:off x="8534400" y="54387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30</xdr:row>
      <xdr:rowOff>104775</xdr:rowOff>
    </xdr:from>
    <xdr:to>
      <xdr:col>12</xdr:col>
      <xdr:colOff>131445</xdr:colOff>
      <xdr:row>31</xdr:row>
      <xdr:rowOff>188595</xdr:rowOff>
    </xdr:to>
    <xdr:sp macro="" textlink="">
      <xdr:nvSpPr>
        <xdr:cNvPr id="4" name="Freeform 490">
          <a:extLst>
            <a:ext uri="{FF2B5EF4-FFF2-40B4-BE49-F238E27FC236}">
              <a16:creationId xmlns:a16="http://schemas.microsoft.com/office/drawing/2014/main" xmlns="" id="{00000000-0008-0000-2400-00000D000000}"/>
            </a:ext>
          </a:extLst>
        </xdr:cNvPr>
        <xdr:cNvSpPr/>
      </xdr:nvSpPr>
      <xdr:spPr>
        <a:xfrm>
          <a:off x="8534400" y="58197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32</xdr:row>
      <xdr:rowOff>104775</xdr:rowOff>
    </xdr:from>
    <xdr:to>
      <xdr:col>12</xdr:col>
      <xdr:colOff>131445</xdr:colOff>
      <xdr:row>33</xdr:row>
      <xdr:rowOff>188595</xdr:rowOff>
    </xdr:to>
    <xdr:sp macro="" textlink="">
      <xdr:nvSpPr>
        <xdr:cNvPr id="5" name="Freeform 335">
          <a:extLst>
            <a:ext uri="{FF2B5EF4-FFF2-40B4-BE49-F238E27FC236}">
              <a16:creationId xmlns:a16="http://schemas.microsoft.com/office/drawing/2014/main" xmlns="" id="{00000000-0008-0000-2400-00000E000000}"/>
            </a:ext>
          </a:extLst>
        </xdr:cNvPr>
        <xdr:cNvSpPr/>
      </xdr:nvSpPr>
      <xdr:spPr>
        <a:xfrm>
          <a:off x="8534400" y="62007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35</xdr:row>
      <xdr:rowOff>0</xdr:rowOff>
    </xdr:from>
    <xdr:to>
      <xdr:col>18</xdr:col>
      <xdr:colOff>190499</xdr:colOff>
      <xdr:row>36</xdr:row>
      <xdr:rowOff>180974</xdr:rowOff>
    </xdr:to>
    <xdr:sp macro="" textlink="">
      <xdr:nvSpPr>
        <xdr:cNvPr id="6" name="5 Rectángulo">
          <a:extLst>
            <a:ext uri="{FF2B5EF4-FFF2-40B4-BE49-F238E27FC236}">
              <a16:creationId xmlns:a16="http://schemas.microsoft.com/office/drawing/2014/main" xmlns="" id="{00000000-0008-0000-2400-000006000000}"/>
            </a:ext>
          </a:extLst>
        </xdr:cNvPr>
        <xdr:cNvSpPr/>
      </xdr:nvSpPr>
      <xdr:spPr>
        <a:xfrm>
          <a:off x="0" y="6667500"/>
          <a:ext cx="995362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OL-SUPV_v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OL-SUPV_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atmap CA"/>
      <sheetName val="Macro"/>
      <sheetName val="NI"/>
      <sheetName val="Datos"/>
      <sheetName val="Mkt cap"/>
      <sheetName val="Heatmap (2)"/>
      <sheetName val="Mkt SUPV"/>
      <sheetName val="Fund SUPV"/>
      <sheetName val="Earn SUPV"/>
      <sheetName val="Hoja1"/>
      <sheetName val="Glos SUPV"/>
      <sheetName val="Hoja2"/>
    </sheetNames>
    <definedNames>
      <definedName name="Ordenar"/>
    </definedNames>
    <sheetDataSet>
      <sheetData sheetId="0"/>
      <sheetData sheetId="1"/>
      <sheetData sheetId="2"/>
      <sheetData sheetId="3"/>
      <sheetData sheetId="4"/>
      <sheetData sheetId="5"/>
      <sheetData sheetId="6">
        <row r="2">
          <cell r="P2">
            <v>43404</v>
          </cell>
          <cell r="Q2">
            <v>43434</v>
          </cell>
          <cell r="R2">
            <v>43465</v>
          </cell>
          <cell r="S2">
            <v>43496</v>
          </cell>
          <cell r="T2">
            <v>43524</v>
          </cell>
          <cell r="U2">
            <v>43555</v>
          </cell>
          <cell r="V2">
            <v>43585</v>
          </cell>
          <cell r="W2">
            <v>43616</v>
          </cell>
          <cell r="X2">
            <v>43646</v>
          </cell>
          <cell r="Y2">
            <v>43677</v>
          </cell>
          <cell r="Z2">
            <v>43708</v>
          </cell>
          <cell r="AA2">
            <v>43712</v>
          </cell>
        </row>
        <row r="4">
          <cell r="A4" t="str">
            <v>TEF.BA</v>
          </cell>
          <cell r="B4">
            <v>325</v>
          </cell>
          <cell r="C4">
            <v>297.55</v>
          </cell>
          <cell r="D4">
            <v>327.35000000000002</v>
          </cell>
          <cell r="E4">
            <v>319</v>
          </cell>
          <cell r="F4">
            <v>334</v>
          </cell>
          <cell r="G4">
            <v>339.5</v>
          </cell>
          <cell r="H4">
            <v>370</v>
          </cell>
          <cell r="I4">
            <v>365</v>
          </cell>
          <cell r="J4">
            <v>348</v>
          </cell>
          <cell r="K4">
            <v>350</v>
          </cell>
          <cell r="L4">
            <v>340.1</v>
          </cell>
          <cell r="M4">
            <v>340.1</v>
          </cell>
          <cell r="N4" t="str">
            <v>The record could not be found</v>
          </cell>
          <cell r="P4">
            <v>-8.4461538461538477E-2</v>
          </cell>
          <cell r="Q4">
            <v>0.10015123508654011</v>
          </cell>
          <cell r="R4">
            <v>-2.5507866198258844E-2</v>
          </cell>
          <cell r="S4">
            <v>4.7021943573667624E-2</v>
          </cell>
          <cell r="T4">
            <v>1.646706586826352E-2</v>
          </cell>
          <cell r="U4">
            <v>8.9837997054491803E-2</v>
          </cell>
          <cell r="V4">
            <v>-1.3513513513513487E-2</v>
          </cell>
          <cell r="W4">
            <v>-4.6575342465753455E-2</v>
          </cell>
          <cell r="X4">
            <v>5.7471264367816577E-3</v>
          </cell>
          <cell r="Y4">
            <v>-2.8285714285714247E-2</v>
          </cell>
          <cell r="Z4">
            <v>0</v>
          </cell>
          <cell r="AA4" t="e">
            <v>#VALUE!</v>
          </cell>
        </row>
        <row r="5">
          <cell r="A5" t="str">
            <v>TECO2.BA</v>
          </cell>
          <cell r="B5">
            <v>136.97387660999999</v>
          </cell>
          <cell r="C5">
            <v>123.64771766299999</v>
          </cell>
          <cell r="D5">
            <v>123.64771766299999</v>
          </cell>
          <cell r="E5">
            <v>113.272351054</v>
          </cell>
          <cell r="F5">
            <v>117.841319836</v>
          </cell>
          <cell r="G5">
            <v>111.321020636</v>
          </cell>
          <cell r="H5">
            <v>120.696925325</v>
          </cell>
          <cell r="I5">
            <v>112.891603655</v>
          </cell>
          <cell r="J5">
            <v>129.34467000000001</v>
          </cell>
          <cell r="K5">
            <v>148.26840000000001</v>
          </cell>
          <cell r="L5">
            <v>147.4392675</v>
          </cell>
          <cell r="M5">
            <v>110.7</v>
          </cell>
          <cell r="N5">
            <v>120</v>
          </cell>
          <cell r="P5">
            <v>-9.7289784569235871E-2</v>
          </cell>
          <cell r="Q5">
            <v>0</v>
          </cell>
          <cell r="R5">
            <v>-8.3910700537780269E-2</v>
          </cell>
          <cell r="S5">
            <v>4.0336134453692551E-2</v>
          </cell>
          <cell r="T5">
            <v>-5.5331179327202995E-2</v>
          </cell>
          <cell r="U5">
            <v>8.42240273708732E-2</v>
          </cell>
          <cell r="V5">
            <v>-6.4668769722034281E-2</v>
          </cell>
          <cell r="W5">
            <v>0.1457421616162089</v>
          </cell>
          <cell r="X5">
            <v>0.14630467571644057</v>
          </cell>
          <cell r="Y5">
            <v>-5.5921052631580093E-3</v>
          </cell>
          <cell r="Z5">
            <v>-0.24918237944989785</v>
          </cell>
          <cell r="AA5">
            <v>8.4010840108400986E-2</v>
          </cell>
        </row>
        <row r="6">
          <cell r="A6" t="str">
            <v>CVH.BA</v>
          </cell>
          <cell r="B6">
            <v>337.75</v>
          </cell>
          <cell r="C6">
            <v>288.64999999999998</v>
          </cell>
          <cell r="D6">
            <v>265.64999999999998</v>
          </cell>
          <cell r="E6">
            <v>238.45</v>
          </cell>
          <cell r="F6">
            <v>274</v>
          </cell>
          <cell r="G6">
            <v>258.5</v>
          </cell>
          <cell r="H6">
            <v>223.75</v>
          </cell>
          <cell r="I6">
            <v>187.75</v>
          </cell>
          <cell r="J6">
            <v>219</v>
          </cell>
          <cell r="K6">
            <v>262</v>
          </cell>
          <cell r="L6">
            <v>242.5</v>
          </cell>
          <cell r="M6">
            <v>147.25</v>
          </cell>
          <cell r="N6">
            <v>142</v>
          </cell>
          <cell r="P6">
            <v>-0.14537379718726873</v>
          </cell>
          <cell r="Q6">
            <v>-7.9681274900398447E-2</v>
          </cell>
          <cell r="R6">
            <v>-0.10239036325992845</v>
          </cell>
          <cell r="S6">
            <v>0.14908785908995603</v>
          </cell>
          <cell r="T6">
            <v>-5.6569343065693389E-2</v>
          </cell>
          <cell r="U6">
            <v>-0.13442940038684714</v>
          </cell>
          <cell r="V6">
            <v>-0.1608938547486034</v>
          </cell>
          <cell r="W6">
            <v>0.16644474034620504</v>
          </cell>
          <cell r="X6">
            <v>0.19634703196347036</v>
          </cell>
          <cell r="Y6">
            <v>-7.4427480916030575E-2</v>
          </cell>
          <cell r="Z6">
            <v>-0.39278350515463922</v>
          </cell>
          <cell r="AA6">
            <v>-3.5653650254668934E-2</v>
          </cell>
        </row>
        <row r="7">
          <cell r="A7" t="str">
            <v>GCLA.BA</v>
          </cell>
          <cell r="B7">
            <v>68.400000000000006</v>
          </cell>
          <cell r="C7">
            <v>58</v>
          </cell>
          <cell r="D7">
            <v>50</v>
          </cell>
          <cell r="E7">
            <v>49.5</v>
          </cell>
          <cell r="F7">
            <v>49</v>
          </cell>
          <cell r="G7">
            <v>46.5</v>
          </cell>
          <cell r="H7">
            <v>39.4</v>
          </cell>
          <cell r="I7">
            <v>32.5</v>
          </cell>
          <cell r="J7">
            <v>37</v>
          </cell>
          <cell r="K7">
            <v>39</v>
          </cell>
          <cell r="L7">
            <v>40.950000000000003</v>
          </cell>
          <cell r="M7">
            <v>23</v>
          </cell>
          <cell r="N7">
            <v>28</v>
          </cell>
          <cell r="P7">
            <v>-0.1520467836257311</v>
          </cell>
          <cell r="Q7">
            <v>-0.13793103448275867</v>
          </cell>
          <cell r="R7">
            <v>-1.0000000000000009E-2</v>
          </cell>
          <cell r="S7">
            <v>-1.0101010101010055E-2</v>
          </cell>
          <cell r="T7">
            <v>-5.1020408163265252E-2</v>
          </cell>
          <cell r="U7">
            <v>-0.15268817204301077</v>
          </cell>
          <cell r="V7">
            <v>-0.17512690355329952</v>
          </cell>
          <cell r="W7">
            <v>0.13846153846153841</v>
          </cell>
          <cell r="X7">
            <v>5.4054054054053946E-2</v>
          </cell>
          <cell r="Y7">
            <v>5.0000000000000044E-2</v>
          </cell>
          <cell r="Z7">
            <v>-0.43833943833943834</v>
          </cell>
          <cell r="AA7">
            <v>0.21739130434782616</v>
          </cell>
        </row>
        <row r="8">
          <cell r="A8" t="str">
            <v>MIRG.BA</v>
          </cell>
          <cell r="B8">
            <v>369.20504878700001</v>
          </cell>
          <cell r="C8">
            <v>315.385196904</v>
          </cell>
          <cell r="D8">
            <v>305.80387446600002</v>
          </cell>
          <cell r="E8">
            <v>354.80834651700002</v>
          </cell>
          <cell r="F8">
            <v>383.75192471299999</v>
          </cell>
          <cell r="G8">
            <v>370.77721724600002</v>
          </cell>
          <cell r="H8">
            <v>310.89395201100001</v>
          </cell>
          <cell r="I8">
            <v>300.41438059500001</v>
          </cell>
          <cell r="J8">
            <v>306.55843880499998</v>
          </cell>
          <cell r="K8">
            <v>342.67114179100003</v>
          </cell>
          <cell r="L8">
            <v>342.830558</v>
          </cell>
          <cell r="M8">
            <v>279</v>
          </cell>
          <cell r="N8">
            <v>307</v>
          </cell>
          <cell r="P8">
            <v>-0.14577225327720122</v>
          </cell>
          <cell r="Q8">
            <v>-3.0379746836743382E-2</v>
          </cell>
          <cell r="R8">
            <v>0.16024804177701291</v>
          </cell>
          <cell r="S8">
            <v>8.1575246129710788E-2</v>
          </cell>
          <cell r="T8">
            <v>-3.3810143041506535E-2</v>
          </cell>
          <cell r="U8">
            <v>-0.16150740242291961</v>
          </cell>
          <cell r="V8">
            <v>-3.3707865168214002E-2</v>
          </cell>
          <cell r="W8">
            <v>2.0451944403696798E-2</v>
          </cell>
          <cell r="X8">
            <v>0.11780038783721469</v>
          </cell>
          <cell r="Y8">
            <v>4.6521632421914205E-4</v>
          </cell>
          <cell r="Z8">
            <v>-0.18618689761021823</v>
          </cell>
          <cell r="AA8">
            <v>0.10035842293906816</v>
          </cell>
        </row>
        <row r="9">
          <cell r="A9" t="str">
            <v>HAVA.BA</v>
          </cell>
          <cell r="B9">
            <v>57.956412886999999</v>
          </cell>
          <cell r="C9">
            <v>44.157266960999998</v>
          </cell>
          <cell r="D9">
            <v>50.228891169000001</v>
          </cell>
          <cell r="E9">
            <v>49.676925332000003</v>
          </cell>
          <cell r="F9">
            <v>64.396014319000003</v>
          </cell>
          <cell r="G9">
            <v>68.075786566000005</v>
          </cell>
          <cell r="H9">
            <v>87.394590860999998</v>
          </cell>
          <cell r="I9">
            <v>76.815245652000002</v>
          </cell>
          <cell r="J9">
            <v>80.5</v>
          </cell>
          <cell r="K9">
            <v>81</v>
          </cell>
          <cell r="L9">
            <v>80</v>
          </cell>
          <cell r="M9">
            <v>70</v>
          </cell>
          <cell r="N9">
            <v>77</v>
          </cell>
          <cell r="P9">
            <v>-0.23809523810427613</v>
          </cell>
          <cell r="Q9">
            <v>0.13750000001953255</v>
          </cell>
          <cell r="R9">
            <v>-1.0989010988573411E-2</v>
          </cell>
          <cell r="S9">
            <v>0.29629629629107734</v>
          </cell>
          <cell r="T9">
            <v>5.71428571459629E-2</v>
          </cell>
          <cell r="U9">
            <v>0.28378378377266733</v>
          </cell>
          <cell r="V9">
            <v>-0.12105263157334656</v>
          </cell>
          <cell r="W9">
            <v>4.7969049851031231E-2</v>
          </cell>
          <cell r="X9">
            <v>6.2111801242235032E-3</v>
          </cell>
          <cell r="Y9">
            <v>-1.2345679012345734E-2</v>
          </cell>
          <cell r="Z9">
            <v>-0.125</v>
          </cell>
          <cell r="AA9">
            <v>0.10000000000000009</v>
          </cell>
        </row>
        <row r="10">
          <cell r="A10" t="str">
            <v>GRIM.BA</v>
          </cell>
          <cell r="B10">
            <v>24.417949499999999</v>
          </cell>
          <cell r="C10">
            <v>18.936368999999999</v>
          </cell>
          <cell r="D10">
            <v>18.899999999999999</v>
          </cell>
          <cell r="E10">
            <v>18.55</v>
          </cell>
          <cell r="F10">
            <v>15.5</v>
          </cell>
          <cell r="G10">
            <v>31.9</v>
          </cell>
          <cell r="H10">
            <v>25</v>
          </cell>
          <cell r="I10">
            <v>21</v>
          </cell>
          <cell r="J10">
            <v>27</v>
          </cell>
          <cell r="K10">
            <v>20</v>
          </cell>
          <cell r="L10">
            <v>21.2</v>
          </cell>
          <cell r="M10">
            <v>19.95</v>
          </cell>
          <cell r="N10">
            <v>18.850000000000001</v>
          </cell>
          <cell r="P10">
            <v>-0.22448979591836737</v>
          </cell>
          <cell r="Q10">
            <v>-1.9205899504810553E-3</v>
          </cell>
          <cell r="R10">
            <v>-1.8518518518518379E-2</v>
          </cell>
          <cell r="S10">
            <v>-0.16442048517520214</v>
          </cell>
          <cell r="T10">
            <v>1.0580645161290323</v>
          </cell>
          <cell r="U10">
            <v>-0.21630094043887149</v>
          </cell>
          <cell r="V10">
            <v>-0.16000000000000003</v>
          </cell>
          <cell r="W10">
            <v>0.28571428571428581</v>
          </cell>
          <cell r="X10">
            <v>-0.2592592592592593</v>
          </cell>
          <cell r="Y10">
            <v>6.0000000000000053E-2</v>
          </cell>
          <cell r="Z10">
            <v>-5.8962264150943411E-2</v>
          </cell>
          <cell r="AA10">
            <v>-5.5137844611528708E-2</v>
          </cell>
        </row>
        <row r="11">
          <cell r="A11" t="str">
            <v>TGLT.BA</v>
          </cell>
          <cell r="B11">
            <v>11.85</v>
          </cell>
          <cell r="C11">
            <v>8.6</v>
          </cell>
          <cell r="D11">
            <v>7.9</v>
          </cell>
          <cell r="E11">
            <v>7.28</v>
          </cell>
          <cell r="F11">
            <v>6.6</v>
          </cell>
          <cell r="G11">
            <v>5.75</v>
          </cell>
          <cell r="H11">
            <v>4.55</v>
          </cell>
          <cell r="I11">
            <v>3.9</v>
          </cell>
          <cell r="J11">
            <v>4.8600000000000003</v>
          </cell>
          <cell r="K11">
            <v>4.63</v>
          </cell>
          <cell r="L11">
            <v>4.68</v>
          </cell>
          <cell r="M11">
            <v>3</v>
          </cell>
          <cell r="N11">
            <v>3.16</v>
          </cell>
          <cell r="P11">
            <v>-0.27426160337552741</v>
          </cell>
          <cell r="Q11">
            <v>-8.1395348837209225E-2</v>
          </cell>
          <cell r="R11">
            <v>-7.8481012658227822E-2</v>
          </cell>
          <cell r="S11">
            <v>-9.3406593406593519E-2</v>
          </cell>
          <cell r="T11">
            <v>-0.12878787878787878</v>
          </cell>
          <cell r="U11">
            <v>-0.20869565217391306</v>
          </cell>
          <cell r="V11">
            <v>-0.14285714285714279</v>
          </cell>
          <cell r="W11">
            <v>0.24615384615384617</v>
          </cell>
          <cell r="X11">
            <v>-4.7325102880658498E-2</v>
          </cell>
          <cell r="Y11">
            <v>1.0799136069114423E-2</v>
          </cell>
          <cell r="Z11">
            <v>-0.35897435897435892</v>
          </cell>
          <cell r="AA11">
            <v>5.3333333333333455E-2</v>
          </cell>
        </row>
        <row r="12">
          <cell r="A12" t="str">
            <v>LONG.BA</v>
          </cell>
          <cell r="B12">
            <v>3.45</v>
          </cell>
          <cell r="C12">
            <v>2.65</v>
          </cell>
          <cell r="D12">
            <v>2.5</v>
          </cell>
          <cell r="E12">
            <v>2.19</v>
          </cell>
          <cell r="F12">
            <v>2.4</v>
          </cell>
          <cell r="G12">
            <v>2.5</v>
          </cell>
          <cell r="H12">
            <v>2.21</v>
          </cell>
          <cell r="I12">
            <v>2.35</v>
          </cell>
          <cell r="J12">
            <v>2.4900000000000002</v>
          </cell>
          <cell r="K12">
            <v>2.38</v>
          </cell>
          <cell r="L12">
            <v>2.4</v>
          </cell>
          <cell r="M12">
            <v>2.29</v>
          </cell>
          <cell r="N12">
            <v>2.3000000000000003</v>
          </cell>
          <cell r="P12">
            <v>-0.23188405797101452</v>
          </cell>
          <cell r="Q12">
            <v>-5.6603773584905648E-2</v>
          </cell>
          <cell r="R12">
            <v>-0.124</v>
          </cell>
          <cell r="S12">
            <v>9.5890410958904049E-2</v>
          </cell>
          <cell r="T12">
            <v>4.1666666666666741E-2</v>
          </cell>
          <cell r="U12">
            <v>-0.11599999999999999</v>
          </cell>
          <cell r="V12">
            <v>6.3348416289592757E-2</v>
          </cell>
          <cell r="W12">
            <v>5.9574468085106469E-2</v>
          </cell>
          <cell r="X12">
            <v>-4.4176706827309342E-2</v>
          </cell>
          <cell r="Y12">
            <v>8.4033613445377853E-3</v>
          </cell>
          <cell r="Z12">
            <v>-4.5833333333333282E-2</v>
          </cell>
          <cell r="AA12">
            <v>4.366812227074357E-3</v>
          </cell>
        </row>
        <row r="13">
          <cell r="A13" t="str">
            <v>PSUR.BA</v>
          </cell>
          <cell r="B13">
            <v>4.76</v>
          </cell>
          <cell r="C13">
            <v>2.75</v>
          </cell>
          <cell r="D13">
            <v>2.62</v>
          </cell>
          <cell r="E13">
            <v>2.8</v>
          </cell>
          <cell r="F13">
            <v>3.7</v>
          </cell>
          <cell r="G13">
            <v>4.3499999999999996</v>
          </cell>
          <cell r="H13">
            <v>3.65</v>
          </cell>
          <cell r="I13">
            <v>3.65</v>
          </cell>
          <cell r="J13">
            <v>3.65</v>
          </cell>
          <cell r="K13">
            <v>3.65</v>
          </cell>
          <cell r="L13">
            <v>3.65</v>
          </cell>
          <cell r="M13">
            <v>3.65</v>
          </cell>
          <cell r="N13">
            <v>3.65</v>
          </cell>
          <cell r="P13">
            <v>-0.42226890756302515</v>
          </cell>
          <cell r="Q13">
            <v>-4.7272727272727244E-2</v>
          </cell>
          <cell r="R13">
            <v>6.8702290076335659E-2</v>
          </cell>
          <cell r="S13">
            <v>0.32142857142857162</v>
          </cell>
          <cell r="T13">
            <v>0.17567567567567544</v>
          </cell>
          <cell r="U13">
            <v>-0.16091954022988497</v>
          </cell>
          <cell r="V13">
            <v>0</v>
          </cell>
          <cell r="W13">
            <v>0</v>
          </cell>
          <cell r="X13">
            <v>0</v>
          </cell>
          <cell r="Y13">
            <v>0</v>
          </cell>
          <cell r="Z13">
            <v>0</v>
          </cell>
          <cell r="AA13">
            <v>0</v>
          </cell>
        </row>
        <row r="14">
          <cell r="A14" t="str">
            <v>DOME.BA</v>
          </cell>
          <cell r="B14">
            <v>3.1353882</v>
          </cell>
          <cell r="C14">
            <v>2.6128235000000002</v>
          </cell>
          <cell r="D14">
            <v>2.4591280000000002</v>
          </cell>
          <cell r="E14">
            <v>2.4591280000000002</v>
          </cell>
          <cell r="F14">
            <v>2.4591280000000002</v>
          </cell>
          <cell r="G14">
            <v>2.4591280000000002</v>
          </cell>
          <cell r="H14">
            <v>2.4591280000000002</v>
          </cell>
          <cell r="I14">
            <v>2.1517369999999998</v>
          </cell>
          <cell r="J14">
            <v>2.1517369999999998</v>
          </cell>
          <cell r="K14">
            <v>2000</v>
          </cell>
          <cell r="L14">
            <v>1.79</v>
          </cell>
          <cell r="M14">
            <v>1.86</v>
          </cell>
          <cell r="N14">
            <v>1.8</v>
          </cell>
          <cell r="P14">
            <v>-0.16666666666666663</v>
          </cell>
          <cell r="Q14">
            <v>-5.8823529411764719E-2</v>
          </cell>
          <cell r="R14">
            <v>0</v>
          </cell>
          <cell r="S14">
            <v>0</v>
          </cell>
          <cell r="T14">
            <v>0</v>
          </cell>
          <cell r="U14">
            <v>0</v>
          </cell>
          <cell r="V14">
            <v>-0.12500000000000011</v>
          </cell>
          <cell r="W14">
            <v>0</v>
          </cell>
          <cell r="X14">
            <v>928.48162345119329</v>
          </cell>
          <cell r="Y14">
            <v>-0.99910500000000002</v>
          </cell>
          <cell r="Z14">
            <v>3.9106145251396773E-2</v>
          </cell>
          <cell r="AA14">
            <v>-3.2258064516129115E-2</v>
          </cell>
        </row>
        <row r="15">
          <cell r="A15" t="str">
            <v>PATA.BA</v>
          </cell>
          <cell r="B15">
            <v>26</v>
          </cell>
          <cell r="C15">
            <v>27</v>
          </cell>
          <cell r="D15">
            <v>26</v>
          </cell>
          <cell r="E15">
            <v>24.2</v>
          </cell>
          <cell r="F15">
            <v>24.5</v>
          </cell>
          <cell r="G15">
            <v>24.4</v>
          </cell>
          <cell r="H15">
            <v>23.5</v>
          </cell>
          <cell r="I15">
            <v>22</v>
          </cell>
          <cell r="J15">
            <v>21</v>
          </cell>
          <cell r="K15">
            <v>22.8</v>
          </cell>
          <cell r="L15">
            <v>24.9</v>
          </cell>
          <cell r="M15">
            <v>17</v>
          </cell>
          <cell r="N15">
            <v>17.5</v>
          </cell>
          <cell r="P15">
            <v>3.8461538461538547E-2</v>
          </cell>
          <cell r="Q15">
            <v>-3.703703703703709E-2</v>
          </cell>
          <cell r="R15">
            <v>-6.9230769230769207E-2</v>
          </cell>
          <cell r="S15">
            <v>1.2396694214876103E-2</v>
          </cell>
          <cell r="T15">
            <v>-4.0816326530612734E-3</v>
          </cell>
          <cell r="U15">
            <v>-3.688524590163933E-2</v>
          </cell>
          <cell r="V15">
            <v>-6.3829787234042534E-2</v>
          </cell>
          <cell r="W15">
            <v>-4.5454545454545414E-2</v>
          </cell>
          <cell r="X15">
            <v>8.5714285714285854E-2</v>
          </cell>
          <cell r="Y15">
            <v>9.210526315789469E-2</v>
          </cell>
          <cell r="Z15">
            <v>-0.31726907630522083</v>
          </cell>
          <cell r="AA15">
            <v>2.9411764705882248E-2</v>
          </cell>
        </row>
        <row r="16">
          <cell r="A16" t="str">
            <v>MOLA.BA</v>
          </cell>
          <cell r="B16">
            <v>264.40632900000003</v>
          </cell>
          <cell r="C16">
            <v>209.21039500000001</v>
          </cell>
          <cell r="D16">
            <v>213.66167999999999</v>
          </cell>
          <cell r="E16">
            <v>189.624741</v>
          </cell>
          <cell r="F16">
            <v>218.112965</v>
          </cell>
          <cell r="G16">
            <v>204.75910999999999</v>
          </cell>
          <cell r="H16">
            <v>198.30474674999999</v>
          </cell>
          <cell r="I16">
            <v>173.60011499999999</v>
          </cell>
          <cell r="J16">
            <v>227.015535</v>
          </cell>
          <cell r="K16">
            <v>322.273034</v>
          </cell>
          <cell r="L16">
            <v>404</v>
          </cell>
          <cell r="M16">
            <v>250</v>
          </cell>
          <cell r="N16">
            <v>270</v>
          </cell>
          <cell r="P16">
            <v>-0.2087542087542088</v>
          </cell>
          <cell r="Q16">
            <v>2.1276595744680771E-2</v>
          </cell>
          <cell r="R16">
            <v>-0.11249999999999993</v>
          </cell>
          <cell r="S16">
            <v>0.15023474178403751</v>
          </cell>
          <cell r="T16">
            <v>-6.1224489795918435E-2</v>
          </cell>
          <cell r="U16">
            <v>-3.1521739130434767E-2</v>
          </cell>
          <cell r="V16">
            <v>-0.12457912457912457</v>
          </cell>
          <cell r="W16">
            <v>0.30769230769230771</v>
          </cell>
          <cell r="X16">
            <v>0.41960784313725497</v>
          </cell>
          <cell r="Y16">
            <v>0.25359542182483685</v>
          </cell>
          <cell r="Z16">
            <v>-0.38118811881188119</v>
          </cell>
          <cell r="AA16">
            <v>8.0000000000000071E-2</v>
          </cell>
        </row>
        <row r="17">
          <cell r="A17" t="str">
            <v>MOLI.BA</v>
          </cell>
          <cell r="B17">
            <v>50.9</v>
          </cell>
          <cell r="C17">
            <v>43</v>
          </cell>
          <cell r="D17">
            <v>42</v>
          </cell>
          <cell r="E17">
            <v>37</v>
          </cell>
          <cell r="F17">
            <v>43.5</v>
          </cell>
          <cell r="G17">
            <v>39.9</v>
          </cell>
          <cell r="H17">
            <v>39</v>
          </cell>
          <cell r="I17">
            <v>36.35</v>
          </cell>
          <cell r="J17">
            <v>46.3</v>
          </cell>
          <cell r="K17">
            <v>44.15</v>
          </cell>
          <cell r="L17">
            <v>43.4</v>
          </cell>
          <cell r="M17">
            <v>36</v>
          </cell>
          <cell r="N17">
            <v>39.5</v>
          </cell>
          <cell r="P17">
            <v>-0.15520628683693516</v>
          </cell>
          <cell r="Q17">
            <v>-2.3255813953488413E-2</v>
          </cell>
          <cell r="R17">
            <v>-0.11904761904761907</v>
          </cell>
          <cell r="S17">
            <v>0.17567567567567566</v>
          </cell>
          <cell r="T17">
            <v>-8.2758620689655227E-2</v>
          </cell>
          <cell r="U17">
            <v>-2.2556390977443552E-2</v>
          </cell>
          <cell r="V17">
            <v>-6.7948717948717929E-2</v>
          </cell>
          <cell r="W17">
            <v>0.27372764786795045</v>
          </cell>
          <cell r="X17">
            <v>-4.643628509719222E-2</v>
          </cell>
          <cell r="Y17">
            <v>-1.6987542468856143E-2</v>
          </cell>
          <cell r="Z17">
            <v>-0.17050691244239624</v>
          </cell>
          <cell r="AA17">
            <v>9.7222222222222321E-2</v>
          </cell>
        </row>
        <row r="18">
          <cell r="A18" t="str">
            <v>ESME.BA</v>
          </cell>
          <cell r="B18">
            <v>121.572462</v>
          </cell>
          <cell r="C18">
            <v>118.60728</v>
          </cell>
          <cell r="D18">
            <v>118.60728</v>
          </cell>
          <cell r="E18">
            <v>125.526038</v>
          </cell>
          <cell r="F18">
            <v>133.1860915</v>
          </cell>
          <cell r="G18">
            <v>136.39837199999999</v>
          </cell>
          <cell r="H18">
            <v>123.54925</v>
          </cell>
          <cell r="I18">
            <v>127.502826</v>
          </cell>
          <cell r="J18">
            <v>135.409978</v>
          </cell>
          <cell r="K18">
            <v>136.39837199999999</v>
          </cell>
          <cell r="L18">
            <v>130.468008</v>
          </cell>
          <cell r="M18">
            <v>136</v>
          </cell>
          <cell r="N18">
            <v>136</v>
          </cell>
          <cell r="P18">
            <v>-2.4390243902439046E-2</v>
          </cell>
          <cell r="Q18">
            <v>0</v>
          </cell>
          <cell r="R18">
            <v>5.8333333333333348E-2</v>
          </cell>
          <cell r="S18">
            <v>6.1023622047244208E-2</v>
          </cell>
          <cell r="T18">
            <v>2.4118738404452555E-2</v>
          </cell>
          <cell r="U18">
            <v>-9.4202898550724612E-2</v>
          </cell>
          <cell r="V18">
            <v>3.2000000000000028E-2</v>
          </cell>
          <cell r="W18">
            <v>6.201550387596888E-2</v>
          </cell>
          <cell r="X18">
            <v>7.2992700729928028E-3</v>
          </cell>
          <cell r="Y18">
            <v>-4.3478260869565188E-2</v>
          </cell>
          <cell r="Z18">
            <v>4.2401137909609199E-2</v>
          </cell>
          <cell r="AA18">
            <v>0</v>
          </cell>
        </row>
        <row r="19">
          <cell r="A19" t="str">
            <v>SAMI.BA</v>
          </cell>
          <cell r="B19">
            <v>124.0140062</v>
          </cell>
          <cell r="C19">
            <v>104.506185</v>
          </cell>
          <cell r="D19">
            <v>103.0132395</v>
          </cell>
          <cell r="E19">
            <v>95.050863500000006</v>
          </cell>
          <cell r="F19">
            <v>97.539106000000004</v>
          </cell>
          <cell r="G19">
            <v>94.553214999999994</v>
          </cell>
          <cell r="H19">
            <v>84.600245000000001</v>
          </cell>
          <cell r="I19">
            <v>72.656681000000006</v>
          </cell>
          <cell r="J19">
            <v>77.099999999999994</v>
          </cell>
          <cell r="K19">
            <v>80.900000000000006</v>
          </cell>
          <cell r="L19">
            <v>80.5</v>
          </cell>
          <cell r="M19">
            <v>64</v>
          </cell>
          <cell r="N19">
            <v>76.5</v>
          </cell>
          <cell r="P19">
            <v>-0.15730337078651679</v>
          </cell>
          <cell r="Q19">
            <v>-1.4285714285714346E-2</v>
          </cell>
          <cell r="R19">
            <v>-7.7294685990338063E-2</v>
          </cell>
          <cell r="S19">
            <v>2.6178010471204161E-2</v>
          </cell>
          <cell r="T19">
            <v>-3.0612244897959329E-2</v>
          </cell>
          <cell r="U19">
            <v>-0.10526315789473673</v>
          </cell>
          <cell r="V19">
            <v>-0.14117647058823524</v>
          </cell>
          <cell r="W19">
            <v>6.115499550550596E-2</v>
          </cell>
          <cell r="X19">
            <v>4.9286640726329489E-2</v>
          </cell>
          <cell r="Y19">
            <v>-4.9443757725587956E-3</v>
          </cell>
          <cell r="Z19">
            <v>-0.20496894409937894</v>
          </cell>
          <cell r="AA19">
            <v>0.1953125</v>
          </cell>
        </row>
        <row r="20">
          <cell r="A20" t="str">
            <v>LEDE.BA</v>
          </cell>
          <cell r="B20">
            <v>15.05</v>
          </cell>
          <cell r="C20">
            <v>12.6</v>
          </cell>
          <cell r="D20">
            <v>12.75</v>
          </cell>
          <cell r="E20">
            <v>12.2</v>
          </cell>
          <cell r="F20">
            <v>13.45</v>
          </cell>
          <cell r="G20">
            <v>12.95</v>
          </cell>
          <cell r="H20">
            <v>12.2</v>
          </cell>
          <cell r="I20">
            <v>11.65</v>
          </cell>
          <cell r="J20">
            <v>11.6</v>
          </cell>
          <cell r="K20">
            <v>12.1</v>
          </cell>
          <cell r="L20">
            <v>12.7</v>
          </cell>
          <cell r="M20">
            <v>10</v>
          </cell>
          <cell r="N20">
            <v>10</v>
          </cell>
          <cell r="P20">
            <v>-0.16279069767441867</v>
          </cell>
          <cell r="Q20">
            <v>1.1904761904761862E-2</v>
          </cell>
          <cell r="R20">
            <v>-4.3137254901960853E-2</v>
          </cell>
          <cell r="S20">
            <v>0.10245901639344268</v>
          </cell>
          <cell r="T20">
            <v>-3.7174721189591087E-2</v>
          </cell>
          <cell r="U20">
            <v>-5.791505791505791E-2</v>
          </cell>
          <cell r="V20">
            <v>-4.5081967213114638E-2</v>
          </cell>
          <cell r="W20">
            <v>-4.2918454935623185E-3</v>
          </cell>
          <cell r="X20">
            <v>4.31034482758621E-2</v>
          </cell>
          <cell r="Y20">
            <v>4.9586776859504189E-2</v>
          </cell>
          <cell r="Z20">
            <v>-0.21259842519685035</v>
          </cell>
          <cell r="AA20">
            <v>0</v>
          </cell>
        </row>
        <row r="21">
          <cell r="A21" t="str">
            <v>INVJ.BA</v>
          </cell>
          <cell r="B21">
            <v>9.9499999999999993</v>
          </cell>
          <cell r="C21">
            <v>8.75</v>
          </cell>
          <cell r="D21">
            <v>8.8000000000000007</v>
          </cell>
          <cell r="E21">
            <v>8.6999999999999993</v>
          </cell>
          <cell r="F21">
            <v>9.2899999999999991</v>
          </cell>
          <cell r="G21">
            <v>8.9</v>
          </cell>
          <cell r="H21">
            <v>8.4</v>
          </cell>
          <cell r="I21">
            <v>8.5</v>
          </cell>
          <cell r="J21">
            <v>8.6</v>
          </cell>
          <cell r="K21">
            <v>10.7</v>
          </cell>
          <cell r="L21">
            <v>10.35</v>
          </cell>
          <cell r="M21">
            <v>7.4</v>
          </cell>
          <cell r="N21">
            <v>7.5</v>
          </cell>
          <cell r="P21">
            <v>-0.12060301507537685</v>
          </cell>
          <cell r="Q21">
            <v>5.7142857142857828E-3</v>
          </cell>
          <cell r="R21">
            <v>-1.1363636363636576E-2</v>
          </cell>
          <cell r="S21">
            <v>6.7816091954022939E-2</v>
          </cell>
          <cell r="T21">
            <v>-4.1980624327233484E-2</v>
          </cell>
          <cell r="U21">
            <v>-5.6179775280898903E-2</v>
          </cell>
          <cell r="V21">
            <v>1.1904761904761862E-2</v>
          </cell>
          <cell r="W21">
            <v>1.1764705882352899E-2</v>
          </cell>
          <cell r="X21">
            <v>0.2441860465116279</v>
          </cell>
          <cell r="Y21">
            <v>-3.2710280373831724E-2</v>
          </cell>
          <cell r="Z21">
            <v>-0.28502415458937191</v>
          </cell>
          <cell r="AA21">
            <v>1.3513513513513375E-2</v>
          </cell>
        </row>
        <row r="22">
          <cell r="A22" t="str">
            <v>PATY.BA</v>
          </cell>
          <cell r="B22">
            <v>4.2439242000000004</v>
          </cell>
          <cell r="C22">
            <v>4.25</v>
          </cell>
          <cell r="D22">
            <v>5.55</v>
          </cell>
          <cell r="E22">
            <v>4.4400000000000004</v>
          </cell>
          <cell r="F22">
            <v>4.45</v>
          </cell>
          <cell r="G22">
            <v>4.3</v>
          </cell>
          <cell r="H22">
            <v>4.4000000000000004</v>
          </cell>
          <cell r="I22">
            <v>4.67</v>
          </cell>
          <cell r="J22">
            <v>4.32</v>
          </cell>
          <cell r="K22">
            <v>4.45</v>
          </cell>
          <cell r="L22">
            <v>4.7</v>
          </cell>
          <cell r="M22">
            <v>3.1</v>
          </cell>
          <cell r="N22">
            <v>3.15</v>
          </cell>
          <cell r="P22">
            <v>1.4316466820967211E-3</v>
          </cell>
          <cell r="Q22">
            <v>0.30588235294117649</v>
          </cell>
          <cell r="R22">
            <v>-0.19999999999999996</v>
          </cell>
          <cell r="S22">
            <v>2.2522522522521182E-3</v>
          </cell>
          <cell r="T22">
            <v>-3.3707865168539408E-2</v>
          </cell>
          <cell r="U22">
            <v>2.3255813953488413E-2</v>
          </cell>
          <cell r="V22">
            <v>6.1363636363636287E-2</v>
          </cell>
          <cell r="W22">
            <v>-7.4946466809421741E-2</v>
          </cell>
          <cell r="X22">
            <v>3.009259259259256E-2</v>
          </cell>
          <cell r="Y22">
            <v>5.6179775280898792E-2</v>
          </cell>
          <cell r="Z22">
            <v>-0.34042553191489366</v>
          </cell>
          <cell r="AA22">
            <v>1.6129032258064502E-2</v>
          </cell>
        </row>
        <row r="23">
          <cell r="A23" t="str">
            <v>INTR.BA</v>
          </cell>
          <cell r="B23">
            <v>6.1594528329999996</v>
          </cell>
          <cell r="C23">
            <v>6.2994403969999997</v>
          </cell>
          <cell r="D23">
            <v>6.3274461000000004</v>
          </cell>
          <cell r="E23">
            <v>6.0430665000000001</v>
          </cell>
          <cell r="F23">
            <v>6.3274461000000004</v>
          </cell>
          <cell r="G23">
            <v>6.6829206000000001</v>
          </cell>
          <cell r="H23">
            <v>6.4</v>
          </cell>
          <cell r="I23">
            <v>5.5</v>
          </cell>
          <cell r="J23">
            <v>5.7</v>
          </cell>
          <cell r="K23">
            <v>5.8</v>
          </cell>
          <cell r="L23">
            <v>5.5</v>
          </cell>
          <cell r="M23">
            <v>4</v>
          </cell>
          <cell r="N23">
            <v>4.54</v>
          </cell>
          <cell r="P23">
            <v>2.2727272664545772E-2</v>
          </cell>
          <cell r="Q23">
            <v>4.4457445796832751E-3</v>
          </cell>
          <cell r="R23">
            <v>-4.49438202247191E-2</v>
          </cell>
          <cell r="S23">
            <v>4.705882352941182E-2</v>
          </cell>
          <cell r="T23">
            <v>5.6179775280898792E-2</v>
          </cell>
          <cell r="U23">
            <v>-4.233487376761591E-2</v>
          </cell>
          <cell r="V23">
            <v>-0.140625</v>
          </cell>
          <cell r="W23">
            <v>3.6363636363636376E-2</v>
          </cell>
          <cell r="X23">
            <v>1.754385964912264E-2</v>
          </cell>
          <cell r="Y23">
            <v>-5.1724137931034475E-2</v>
          </cell>
          <cell r="Z23">
            <v>-0.27272727272727271</v>
          </cell>
          <cell r="AA23">
            <v>0.13500000000000001</v>
          </cell>
        </row>
        <row r="24">
          <cell r="A24" t="str">
            <v>SEMI.BA</v>
          </cell>
          <cell r="B24">
            <v>3.2324634520000002</v>
          </cell>
          <cell r="C24">
            <v>3.0702699999999998</v>
          </cell>
          <cell r="D24">
            <v>2.8246484000000001</v>
          </cell>
          <cell r="E24">
            <v>2.5965712000000001</v>
          </cell>
          <cell r="F24">
            <v>2.7456985999999999</v>
          </cell>
          <cell r="G24">
            <v>2.587799</v>
          </cell>
          <cell r="H24">
            <v>2.59</v>
          </cell>
          <cell r="I24">
            <v>2.2200000000000002</v>
          </cell>
          <cell r="J24">
            <v>2.76</v>
          </cell>
          <cell r="K24">
            <v>3.1</v>
          </cell>
          <cell r="L24">
            <v>2.89</v>
          </cell>
          <cell r="M24">
            <v>2.25</v>
          </cell>
          <cell r="N24">
            <v>2.25</v>
          </cell>
          <cell r="P24">
            <v>-5.0176422536083898E-2</v>
          </cell>
          <cell r="Q24">
            <v>-7.999999999999996E-2</v>
          </cell>
          <cell r="R24">
            <v>-8.0745341614906874E-2</v>
          </cell>
          <cell r="S24">
            <v>5.7432432432432456E-2</v>
          </cell>
          <cell r="T24">
            <v>-5.7507987220447254E-2</v>
          </cell>
          <cell r="U24">
            <v>8.5052973588739533E-4</v>
          </cell>
          <cell r="V24">
            <v>-0.14285714285714268</v>
          </cell>
          <cell r="W24">
            <v>0.24324324324324298</v>
          </cell>
          <cell r="X24">
            <v>0.12318840579710155</v>
          </cell>
          <cell r="Y24">
            <v>-6.7741935483870974E-2</v>
          </cell>
          <cell r="Z24">
            <v>-0.2214532871972319</v>
          </cell>
          <cell r="AA24">
            <v>0</v>
          </cell>
        </row>
        <row r="25">
          <cell r="A25" t="str">
            <v>MORI.BA</v>
          </cell>
          <cell r="B25">
            <v>2.25</v>
          </cell>
          <cell r="C25">
            <v>1.99</v>
          </cell>
          <cell r="D25">
            <v>1.95</v>
          </cell>
          <cell r="E25">
            <v>1.87</v>
          </cell>
          <cell r="F25">
            <v>1.9</v>
          </cell>
          <cell r="G25">
            <v>1.84</v>
          </cell>
          <cell r="H25">
            <v>1.75</v>
          </cell>
          <cell r="I25">
            <v>1.71</v>
          </cell>
          <cell r="J25">
            <v>2.58</v>
          </cell>
          <cell r="K25">
            <v>3.08</v>
          </cell>
          <cell r="L25">
            <v>3.34</v>
          </cell>
          <cell r="M25">
            <v>2.25</v>
          </cell>
          <cell r="N25">
            <v>2.3000000000000003</v>
          </cell>
          <cell r="P25">
            <v>-0.11555555555555552</v>
          </cell>
          <cell r="Q25">
            <v>-2.010050251256279E-2</v>
          </cell>
          <cell r="R25">
            <v>-4.1025641025640991E-2</v>
          </cell>
          <cell r="S25">
            <v>1.6042780748662944E-2</v>
          </cell>
          <cell r="T25">
            <v>-3.1578947368420929E-2</v>
          </cell>
          <cell r="U25">
            <v>-4.8913043478260865E-2</v>
          </cell>
          <cell r="V25">
            <v>-2.2857142857142909E-2</v>
          </cell>
          <cell r="W25">
            <v>0.50877192982456143</v>
          </cell>
          <cell r="X25">
            <v>0.193798449612403</v>
          </cell>
          <cell r="Y25">
            <v>8.4415584415584277E-2</v>
          </cell>
          <cell r="Z25">
            <v>-0.32634730538922152</v>
          </cell>
          <cell r="AA25">
            <v>2.2222222222222365E-2</v>
          </cell>
        </row>
        <row r="26">
          <cell r="A26" t="str">
            <v>APBR.BA</v>
          </cell>
          <cell r="B26">
            <v>244.99551507499999</v>
          </cell>
          <cell r="C26">
            <v>286.164205321</v>
          </cell>
          <cell r="D26">
            <v>265.29447235999999</v>
          </cell>
          <cell r="E26">
            <v>246.99670293200001</v>
          </cell>
          <cell r="F26">
            <v>298.74085499799997</v>
          </cell>
          <cell r="G26">
            <v>306.11167589399997</v>
          </cell>
          <cell r="H26">
            <v>342.71843739399998</v>
          </cell>
          <cell r="I26">
            <v>334.20983877600003</v>
          </cell>
          <cell r="J26">
            <v>321.42515125</v>
          </cell>
          <cell r="K26">
            <v>328.37488424999998</v>
          </cell>
          <cell r="L26">
            <v>328.02739759999997</v>
          </cell>
          <cell r="M26">
            <v>428.05</v>
          </cell>
          <cell r="N26">
            <v>424</v>
          </cell>
          <cell r="P26">
            <v>0.16803854647460437</v>
          </cell>
          <cell r="Q26">
            <v>-7.2929222358854129E-2</v>
          </cell>
          <cell r="R26">
            <v>-6.8971544206055779E-2</v>
          </cell>
          <cell r="S26">
            <v>0.20949329060576782</v>
          </cell>
          <cell r="T26">
            <v>2.467295909710554E-2</v>
          </cell>
          <cell r="U26">
            <v>0.11958629605711657</v>
          </cell>
          <cell r="V26">
            <v>-2.4826789835698859E-2</v>
          </cell>
          <cell r="W26">
            <v>-3.8253474442351165E-2</v>
          </cell>
          <cell r="X26">
            <v>2.1621621621621623E-2</v>
          </cell>
          <cell r="Y26">
            <v>-1.0582010582010914E-3</v>
          </cell>
          <cell r="Z26">
            <v>0.30492148866775048</v>
          </cell>
          <cell r="AA26">
            <v>-9.4615115056652099E-3</v>
          </cell>
        </row>
        <row r="27">
          <cell r="A27" t="str">
            <v>TS.BA</v>
          </cell>
          <cell r="B27">
            <v>695.6</v>
          </cell>
          <cell r="C27">
            <v>527.5</v>
          </cell>
          <cell r="D27">
            <v>464.3</v>
          </cell>
          <cell r="E27">
            <v>410.6</v>
          </cell>
          <cell r="F27">
            <v>465.6</v>
          </cell>
          <cell r="G27">
            <v>521.20000000000005</v>
          </cell>
          <cell r="H27">
            <v>615.1</v>
          </cell>
          <cell r="I27">
            <v>615</v>
          </cell>
          <cell r="J27">
            <v>525.5</v>
          </cell>
          <cell r="K27">
            <v>558.04999999999995</v>
          </cell>
          <cell r="L27">
            <v>547.70000000000005</v>
          </cell>
          <cell r="M27">
            <v>687.15</v>
          </cell>
          <cell r="N27">
            <v>658</v>
          </cell>
          <cell r="P27">
            <v>-0.24166187464059807</v>
          </cell>
          <cell r="Q27">
            <v>-0.11981042654028429</v>
          </cell>
          <cell r="R27">
            <v>-0.11565797975446912</v>
          </cell>
          <cell r="S27">
            <v>0.13395031660983925</v>
          </cell>
          <cell r="T27">
            <v>0.11941580756013748</v>
          </cell>
          <cell r="U27">
            <v>0.18016116653875658</v>
          </cell>
          <cell r="V27">
            <v>-1.6257519102591544E-4</v>
          </cell>
          <cell r="W27">
            <v>-0.14552845528455283</v>
          </cell>
          <cell r="X27">
            <v>6.1941008563273003E-2</v>
          </cell>
          <cell r="Y27">
            <v>-1.8546725203834602E-2</v>
          </cell>
          <cell r="Z27">
            <v>0.25461018805915625</v>
          </cell>
          <cell r="AA27">
            <v>-4.2421596449101373E-2</v>
          </cell>
        </row>
        <row r="28">
          <cell r="A28" t="str">
            <v>YPFD.BA</v>
          </cell>
          <cell r="B28">
            <v>635.23146557999996</v>
          </cell>
          <cell r="C28">
            <v>534.43082000599998</v>
          </cell>
          <cell r="D28">
            <v>559.38440447799996</v>
          </cell>
          <cell r="E28">
            <v>498.34420514999999</v>
          </cell>
          <cell r="F28">
            <v>601.70485229999997</v>
          </cell>
          <cell r="G28">
            <v>549.99971819999996</v>
          </cell>
          <cell r="H28">
            <v>605.37680999999998</v>
          </cell>
          <cell r="I28">
            <v>595.45259999999996</v>
          </cell>
          <cell r="J28">
            <v>658.12398614999995</v>
          </cell>
          <cell r="K28">
            <v>774.03875894999999</v>
          </cell>
          <cell r="L28">
            <v>731.45</v>
          </cell>
          <cell r="M28">
            <v>553.65</v>
          </cell>
          <cell r="N28">
            <v>529</v>
          </cell>
          <cell r="P28">
            <v>-0.15868333203860374</v>
          </cell>
          <cell r="Q28">
            <v>4.669188889914655E-2</v>
          </cell>
          <cell r="R28">
            <v>-0.10912030946762052</v>
          </cell>
          <cell r="S28">
            <v>0.20740814497660054</v>
          </cell>
          <cell r="T28">
            <v>-8.5931057232393249E-2</v>
          </cell>
          <cell r="U28">
            <v>0.10068567304222298</v>
          </cell>
          <cell r="V28">
            <v>-1.6393442622950838E-2</v>
          </cell>
          <cell r="W28">
            <v>0.10525000000000007</v>
          </cell>
          <cell r="X28">
            <v>0.17612908090175683</v>
          </cell>
          <cell r="Y28">
            <v>-5.5021481104864156E-2</v>
          </cell>
          <cell r="Z28">
            <v>-0.24307881605031112</v>
          </cell>
          <cell r="AA28">
            <v>-4.4522712905264994E-2</v>
          </cell>
        </row>
        <row r="29">
          <cell r="A29" t="str">
            <v>TGSU2.BA</v>
          </cell>
          <cell r="B29">
            <v>109.68200179999999</v>
          </cell>
          <cell r="C29">
            <v>94.972462199999995</v>
          </cell>
          <cell r="D29">
            <v>105.4792762</v>
          </cell>
          <cell r="E29">
            <v>100.18018739999999</v>
          </cell>
          <cell r="F29">
            <v>114.9810906</v>
          </cell>
          <cell r="G29">
            <v>104.611322</v>
          </cell>
          <cell r="H29">
            <v>104.2458676</v>
          </cell>
          <cell r="I29">
            <v>90.4</v>
          </cell>
          <cell r="J29">
            <v>116.35</v>
          </cell>
          <cell r="K29">
            <v>123.5</v>
          </cell>
          <cell r="L29">
            <v>137.19999999999999</v>
          </cell>
          <cell r="M29">
            <v>94.45</v>
          </cell>
          <cell r="N29">
            <v>99.5</v>
          </cell>
          <cell r="P29">
            <v>-0.13411078717201164</v>
          </cell>
          <cell r="Q29">
            <v>0.11063011063011063</v>
          </cell>
          <cell r="R29">
            <v>-5.0238198354266017E-2</v>
          </cell>
          <cell r="S29">
            <v>0.14774281805745559</v>
          </cell>
          <cell r="T29">
            <v>-9.0186730234406043E-2</v>
          </cell>
          <cell r="U29">
            <v>-3.4934497816594412E-3</v>
          </cell>
          <cell r="V29">
            <v>-0.1328193425673978</v>
          </cell>
          <cell r="W29">
            <v>0.28705752212389357</v>
          </cell>
          <cell r="X29">
            <v>6.1452513966480549E-2</v>
          </cell>
          <cell r="Y29">
            <v>0.11093117408906883</v>
          </cell>
          <cell r="Z29">
            <v>-0.3115889212827988</v>
          </cell>
          <cell r="AA29">
            <v>5.3467443091582911E-2</v>
          </cell>
        </row>
        <row r="30">
          <cell r="A30" t="str">
            <v>TGNO4.BA</v>
          </cell>
          <cell r="B30">
            <v>65.2</v>
          </cell>
          <cell r="C30">
            <v>50.3</v>
          </cell>
          <cell r="D30">
            <v>51.4</v>
          </cell>
          <cell r="E30">
            <v>56.55</v>
          </cell>
          <cell r="F30">
            <v>66.7</v>
          </cell>
          <cell r="G30">
            <v>70.8</v>
          </cell>
          <cell r="H30">
            <v>64.8</v>
          </cell>
          <cell r="I30">
            <v>53.3</v>
          </cell>
          <cell r="J30">
            <v>69</v>
          </cell>
          <cell r="K30">
            <v>68.5</v>
          </cell>
          <cell r="L30">
            <v>76.400000000000006</v>
          </cell>
          <cell r="M30">
            <v>24.3</v>
          </cell>
          <cell r="N30">
            <v>26.650000000000002</v>
          </cell>
          <cell r="P30">
            <v>-0.22852760736196331</v>
          </cell>
          <cell r="Q30">
            <v>2.1868787276341894E-2</v>
          </cell>
          <cell r="R30">
            <v>0.10019455252918275</v>
          </cell>
          <cell r="S30">
            <v>0.17948717948717952</v>
          </cell>
          <cell r="T30">
            <v>6.1469265367316339E-2</v>
          </cell>
          <cell r="U30">
            <v>-8.4745762711864403E-2</v>
          </cell>
          <cell r="V30">
            <v>-0.17746913580246915</v>
          </cell>
          <cell r="W30">
            <v>0.29455909943714831</v>
          </cell>
          <cell r="X30">
            <v>-7.2463768115942351E-3</v>
          </cell>
          <cell r="Y30">
            <v>0.11532846715328482</v>
          </cell>
          <cell r="Z30">
            <v>-0.68193717277486909</v>
          </cell>
          <cell r="AA30">
            <v>9.6707818930041212E-2</v>
          </cell>
        </row>
        <row r="31">
          <cell r="A31" t="str">
            <v>PGR.BA</v>
          </cell>
          <cell r="B31">
            <v>12</v>
          </cell>
          <cell r="C31">
            <v>8.5</v>
          </cell>
          <cell r="D31">
            <v>7.9</v>
          </cell>
          <cell r="E31">
            <v>11.05</v>
          </cell>
          <cell r="F31">
            <v>11.75</v>
          </cell>
          <cell r="G31">
            <v>12.2</v>
          </cell>
          <cell r="H31">
            <v>10.7</v>
          </cell>
          <cell r="I31">
            <v>9.1300000000000008</v>
          </cell>
          <cell r="J31">
            <v>12.1</v>
          </cell>
          <cell r="K31">
            <v>12.1</v>
          </cell>
          <cell r="L31">
            <v>11.2</v>
          </cell>
          <cell r="M31">
            <v>8.9</v>
          </cell>
          <cell r="N31">
            <v>9.2000000000000011</v>
          </cell>
          <cell r="P31">
            <v>-0.29166666666666663</v>
          </cell>
          <cell r="Q31">
            <v>-7.0588235294117618E-2</v>
          </cell>
          <cell r="R31">
            <v>0.39873417721519</v>
          </cell>
          <cell r="S31">
            <v>6.3348416289592757E-2</v>
          </cell>
          <cell r="T31">
            <v>3.8297872340425476E-2</v>
          </cell>
          <cell r="U31">
            <v>-0.12295081967213117</v>
          </cell>
          <cell r="V31">
            <v>-0.14672897196261669</v>
          </cell>
          <cell r="W31">
            <v>0.32530120481927693</v>
          </cell>
          <cell r="X31">
            <v>0</v>
          </cell>
          <cell r="Y31">
            <v>-7.4380165289256284E-2</v>
          </cell>
          <cell r="Z31">
            <v>-0.20535714285714279</v>
          </cell>
          <cell r="AA31">
            <v>3.3707865168539408E-2</v>
          </cell>
        </row>
        <row r="32">
          <cell r="A32" t="str">
            <v>COME.BA</v>
          </cell>
          <cell r="B32">
            <v>2.5545789399999999</v>
          </cell>
          <cell r="C32">
            <v>2.0254567990000001</v>
          </cell>
          <cell r="D32">
            <v>1.968561945</v>
          </cell>
          <cell r="E32">
            <v>1.9002881199999999</v>
          </cell>
          <cell r="F32">
            <v>1.9742514309999999</v>
          </cell>
          <cell r="G32">
            <v>1.871840693</v>
          </cell>
          <cell r="H32">
            <v>1.8889091499999999</v>
          </cell>
          <cell r="I32">
            <v>1.6044348799999999</v>
          </cell>
          <cell r="J32">
            <v>1.7176461999999999</v>
          </cell>
          <cell r="K32">
            <v>1.84117555</v>
          </cell>
          <cell r="L32">
            <v>1.7999991</v>
          </cell>
          <cell r="M32">
            <v>1.1299999999999999</v>
          </cell>
          <cell r="N32">
            <v>1.2</v>
          </cell>
          <cell r="P32">
            <v>-0.20712694867828196</v>
          </cell>
          <cell r="Q32">
            <v>-2.8089887687602122E-2</v>
          </cell>
          <cell r="R32">
            <v>-3.4682081086353733E-2</v>
          </cell>
          <cell r="S32">
            <v>3.8922156183347489E-2</v>
          </cell>
          <cell r="T32">
            <v>-5.1873199326048725E-2</v>
          </cell>
          <cell r="U32">
            <v>9.118541478358555E-3</v>
          </cell>
          <cell r="V32">
            <v>-0.15060240986179774</v>
          </cell>
          <cell r="W32">
            <v>7.056149265465983E-2</v>
          </cell>
          <cell r="X32">
            <v>7.1917808219178037E-2</v>
          </cell>
          <cell r="Y32">
            <v>-2.2364217252396235E-2</v>
          </cell>
          <cell r="Z32">
            <v>-0.37222190833317648</v>
          </cell>
          <cell r="AA32">
            <v>6.1946902654867353E-2</v>
          </cell>
        </row>
        <row r="33">
          <cell r="A33" t="str">
            <v>CARC.BA</v>
          </cell>
          <cell r="B33">
            <v>2.99</v>
          </cell>
          <cell r="C33">
            <v>1.92</v>
          </cell>
          <cell r="D33">
            <v>1.78</v>
          </cell>
          <cell r="E33">
            <v>1.55</v>
          </cell>
          <cell r="F33">
            <v>1.52</v>
          </cell>
          <cell r="G33">
            <v>1.65</v>
          </cell>
          <cell r="H33">
            <v>1.37</v>
          </cell>
          <cell r="I33">
            <v>1.39</v>
          </cell>
          <cell r="J33">
            <v>1.5</v>
          </cell>
          <cell r="K33">
            <v>1.79</v>
          </cell>
          <cell r="L33">
            <v>1.83</v>
          </cell>
          <cell r="M33">
            <v>1.1499999999999999</v>
          </cell>
          <cell r="N33">
            <v>1.22</v>
          </cell>
          <cell r="P33">
            <v>-0.35785953177257535</v>
          </cell>
          <cell r="Q33">
            <v>-7.291666666666663E-2</v>
          </cell>
          <cell r="R33">
            <v>-0.1292134831460674</v>
          </cell>
          <cell r="S33">
            <v>-1.9354838709677469E-2</v>
          </cell>
          <cell r="T33">
            <v>8.5526315789473673E-2</v>
          </cell>
          <cell r="U33">
            <v>-0.16969696969696957</v>
          </cell>
          <cell r="V33">
            <v>1.4598540145985162E-2</v>
          </cell>
          <cell r="W33">
            <v>7.9136690647482189E-2</v>
          </cell>
          <cell r="X33">
            <v>0.19333333333333336</v>
          </cell>
          <cell r="Y33">
            <v>2.2346368715083775E-2</v>
          </cell>
          <cell r="Z33">
            <v>-0.37158469945355199</v>
          </cell>
          <cell r="AA33">
            <v>6.0869565217391397E-2</v>
          </cell>
        </row>
        <row r="34">
          <cell r="A34" t="str">
            <v>GGAL.BA</v>
          </cell>
          <cell r="B34">
            <v>104.29440485000001</v>
          </cell>
          <cell r="C34">
            <v>82.181819250000004</v>
          </cell>
          <cell r="D34">
            <v>100.5925211</v>
          </cell>
          <cell r="E34">
            <v>101.97455770000001</v>
          </cell>
          <cell r="F34">
            <v>133.61332415000001</v>
          </cell>
          <cell r="G34">
            <v>119.25001520000001</v>
          </cell>
          <cell r="H34">
            <v>109.27960830000001</v>
          </cell>
          <cell r="I34">
            <v>95.706034549999998</v>
          </cell>
          <cell r="J34">
            <v>114.7</v>
          </cell>
          <cell r="K34">
            <v>151.6</v>
          </cell>
          <cell r="L34">
            <v>162.05000000000001</v>
          </cell>
          <cell r="M34">
            <v>69.150000000000006</v>
          </cell>
          <cell r="N34">
            <v>67</v>
          </cell>
          <cell r="P34">
            <v>-0.21202082347373408</v>
          </cell>
          <cell r="Q34">
            <v>0.22402402402402388</v>
          </cell>
          <cell r="R34">
            <v>1.3738959764475034E-2</v>
          </cell>
          <cell r="S34">
            <v>0.31026137463697978</v>
          </cell>
          <cell r="T34">
            <v>-0.10749907646841528</v>
          </cell>
          <cell r="U34">
            <v>-8.3609271523178763E-2</v>
          </cell>
          <cell r="V34">
            <v>-0.12420957542908773</v>
          </cell>
          <cell r="W34">
            <v>0.19846152376187876</v>
          </cell>
          <cell r="X34">
            <v>0.32170880557977322</v>
          </cell>
          <cell r="Y34">
            <v>6.8931398416886669E-2</v>
          </cell>
          <cell r="Z34">
            <v>-0.57327985189756248</v>
          </cell>
          <cell r="AA34">
            <v>-3.1091829356471479E-2</v>
          </cell>
        </row>
        <row r="35">
          <cell r="A35" t="str">
            <v>BMA.BA</v>
          </cell>
          <cell r="B35">
            <v>164.09939745</v>
          </cell>
          <cell r="C35">
            <v>151.98627715000001</v>
          </cell>
          <cell r="D35">
            <v>162.00106165</v>
          </cell>
          <cell r="E35">
            <v>156.37370655000001</v>
          </cell>
          <cell r="F35">
            <v>204.5877405</v>
          </cell>
          <cell r="G35">
            <v>187.61029629999999</v>
          </cell>
          <cell r="H35">
            <v>189.56556375</v>
          </cell>
          <cell r="I35">
            <v>172.15891450000001</v>
          </cell>
          <cell r="J35">
            <v>223.85</v>
          </cell>
          <cell r="K35">
            <v>312.60000000000002</v>
          </cell>
          <cell r="L35">
            <v>305.55</v>
          </cell>
          <cell r="M35">
            <v>147.05000000000001</v>
          </cell>
          <cell r="N35">
            <v>144</v>
          </cell>
          <cell r="P35">
            <v>-7.3815751235105975E-2</v>
          </cell>
          <cell r="Q35">
            <v>6.5892689049262598E-2</v>
          </cell>
          <cell r="R35">
            <v>-3.473653223432438E-2</v>
          </cell>
          <cell r="S35">
            <v>0.30832570905763945</v>
          </cell>
          <cell r="T35">
            <v>-8.2983682983682971E-2</v>
          </cell>
          <cell r="U35">
            <v>1.0421962379257854E-2</v>
          </cell>
          <cell r="V35">
            <v>-9.1823899371069162E-2</v>
          </cell>
          <cell r="W35">
            <v>0.30025215743329969</v>
          </cell>
          <cell r="X35">
            <v>0.39647085101630575</v>
          </cell>
          <cell r="Y35">
            <v>-2.2552783109405006E-2</v>
          </cell>
          <cell r="Z35">
            <v>-0.51873670430371455</v>
          </cell>
          <cell r="AA35">
            <v>-2.0741244474668519E-2</v>
          </cell>
        </row>
        <row r="36">
          <cell r="A36" t="str">
            <v>BBAR.BA</v>
          </cell>
          <cell r="B36">
            <v>154.97712000000001</v>
          </cell>
          <cell r="C36">
            <v>127.85612399999999</v>
          </cell>
          <cell r="D36">
            <v>145.19418930000001</v>
          </cell>
          <cell r="E36">
            <v>136.33143525</v>
          </cell>
          <cell r="F36">
            <v>162.725976</v>
          </cell>
          <cell r="G36">
            <v>139.96371149999999</v>
          </cell>
          <cell r="H36">
            <v>133.61933565000001</v>
          </cell>
          <cell r="I36">
            <v>115.7485365</v>
          </cell>
          <cell r="J36">
            <v>134.30000000000001</v>
          </cell>
          <cell r="K36">
            <v>161.85</v>
          </cell>
          <cell r="L36">
            <v>170</v>
          </cell>
          <cell r="M36">
            <v>86.85</v>
          </cell>
          <cell r="N36">
            <v>87.2</v>
          </cell>
          <cell r="P36">
            <v>-0.17500000000000016</v>
          </cell>
          <cell r="Q36">
            <v>0.13560606060606073</v>
          </cell>
          <cell r="R36">
            <v>-6.1040693795863965E-2</v>
          </cell>
          <cell r="S36">
            <v>0.19360568383658983</v>
          </cell>
          <cell r="T36">
            <v>-0.13988095238095244</v>
          </cell>
          <cell r="U36">
            <v>-4.5328719723183197E-2</v>
          </cell>
          <cell r="V36">
            <v>-0.13374411018484966</v>
          </cell>
          <cell r="W36">
            <v>0.16027384933717936</v>
          </cell>
          <cell r="X36">
            <v>0.20513775130305278</v>
          </cell>
          <cell r="Y36">
            <v>5.0355267222737199E-2</v>
          </cell>
          <cell r="Z36">
            <v>-0.48911764705882355</v>
          </cell>
          <cell r="AA36">
            <v>4.0299366724239061E-3</v>
          </cell>
        </row>
        <row r="37">
          <cell r="A37" t="str">
            <v>BRIO.BA</v>
          </cell>
          <cell r="B37">
            <v>23.917673138000001</v>
          </cell>
          <cell r="C37">
            <v>19.357305440000001</v>
          </cell>
          <cell r="D37">
            <v>18.726616290999999</v>
          </cell>
          <cell r="E37">
            <v>16.980092492000001</v>
          </cell>
          <cell r="F37">
            <v>20.610702</v>
          </cell>
          <cell r="G37">
            <v>19.1875821</v>
          </cell>
          <cell r="H37">
            <v>17.862608399999999</v>
          </cell>
          <cell r="I37">
            <v>13.396956299999999</v>
          </cell>
          <cell r="J37">
            <v>14.6</v>
          </cell>
          <cell r="K37">
            <v>19</v>
          </cell>
          <cell r="L37">
            <v>22.9</v>
          </cell>
          <cell r="M37">
            <v>10.3</v>
          </cell>
          <cell r="N37">
            <v>11.4</v>
          </cell>
          <cell r="P37">
            <v>-0.19066937120879723</v>
          </cell>
          <cell r="Q37">
            <v>-3.2581453599256793E-2</v>
          </cell>
          <cell r="R37">
            <v>-9.3264248696085961E-2</v>
          </cell>
          <cell r="S37">
            <v>0.21381564969157396</v>
          </cell>
          <cell r="T37">
            <v>-6.9047619047619024E-2</v>
          </cell>
          <cell r="U37">
            <v>-6.9053708439897776E-2</v>
          </cell>
          <cell r="V37">
            <v>-0.25</v>
          </cell>
          <cell r="W37">
            <v>8.9799777879397968E-2</v>
          </cell>
          <cell r="X37">
            <v>0.30136986301369872</v>
          </cell>
          <cell r="Y37">
            <v>0.20526315789473681</v>
          </cell>
          <cell r="Z37">
            <v>-0.55021834061135366</v>
          </cell>
          <cell r="AA37">
            <v>0.10679611650485432</v>
          </cell>
        </row>
        <row r="38">
          <cell r="A38" t="str">
            <v>BYMA.BA</v>
          </cell>
          <cell r="B38">
            <v>353.8325883</v>
          </cell>
          <cell r="C38">
            <v>330.6763914</v>
          </cell>
          <cell r="D38">
            <v>354.12757169999998</v>
          </cell>
          <cell r="E38">
            <v>372.07239520000002</v>
          </cell>
          <cell r="F38">
            <v>376.103835</v>
          </cell>
          <cell r="G38">
            <v>350.04696799999999</v>
          </cell>
          <cell r="H38">
            <v>316.61551600000001</v>
          </cell>
          <cell r="I38">
            <v>288.5</v>
          </cell>
          <cell r="J38">
            <v>265</v>
          </cell>
          <cell r="K38">
            <v>371</v>
          </cell>
          <cell r="L38">
            <v>371</v>
          </cell>
          <cell r="M38">
            <v>200.5</v>
          </cell>
          <cell r="N38">
            <v>215</v>
          </cell>
          <cell r="P38">
            <v>-6.5443934972905349E-2</v>
          </cell>
          <cell r="Q38">
            <v>7.0918822479928645E-2</v>
          </cell>
          <cell r="R38">
            <v>5.0673330556712637E-2</v>
          </cell>
          <cell r="S38">
            <v>1.0835095137420758E-2</v>
          </cell>
          <cell r="T38">
            <v>-6.9281045751633963E-2</v>
          </cell>
          <cell r="U38">
            <v>-9.550561797752799E-2</v>
          </cell>
          <cell r="V38">
            <v>-8.8800183753470874E-2</v>
          </cell>
          <cell r="W38">
            <v>-8.1455805892547639E-2</v>
          </cell>
          <cell r="X38">
            <v>0.39999999999999991</v>
          </cell>
          <cell r="Y38">
            <v>0</v>
          </cell>
          <cell r="Z38">
            <v>-0.45956873315363878</v>
          </cell>
          <cell r="AA38">
            <v>7.2319201995012516E-2</v>
          </cell>
        </row>
        <row r="39">
          <cell r="A39" t="str">
            <v>BPAT.BA</v>
          </cell>
          <cell r="B39">
            <v>36.214679398000001</v>
          </cell>
          <cell r="C39">
            <v>29.955352093999998</v>
          </cell>
          <cell r="D39">
            <v>32.637920938999997</v>
          </cell>
          <cell r="E39">
            <v>30.536575343999999</v>
          </cell>
          <cell r="F39">
            <v>35.365199263999997</v>
          </cell>
          <cell r="G39">
            <v>37.198287974000003</v>
          </cell>
          <cell r="H39">
            <v>35.007523417999998</v>
          </cell>
          <cell r="I39">
            <v>29.418838325999999</v>
          </cell>
          <cell r="J39">
            <v>37.423293800000003</v>
          </cell>
          <cell r="K39">
            <v>41.471724000000002</v>
          </cell>
          <cell r="L39">
            <v>49.8</v>
          </cell>
          <cell r="M39">
            <v>30</v>
          </cell>
          <cell r="N39">
            <v>30.7</v>
          </cell>
          <cell r="P39">
            <v>-0.17283950619056654</v>
          </cell>
          <cell r="Q39">
            <v>8.955223883138097E-2</v>
          </cell>
          <cell r="R39">
            <v>-6.4383561652943344E-2</v>
          </cell>
          <cell r="S39">
            <v>0.15812591509049989</v>
          </cell>
          <cell r="T39">
            <v>5.183312262193307E-2</v>
          </cell>
          <cell r="U39">
            <v>-5.889423076490119E-2</v>
          </cell>
          <cell r="V39">
            <v>-0.15964240101390426</v>
          </cell>
          <cell r="W39">
            <v>0.27208604858220276</v>
          </cell>
          <cell r="X39">
            <v>0.10817941952506582</v>
          </cell>
          <cell r="Y39">
            <v>0.20081817674133817</v>
          </cell>
          <cell r="Z39">
            <v>-0.39759036144578308</v>
          </cell>
          <cell r="AA39">
            <v>2.3333333333333206E-2</v>
          </cell>
        </row>
        <row r="40">
          <cell r="A40" t="str">
            <v>BHIP.BA</v>
          </cell>
          <cell r="B40">
            <v>12.321175</v>
          </cell>
          <cell r="C40">
            <v>10.842634</v>
          </cell>
          <cell r="D40">
            <v>12.321175</v>
          </cell>
          <cell r="E40">
            <v>11.5819045</v>
          </cell>
          <cell r="F40">
            <v>13.3561537</v>
          </cell>
          <cell r="G40">
            <v>13.6518619</v>
          </cell>
          <cell r="H40">
            <v>12.6661679</v>
          </cell>
          <cell r="I40">
            <v>12</v>
          </cell>
          <cell r="J40">
            <v>14</v>
          </cell>
          <cell r="K40">
            <v>17.149999999999999</v>
          </cell>
          <cell r="L40">
            <v>18.7</v>
          </cell>
          <cell r="M40">
            <v>10.9</v>
          </cell>
          <cell r="N40">
            <v>10.9</v>
          </cell>
          <cell r="P40">
            <v>-0.12</v>
          </cell>
          <cell r="Q40">
            <v>0.13636363636363624</v>
          </cell>
          <cell r="R40">
            <v>-5.9999999999999942E-2</v>
          </cell>
          <cell r="S40">
            <v>0.15319148936170213</v>
          </cell>
          <cell r="T40">
            <v>2.2140221402213944E-2</v>
          </cell>
          <cell r="U40">
            <v>-7.2202166064981976E-2</v>
          </cell>
          <cell r="V40">
            <v>-5.2594273600304886E-2</v>
          </cell>
          <cell r="W40">
            <v>0.16666666666666674</v>
          </cell>
          <cell r="X40">
            <v>0.22499999999999987</v>
          </cell>
          <cell r="Y40">
            <v>9.0379008746355627E-2</v>
          </cell>
          <cell r="Z40">
            <v>-0.41711229946524064</v>
          </cell>
          <cell r="AA40">
            <v>0</v>
          </cell>
        </row>
        <row r="41">
          <cell r="A41" t="str">
            <v>VALO.BA</v>
          </cell>
          <cell r="B41">
            <v>5.4239598000000004</v>
          </cell>
          <cell r="C41">
            <v>4.5590093999999999</v>
          </cell>
          <cell r="D41">
            <v>5.0905934999999998</v>
          </cell>
          <cell r="E41">
            <v>4.7482173000000003</v>
          </cell>
          <cell r="F41">
            <v>5.5500984000000004</v>
          </cell>
          <cell r="G41">
            <v>6.2258408999999997</v>
          </cell>
          <cell r="H41">
            <v>5.5951478999999997</v>
          </cell>
          <cell r="I41">
            <v>5.62</v>
          </cell>
          <cell r="J41">
            <v>6.03</v>
          </cell>
          <cell r="K41">
            <v>8.18</v>
          </cell>
          <cell r="L41">
            <v>8.0500000000000007</v>
          </cell>
          <cell r="M41">
            <v>5.1100000000000003</v>
          </cell>
          <cell r="N41">
            <v>5.45</v>
          </cell>
          <cell r="P41">
            <v>-0.15946843853820603</v>
          </cell>
          <cell r="Q41">
            <v>0.11660079051383399</v>
          </cell>
          <cell r="R41">
            <v>-6.7256637168141453E-2</v>
          </cell>
          <cell r="S41">
            <v>0.1688804554079697</v>
          </cell>
          <cell r="T41">
            <v>0.1217532467532465</v>
          </cell>
          <cell r="U41">
            <v>-0.10130246020260492</v>
          </cell>
          <cell r="V41">
            <v>4.4417235154767809E-3</v>
          </cell>
          <cell r="W41">
            <v>7.2953736654804313E-2</v>
          </cell>
          <cell r="X41">
            <v>0.35655058043117727</v>
          </cell>
          <cell r="Y41">
            <v>-1.5892420537897189E-2</v>
          </cell>
          <cell r="Z41">
            <v>-0.36521739130434783</v>
          </cell>
          <cell r="AA41">
            <v>6.6536203522504778E-2</v>
          </cell>
        </row>
        <row r="42">
          <cell r="A42" t="str">
            <v>RICH.BA</v>
          </cell>
          <cell r="B42">
            <v>33.200000000000003</v>
          </cell>
          <cell r="C42">
            <v>37.5</v>
          </cell>
          <cell r="D42">
            <v>37.5</v>
          </cell>
          <cell r="E42">
            <v>36.299999999999997</v>
          </cell>
          <cell r="F42">
            <v>41</v>
          </cell>
          <cell r="G42">
            <v>39.25</v>
          </cell>
          <cell r="H42">
            <v>39</v>
          </cell>
          <cell r="I42">
            <v>40.4</v>
          </cell>
          <cell r="J42">
            <v>43</v>
          </cell>
          <cell r="K42">
            <v>44.5</v>
          </cell>
          <cell r="L42">
            <v>46</v>
          </cell>
          <cell r="M42">
            <v>40</v>
          </cell>
          <cell r="N42">
            <v>51.9</v>
          </cell>
          <cell r="P42">
            <v>0.12951807228915646</v>
          </cell>
          <cell r="Q42">
            <v>0</v>
          </cell>
          <cell r="R42">
            <v>-3.2000000000000028E-2</v>
          </cell>
          <cell r="S42">
            <v>0.12947658402203865</v>
          </cell>
          <cell r="T42">
            <v>-4.2682926829268331E-2</v>
          </cell>
          <cell r="U42">
            <v>-6.3694267515923553E-3</v>
          </cell>
          <cell r="V42">
            <v>3.589743589743577E-2</v>
          </cell>
          <cell r="W42">
            <v>6.4356435643564414E-2</v>
          </cell>
          <cell r="X42">
            <v>3.488372093023262E-2</v>
          </cell>
          <cell r="Y42">
            <v>3.3707865168539408E-2</v>
          </cell>
          <cell r="Z42">
            <v>-0.13043478260869568</v>
          </cell>
          <cell r="AA42">
            <v>0.29749999999999988</v>
          </cell>
        </row>
        <row r="43">
          <cell r="A43" t="str">
            <v>ROSE.BA</v>
          </cell>
          <cell r="B43">
            <v>8</v>
          </cell>
          <cell r="C43">
            <v>6.6</v>
          </cell>
          <cell r="D43">
            <v>6</v>
          </cell>
          <cell r="E43">
            <v>6.3</v>
          </cell>
          <cell r="F43">
            <v>5.7</v>
          </cell>
          <cell r="G43">
            <v>5.9</v>
          </cell>
          <cell r="H43">
            <v>5.6</v>
          </cell>
          <cell r="I43">
            <v>4.9000000000000004</v>
          </cell>
          <cell r="J43">
            <v>5.95</v>
          </cell>
          <cell r="K43">
            <v>6</v>
          </cell>
          <cell r="L43">
            <v>5.85</v>
          </cell>
          <cell r="M43">
            <v>6</v>
          </cell>
          <cell r="N43">
            <v>5.8</v>
          </cell>
          <cell r="P43">
            <v>-0.17500000000000004</v>
          </cell>
          <cell r="Q43">
            <v>-9.0909090909090828E-2</v>
          </cell>
          <cell r="R43">
            <v>5.0000000000000044E-2</v>
          </cell>
          <cell r="S43">
            <v>-9.5238095238095233E-2</v>
          </cell>
          <cell r="T43">
            <v>3.5087719298245723E-2</v>
          </cell>
          <cell r="U43">
            <v>-5.0847457627118731E-2</v>
          </cell>
          <cell r="V43">
            <v>-0.12499999999999989</v>
          </cell>
          <cell r="W43">
            <v>0.21428571428571419</v>
          </cell>
          <cell r="X43">
            <v>8.4033613445377853E-3</v>
          </cell>
          <cell r="Y43">
            <v>-2.5000000000000022E-2</v>
          </cell>
          <cell r="Z43">
            <v>2.5641025641025772E-2</v>
          </cell>
          <cell r="AA43">
            <v>-3.3333333333333326E-2</v>
          </cell>
        </row>
        <row r="44">
          <cell r="A44" t="str">
            <v>AUSO.BA</v>
          </cell>
          <cell r="B44">
            <v>77.652404454999996</v>
          </cell>
          <cell r="C44">
            <v>73.418123620000003</v>
          </cell>
          <cell r="D44">
            <v>98.321436324999993</v>
          </cell>
          <cell r="E44">
            <v>97.685568074000003</v>
          </cell>
          <cell r="F44">
            <v>104.32834971600001</v>
          </cell>
          <cell r="G44">
            <v>97.807827859</v>
          </cell>
          <cell r="H44">
            <v>91.694838618000006</v>
          </cell>
          <cell r="I44">
            <v>85.989381992999995</v>
          </cell>
          <cell r="J44">
            <v>86.703155800000005</v>
          </cell>
          <cell r="K44">
            <v>96.140833999999998</v>
          </cell>
          <cell r="L44">
            <v>90.628171499999993</v>
          </cell>
          <cell r="M44">
            <v>60.9</v>
          </cell>
          <cell r="N44">
            <v>62</v>
          </cell>
          <cell r="P44">
            <v>-5.4528650654388722E-2</v>
          </cell>
          <cell r="Q44">
            <v>0.33919843598694244</v>
          </cell>
          <cell r="R44">
            <v>-6.4672392386350142E-3</v>
          </cell>
          <cell r="S44">
            <v>6.8001668751804578E-2</v>
          </cell>
          <cell r="T44">
            <v>-6.2499999997603806E-2</v>
          </cell>
          <cell r="U44">
            <v>-6.2499999998082867E-2</v>
          </cell>
          <cell r="V44">
            <v>-6.222222222091367E-2</v>
          </cell>
          <cell r="W44">
            <v>8.3007202803029312E-3</v>
          </cell>
          <cell r="X44">
            <v>0.10885045778229907</v>
          </cell>
          <cell r="Y44">
            <v>-5.7339449541284448E-2</v>
          </cell>
          <cell r="Z44">
            <v>-0.32802351639633376</v>
          </cell>
          <cell r="AA44">
            <v>1.8062397372742289E-2</v>
          </cell>
        </row>
        <row r="45">
          <cell r="A45" t="str">
            <v>OEST.BA</v>
          </cell>
          <cell r="B45">
            <v>25.888675674000002</v>
          </cell>
          <cell r="C45">
            <v>23.219408493</v>
          </cell>
          <cell r="D45">
            <v>28.894566407999999</v>
          </cell>
          <cell r="E45">
            <v>27.040369633000001</v>
          </cell>
          <cell r="F45">
            <v>29.203599204</v>
          </cell>
          <cell r="G45">
            <v>30.362472188000002</v>
          </cell>
          <cell r="H45">
            <v>30.439730387000001</v>
          </cell>
          <cell r="I45">
            <v>29.821664796</v>
          </cell>
          <cell r="J45">
            <v>32.084477249999999</v>
          </cell>
          <cell r="K45">
            <v>34.223442400000003</v>
          </cell>
          <cell r="L45">
            <v>32.957524249999999</v>
          </cell>
          <cell r="M45">
            <v>20.7</v>
          </cell>
          <cell r="N45">
            <v>20.45</v>
          </cell>
          <cell r="P45">
            <v>-0.10310559005073971</v>
          </cell>
          <cell r="Q45">
            <v>0.24441440516070423</v>
          </cell>
          <cell r="R45">
            <v>-6.4171123000019481E-2</v>
          </cell>
          <cell r="S45">
            <v>8.0000000013313421E-2</v>
          </cell>
          <cell r="T45">
            <v>3.9682539672756256E-2</v>
          </cell>
          <cell r="U45">
            <v>2.5445292636787631E-3</v>
          </cell>
          <cell r="V45">
            <v>-2.0304568507740761E-2</v>
          </cell>
          <cell r="W45">
            <v>7.5878139918718057E-2</v>
          </cell>
          <cell r="X45">
            <v>6.6666666666666874E-2</v>
          </cell>
          <cell r="Y45">
            <v>-3.6989795918367485E-2</v>
          </cell>
          <cell r="Z45">
            <v>-0.37191884187113966</v>
          </cell>
          <cell r="AA45">
            <v>-1.2077294685990392E-2</v>
          </cell>
        </row>
        <row r="46">
          <cell r="A46" t="str">
            <v>CAPU.BA</v>
          </cell>
          <cell r="B46">
            <v>21.9</v>
          </cell>
          <cell r="C46">
            <v>14.5</v>
          </cell>
          <cell r="D46">
            <v>13.8</v>
          </cell>
          <cell r="E46">
            <v>13.6</v>
          </cell>
          <cell r="F46">
            <v>12</v>
          </cell>
          <cell r="G46">
            <v>10.45</v>
          </cell>
          <cell r="H46">
            <v>8.0399999999999991</v>
          </cell>
          <cell r="I46">
            <v>6.7</v>
          </cell>
          <cell r="J46">
            <v>8.5</v>
          </cell>
          <cell r="K46">
            <v>7.65</v>
          </cell>
          <cell r="L46">
            <v>7.65</v>
          </cell>
          <cell r="M46">
            <v>7.65</v>
          </cell>
          <cell r="N46">
            <v>7.65</v>
          </cell>
          <cell r="P46">
            <v>-0.33789954337899542</v>
          </cell>
          <cell r="Q46">
            <v>-4.8275862068965503E-2</v>
          </cell>
          <cell r="R46">
            <v>-1.449275362318847E-2</v>
          </cell>
          <cell r="S46">
            <v>-0.11764705882352944</v>
          </cell>
          <cell r="T46">
            <v>-0.12916666666666676</v>
          </cell>
          <cell r="U46">
            <v>-0.23062200956937806</v>
          </cell>
          <cell r="V46">
            <v>-0.16666666666666652</v>
          </cell>
          <cell r="W46">
            <v>0.26865671641791034</v>
          </cell>
          <cell r="X46">
            <v>-9.9999999999999978E-2</v>
          </cell>
          <cell r="Y46">
            <v>0</v>
          </cell>
          <cell r="Z46">
            <v>0</v>
          </cell>
          <cell r="AA46">
            <v>0</v>
          </cell>
        </row>
        <row r="47">
          <cell r="A47" t="str">
            <v>CADO.BA</v>
          </cell>
          <cell r="B47">
            <v>10.930913650000001</v>
          </cell>
          <cell r="C47">
            <v>10.979931199999999</v>
          </cell>
          <cell r="D47">
            <v>11.3720716</v>
          </cell>
          <cell r="E47">
            <v>12.59751035</v>
          </cell>
          <cell r="F47">
            <v>12.646527900000001</v>
          </cell>
          <cell r="G47">
            <v>12.156352399999999</v>
          </cell>
          <cell r="H47">
            <v>12.156352399999999</v>
          </cell>
          <cell r="I47">
            <v>11.71519445</v>
          </cell>
          <cell r="J47">
            <v>11.71519445</v>
          </cell>
          <cell r="K47">
            <v>12</v>
          </cell>
          <cell r="L47">
            <v>11.8</v>
          </cell>
          <cell r="M47">
            <v>11.35</v>
          </cell>
          <cell r="N47">
            <v>11.9</v>
          </cell>
          <cell r="P47">
            <v>4.4843049327352169E-3</v>
          </cell>
          <cell r="Q47">
            <v>3.5714285714285809E-2</v>
          </cell>
          <cell r="R47">
            <v>0.10775862068965525</v>
          </cell>
          <cell r="S47">
            <v>3.8910505836575737E-3</v>
          </cell>
          <cell r="T47">
            <v>-3.8759689922480689E-2</v>
          </cell>
          <cell r="U47">
            <v>0</v>
          </cell>
          <cell r="V47">
            <v>-3.6290322580645129E-2</v>
          </cell>
          <cell r="W47">
            <v>0</v>
          </cell>
          <cell r="X47">
            <v>2.4310782993448354E-2</v>
          </cell>
          <cell r="Y47">
            <v>-1.6666666666666607E-2</v>
          </cell>
          <cell r="Z47">
            <v>-3.8135593220339103E-2</v>
          </cell>
          <cell r="AA47">
            <v>4.8458149779735837E-2</v>
          </cell>
        </row>
        <row r="48">
          <cell r="A48" t="str">
            <v>FERR.BA</v>
          </cell>
          <cell r="B48">
            <v>4.2716296500000004</v>
          </cell>
          <cell r="C48">
            <v>3.4634835000000002</v>
          </cell>
          <cell r="D48">
            <v>3.50196665</v>
          </cell>
          <cell r="E48">
            <v>3.35</v>
          </cell>
          <cell r="F48">
            <v>3.69</v>
          </cell>
          <cell r="G48">
            <v>3.78</v>
          </cell>
          <cell r="H48">
            <v>3.25</v>
          </cell>
          <cell r="I48">
            <v>3.05</v>
          </cell>
          <cell r="J48">
            <v>3.49</v>
          </cell>
          <cell r="K48">
            <v>3.44</v>
          </cell>
          <cell r="L48">
            <v>3.39</v>
          </cell>
          <cell r="M48">
            <v>2.7</v>
          </cell>
          <cell r="N48">
            <v>2.75</v>
          </cell>
          <cell r="P48">
            <v>-0.18918918918918926</v>
          </cell>
          <cell r="Q48">
            <v>1.1111111111111072E-2</v>
          </cell>
          <cell r="R48">
            <v>-4.3394659398027113E-2</v>
          </cell>
          <cell r="S48">
            <v>0.10149253731343277</v>
          </cell>
          <cell r="T48">
            <v>2.4390243902439046E-2</v>
          </cell>
          <cell r="U48">
            <v>-0.14021164021164012</v>
          </cell>
          <cell r="V48">
            <v>-6.1538461538461542E-2</v>
          </cell>
          <cell r="W48">
            <v>0.14426229508196742</v>
          </cell>
          <cell r="X48">
            <v>-1.4326647564469996E-2</v>
          </cell>
          <cell r="Y48">
            <v>-1.4534883720930147E-2</v>
          </cell>
          <cell r="Z48">
            <v>-0.20353982300884954</v>
          </cell>
          <cell r="AA48">
            <v>1.8518518518518379E-2</v>
          </cell>
        </row>
        <row r="49">
          <cell r="A49" t="str">
            <v>DYCA.BA</v>
          </cell>
          <cell r="B49">
            <v>38.5</v>
          </cell>
          <cell r="C49">
            <v>38</v>
          </cell>
          <cell r="D49">
            <v>39.25</v>
          </cell>
          <cell r="E49">
            <v>38</v>
          </cell>
          <cell r="F49">
            <v>45</v>
          </cell>
          <cell r="G49">
            <v>43</v>
          </cell>
          <cell r="H49">
            <v>36.9</v>
          </cell>
          <cell r="I49">
            <v>34.700000000000003</v>
          </cell>
          <cell r="J49">
            <v>36.5</v>
          </cell>
          <cell r="K49">
            <v>42</v>
          </cell>
          <cell r="L49">
            <v>40</v>
          </cell>
          <cell r="M49">
            <v>37.049999999999997</v>
          </cell>
          <cell r="N49">
            <v>34.200000000000003</v>
          </cell>
          <cell r="P49">
            <v>-1.2987012987012991E-2</v>
          </cell>
          <cell r="Q49">
            <v>3.289473684210531E-2</v>
          </cell>
          <cell r="R49">
            <v>-3.1847133757961776E-2</v>
          </cell>
          <cell r="S49">
            <v>0.18421052631578938</v>
          </cell>
          <cell r="T49">
            <v>-4.4444444444444398E-2</v>
          </cell>
          <cell r="U49">
            <v>-0.14186046511627914</v>
          </cell>
          <cell r="V49">
            <v>-5.962059620596194E-2</v>
          </cell>
          <cell r="W49">
            <v>5.187319884726227E-2</v>
          </cell>
          <cell r="X49">
            <v>0.15068493150684925</v>
          </cell>
          <cell r="Y49">
            <v>-4.7619047619047672E-2</v>
          </cell>
          <cell r="Z49">
            <v>-7.3750000000000093E-2</v>
          </cell>
          <cell r="AA49">
            <v>-7.6923076923076761E-2</v>
          </cell>
        </row>
        <row r="50">
          <cell r="A50" t="str">
            <v>AGRO.BA</v>
          </cell>
          <cell r="B50">
            <v>12.375</v>
          </cell>
          <cell r="C50">
            <v>9.9375</v>
          </cell>
          <cell r="D50">
            <v>9.9749999999999996</v>
          </cell>
          <cell r="E50">
            <v>9</v>
          </cell>
          <cell r="F50">
            <v>9.4875000000000007</v>
          </cell>
          <cell r="G50">
            <v>9.7125000000000004</v>
          </cell>
          <cell r="H50">
            <v>9.1875</v>
          </cell>
          <cell r="I50">
            <v>9.9</v>
          </cell>
          <cell r="J50">
            <v>10.7</v>
          </cell>
          <cell r="K50">
            <v>11.5</v>
          </cell>
          <cell r="L50">
            <v>11.3</v>
          </cell>
          <cell r="M50">
            <v>6.51</v>
          </cell>
          <cell r="N50">
            <v>6.69</v>
          </cell>
          <cell r="P50">
            <v>-0.19696969696969702</v>
          </cell>
          <cell r="Q50">
            <v>3.7735849056603765E-3</v>
          </cell>
          <cell r="R50">
            <v>-9.7744360902255578E-2</v>
          </cell>
          <cell r="S50">
            <v>5.4166666666666696E-2</v>
          </cell>
          <cell r="T50">
            <v>2.3715415019762709E-2</v>
          </cell>
          <cell r="U50">
            <v>-5.4054054054054057E-2</v>
          </cell>
          <cell r="V50">
            <v>7.7551020408163307E-2</v>
          </cell>
          <cell r="W50">
            <v>8.0808080808080662E-2</v>
          </cell>
          <cell r="X50">
            <v>7.4766355140186924E-2</v>
          </cell>
          <cell r="Y50">
            <v>-1.7391304347825987E-2</v>
          </cell>
          <cell r="Z50">
            <v>-0.42389380530973453</v>
          </cell>
          <cell r="AA50">
            <v>2.7649769585253559E-2</v>
          </cell>
        </row>
        <row r="51">
          <cell r="A51" t="str">
            <v>GARO.BA</v>
          </cell>
          <cell r="B51">
            <v>6.94</v>
          </cell>
          <cell r="C51">
            <v>5.75</v>
          </cell>
          <cell r="D51">
            <v>5.14</v>
          </cell>
          <cell r="E51">
            <v>4.7300000000000004</v>
          </cell>
          <cell r="F51">
            <v>4.8499999999999996</v>
          </cell>
          <cell r="G51">
            <v>5</v>
          </cell>
          <cell r="H51">
            <v>4.32</v>
          </cell>
          <cell r="I51">
            <v>4.3499999999999996</v>
          </cell>
          <cell r="J51">
            <v>4.26</v>
          </cell>
          <cell r="K51">
            <v>4.3499999999999996</v>
          </cell>
          <cell r="L51">
            <v>4.7</v>
          </cell>
          <cell r="M51">
            <v>4.08</v>
          </cell>
          <cell r="N51">
            <v>3.85</v>
          </cell>
          <cell r="P51">
            <v>-0.17146974063400577</v>
          </cell>
          <cell r="Q51">
            <v>-0.10608695652173916</v>
          </cell>
          <cell r="R51">
            <v>-7.9766536964980372E-2</v>
          </cell>
          <cell r="S51">
            <v>2.5369978858350795E-2</v>
          </cell>
          <cell r="T51">
            <v>3.0927835051546504E-2</v>
          </cell>
          <cell r="U51">
            <v>-0.1359999999999999</v>
          </cell>
          <cell r="V51">
            <v>6.9444444444441977E-3</v>
          </cell>
          <cell r="W51">
            <v>-2.0689655172413723E-2</v>
          </cell>
          <cell r="X51">
            <v>2.1126760563380254E-2</v>
          </cell>
          <cell r="Y51">
            <v>8.0459770114942764E-2</v>
          </cell>
          <cell r="Z51">
            <v>-0.13191489361702124</v>
          </cell>
          <cell r="AA51">
            <v>-5.6372549019607865E-2</v>
          </cell>
        </row>
        <row r="52">
          <cell r="A52" t="str">
            <v>INAG.BA</v>
          </cell>
          <cell r="B52">
            <v>32.864106</v>
          </cell>
          <cell r="C52">
            <v>34.855870000000003</v>
          </cell>
          <cell r="D52">
            <v>38.690015699999996</v>
          </cell>
          <cell r="E52">
            <v>49.7941</v>
          </cell>
          <cell r="F52">
            <v>54.773510000000002</v>
          </cell>
          <cell r="G52">
            <v>64.732330000000005</v>
          </cell>
          <cell r="H52">
            <v>53.777628</v>
          </cell>
          <cell r="I52">
            <v>64.732330000000005</v>
          </cell>
          <cell r="J52">
            <v>59.852508200000003</v>
          </cell>
          <cell r="K52">
            <v>75.687032000000002</v>
          </cell>
          <cell r="L52">
            <v>79.670559999999995</v>
          </cell>
          <cell r="M52">
            <v>93</v>
          </cell>
          <cell r="N52">
            <v>93</v>
          </cell>
          <cell r="P52">
            <v>6.0606060606060774E-2</v>
          </cell>
          <cell r="Q52">
            <v>0.10999999999999988</v>
          </cell>
          <cell r="R52">
            <v>0.28700128700128702</v>
          </cell>
          <cell r="S52">
            <v>0.10000000000000009</v>
          </cell>
          <cell r="T52">
            <v>0.18181818181818188</v>
          </cell>
          <cell r="U52">
            <v>-0.1692307692307693</v>
          </cell>
          <cell r="V52">
            <v>0.20370370370370372</v>
          </cell>
          <cell r="W52">
            <v>-7.5384615384615383E-2</v>
          </cell>
          <cell r="X52">
            <v>0.26455906821963393</v>
          </cell>
          <cell r="Y52">
            <v>5.2631578947368363E-2</v>
          </cell>
          <cell r="Z52">
            <v>0.16730697010288376</v>
          </cell>
          <cell r="AA52">
            <v>0</v>
          </cell>
        </row>
        <row r="53">
          <cell r="A53" t="str">
            <v>POLL.BA</v>
          </cell>
          <cell r="B53">
            <v>8.5</v>
          </cell>
          <cell r="C53">
            <v>8</v>
          </cell>
          <cell r="D53">
            <v>8</v>
          </cell>
          <cell r="E53">
            <v>9.5</v>
          </cell>
          <cell r="F53">
            <v>9</v>
          </cell>
          <cell r="G53">
            <v>7.6</v>
          </cell>
          <cell r="H53">
            <v>7.15</v>
          </cell>
          <cell r="I53">
            <v>10.3</v>
          </cell>
          <cell r="J53">
            <v>7.95</v>
          </cell>
          <cell r="K53">
            <v>7</v>
          </cell>
          <cell r="L53">
            <v>7.4</v>
          </cell>
          <cell r="M53">
            <v>6.5</v>
          </cell>
          <cell r="N53">
            <v>6.5</v>
          </cell>
          <cell r="P53">
            <v>-5.8823529411764719E-2</v>
          </cell>
          <cell r="Q53">
            <v>0</v>
          </cell>
          <cell r="R53">
            <v>0.1875</v>
          </cell>
          <cell r="S53">
            <v>-5.2631578947368474E-2</v>
          </cell>
          <cell r="T53">
            <v>-0.15555555555555556</v>
          </cell>
          <cell r="U53">
            <v>-5.921052631578938E-2</v>
          </cell>
          <cell r="V53">
            <v>0.44055944055944063</v>
          </cell>
          <cell r="W53">
            <v>-0.22815533980582525</v>
          </cell>
          <cell r="X53">
            <v>-0.11949685534591192</v>
          </cell>
          <cell r="Y53">
            <v>5.7142857142857162E-2</v>
          </cell>
          <cell r="Z53">
            <v>-0.12162162162162171</v>
          </cell>
          <cell r="AA53">
            <v>0</v>
          </cell>
        </row>
        <row r="54">
          <cell r="A54" t="str">
            <v>BOLT.BA</v>
          </cell>
          <cell r="B54">
            <v>4.0287851640000003</v>
          </cell>
          <cell r="C54">
            <v>3.5133910259999999</v>
          </cell>
          <cell r="D54">
            <v>3.1214011180000001</v>
          </cell>
          <cell r="E54">
            <v>2.9544424540000001</v>
          </cell>
          <cell r="F54">
            <v>3.114142046</v>
          </cell>
          <cell r="G54">
            <v>3.2794112399999999</v>
          </cell>
          <cell r="H54">
            <v>3.1102936200000002</v>
          </cell>
          <cell r="I54">
            <v>2.6</v>
          </cell>
          <cell r="J54">
            <v>2.86</v>
          </cell>
          <cell r="K54">
            <v>4.04</v>
          </cell>
          <cell r="L54">
            <v>4.68</v>
          </cell>
          <cell r="M54">
            <v>2.4</v>
          </cell>
          <cell r="N54">
            <v>2.44</v>
          </cell>
          <cell r="P54">
            <v>-0.12792792790377749</v>
          </cell>
          <cell r="Q54">
            <v>-0.11157024797387294</v>
          </cell>
          <cell r="R54">
            <v>-5.348837194848477E-2</v>
          </cell>
          <cell r="S54">
            <v>5.4054054017462327E-2</v>
          </cell>
          <cell r="T54">
            <v>5.3070538067549577E-2</v>
          </cell>
          <cell r="U54">
            <v>-5.1569506726457326E-2</v>
          </cell>
          <cell r="V54">
            <v>-0.16406606010399749</v>
          </cell>
          <cell r="W54">
            <v>9.9999999999999867E-2</v>
          </cell>
          <cell r="X54">
            <v>0.41258741258741272</v>
          </cell>
          <cell r="Y54">
            <v>0.15841584158415833</v>
          </cell>
          <cell r="Z54">
            <v>-0.48717948717948711</v>
          </cell>
          <cell r="AA54">
            <v>1.6666666666666607E-2</v>
          </cell>
        </row>
        <row r="55">
          <cell r="A55" t="str">
            <v>TXAR.BA</v>
          </cell>
          <cell r="B55">
            <v>16.078758650000001</v>
          </cell>
          <cell r="C55">
            <v>14.8859724</v>
          </cell>
          <cell r="D55">
            <v>14.17030065</v>
          </cell>
          <cell r="E55">
            <v>12.595822800000001</v>
          </cell>
          <cell r="F55">
            <v>14.456569350000001</v>
          </cell>
          <cell r="G55">
            <v>13.9317434</v>
          </cell>
          <cell r="H55">
            <v>14.8859724</v>
          </cell>
          <cell r="I55">
            <v>11.55</v>
          </cell>
          <cell r="J55">
            <v>12.35</v>
          </cell>
          <cell r="K55">
            <v>13.8</v>
          </cell>
          <cell r="L55">
            <v>13.95</v>
          </cell>
          <cell r="M55">
            <v>11</v>
          </cell>
          <cell r="N55">
            <v>12.15</v>
          </cell>
          <cell r="P55">
            <v>-7.4183976261127604E-2</v>
          </cell>
          <cell r="Q55">
            <v>-4.8076923076923128E-2</v>
          </cell>
          <cell r="R55">
            <v>-0.11111111111111105</v>
          </cell>
          <cell r="S55">
            <v>0.14772727272727271</v>
          </cell>
          <cell r="T55">
            <v>-3.6303630363036299E-2</v>
          </cell>
          <cell r="U55">
            <v>6.8493150684931559E-2</v>
          </cell>
          <cell r="V55">
            <v>-0.2241017456138773</v>
          </cell>
          <cell r="W55">
            <v>6.9264069264069139E-2</v>
          </cell>
          <cell r="X55">
            <v>0.1174089068825912</v>
          </cell>
          <cell r="Y55">
            <v>1.0869565217391131E-2</v>
          </cell>
          <cell r="Z55">
            <v>-0.21146953405017921</v>
          </cell>
          <cell r="AA55">
            <v>0.1045454545454545</v>
          </cell>
        </row>
        <row r="56">
          <cell r="A56" t="str">
            <v>LOMA.BA</v>
          </cell>
          <cell r="B56">
            <v>72.45</v>
          </cell>
          <cell r="C56">
            <v>64</v>
          </cell>
          <cell r="D56">
            <v>78</v>
          </cell>
          <cell r="E56">
            <v>80.5</v>
          </cell>
          <cell r="F56">
            <v>93.8</v>
          </cell>
          <cell r="G56">
            <v>87.6</v>
          </cell>
          <cell r="H56">
            <v>97</v>
          </cell>
          <cell r="I56">
            <v>88</v>
          </cell>
          <cell r="J56">
            <v>89.45</v>
          </cell>
          <cell r="K56">
            <v>99.2</v>
          </cell>
          <cell r="L56">
            <v>109.5</v>
          </cell>
          <cell r="M56">
            <v>61.05</v>
          </cell>
          <cell r="N56">
            <v>60.2</v>
          </cell>
          <cell r="P56">
            <v>-0.11663216011042099</v>
          </cell>
          <cell r="Q56">
            <v>0.21875</v>
          </cell>
          <cell r="R56">
            <v>3.2051282051282159E-2</v>
          </cell>
          <cell r="S56">
            <v>0.16521739130434776</v>
          </cell>
          <cell r="T56">
            <v>-6.6098081023454158E-2</v>
          </cell>
          <cell r="U56">
            <v>0.10730593607305949</v>
          </cell>
          <cell r="V56">
            <v>-9.2783505154639179E-2</v>
          </cell>
          <cell r="W56">
            <v>1.647727272727284E-2</v>
          </cell>
          <cell r="X56">
            <v>0.10899944102850756</v>
          </cell>
          <cell r="Y56">
            <v>0.10383064516129026</v>
          </cell>
          <cell r="Z56">
            <v>-0.44246575342465755</v>
          </cell>
          <cell r="AA56">
            <v>-1.3923013923013872E-2</v>
          </cell>
        </row>
        <row r="57">
          <cell r="A57" t="str">
            <v>ALUA.BA</v>
          </cell>
          <cell r="B57">
            <v>20.537096677000001</v>
          </cell>
          <cell r="C57">
            <v>16.765904145</v>
          </cell>
          <cell r="D57">
            <v>18.249860999999999</v>
          </cell>
          <cell r="E57">
            <v>16.616978700000001</v>
          </cell>
          <cell r="F57">
            <v>18.297886949999999</v>
          </cell>
          <cell r="G57">
            <v>17.961705299999998</v>
          </cell>
          <cell r="H57">
            <v>16.568952750000001</v>
          </cell>
          <cell r="I57">
            <v>14.7919926</v>
          </cell>
          <cell r="J57">
            <v>14.26370715</v>
          </cell>
          <cell r="K57">
            <v>17.289342000000001</v>
          </cell>
          <cell r="L57">
            <v>17.7</v>
          </cell>
          <cell r="M57">
            <v>21</v>
          </cell>
          <cell r="N57">
            <v>21.1</v>
          </cell>
          <cell r="P57">
            <v>-0.18362831861348017</v>
          </cell>
          <cell r="Q57">
            <v>8.8510398375535981E-2</v>
          </cell>
          <cell r="R57">
            <v>-8.9473684210526261E-2</v>
          </cell>
          <cell r="S57">
            <v>0.10115606936416177</v>
          </cell>
          <cell r="T57">
            <v>-1.8372703412073532E-2</v>
          </cell>
          <cell r="U57">
            <v>-7.7540106951871524E-2</v>
          </cell>
          <cell r="V57">
            <v>-0.10724637681159421</v>
          </cell>
          <cell r="W57">
            <v>-3.5714285714285698E-2</v>
          </cell>
          <cell r="X57">
            <v>0.21212121212121215</v>
          </cell>
          <cell r="Y57">
            <v>2.3752089582125047E-2</v>
          </cell>
          <cell r="Z57">
            <v>0.18644067796610164</v>
          </cell>
          <cell r="AA57">
            <v>4.761904761904745E-3</v>
          </cell>
        </row>
        <row r="58">
          <cell r="A58" t="str">
            <v>HARG.BA</v>
          </cell>
          <cell r="B58">
            <v>55.25</v>
          </cell>
          <cell r="C58">
            <v>44.2</v>
          </cell>
          <cell r="D58">
            <v>55</v>
          </cell>
          <cell r="E58">
            <v>58.5</v>
          </cell>
          <cell r="F58">
            <v>71.5</v>
          </cell>
          <cell r="G58">
            <v>72</v>
          </cell>
          <cell r="H58">
            <v>72</v>
          </cell>
          <cell r="I58">
            <v>82</v>
          </cell>
          <cell r="J58">
            <v>89</v>
          </cell>
          <cell r="K58">
            <v>99</v>
          </cell>
          <cell r="L58">
            <v>93</v>
          </cell>
          <cell r="M58">
            <v>49</v>
          </cell>
          <cell r="N58">
            <v>51.1</v>
          </cell>
          <cell r="P58">
            <v>-0.19999999999999996</v>
          </cell>
          <cell r="Q58">
            <v>0.24434389140271495</v>
          </cell>
          <cell r="R58">
            <v>6.3636363636363713E-2</v>
          </cell>
          <cell r="S58">
            <v>0.22222222222222232</v>
          </cell>
          <cell r="T58">
            <v>6.9930069930070893E-3</v>
          </cell>
          <cell r="U58">
            <v>0</v>
          </cell>
          <cell r="V58">
            <v>0.13888888888888884</v>
          </cell>
          <cell r="W58">
            <v>8.5365853658536661E-2</v>
          </cell>
          <cell r="X58">
            <v>0.11235955056179781</v>
          </cell>
          <cell r="Y58">
            <v>-6.0606060606060552E-2</v>
          </cell>
          <cell r="Z58">
            <v>-0.4731182795698925</v>
          </cell>
          <cell r="AA58">
            <v>4.2857142857142927E-2</v>
          </cell>
        </row>
        <row r="59">
          <cell r="A59" t="str">
            <v>INDU.BA</v>
          </cell>
          <cell r="B59">
            <v>22.4</v>
          </cell>
          <cell r="C59">
            <v>15.05</v>
          </cell>
          <cell r="D59">
            <v>17.05</v>
          </cell>
          <cell r="E59">
            <v>16.3</v>
          </cell>
          <cell r="F59">
            <v>18</v>
          </cell>
          <cell r="G59">
            <v>17.75</v>
          </cell>
          <cell r="H59">
            <v>18.5</v>
          </cell>
          <cell r="I59">
            <v>21.5</v>
          </cell>
          <cell r="J59">
            <v>16.899999999999999</v>
          </cell>
          <cell r="K59">
            <v>16.100000000000001</v>
          </cell>
          <cell r="L59">
            <v>15</v>
          </cell>
          <cell r="M59">
            <v>16.5</v>
          </cell>
          <cell r="N59">
            <v>16.100000000000001</v>
          </cell>
          <cell r="P59">
            <v>-0.32812499999999989</v>
          </cell>
          <cell r="Q59">
            <v>0.13289036544850497</v>
          </cell>
          <cell r="R59">
            <v>-4.3988269794721369E-2</v>
          </cell>
          <cell r="S59">
            <v>0.1042944785276072</v>
          </cell>
          <cell r="T59">
            <v>-1.388888888888884E-2</v>
          </cell>
          <cell r="U59">
            <v>4.2253521126760507E-2</v>
          </cell>
          <cell r="V59">
            <v>0.16216216216216206</v>
          </cell>
          <cell r="W59">
            <v>-0.21395348837209305</v>
          </cell>
          <cell r="X59">
            <v>-4.7337278106508673E-2</v>
          </cell>
          <cell r="Y59">
            <v>-6.8322981366459756E-2</v>
          </cell>
          <cell r="Z59">
            <v>0.10000000000000009</v>
          </cell>
          <cell r="AA59">
            <v>-2.4242424242424176E-2</v>
          </cell>
        </row>
        <row r="60">
          <cell r="A60" t="str">
            <v>RIGO.BA</v>
          </cell>
          <cell r="B60">
            <v>43.435035272999997</v>
          </cell>
          <cell r="C60">
            <v>44.966385000000002</v>
          </cell>
          <cell r="D60">
            <v>46</v>
          </cell>
          <cell r="E60">
            <v>45.524999999999999</v>
          </cell>
          <cell r="F60">
            <v>47</v>
          </cell>
          <cell r="G60">
            <v>45</v>
          </cell>
          <cell r="H60">
            <v>40</v>
          </cell>
          <cell r="I60">
            <v>37.25</v>
          </cell>
          <cell r="J60">
            <v>35</v>
          </cell>
          <cell r="K60">
            <v>37.5</v>
          </cell>
          <cell r="L60">
            <v>33.5</v>
          </cell>
          <cell r="M60">
            <v>25</v>
          </cell>
          <cell r="N60">
            <v>23</v>
          </cell>
          <cell r="P60">
            <v>3.5256094932929027E-2</v>
          </cell>
          <cell r="Q60">
            <v>2.2986393057836452E-2</v>
          </cell>
          <cell r="R60">
            <v>-1.0326086956521818E-2</v>
          </cell>
          <cell r="S60">
            <v>3.2399780340472306E-2</v>
          </cell>
          <cell r="T60">
            <v>-4.2553191489361653E-2</v>
          </cell>
          <cell r="U60">
            <v>-0.11111111111111116</v>
          </cell>
          <cell r="V60">
            <v>-6.8749999999999978E-2</v>
          </cell>
          <cell r="W60">
            <v>-6.0402684563758413E-2</v>
          </cell>
          <cell r="X60">
            <v>7.1428571428571397E-2</v>
          </cell>
          <cell r="Y60">
            <v>-0.10666666666666669</v>
          </cell>
          <cell r="Z60">
            <v>-0.25373134328358204</v>
          </cell>
          <cell r="AA60">
            <v>-7.999999999999996E-2</v>
          </cell>
        </row>
        <row r="61">
          <cell r="A61" t="str">
            <v>CELU.BA</v>
          </cell>
          <cell r="B61">
            <v>17.95</v>
          </cell>
          <cell r="C61">
            <v>14.75</v>
          </cell>
          <cell r="D61">
            <v>17.899999999999999</v>
          </cell>
          <cell r="E61">
            <v>18.2</v>
          </cell>
          <cell r="F61">
            <v>18.5</v>
          </cell>
          <cell r="G61">
            <v>18.95</v>
          </cell>
          <cell r="H61">
            <v>18.8</v>
          </cell>
          <cell r="I61">
            <v>21</v>
          </cell>
          <cell r="J61">
            <v>26</v>
          </cell>
          <cell r="K61">
            <v>28.95</v>
          </cell>
          <cell r="L61">
            <v>29.8</v>
          </cell>
          <cell r="M61">
            <v>17</v>
          </cell>
          <cell r="N61">
            <v>17.400000000000002</v>
          </cell>
          <cell r="P61">
            <v>-0.17827298050139273</v>
          </cell>
          <cell r="Q61">
            <v>0.21355932203389827</v>
          </cell>
          <cell r="R61">
            <v>1.6759776536312998E-2</v>
          </cell>
          <cell r="S61">
            <v>1.6483516483516425E-2</v>
          </cell>
          <cell r="T61">
            <v>2.4324324324324298E-2</v>
          </cell>
          <cell r="U61">
            <v>-7.9155672823217893E-3</v>
          </cell>
          <cell r="V61">
            <v>0.11702127659574457</v>
          </cell>
          <cell r="W61">
            <v>0.23809523809523814</v>
          </cell>
          <cell r="X61">
            <v>0.1134615384615385</v>
          </cell>
          <cell r="Y61">
            <v>2.9360967184801412E-2</v>
          </cell>
          <cell r="Z61">
            <v>-0.42953020134228193</v>
          </cell>
          <cell r="AA61">
            <v>2.3529411764706021E-2</v>
          </cell>
        </row>
        <row r="62">
          <cell r="A62" t="str">
            <v>MERA.BA</v>
          </cell>
          <cell r="B62">
            <v>43</v>
          </cell>
          <cell r="C62">
            <v>44</v>
          </cell>
          <cell r="D62">
            <v>43</v>
          </cell>
          <cell r="E62">
            <v>46</v>
          </cell>
          <cell r="F62">
            <v>46</v>
          </cell>
          <cell r="G62">
            <v>45</v>
          </cell>
          <cell r="H62">
            <v>47</v>
          </cell>
          <cell r="I62">
            <v>47</v>
          </cell>
          <cell r="J62">
            <v>47</v>
          </cell>
          <cell r="K62">
            <v>47</v>
          </cell>
          <cell r="L62">
            <v>48</v>
          </cell>
          <cell r="M62">
            <v>48</v>
          </cell>
          <cell r="N62">
            <v>48</v>
          </cell>
          <cell r="P62">
            <v>2.3255813953488413E-2</v>
          </cell>
          <cell r="Q62">
            <v>-2.2727272727272707E-2</v>
          </cell>
          <cell r="R62">
            <v>6.9767441860465018E-2</v>
          </cell>
          <cell r="S62">
            <v>0</v>
          </cell>
          <cell r="T62">
            <v>-2.1739130434782594E-2</v>
          </cell>
          <cell r="U62">
            <v>4.4444444444444509E-2</v>
          </cell>
          <cell r="V62">
            <v>0</v>
          </cell>
          <cell r="W62">
            <v>0</v>
          </cell>
          <cell r="X62">
            <v>0</v>
          </cell>
          <cell r="Y62">
            <v>2.1276595744680771E-2</v>
          </cell>
          <cell r="Z62">
            <v>0</v>
          </cell>
          <cell r="AA62">
            <v>0</v>
          </cell>
        </row>
        <row r="63">
          <cell r="A63" t="str">
            <v>COLO.BA</v>
          </cell>
          <cell r="B63">
            <v>14</v>
          </cell>
          <cell r="C63">
            <v>15.05</v>
          </cell>
          <cell r="D63">
            <v>14.9</v>
          </cell>
          <cell r="E63">
            <v>14.9</v>
          </cell>
          <cell r="F63">
            <v>10.55</v>
          </cell>
          <cell r="G63">
            <v>11.1</v>
          </cell>
          <cell r="H63">
            <v>10.1</v>
          </cell>
          <cell r="I63">
            <v>10</v>
          </cell>
          <cell r="J63">
            <v>12.6</v>
          </cell>
          <cell r="K63">
            <v>12.65</v>
          </cell>
          <cell r="L63">
            <v>12.55</v>
          </cell>
          <cell r="M63">
            <v>12.55</v>
          </cell>
          <cell r="N63">
            <v>12.55</v>
          </cell>
          <cell r="P63">
            <v>7.4999999999999956E-2</v>
          </cell>
          <cell r="Q63">
            <v>-9.966777408637939E-3</v>
          </cell>
          <cell r="R63">
            <v>0</v>
          </cell>
          <cell r="S63">
            <v>-0.29194630872483218</v>
          </cell>
          <cell r="T63">
            <v>5.2132701421800931E-2</v>
          </cell>
          <cell r="U63">
            <v>-9.0090090090090058E-2</v>
          </cell>
          <cell r="V63">
            <v>-9.9009900990099098E-3</v>
          </cell>
          <cell r="W63">
            <v>0.26</v>
          </cell>
          <cell r="X63">
            <v>3.9682539682539542E-3</v>
          </cell>
          <cell r="Y63">
            <v>-7.905138339920903E-3</v>
          </cell>
          <cell r="Z63">
            <v>0</v>
          </cell>
          <cell r="AA63">
            <v>0</v>
          </cell>
        </row>
        <row r="64">
          <cell r="A64" t="str">
            <v>FIPL.BA</v>
          </cell>
          <cell r="B64">
            <v>5.6278857899999997</v>
          </cell>
          <cell r="C64">
            <v>3.9463240599999998</v>
          </cell>
          <cell r="D64">
            <v>3.888004</v>
          </cell>
          <cell r="E64">
            <v>3.3922834900000001</v>
          </cell>
          <cell r="F64">
            <v>3.5</v>
          </cell>
          <cell r="G64">
            <v>3.65</v>
          </cell>
          <cell r="H64">
            <v>3.4</v>
          </cell>
          <cell r="I64">
            <v>3.4</v>
          </cell>
          <cell r="J64">
            <v>3.4</v>
          </cell>
          <cell r="K64">
            <v>3.55</v>
          </cell>
          <cell r="L64">
            <v>3.3</v>
          </cell>
          <cell r="M64">
            <v>3.5</v>
          </cell>
          <cell r="N64">
            <v>3.5</v>
          </cell>
          <cell r="P64">
            <v>-0.29879101899827287</v>
          </cell>
          <cell r="Q64">
            <v>-1.4778325123152691E-2</v>
          </cell>
          <cell r="R64">
            <v>-0.12749999999999995</v>
          </cell>
          <cell r="S64">
            <v>3.1753392756688426E-2</v>
          </cell>
          <cell r="T64">
            <v>4.2857142857142927E-2</v>
          </cell>
          <cell r="U64">
            <v>-6.8493150684931559E-2</v>
          </cell>
          <cell r="V64">
            <v>0</v>
          </cell>
          <cell r="W64">
            <v>0</v>
          </cell>
          <cell r="X64">
            <v>4.4117647058823595E-2</v>
          </cell>
          <cell r="Y64">
            <v>-7.0422535211267623E-2</v>
          </cell>
          <cell r="Z64">
            <v>6.0606060606060552E-2</v>
          </cell>
          <cell r="AA64">
            <v>0</v>
          </cell>
        </row>
        <row r="65">
          <cell r="A65" t="str">
            <v>IRSA.BA</v>
          </cell>
          <cell r="B65">
            <v>63.917167499999998</v>
          </cell>
          <cell r="C65">
            <v>45.49955405</v>
          </cell>
          <cell r="D65">
            <v>50.45</v>
          </cell>
          <cell r="E65">
            <v>48.05</v>
          </cell>
          <cell r="F65">
            <v>55.5</v>
          </cell>
          <cell r="G65">
            <v>52.65</v>
          </cell>
          <cell r="H65">
            <v>49</v>
          </cell>
          <cell r="I65">
            <v>41.4</v>
          </cell>
          <cell r="J65">
            <v>42.1</v>
          </cell>
          <cell r="K65">
            <v>41.45</v>
          </cell>
          <cell r="L65">
            <v>45.45</v>
          </cell>
          <cell r="M65">
            <v>31.3</v>
          </cell>
          <cell r="N65">
            <v>34.15</v>
          </cell>
          <cell r="P65">
            <v>-0.28814814814814815</v>
          </cell>
          <cell r="Q65">
            <v>0.10880207627002014</v>
          </cell>
          <cell r="R65">
            <v>-4.757185332011904E-2</v>
          </cell>
          <cell r="S65">
            <v>0.15504682622268473</v>
          </cell>
          <cell r="T65">
            <v>-5.1351351351351382E-2</v>
          </cell>
          <cell r="U65">
            <v>-6.9325735992402659E-2</v>
          </cell>
          <cell r="V65">
            <v>-0.15510204081632661</v>
          </cell>
          <cell r="W65">
            <v>1.6908212560386549E-2</v>
          </cell>
          <cell r="X65">
            <v>-1.5439429928741033E-2</v>
          </cell>
          <cell r="Y65">
            <v>9.6501809408926498E-2</v>
          </cell>
          <cell r="Z65">
            <v>-0.3113311331133114</v>
          </cell>
          <cell r="AA65">
            <v>9.1054313099041551E-2</v>
          </cell>
        </row>
        <row r="66">
          <cell r="A66" t="str">
            <v>IRCP.BA</v>
          </cell>
          <cell r="B66">
            <v>235.38672</v>
          </cell>
          <cell r="C66">
            <v>214.79038199999999</v>
          </cell>
          <cell r="D66">
            <v>194.3</v>
          </cell>
          <cell r="E66">
            <v>189.5</v>
          </cell>
          <cell r="F66">
            <v>195</v>
          </cell>
          <cell r="G66">
            <v>216.15</v>
          </cell>
          <cell r="H66">
            <v>210</v>
          </cell>
          <cell r="I66">
            <v>198.5</v>
          </cell>
          <cell r="J66">
            <v>190</v>
          </cell>
          <cell r="K66">
            <v>196</v>
          </cell>
          <cell r="L66">
            <v>200</v>
          </cell>
          <cell r="M66">
            <v>149.94999999999999</v>
          </cell>
          <cell r="N66">
            <v>145</v>
          </cell>
          <cell r="P66">
            <v>-8.7500000000000022E-2</v>
          </cell>
          <cell r="Q66">
            <v>-9.5397111403247026E-2</v>
          </cell>
          <cell r="R66">
            <v>-2.4704065877509063E-2</v>
          </cell>
          <cell r="S66">
            <v>2.9023746701847042E-2</v>
          </cell>
          <cell r="T66">
            <v>0.10846153846153839</v>
          </cell>
          <cell r="U66">
            <v>-2.8452463566967401E-2</v>
          </cell>
          <cell r="V66">
            <v>-5.4761904761904789E-2</v>
          </cell>
          <cell r="W66">
            <v>-4.2821158690176331E-2</v>
          </cell>
          <cell r="X66">
            <v>3.1578947368421151E-2</v>
          </cell>
          <cell r="Y66">
            <v>2.0408163265306145E-2</v>
          </cell>
          <cell r="Z66">
            <v>-0.25025000000000008</v>
          </cell>
          <cell r="AA66">
            <v>-3.3011003667889227E-2</v>
          </cell>
        </row>
        <row r="67">
          <cell r="A67" t="str">
            <v>CRES.BA</v>
          </cell>
          <cell r="B67">
            <v>55.27614595</v>
          </cell>
          <cell r="C67">
            <v>40.270566000000002</v>
          </cell>
          <cell r="D67">
            <v>43.8</v>
          </cell>
          <cell r="E67">
            <v>44.9</v>
          </cell>
          <cell r="F67">
            <v>50</v>
          </cell>
          <cell r="G67">
            <v>48.25</v>
          </cell>
          <cell r="H67">
            <v>50.95</v>
          </cell>
          <cell r="I67">
            <v>44.5</v>
          </cell>
          <cell r="J67">
            <v>44.7</v>
          </cell>
          <cell r="K67">
            <v>44.85</v>
          </cell>
          <cell r="L67">
            <v>45.1</v>
          </cell>
          <cell r="M67">
            <v>35.75</v>
          </cell>
          <cell r="N67">
            <v>38.300000000000004</v>
          </cell>
          <cell r="P67">
            <v>-0.27146574154379877</v>
          </cell>
          <cell r="Q67">
            <v>8.7643019469852756E-2</v>
          </cell>
          <cell r="R67">
            <v>2.5114155251141579E-2</v>
          </cell>
          <cell r="S67">
            <v>0.11358574610244987</v>
          </cell>
          <cell r="T67">
            <v>-3.5000000000000031E-2</v>
          </cell>
          <cell r="U67">
            <v>5.5958549222798082E-2</v>
          </cell>
          <cell r="V67">
            <v>-0.126594700686948</v>
          </cell>
          <cell r="W67">
            <v>4.4943820224718767E-3</v>
          </cell>
          <cell r="X67">
            <v>3.3557046979866278E-3</v>
          </cell>
          <cell r="Y67">
            <v>5.5741360089185399E-3</v>
          </cell>
          <cell r="Z67">
            <v>-0.20731707317073178</v>
          </cell>
          <cell r="AA67">
            <v>7.1328671328671378E-2</v>
          </cell>
        </row>
        <row r="68">
          <cell r="A68" t="str">
            <v>CTIO.BA</v>
          </cell>
          <cell r="B68">
            <v>44.708320000000001</v>
          </cell>
          <cell r="C68">
            <v>36.447000000000003</v>
          </cell>
          <cell r="D68">
            <v>38.099263999999998</v>
          </cell>
          <cell r="E68">
            <v>36.252616000000003</v>
          </cell>
          <cell r="F68">
            <v>41.306600000000003</v>
          </cell>
          <cell r="G68">
            <v>44.708320000000001</v>
          </cell>
          <cell r="H68">
            <v>45.680239999999998</v>
          </cell>
          <cell r="I68">
            <v>41.112215999999997</v>
          </cell>
          <cell r="J68">
            <v>47</v>
          </cell>
          <cell r="K68">
            <v>55.1</v>
          </cell>
          <cell r="L68">
            <v>51.2</v>
          </cell>
          <cell r="M68">
            <v>40.1</v>
          </cell>
          <cell r="N68">
            <v>39.5</v>
          </cell>
          <cell r="P68">
            <v>-0.18478260869565211</v>
          </cell>
          <cell r="Q68">
            <v>4.5333333333333226E-2</v>
          </cell>
          <cell r="R68">
            <v>-4.84693877551019E-2</v>
          </cell>
          <cell r="S68">
            <v>0.13941018766756041</v>
          </cell>
          <cell r="T68">
            <v>8.2352941176470518E-2</v>
          </cell>
          <cell r="U68">
            <v>2.1739130434782483E-2</v>
          </cell>
          <cell r="V68">
            <v>-9.9999999999999978E-2</v>
          </cell>
          <cell r="W68">
            <v>0.14321251863436424</v>
          </cell>
          <cell r="X68">
            <v>0.17234042553191498</v>
          </cell>
          <cell r="Y68">
            <v>-7.0780399274047112E-2</v>
          </cell>
          <cell r="Z68">
            <v>-0.216796875</v>
          </cell>
          <cell r="AA68">
            <v>-1.4962593516209544E-2</v>
          </cell>
        </row>
        <row r="69">
          <cell r="A69" t="str">
            <v>PAMP.BA</v>
          </cell>
          <cell r="B69">
            <v>50.95</v>
          </cell>
          <cell r="C69">
            <v>47.7</v>
          </cell>
          <cell r="D69">
            <v>53.75</v>
          </cell>
          <cell r="E69">
            <v>46.75</v>
          </cell>
          <cell r="F69">
            <v>53.25</v>
          </cell>
          <cell r="G69">
            <v>50.75</v>
          </cell>
          <cell r="H69">
            <v>48.1</v>
          </cell>
          <cell r="I69">
            <v>37.450000000000003</v>
          </cell>
          <cell r="J69">
            <v>45.45</v>
          </cell>
          <cell r="K69">
            <v>59.45</v>
          </cell>
          <cell r="L69">
            <v>57.95</v>
          </cell>
          <cell r="M69">
            <v>32.6</v>
          </cell>
          <cell r="N69">
            <v>31.5</v>
          </cell>
          <cell r="P69">
            <v>-6.3788027477919562E-2</v>
          </cell>
          <cell r="Q69">
            <v>0.12683438155136262</v>
          </cell>
          <cell r="R69">
            <v>-0.13023255813953494</v>
          </cell>
          <cell r="S69">
            <v>0.1390374331550801</v>
          </cell>
          <cell r="T69">
            <v>-4.6948356807511749E-2</v>
          </cell>
          <cell r="U69">
            <v>-5.2216748768472931E-2</v>
          </cell>
          <cell r="V69">
            <v>-0.2214137214137214</v>
          </cell>
          <cell r="W69">
            <v>0.21361815754339109</v>
          </cell>
          <cell r="X69">
            <v>0.30803080308030806</v>
          </cell>
          <cell r="Y69">
            <v>-2.5231286795626584E-2</v>
          </cell>
          <cell r="Z69">
            <v>-0.43744607420189818</v>
          </cell>
          <cell r="AA69">
            <v>-3.3742331288343586E-2</v>
          </cell>
        </row>
        <row r="70">
          <cell r="A70" t="str">
            <v>EDN.BA</v>
          </cell>
          <cell r="B70">
            <v>51.3</v>
          </cell>
          <cell r="C70">
            <v>40.5</v>
          </cell>
          <cell r="D70">
            <v>48.15</v>
          </cell>
          <cell r="E70">
            <v>50.95</v>
          </cell>
          <cell r="F70">
            <v>53.5</v>
          </cell>
          <cell r="G70">
            <v>50.25</v>
          </cell>
          <cell r="H70">
            <v>43.1</v>
          </cell>
          <cell r="I70">
            <v>38.799999999999997</v>
          </cell>
          <cell r="J70">
            <v>38.85</v>
          </cell>
          <cell r="K70">
            <v>39.1</v>
          </cell>
          <cell r="L70">
            <v>41.5</v>
          </cell>
          <cell r="M70">
            <v>17</v>
          </cell>
          <cell r="N70">
            <v>17</v>
          </cell>
          <cell r="P70">
            <v>-0.21052631578947367</v>
          </cell>
          <cell r="Q70">
            <v>0.18888888888888888</v>
          </cell>
          <cell r="R70">
            <v>5.8151609553478867E-2</v>
          </cell>
          <cell r="S70">
            <v>5.0049067713444417E-2</v>
          </cell>
          <cell r="T70">
            <v>-6.074766355140182E-2</v>
          </cell>
          <cell r="U70">
            <v>-0.1422885572139303</v>
          </cell>
          <cell r="V70">
            <v>-9.9767981438515174E-2</v>
          </cell>
          <cell r="W70">
            <v>1.2886597938146505E-3</v>
          </cell>
          <cell r="X70">
            <v>6.4350064350064962E-3</v>
          </cell>
          <cell r="Y70">
            <v>6.13810741687979E-2</v>
          </cell>
          <cell r="Z70">
            <v>-0.59036144578313254</v>
          </cell>
          <cell r="AA70">
            <v>0</v>
          </cell>
        </row>
        <row r="71">
          <cell r="A71" t="str">
            <v>TRAN.BA</v>
          </cell>
          <cell r="B71">
            <v>37.836047596</v>
          </cell>
          <cell r="C71">
            <v>31.621242256999999</v>
          </cell>
          <cell r="D71">
            <v>34.435493731000001</v>
          </cell>
          <cell r="E71">
            <v>37.867948800000001</v>
          </cell>
          <cell r="F71">
            <v>47.996889600000003</v>
          </cell>
          <cell r="G71">
            <v>46.231679999999997</v>
          </cell>
          <cell r="H71">
            <v>38.792582400000001</v>
          </cell>
          <cell r="I71">
            <v>32.992607999999997</v>
          </cell>
          <cell r="J71">
            <v>38.65</v>
          </cell>
          <cell r="K71">
            <v>43.4</v>
          </cell>
          <cell r="L71">
            <v>46.55</v>
          </cell>
          <cell r="M71">
            <v>17.149999999999999</v>
          </cell>
          <cell r="N71">
            <v>15.3</v>
          </cell>
          <cell r="P71">
            <v>-0.16425619835770122</v>
          </cell>
          <cell r="Q71">
            <v>8.899876390457151E-2</v>
          </cell>
          <cell r="R71">
            <v>9.9677823579743974E-2</v>
          </cell>
          <cell r="S71">
            <v>0.26748057713651496</v>
          </cell>
          <cell r="T71">
            <v>-3.6777583187390661E-2</v>
          </cell>
          <cell r="U71">
            <v>-0.16090909090909089</v>
          </cell>
          <cell r="V71">
            <v>-0.14951245937161439</v>
          </cell>
          <cell r="W71">
            <v>0.17147453150717884</v>
          </cell>
          <cell r="X71">
            <v>0.12289780077619672</v>
          </cell>
          <cell r="Y71">
            <v>7.2580645161290258E-2</v>
          </cell>
          <cell r="Z71">
            <v>-0.63157894736842102</v>
          </cell>
          <cell r="AA71">
            <v>-0.10787172011661794</v>
          </cell>
        </row>
        <row r="72">
          <cell r="A72" t="str">
            <v>METR.BA</v>
          </cell>
          <cell r="B72">
            <v>37.65</v>
          </cell>
          <cell r="C72">
            <v>30.1</v>
          </cell>
          <cell r="D72">
            <v>28.05</v>
          </cell>
          <cell r="E72">
            <v>26.5</v>
          </cell>
          <cell r="F72">
            <v>30.65</v>
          </cell>
          <cell r="G72">
            <v>26.9</v>
          </cell>
          <cell r="H72">
            <v>22.8</v>
          </cell>
          <cell r="I72">
            <v>16.399999999999999</v>
          </cell>
          <cell r="J72">
            <v>17.75</v>
          </cell>
          <cell r="K72">
            <v>20.7</v>
          </cell>
          <cell r="L72">
            <v>21.35</v>
          </cell>
          <cell r="M72">
            <v>11.4</v>
          </cell>
          <cell r="N72">
            <v>12.6</v>
          </cell>
          <cell r="P72">
            <v>-0.20053120849933592</v>
          </cell>
          <cell r="Q72">
            <v>-6.8106312292358862E-2</v>
          </cell>
          <cell r="R72">
            <v>-5.5258467023172941E-2</v>
          </cell>
          <cell r="S72">
            <v>0.15660377358490551</v>
          </cell>
          <cell r="T72">
            <v>-0.12234910277324629</v>
          </cell>
          <cell r="U72">
            <v>-0.15241635687732336</v>
          </cell>
          <cell r="V72">
            <v>-0.28070175438596501</v>
          </cell>
          <cell r="W72">
            <v>8.2317073170731891E-2</v>
          </cell>
          <cell r="X72">
            <v>0.16619718309859155</v>
          </cell>
          <cell r="Y72">
            <v>3.1400966183575019E-2</v>
          </cell>
          <cell r="Z72">
            <v>-0.4660421545667448</v>
          </cell>
          <cell r="AA72">
            <v>0.10526315789473673</v>
          </cell>
        </row>
        <row r="73">
          <cell r="A73" t="str">
            <v>GBAN.BA</v>
          </cell>
          <cell r="B73">
            <v>48</v>
          </cell>
          <cell r="C73">
            <v>42</v>
          </cell>
          <cell r="D73">
            <v>38</v>
          </cell>
          <cell r="E73">
            <v>38.5</v>
          </cell>
          <cell r="F73">
            <v>39</v>
          </cell>
          <cell r="G73">
            <v>35.799999999999997</v>
          </cell>
          <cell r="H73">
            <v>38</v>
          </cell>
          <cell r="I73">
            <v>33.799999999999997</v>
          </cell>
          <cell r="J73">
            <v>35</v>
          </cell>
          <cell r="K73">
            <v>37.9</v>
          </cell>
          <cell r="L73">
            <v>33.5</v>
          </cell>
          <cell r="M73">
            <v>31</v>
          </cell>
          <cell r="N73">
            <v>27</v>
          </cell>
          <cell r="P73">
            <v>-0.125</v>
          </cell>
          <cell r="Q73">
            <v>-9.5238095238095233E-2</v>
          </cell>
          <cell r="R73">
            <v>1.3157894736842035E-2</v>
          </cell>
          <cell r="S73">
            <v>1.298701298701288E-2</v>
          </cell>
          <cell r="T73">
            <v>-8.2051282051282093E-2</v>
          </cell>
          <cell r="U73">
            <v>6.1452513966480549E-2</v>
          </cell>
          <cell r="V73">
            <v>-0.11052631578947381</v>
          </cell>
          <cell r="W73">
            <v>3.5502958579881838E-2</v>
          </cell>
          <cell r="X73">
            <v>8.285714285714274E-2</v>
          </cell>
          <cell r="Y73">
            <v>-0.11609498680738783</v>
          </cell>
          <cell r="Z73">
            <v>-7.4626865671641784E-2</v>
          </cell>
          <cell r="AA73">
            <v>-0.12903225806451613</v>
          </cell>
        </row>
        <row r="74">
          <cell r="A74" t="str">
            <v>CAPX.BA</v>
          </cell>
          <cell r="B74">
            <v>74.599999999999994</v>
          </cell>
          <cell r="C74">
            <v>68</v>
          </cell>
          <cell r="D74">
            <v>69.5</v>
          </cell>
          <cell r="E74">
            <v>61.9</v>
          </cell>
          <cell r="F74">
            <v>72</v>
          </cell>
          <cell r="G74">
            <v>63.1</v>
          </cell>
          <cell r="H74">
            <v>53.6</v>
          </cell>
          <cell r="I74">
            <v>43</v>
          </cell>
          <cell r="J74">
            <v>52</v>
          </cell>
          <cell r="K74">
            <v>59.6</v>
          </cell>
          <cell r="L74">
            <v>67.3</v>
          </cell>
          <cell r="M74">
            <v>43</v>
          </cell>
          <cell r="N74">
            <v>46</v>
          </cell>
          <cell r="P74">
            <v>-8.8471849865951691E-2</v>
          </cell>
          <cell r="Q74">
            <v>2.2058823529411686E-2</v>
          </cell>
          <cell r="R74">
            <v>-0.10935251798561152</v>
          </cell>
          <cell r="S74">
            <v>0.16316639741518579</v>
          </cell>
          <cell r="T74">
            <v>-0.12361111111111112</v>
          </cell>
          <cell r="U74">
            <v>-0.150554675118859</v>
          </cell>
          <cell r="V74">
            <v>-0.19776119402985082</v>
          </cell>
          <cell r="W74">
            <v>0.20930232558139528</v>
          </cell>
          <cell r="X74">
            <v>0.14615384615384608</v>
          </cell>
          <cell r="Y74">
            <v>0.12919463087248317</v>
          </cell>
          <cell r="Z74">
            <v>-0.36106983655274882</v>
          </cell>
          <cell r="AA74">
            <v>6.9767441860465018E-2</v>
          </cell>
        </row>
        <row r="75">
          <cell r="A75" t="str">
            <v>CGPA2.BA</v>
          </cell>
          <cell r="B75">
            <v>47.45</v>
          </cell>
          <cell r="C75">
            <v>37.950000000000003</v>
          </cell>
          <cell r="D75">
            <v>34</v>
          </cell>
          <cell r="E75">
            <v>30.35</v>
          </cell>
          <cell r="F75">
            <v>37</v>
          </cell>
          <cell r="G75">
            <v>32.4</v>
          </cell>
          <cell r="H75">
            <v>26.8</v>
          </cell>
          <cell r="I75">
            <v>20</v>
          </cell>
          <cell r="J75">
            <v>22.4</v>
          </cell>
          <cell r="K75">
            <v>29.1</v>
          </cell>
          <cell r="L75">
            <v>30.6</v>
          </cell>
          <cell r="M75">
            <v>15</v>
          </cell>
          <cell r="N75">
            <v>16</v>
          </cell>
          <cell r="P75">
            <v>-0.20021074815595363</v>
          </cell>
          <cell r="Q75">
            <v>-0.10408432147562585</v>
          </cell>
          <cell r="R75">
            <v>-0.10735294117647054</v>
          </cell>
          <cell r="S75">
            <v>0.21911037891268537</v>
          </cell>
          <cell r="T75">
            <v>-0.12432432432432439</v>
          </cell>
          <cell r="U75">
            <v>-0.1728395061728395</v>
          </cell>
          <cell r="V75">
            <v>-0.25373134328358216</v>
          </cell>
          <cell r="W75">
            <v>0.11999999999999988</v>
          </cell>
          <cell r="X75">
            <v>0.29910714285714302</v>
          </cell>
          <cell r="Y75">
            <v>5.1546391752577359E-2</v>
          </cell>
          <cell r="Z75">
            <v>-0.50980392156862742</v>
          </cell>
          <cell r="AA75">
            <v>6.6666666666666652E-2</v>
          </cell>
        </row>
        <row r="76">
          <cell r="A76" t="str">
            <v>DGCU2.BA</v>
          </cell>
          <cell r="B76">
            <v>50.8</v>
          </cell>
          <cell r="C76">
            <v>43</v>
          </cell>
          <cell r="D76">
            <v>40.549999999999997</v>
          </cell>
          <cell r="E76">
            <v>38.25</v>
          </cell>
          <cell r="F76">
            <v>45.4</v>
          </cell>
          <cell r="G76">
            <v>39.799999999999997</v>
          </cell>
          <cell r="H76">
            <v>34.4</v>
          </cell>
          <cell r="I76">
            <v>22.95</v>
          </cell>
          <cell r="J76">
            <v>25.6</v>
          </cell>
          <cell r="K76">
            <v>30.3</v>
          </cell>
          <cell r="L76">
            <v>29.3</v>
          </cell>
          <cell r="M76">
            <v>11.7</v>
          </cell>
          <cell r="N76">
            <v>12.25</v>
          </cell>
          <cell r="P76">
            <v>-0.15354330708661412</v>
          </cell>
          <cell r="Q76">
            <v>-5.6976744186046591E-2</v>
          </cell>
          <cell r="R76">
            <v>-5.6720098643649797E-2</v>
          </cell>
          <cell r="S76">
            <v>0.1869281045751634</v>
          </cell>
          <cell r="T76">
            <v>-0.12334801762114544</v>
          </cell>
          <cell r="U76">
            <v>-0.13567839195979892</v>
          </cell>
          <cell r="V76">
            <v>-0.33284883720930236</v>
          </cell>
          <cell r="W76">
            <v>0.11546840958605675</v>
          </cell>
          <cell r="X76">
            <v>0.18359375</v>
          </cell>
          <cell r="Y76">
            <v>-3.3003300330032959E-2</v>
          </cell>
          <cell r="Z76">
            <v>-0.60068259385665534</v>
          </cell>
          <cell r="AA76">
            <v>4.7008547008547064E-2</v>
          </cell>
        </row>
        <row r="77">
          <cell r="A77" t="str">
            <v>CEPU.BA</v>
          </cell>
          <cell r="B77">
            <v>41.15</v>
          </cell>
          <cell r="C77">
            <v>34.049999999999997</v>
          </cell>
          <cell r="D77">
            <v>35.299999999999997</v>
          </cell>
          <cell r="E77">
            <v>33.299999999999997</v>
          </cell>
          <cell r="F77">
            <v>38.450000000000003</v>
          </cell>
          <cell r="G77">
            <v>39.799999999999997</v>
          </cell>
          <cell r="H77">
            <v>39.85</v>
          </cell>
          <cell r="I77">
            <v>35.4</v>
          </cell>
          <cell r="J77">
            <v>35.9</v>
          </cell>
          <cell r="K77">
            <v>39.200000000000003</v>
          </cell>
          <cell r="L77">
            <v>40.450000000000003</v>
          </cell>
          <cell r="M77">
            <v>17</v>
          </cell>
          <cell r="N77">
            <v>16.8</v>
          </cell>
          <cell r="P77">
            <v>-0.172539489671932</v>
          </cell>
          <cell r="Q77">
            <v>3.6710719530102853E-2</v>
          </cell>
          <cell r="R77">
            <v>-5.6657223796033995E-2</v>
          </cell>
          <cell r="S77">
            <v>0.15465465465465478</v>
          </cell>
          <cell r="T77">
            <v>3.5110533159947943E-2</v>
          </cell>
          <cell r="U77">
            <v>1.2562814070353756E-3</v>
          </cell>
          <cell r="V77">
            <v>-0.11166875784190722</v>
          </cell>
          <cell r="W77">
            <v>1.4124293785310771E-2</v>
          </cell>
          <cell r="X77">
            <v>9.1922005571030807E-2</v>
          </cell>
          <cell r="Y77">
            <v>3.1887755102040893E-2</v>
          </cell>
          <cell r="Z77">
            <v>-0.57972805933250937</v>
          </cell>
          <cell r="AA77">
            <v>-1.1764705882352899E-2</v>
          </cell>
        </row>
        <row r="78">
          <cell r="A78" t="str">
            <v>CECO2.BA</v>
          </cell>
          <cell r="B78">
            <v>7.4956235500000004</v>
          </cell>
          <cell r="C78">
            <v>7.2319583999999999</v>
          </cell>
          <cell r="D78">
            <v>6.5916287499999999</v>
          </cell>
          <cell r="E78">
            <v>6.2074309599999999</v>
          </cell>
          <cell r="F78">
            <v>6.7799610000000001</v>
          </cell>
          <cell r="G78">
            <v>7.1566254999999996</v>
          </cell>
          <cell r="H78">
            <v>5.82323317</v>
          </cell>
          <cell r="I78">
            <v>7.3976907799999996</v>
          </cell>
          <cell r="J78">
            <v>8.92</v>
          </cell>
          <cell r="K78">
            <v>9.2799999999999994</v>
          </cell>
          <cell r="L78">
            <v>10.55</v>
          </cell>
          <cell r="M78">
            <v>7.49</v>
          </cell>
          <cell r="N78">
            <v>7.97</v>
          </cell>
          <cell r="P78">
            <v>-3.5175879396984966E-2</v>
          </cell>
          <cell r="Q78">
            <v>-8.854166666666663E-2</v>
          </cell>
          <cell r="R78">
            <v>-5.8285714285714274E-2</v>
          </cell>
          <cell r="S78">
            <v>9.2233009708737823E-2</v>
          </cell>
          <cell r="T78">
            <v>5.555555555555558E-2</v>
          </cell>
          <cell r="U78">
            <v>-0.18631578947368421</v>
          </cell>
          <cell r="V78">
            <v>0.27037516170763243</v>
          </cell>
          <cell r="W78">
            <v>0.20578167772511313</v>
          </cell>
          <cell r="X78">
            <v>4.0358744394618729E-2</v>
          </cell>
          <cell r="Y78">
            <v>0.13685344827586232</v>
          </cell>
          <cell r="Z78">
            <v>-0.29004739336492891</v>
          </cell>
          <cell r="AA78">
            <v>6.4085447263017237E-2</v>
          </cell>
        </row>
      </sheetData>
      <sheetData sheetId="7"/>
      <sheetData sheetId="8"/>
      <sheetData sheetId="9">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1692065246899.7</v>
          </cell>
        </row>
        <row r="5">
          <cell r="A5" t="str">
            <v>TECO2</v>
          </cell>
          <cell r="B5" t="str">
            <v>TECO2.BA</v>
          </cell>
          <cell r="C5" t="str">
            <v>Communication Services</v>
          </cell>
          <cell r="D5" t="str">
            <v>TELECOM ARGENTINA S. A.</v>
          </cell>
          <cell r="E5">
            <v>235868895510</v>
          </cell>
        </row>
        <row r="6">
          <cell r="A6" t="str">
            <v>CVH</v>
          </cell>
          <cell r="B6" t="str">
            <v>CVH.BA</v>
          </cell>
          <cell r="C6" t="str">
            <v>Communication Services</v>
          </cell>
          <cell r="D6" t="str">
            <v>CABLEVISION HOLDING S.A.</v>
          </cell>
          <cell r="E6">
            <v>25380282490</v>
          </cell>
        </row>
        <row r="7">
          <cell r="A7" t="str">
            <v>GCLA</v>
          </cell>
          <cell r="B7" t="str">
            <v>GCLA.BA</v>
          </cell>
          <cell r="C7" t="str">
            <v>Communication Services</v>
          </cell>
          <cell r="D7" t="str">
            <v>GRUPO CLARIN S.A.</v>
          </cell>
          <cell r="E7">
            <v>2386443689.4000001</v>
          </cell>
        </row>
        <row r="8">
          <cell r="A8" t="str">
            <v>MIRG</v>
          </cell>
          <cell r="B8" t="str">
            <v>MIRG.BA</v>
          </cell>
          <cell r="C8" t="str">
            <v>Consumer Discretionary</v>
          </cell>
          <cell r="D8" t="str">
            <v>MIRGOR S.A.</v>
          </cell>
          <cell r="E8">
            <v>5310000000</v>
          </cell>
        </row>
        <row r="9">
          <cell r="A9" t="str">
            <v>HAVA</v>
          </cell>
          <cell r="B9" t="str">
            <v>HAVA.BA</v>
          </cell>
          <cell r="C9" t="str">
            <v>Consumer Discretionary</v>
          </cell>
          <cell r="D9" t="str">
            <v>HAVANNA HOLDING S.A.</v>
          </cell>
          <cell r="E9">
            <v>3382281720</v>
          </cell>
        </row>
        <row r="10">
          <cell r="A10" t="str">
            <v>GRIM</v>
          </cell>
          <cell r="B10" t="str">
            <v>GRIM.BA</v>
          </cell>
          <cell r="C10" t="str">
            <v>Consumer Discretionary</v>
          </cell>
          <cell r="D10" t="str">
            <v>GRIMOLDI S.A.</v>
          </cell>
          <cell r="E10">
            <v>841842766</v>
          </cell>
        </row>
        <row r="11">
          <cell r="A11" t="str">
            <v>TGLT</v>
          </cell>
          <cell r="B11" t="str">
            <v>TGLT.BA</v>
          </cell>
          <cell r="C11" t="str">
            <v>Consumer Discretionary</v>
          </cell>
          <cell r="D11" t="str">
            <v>TGLT S.A.</v>
          </cell>
          <cell r="E11">
            <v>223323888.05000001</v>
          </cell>
        </row>
        <row r="12">
          <cell r="A12" t="str">
            <v>LONG</v>
          </cell>
          <cell r="B12" t="str">
            <v>LONG.BA</v>
          </cell>
          <cell r="C12" t="str">
            <v>Consumer Discretionary</v>
          </cell>
          <cell r="D12" t="str">
            <v>LONGVIE S.A.</v>
          </cell>
          <cell r="E12">
            <v>344156989.12</v>
          </cell>
        </row>
        <row r="13">
          <cell r="A13" t="str">
            <v>PSUR</v>
          </cell>
          <cell r="B13" t="str">
            <v>PSUR.BA</v>
          </cell>
          <cell r="C13" t="str">
            <v>Consumer Discretionary</v>
          </cell>
          <cell r="D13" t="str">
            <v>PETROLERA DEL CONOSUR S.A.</v>
          </cell>
          <cell r="E13">
            <v>366346678.44999999</v>
          </cell>
        </row>
        <row r="14">
          <cell r="A14" t="str">
            <v>DOME</v>
          </cell>
          <cell r="B14" t="str">
            <v>DOME.BA</v>
          </cell>
          <cell r="C14" t="str">
            <v>Consumer Discretionary</v>
          </cell>
          <cell r="D14" t="str">
            <v>DOMEC S.A.</v>
          </cell>
          <cell r="E14">
            <v>180000000</v>
          </cell>
        </row>
        <row r="15">
          <cell r="A15" t="str">
            <v>PATA</v>
          </cell>
          <cell r="B15" t="str">
            <v>PATA.BA</v>
          </cell>
          <cell r="C15" t="str">
            <v>Consumer Staples</v>
          </cell>
          <cell r="D15" t="str">
            <v>IMPORTADORA Y EXPORTADORA DE LA PATAGONIA S.A.</v>
          </cell>
          <cell r="E15">
            <v>8750000000</v>
          </cell>
        </row>
        <row r="16">
          <cell r="A16" t="str">
            <v>MOLA</v>
          </cell>
          <cell r="B16" t="str">
            <v>MOLA.BA</v>
          </cell>
          <cell r="C16" t="str">
            <v>Consumer Staples</v>
          </cell>
          <cell r="D16" t="str">
            <v>MOLINOS AGRO S.A.</v>
          </cell>
          <cell r="E16">
            <v>12368670048</v>
          </cell>
        </row>
        <row r="17">
          <cell r="A17" t="str">
            <v>MOLI</v>
          </cell>
          <cell r="B17" t="str">
            <v>MOLI.BA</v>
          </cell>
          <cell r="C17" t="str">
            <v>Consumer Staples</v>
          </cell>
          <cell r="D17" t="str">
            <v>MOLINOS RIO DE LA PLATA S.A.</v>
          </cell>
          <cell r="E17">
            <v>7955897516.5</v>
          </cell>
        </row>
        <row r="18">
          <cell r="A18" t="str">
            <v>ESME</v>
          </cell>
          <cell r="B18" t="str">
            <v>ESME.BA</v>
          </cell>
          <cell r="C18" t="str">
            <v>Consumer Staples</v>
          </cell>
          <cell r="D18" t="str">
            <v>BODEGAS ESMERALDA S.A.</v>
          </cell>
          <cell r="E18">
            <v>8015418944</v>
          </cell>
        </row>
        <row r="19">
          <cell r="A19" t="str">
            <v>SAMI</v>
          </cell>
          <cell r="B19" t="str">
            <v>SAMI.BA</v>
          </cell>
          <cell r="C19" t="str">
            <v>Consumer Staples</v>
          </cell>
          <cell r="D19" t="str">
            <v>S.A. SAN MIGUEL</v>
          </cell>
          <cell r="E19">
            <v>4909418172</v>
          </cell>
        </row>
        <row r="20">
          <cell r="A20" t="str">
            <v>LEDE</v>
          </cell>
          <cell r="B20" t="str">
            <v>LEDE.BA</v>
          </cell>
          <cell r="C20" t="str">
            <v>Consumer Staples</v>
          </cell>
          <cell r="D20" t="str">
            <v>LEDESMA S.A.</v>
          </cell>
          <cell r="E20">
            <v>4356000000</v>
          </cell>
        </row>
        <row r="21">
          <cell r="A21" t="str">
            <v>INVJ</v>
          </cell>
          <cell r="B21" t="str">
            <v>INVJ.BA</v>
          </cell>
          <cell r="C21" t="str">
            <v>Consumer Staples</v>
          </cell>
          <cell r="D21" t="str">
            <v>INVERSORA JURAMENTO S.A.</v>
          </cell>
          <cell r="E21">
            <v>3937857436.8000002</v>
          </cell>
        </row>
        <row r="22">
          <cell r="A22" t="str">
            <v>PATY</v>
          </cell>
          <cell r="B22" t="str">
            <v>PATY.BA</v>
          </cell>
          <cell r="C22" t="str">
            <v>Consumer Staples</v>
          </cell>
          <cell r="D22" t="str">
            <v>QUICKFOOD S.A.</v>
          </cell>
          <cell r="E22">
            <v>1749942636</v>
          </cell>
        </row>
        <row r="23">
          <cell r="A23" t="str">
            <v>INTR</v>
          </cell>
          <cell r="B23" t="str">
            <v>INTR.BA</v>
          </cell>
          <cell r="C23" t="str">
            <v>Consumer Staples</v>
          </cell>
          <cell r="D23" t="str">
            <v>COMPAÑIA INTRODUCTORA DE BUENOS AIRES S.A.</v>
          </cell>
          <cell r="E23">
            <v>378777550.80000001</v>
          </cell>
        </row>
        <row r="24">
          <cell r="A24" t="str">
            <v>SEMI</v>
          </cell>
          <cell r="B24" t="str">
            <v>SEMI.BA</v>
          </cell>
          <cell r="C24" t="str">
            <v>Consumer Staples</v>
          </cell>
          <cell r="D24" t="str">
            <v>MOLINOS JUAN SEMINO S.A.</v>
          </cell>
          <cell r="E24">
            <v>372738000</v>
          </cell>
        </row>
        <row r="25">
          <cell r="A25" t="str">
            <v>MORI</v>
          </cell>
          <cell r="B25" t="str">
            <v>MORI.BA</v>
          </cell>
          <cell r="C25" t="str">
            <v>Consumer Staples</v>
          </cell>
          <cell r="D25" t="str">
            <v>MORIXE HERMANOS S.A.</v>
          </cell>
          <cell r="E25">
            <v>499279540.5</v>
          </cell>
        </row>
        <row r="26">
          <cell r="A26" t="str">
            <v>APBR</v>
          </cell>
          <cell r="B26" t="str">
            <v>APBR.BA</v>
          </cell>
          <cell r="C26" t="str">
            <v>Energy</v>
          </cell>
          <cell r="D26" t="str">
            <v>PETROLEO BRASILEIRO S.A. - PETROBRAS (Sociedad de Economía Mixta)</v>
          </cell>
          <cell r="E26">
            <v>4356192485408.9502</v>
          </cell>
        </row>
        <row r="27">
          <cell r="A27" t="str">
            <v>TS</v>
          </cell>
          <cell r="B27" t="str">
            <v>TS.BA</v>
          </cell>
          <cell r="C27" t="str">
            <v>Energy</v>
          </cell>
          <cell r="D27" t="str">
            <v>TENARIS S.A.</v>
          </cell>
          <cell r="E27">
            <v>757019242237.5</v>
          </cell>
        </row>
        <row r="28">
          <cell r="A28" t="str">
            <v>YPFD</v>
          </cell>
          <cell r="B28" t="str">
            <v>YPFD.BA</v>
          </cell>
          <cell r="C28" t="str">
            <v>Energy</v>
          </cell>
          <cell r="D28" t="str">
            <v>YPF S.A.</v>
          </cell>
          <cell r="E28">
            <v>197816669239.35001</v>
          </cell>
        </row>
        <row r="29">
          <cell r="A29" t="str">
            <v>TGSU2</v>
          </cell>
          <cell r="B29" t="str">
            <v>TGSU2.BA</v>
          </cell>
          <cell r="C29" t="str">
            <v>Energy</v>
          </cell>
          <cell r="D29" t="str">
            <v>TRANSPORTADORA DE GAS DEL SUR S.A.</v>
          </cell>
          <cell r="E29">
            <v>73252465092.600006</v>
          </cell>
        </row>
        <row r="30">
          <cell r="A30" t="str">
            <v>TGNO4</v>
          </cell>
          <cell r="B30" t="str">
            <v>TGNO4.BA</v>
          </cell>
          <cell r="C30" t="str">
            <v>Energy</v>
          </cell>
          <cell r="D30" t="str">
            <v>TRANSPORTADORA DE GAS DEL NORTE S.A.</v>
          </cell>
          <cell r="E30">
            <v>11599471989.6</v>
          </cell>
        </row>
        <row r="31">
          <cell r="A31" t="str">
            <v>PGR</v>
          </cell>
          <cell r="B31" t="str">
            <v>PGR.BA</v>
          </cell>
          <cell r="C31" t="str">
            <v>Energy</v>
          </cell>
          <cell r="D31" t="str">
            <v>PHOENIX GLOBAL RESOURCES P.L.C.</v>
          </cell>
          <cell r="E31">
            <v>5570943822.3999996</v>
          </cell>
        </row>
        <row r="32">
          <cell r="A32" t="str">
            <v>COME</v>
          </cell>
          <cell r="B32" t="str">
            <v>COME.BA</v>
          </cell>
          <cell r="C32" t="str">
            <v>Energy</v>
          </cell>
          <cell r="D32" t="str">
            <v>SOCIEDAD COMERCIAL DEL PLATA S.A.</v>
          </cell>
          <cell r="E32">
            <v>1751674634.4000001</v>
          </cell>
        </row>
        <row r="33">
          <cell r="A33" t="str">
            <v>CARC</v>
          </cell>
          <cell r="B33" t="str">
            <v>CARC.BA</v>
          </cell>
          <cell r="C33" t="str">
            <v>Energy</v>
          </cell>
          <cell r="D33" t="str">
            <v>CARBOCLOR S. A.</v>
          </cell>
          <cell r="E33">
            <v>545201423.83000004</v>
          </cell>
        </row>
        <row r="34">
          <cell r="A34" t="str">
            <v>GGAL</v>
          </cell>
          <cell r="B34" t="str">
            <v>GGAL.BA</v>
          </cell>
          <cell r="C34" t="str">
            <v>Financials</v>
          </cell>
          <cell r="D34" t="str">
            <v>GRUPO FINANCIERO GALICIA S.A.</v>
          </cell>
          <cell r="E34">
            <v>84535802372.25</v>
          </cell>
        </row>
        <row r="35">
          <cell r="A35" t="str">
            <v>BMA</v>
          </cell>
          <cell r="B35" t="str">
            <v>BMA.BA</v>
          </cell>
          <cell r="C35" t="str">
            <v>Financials</v>
          </cell>
          <cell r="D35" t="str">
            <v>BANCO MACRO S.A.</v>
          </cell>
          <cell r="E35">
            <v>90538440439.199997</v>
          </cell>
        </row>
        <row r="36">
          <cell r="A36" t="str">
            <v>BBAR</v>
          </cell>
          <cell r="B36" t="str">
            <v>BBAR.BA</v>
          </cell>
          <cell r="C36" t="str">
            <v>Financials</v>
          </cell>
          <cell r="D36" t="str">
            <v>BBVA BANCO FRANCES S. A.</v>
          </cell>
          <cell r="E36">
            <v>49349733840.900002</v>
          </cell>
        </row>
        <row r="37">
          <cell r="A37" t="str">
            <v>BRIO</v>
          </cell>
          <cell r="B37" t="str">
            <v>BRIO.BA</v>
          </cell>
          <cell r="C37" t="str">
            <v>Financials</v>
          </cell>
          <cell r="D37" t="str">
            <v>BANCO SANTANDER RIO S.A.</v>
          </cell>
          <cell r="E37">
            <v>23359754172.400002</v>
          </cell>
        </row>
        <row r="38">
          <cell r="A38" t="str">
            <v>BYMA</v>
          </cell>
          <cell r="B38" t="str">
            <v>BYMA.BA</v>
          </cell>
          <cell r="C38" t="str">
            <v>Financials</v>
          </cell>
          <cell r="D38" t="str">
            <v>BOLSAS Y MERCADOS ARGENTINOS S.A. (BYMA)</v>
          </cell>
          <cell r="E38">
            <v>14754375000</v>
          </cell>
        </row>
        <row r="39">
          <cell r="A39" t="str">
            <v>BPAT</v>
          </cell>
          <cell r="B39" t="str">
            <v>BPAT.BA</v>
          </cell>
          <cell r="C39" t="str">
            <v>Financials</v>
          </cell>
          <cell r="D39" t="str">
            <v>BANCO PATAGONIA S.A.</v>
          </cell>
          <cell r="E39">
            <v>20747340087.450001</v>
          </cell>
        </row>
        <row r="40">
          <cell r="A40" t="str">
            <v>BHIP</v>
          </cell>
          <cell r="B40" t="str">
            <v>BHIP.BA</v>
          </cell>
          <cell r="C40" t="str">
            <v>Financials</v>
          </cell>
          <cell r="D40" t="str">
            <v>BANCO HIPOTECARIO S.A.</v>
          </cell>
          <cell r="E40">
            <v>16425000000</v>
          </cell>
        </row>
        <row r="41">
          <cell r="A41" t="str">
            <v>VALO</v>
          </cell>
          <cell r="B41" t="str">
            <v>VALO.BA</v>
          </cell>
          <cell r="C41" t="str">
            <v>Financials</v>
          </cell>
          <cell r="D41" t="str">
            <v>GRUPO FINANCIERO VALORES SOCIEDAD ANONIMA</v>
          </cell>
          <cell r="E41">
            <v>4335187650</v>
          </cell>
        </row>
        <row r="42">
          <cell r="A42" t="str">
            <v>RICH</v>
          </cell>
          <cell r="B42" t="str">
            <v>RICH.BA</v>
          </cell>
          <cell r="C42" t="str">
            <v>Health Care</v>
          </cell>
          <cell r="D42" t="str">
            <v>LABORATORIOS RICHMOND S.A.C.I.F.</v>
          </cell>
          <cell r="E42">
            <v>3851845929.9000001</v>
          </cell>
        </row>
        <row r="43">
          <cell r="A43" t="str">
            <v>ROSE</v>
          </cell>
          <cell r="B43" t="str">
            <v>ROSE.BA</v>
          </cell>
          <cell r="C43" t="str">
            <v>Health Care</v>
          </cell>
          <cell r="D43" t="str">
            <v>INSTITUTO ROSENBUSCH S.A.</v>
          </cell>
          <cell r="E43">
            <v>244889423.75</v>
          </cell>
        </row>
        <row r="44">
          <cell r="A44" t="str">
            <v>AUSO</v>
          </cell>
          <cell r="B44" t="str">
            <v>AUSO.BA</v>
          </cell>
          <cell r="C44" t="str">
            <v>Industrials</v>
          </cell>
          <cell r="D44" t="str">
            <v>AUTOPISTAS DEL SOL S.A.</v>
          </cell>
          <cell r="E44">
            <v>5611770688</v>
          </cell>
        </row>
        <row r="45">
          <cell r="A45" t="str">
            <v>OEST</v>
          </cell>
          <cell r="B45" t="str">
            <v>OEST.BA</v>
          </cell>
          <cell r="C45" t="str">
            <v>Industrials</v>
          </cell>
          <cell r="D45" t="str">
            <v>GRUPO CONCESIONARIO DEL OESTE S.A.</v>
          </cell>
          <cell r="E45">
            <v>3152000000</v>
          </cell>
        </row>
        <row r="46">
          <cell r="A46" t="str">
            <v>CAPU</v>
          </cell>
          <cell r="B46" t="str">
            <v>CAPU.BA</v>
          </cell>
          <cell r="C46" t="str">
            <v>Industrials</v>
          </cell>
          <cell r="D46" t="str">
            <v>CAPUTO S.A.</v>
          </cell>
          <cell r="E46" t="e">
            <v>#N/A</v>
          </cell>
        </row>
        <row r="47">
          <cell r="A47" t="str">
            <v>CADO</v>
          </cell>
          <cell r="B47" t="str">
            <v>CADO.BA</v>
          </cell>
          <cell r="C47" t="str">
            <v>Industrials</v>
          </cell>
          <cell r="D47" t="str">
            <v>CARLOS CASADO S.A.</v>
          </cell>
          <cell r="E47">
            <v>1416800000</v>
          </cell>
        </row>
        <row r="48">
          <cell r="A48" t="str">
            <v>FERR</v>
          </cell>
          <cell r="B48" t="str">
            <v>FERR.BA</v>
          </cell>
          <cell r="C48" t="str">
            <v>Industrials</v>
          </cell>
          <cell r="D48" t="str">
            <v>FERRUM S.A.</v>
          </cell>
          <cell r="E48">
            <v>1068600000</v>
          </cell>
        </row>
        <row r="49">
          <cell r="A49" t="str">
            <v>DYCA</v>
          </cell>
          <cell r="B49" t="str">
            <v>DYCA.BA</v>
          </cell>
          <cell r="C49" t="str">
            <v>Industrials</v>
          </cell>
          <cell r="D49" t="str">
            <v>DYCASA SOCIEDAD ANONIMA</v>
          </cell>
          <cell r="E49">
            <v>1050000000</v>
          </cell>
        </row>
        <row r="50">
          <cell r="A50" t="str">
            <v>AGRO</v>
          </cell>
          <cell r="B50" t="str">
            <v>AGRO.BA</v>
          </cell>
          <cell r="C50" t="str">
            <v>Industrials</v>
          </cell>
          <cell r="D50" t="str">
            <v>AGROMETAL S.A.</v>
          </cell>
          <cell r="E50">
            <v>495000000</v>
          </cell>
        </row>
        <row r="51">
          <cell r="A51" t="str">
            <v>GARO</v>
          </cell>
          <cell r="B51" t="str">
            <v>GARO.BA</v>
          </cell>
          <cell r="C51" t="str">
            <v>Industrials</v>
          </cell>
          <cell r="D51" t="str">
            <v>GAROVAGLIO Y ZORRAQUIN S. A.</v>
          </cell>
          <cell r="E51">
            <v>173800000</v>
          </cell>
        </row>
        <row r="52">
          <cell r="A52" t="str">
            <v>INAG</v>
          </cell>
          <cell r="B52" t="str">
            <v>INAG.BA</v>
          </cell>
          <cell r="C52" t="str">
            <v>Industrials</v>
          </cell>
          <cell r="D52" t="str">
            <v>INSUMOS AGROQUIMICOS S.A.</v>
          </cell>
          <cell r="E52">
            <v>204600000</v>
          </cell>
        </row>
        <row r="53">
          <cell r="A53" t="str">
            <v>POLL</v>
          </cell>
          <cell r="B53" t="str">
            <v>POLL.BA</v>
          </cell>
          <cell r="C53" t="str">
            <v>Industrials</v>
          </cell>
          <cell r="D53" t="str">
            <v>POLLEDO S.A.</v>
          </cell>
          <cell r="E53">
            <v>41732561</v>
          </cell>
        </row>
        <row r="54">
          <cell r="A54" t="str">
            <v>BOLT</v>
          </cell>
          <cell r="B54" t="str">
            <v>BOLT.BA</v>
          </cell>
          <cell r="C54" t="str">
            <v>Information Technology</v>
          </cell>
          <cell r="D54" t="str">
            <v>BOLDT S.A.</v>
          </cell>
          <cell r="E54">
            <v>2875000000</v>
          </cell>
        </row>
        <row r="55">
          <cell r="A55" t="str">
            <v>TXAR</v>
          </cell>
          <cell r="B55" t="str">
            <v>TXAR.BA</v>
          </cell>
          <cell r="C55" t="str">
            <v>Materials</v>
          </cell>
          <cell r="D55" t="str">
            <v>TERNIUM ARGENTINA S.A.</v>
          </cell>
          <cell r="E55">
            <v>50139743655.300003</v>
          </cell>
        </row>
        <row r="56">
          <cell r="A56" t="str">
            <v>LOMA</v>
          </cell>
          <cell r="B56" t="str">
            <v>LOMA.BA</v>
          </cell>
          <cell r="C56" t="str">
            <v>Materials</v>
          </cell>
          <cell r="D56" t="str">
            <v>LOMA NEGRA COMPAÑIA INDUSTRIAL ARGENTINA SOCIEDAD ANONIMA</v>
          </cell>
          <cell r="E56">
            <v>34390728473</v>
          </cell>
        </row>
        <row r="57">
          <cell r="A57" t="str">
            <v>ALUA</v>
          </cell>
          <cell r="B57" t="str">
            <v>ALUA.BA</v>
          </cell>
          <cell r="C57" t="str">
            <v>Materials</v>
          </cell>
          <cell r="D57" t="str">
            <v>ALUAR ALUMINIO ARGENTINO S.A.</v>
          </cell>
          <cell r="E57">
            <v>58520000000</v>
          </cell>
        </row>
        <row r="58">
          <cell r="A58" t="str">
            <v>HARG</v>
          </cell>
          <cell r="B58" t="str">
            <v>HARG.BA</v>
          </cell>
          <cell r="C58" t="str">
            <v>Materials</v>
          </cell>
          <cell r="D58" t="str">
            <v>HOLCIM (Argentina) S.A.</v>
          </cell>
          <cell r="E58">
            <v>17778873399.5</v>
          </cell>
        </row>
        <row r="59">
          <cell r="A59" t="str">
            <v>INDU</v>
          </cell>
          <cell r="B59" t="str">
            <v>INDU.BA</v>
          </cell>
          <cell r="C59" t="str">
            <v>Materials</v>
          </cell>
          <cell r="D59" t="str">
            <v>UNIPAR INDUPA SOCIEDAD ANONIMA INDUSTRIAL Y COMERCIAL</v>
          </cell>
          <cell r="E59">
            <v>6587102657.3999996</v>
          </cell>
        </row>
        <row r="60">
          <cell r="A60" t="str">
            <v>RIGO</v>
          </cell>
          <cell r="B60" t="str">
            <v>RIGO.BA</v>
          </cell>
          <cell r="C60" t="str">
            <v>Materials</v>
          </cell>
          <cell r="D60" t="str">
            <v>RIGOLLEAU S.A.</v>
          </cell>
          <cell r="E60">
            <v>3626608050</v>
          </cell>
        </row>
        <row r="61">
          <cell r="A61" t="str">
            <v>CELU</v>
          </cell>
          <cell r="B61" t="str">
            <v>CELU.BA</v>
          </cell>
          <cell r="C61" t="str">
            <v>Materials</v>
          </cell>
          <cell r="D61" t="str">
            <v>CELULOSA ARGENTINA S.A.</v>
          </cell>
          <cell r="E61">
            <v>1816952557.3699999</v>
          </cell>
        </row>
        <row r="62">
          <cell r="A62" t="str">
            <v>MERA</v>
          </cell>
          <cell r="B62" t="str">
            <v>MERA.BA</v>
          </cell>
          <cell r="C62" t="str">
            <v>Materials</v>
          </cell>
          <cell r="E62">
            <v>880560892.83339095</v>
          </cell>
        </row>
        <row r="63">
          <cell r="A63" t="str">
            <v>COLO</v>
          </cell>
          <cell r="B63" t="str">
            <v>COLO.BA</v>
          </cell>
          <cell r="C63" t="str">
            <v>Materials</v>
          </cell>
          <cell r="D63" t="str">
            <v>COLORIN S.A.</v>
          </cell>
          <cell r="E63">
            <v>227647085.5</v>
          </cell>
        </row>
        <row r="64">
          <cell r="A64" t="str">
            <v>FIPL</v>
          </cell>
          <cell r="B64" t="str">
            <v>FIPL.BA</v>
          </cell>
          <cell r="C64" t="str">
            <v>Materials</v>
          </cell>
          <cell r="D64" t="str">
            <v>FIPLASTO S.A.</v>
          </cell>
          <cell r="E64">
            <v>256891000</v>
          </cell>
        </row>
        <row r="65">
          <cell r="A65" t="str">
            <v>IRSA</v>
          </cell>
          <cell r="B65" t="str">
            <v>IRSA.BA</v>
          </cell>
          <cell r="C65" t="str">
            <v>Real Estate</v>
          </cell>
          <cell r="D65" t="str">
            <v>IRSA INVERSIONES Y REPRESENTACIONES S.A.</v>
          </cell>
          <cell r="E65">
            <v>18604448189</v>
          </cell>
        </row>
        <row r="66">
          <cell r="A66" t="str">
            <v>IRCP</v>
          </cell>
          <cell r="B66" t="str">
            <v>IRCP.BA</v>
          </cell>
          <cell r="C66" t="str">
            <v>Real Estate</v>
          </cell>
          <cell r="D66" t="str">
            <v>IRSA PROPIEDADES COMERCIALES S.A.</v>
          </cell>
          <cell r="E66">
            <v>20302037250</v>
          </cell>
        </row>
        <row r="67">
          <cell r="A67" t="str">
            <v>CRES</v>
          </cell>
          <cell r="B67" t="str">
            <v>CRES.BA</v>
          </cell>
          <cell r="C67" t="str">
            <v>Real Estate</v>
          </cell>
          <cell r="D67" t="str">
            <v>CRESUD S.A.</v>
          </cell>
          <cell r="E67">
            <v>18109305224.400002</v>
          </cell>
        </row>
        <row r="68">
          <cell r="A68" t="str">
            <v>CTIO</v>
          </cell>
          <cell r="B68" t="str">
            <v>CTIO.BA</v>
          </cell>
          <cell r="C68" t="str">
            <v>Real Estate</v>
          </cell>
          <cell r="D68" t="str">
            <v>CONSULTATIO S.A.</v>
          </cell>
          <cell r="E68">
            <v>15986362431</v>
          </cell>
        </row>
        <row r="69">
          <cell r="A69" t="str">
            <v>PAMP</v>
          </cell>
          <cell r="B69" t="str">
            <v>PAMP.BA</v>
          </cell>
          <cell r="C69" t="str">
            <v>Utilities</v>
          </cell>
          <cell r="D69" t="str">
            <v>PAMPA ENERGIA S.A</v>
          </cell>
          <cell r="E69">
            <v>59023318723.949997</v>
          </cell>
        </row>
        <row r="70">
          <cell r="A70" t="str">
            <v>EDN</v>
          </cell>
          <cell r="B70" t="str">
            <v>EDN.BA</v>
          </cell>
          <cell r="C70" t="str">
            <v>Utilities</v>
          </cell>
          <cell r="D70" t="str">
            <v>EMPRESA DISTRIB. Y COMERCIALZADORA NORTE S.A. (EDENOR S.A.)</v>
          </cell>
          <cell r="E70">
            <v>14911186395</v>
          </cell>
        </row>
        <row r="71">
          <cell r="A71" t="str">
            <v>TRAN</v>
          </cell>
          <cell r="B71" t="str">
            <v>TRAN.BA</v>
          </cell>
          <cell r="C71" t="str">
            <v>Utilities</v>
          </cell>
          <cell r="D71" t="str">
            <v>TRANSENER CIA. DE TRANSP. DE ENERGIA ELECTR. EN ALTA TENSION</v>
          </cell>
          <cell r="E71">
            <v>6803509063.5</v>
          </cell>
        </row>
        <row r="72">
          <cell r="A72" t="str">
            <v>METR</v>
          </cell>
          <cell r="B72" t="str">
            <v>METR.BA</v>
          </cell>
          <cell r="C72" t="str">
            <v>Utilities</v>
          </cell>
          <cell r="D72" t="str">
            <v>METROGAS S.A.</v>
          </cell>
          <cell r="E72">
            <v>5823875019.1999998</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7731498126</v>
          </cell>
        </row>
        <row r="75">
          <cell r="A75" t="str">
            <v>CGPA2</v>
          </cell>
          <cell r="B75" t="str">
            <v>CGPA2.BA</v>
          </cell>
          <cell r="C75" t="str">
            <v>Utilities</v>
          </cell>
          <cell r="D75" t="str">
            <v>CAMUZZI GAS PAMPEANA S.A.</v>
          </cell>
          <cell r="E75">
            <v>5099200049.6999998</v>
          </cell>
        </row>
        <row r="76">
          <cell r="A76" t="str">
            <v>DGCU2</v>
          </cell>
          <cell r="B76" t="str">
            <v>DGCU2.BA</v>
          </cell>
          <cell r="C76" t="str">
            <v>Utilities</v>
          </cell>
          <cell r="D76" t="str">
            <v>DISTRIBUIDORA DE GAS CUYANA S.A.</v>
          </cell>
          <cell r="E76">
            <v>2337157376.4000001</v>
          </cell>
        </row>
        <row r="77">
          <cell r="A77" t="str">
            <v>CEPU</v>
          </cell>
          <cell r="B77" t="str">
            <v>CEPU.BA</v>
          </cell>
          <cell r="C77" t="str">
            <v>Utilities</v>
          </cell>
          <cell r="D77" t="str">
            <v>CENTRAL PUERTO S.A.</v>
          </cell>
          <cell r="E77">
            <v>3205861635.9000001</v>
          </cell>
        </row>
        <row r="78">
          <cell r="A78" t="str">
            <v>CECO2</v>
          </cell>
          <cell r="B78" t="str">
            <v>CECO2.BA</v>
          </cell>
          <cell r="C78" t="str">
            <v>Utilities</v>
          </cell>
          <cell r="D78" t="str">
            <v>ENEL GENERACION COSTANERA S.A.</v>
          </cell>
          <cell r="E78">
            <v>5264912835</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12902405596.5</v>
          </cell>
        </row>
      </sheetData>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ado"/>
      <sheetName val="Datos"/>
      <sheetName val="Fundamentals"/>
      <sheetName val="Earnings"/>
      <sheetName val="Glosario (2)"/>
      <sheetName val="Disclaimer"/>
      <sheetName val="Glosario"/>
      <sheetName val="Mkt cap"/>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G4" t="str">
            <v>AGRO</v>
          </cell>
          <cell r="H4" t="str">
            <v>AGROMETAL S.A.</v>
          </cell>
        </row>
        <row r="5">
          <cell r="G5" t="str">
            <v>ALUA</v>
          </cell>
          <cell r="H5" t="str">
            <v>ALUAR ALUMINIO ARGENTINO S.A.</v>
          </cell>
        </row>
        <row r="6">
          <cell r="G6" t="str">
            <v>APBR</v>
          </cell>
          <cell r="H6" t="str">
            <v>PETROLEO BRASILEIRO S.A. - PETROBRAS (Sociedad de Economía Mixta)</v>
          </cell>
        </row>
        <row r="7">
          <cell r="G7" t="str">
            <v>AUSO</v>
          </cell>
          <cell r="H7" t="str">
            <v>AUTOPISTAS DEL SOL S.A.</v>
          </cell>
        </row>
        <row r="8">
          <cell r="G8" t="str">
            <v>BHIP</v>
          </cell>
          <cell r="H8" t="str">
            <v>BANCO HIPOTECARIO S.A.</v>
          </cell>
        </row>
        <row r="9">
          <cell r="G9" t="str">
            <v>BMA</v>
          </cell>
          <cell r="H9" t="str">
            <v>BANCO MACRO S.A.</v>
          </cell>
        </row>
        <row r="10">
          <cell r="G10" t="str">
            <v>BOLT</v>
          </cell>
          <cell r="H10" t="str">
            <v>BOLDT S.A.</v>
          </cell>
        </row>
        <row r="11">
          <cell r="G11" t="str">
            <v>BPAT</v>
          </cell>
          <cell r="H11" t="str">
            <v>BANCO PATAGONIA S.A.</v>
          </cell>
        </row>
        <row r="12">
          <cell r="G12" t="str">
            <v>BRIO</v>
          </cell>
          <cell r="H12" t="str">
            <v>BANCO SANTANDER RIO S.A.</v>
          </cell>
        </row>
        <row r="13">
          <cell r="G13" t="str">
            <v>BYMA</v>
          </cell>
          <cell r="H13" t="str">
            <v>BOLSAS Y MERCADOS ARGENTINOS S.A. (BYMA)</v>
          </cell>
        </row>
        <row r="14">
          <cell r="G14" t="str">
            <v>CADO</v>
          </cell>
          <cell r="H14" t="str">
            <v>CARLOS CASADO S.A.</v>
          </cell>
        </row>
        <row r="15">
          <cell r="G15" t="str">
            <v>CAPU</v>
          </cell>
          <cell r="H15" t="str">
            <v>CAPUTO S.A.</v>
          </cell>
        </row>
        <row r="16">
          <cell r="G16" t="str">
            <v>CAPX</v>
          </cell>
          <cell r="H16" t="str">
            <v>CAPEX S.A.</v>
          </cell>
        </row>
        <row r="17">
          <cell r="G17" t="str">
            <v>CARC</v>
          </cell>
          <cell r="H17" t="str">
            <v>CARBOCLOR S. A.</v>
          </cell>
        </row>
        <row r="18">
          <cell r="G18" t="str">
            <v>CECO2</v>
          </cell>
          <cell r="H18" t="str">
            <v>ENEL GENERACION COSTANERA S.A.</v>
          </cell>
        </row>
        <row r="19">
          <cell r="G19" t="str">
            <v>CELU</v>
          </cell>
          <cell r="H19" t="str">
            <v>CELULOSA ARGENTINA S.A.</v>
          </cell>
        </row>
        <row r="20">
          <cell r="G20" t="str">
            <v>CEPU</v>
          </cell>
          <cell r="H20" t="str">
            <v>CENTRAL PUERTO S.A.</v>
          </cell>
        </row>
        <row r="21">
          <cell r="G21" t="str">
            <v>CGPA2</v>
          </cell>
          <cell r="H21" t="str">
            <v>CAMUZZI GAS PAMPEANA S.A.</v>
          </cell>
        </row>
        <row r="22">
          <cell r="G22" t="str">
            <v>COLO</v>
          </cell>
          <cell r="H22" t="str">
            <v>COLORIN S.A.</v>
          </cell>
        </row>
        <row r="23">
          <cell r="G23" t="str">
            <v>COME</v>
          </cell>
          <cell r="H23" t="str">
            <v>SOCIEDAD COMERCIAL DEL PLATA S.A.</v>
          </cell>
        </row>
        <row r="24">
          <cell r="G24" t="str">
            <v>CRES</v>
          </cell>
          <cell r="H24" t="str">
            <v>CRESUD S.A.</v>
          </cell>
        </row>
        <row r="25">
          <cell r="G25" t="str">
            <v>CTIO</v>
          </cell>
          <cell r="H25" t="str">
            <v>CONSULTATIO S.A.</v>
          </cell>
        </row>
        <row r="26">
          <cell r="G26" t="str">
            <v>CVH</v>
          </cell>
          <cell r="H26" t="str">
            <v>CABLEVISION HOLDING S.A.</v>
          </cell>
        </row>
        <row r="27">
          <cell r="G27" t="str">
            <v>DGCU2</v>
          </cell>
          <cell r="H27" t="str">
            <v>DISTRIBUIDORA DE GAS CUYANA S.A.</v>
          </cell>
        </row>
        <row r="28">
          <cell r="G28" t="str">
            <v>DOME</v>
          </cell>
          <cell r="H28" t="str">
            <v>DOMEC S.A.</v>
          </cell>
        </row>
        <row r="29">
          <cell r="G29" t="str">
            <v>DYCA</v>
          </cell>
          <cell r="H29" t="str">
            <v>DYCASA SOCIEDAD ANONIMA</v>
          </cell>
        </row>
        <row r="30">
          <cell r="G30" t="str">
            <v>EDN</v>
          </cell>
          <cell r="H30" t="str">
            <v>EMPRESA DISTRIB. Y COMERCIALZADORA NORTE S.A. (EDENOR S.A.)</v>
          </cell>
        </row>
        <row r="31">
          <cell r="G31" t="str">
            <v>ESME</v>
          </cell>
          <cell r="H31" t="str">
            <v>BODEGAS ESMERALDA S.A.</v>
          </cell>
        </row>
        <row r="32">
          <cell r="G32" t="str">
            <v>FERR</v>
          </cell>
          <cell r="H32" t="str">
            <v>FERRUM S.A.</v>
          </cell>
        </row>
        <row r="33">
          <cell r="G33" t="str">
            <v>FIPL</v>
          </cell>
          <cell r="H33" t="str">
            <v>FIPLASTO S.A.</v>
          </cell>
        </row>
        <row r="34">
          <cell r="G34" t="str">
            <v>FRAN</v>
          </cell>
          <cell r="H34" t="str">
            <v>BBVA BANCO FRANCES S. A.</v>
          </cell>
        </row>
        <row r="35">
          <cell r="G35" t="str">
            <v>GARO</v>
          </cell>
          <cell r="H35" t="str">
            <v>GAROVAGLIO Y ZORRAQUIN S. A.</v>
          </cell>
        </row>
        <row r="36">
          <cell r="G36" t="str">
            <v>GBAN</v>
          </cell>
          <cell r="H36" t="str">
            <v>GAS NATURAL BAN S.A.</v>
          </cell>
        </row>
        <row r="37">
          <cell r="G37" t="str">
            <v>GCLA</v>
          </cell>
          <cell r="H37" t="str">
            <v>GRUPO CLARIN S.A.</v>
          </cell>
        </row>
        <row r="38">
          <cell r="G38" t="str">
            <v>GGAL</v>
          </cell>
          <cell r="H38" t="str">
            <v>GRUPO FINANCIERO GALICIA S.A.</v>
          </cell>
        </row>
        <row r="39">
          <cell r="G39" t="str">
            <v>GRIM</v>
          </cell>
          <cell r="H39" t="str">
            <v>GRIMOLDI S.A.</v>
          </cell>
        </row>
        <row r="40">
          <cell r="G40" t="str">
            <v>HARG</v>
          </cell>
          <cell r="H40" t="str">
            <v>HOLCIM (Argentina) S.A.</v>
          </cell>
        </row>
        <row r="41">
          <cell r="G41" t="str">
            <v>HAVA</v>
          </cell>
          <cell r="H41" t="str">
            <v>HAVANNA HOLDING S.A.</v>
          </cell>
        </row>
        <row r="42">
          <cell r="G42" t="str">
            <v>INAG</v>
          </cell>
          <cell r="H42" t="str">
            <v>INSUMOS AGROQUIMICOS S.A.</v>
          </cell>
        </row>
        <row r="43">
          <cell r="G43" t="str">
            <v>INDU</v>
          </cell>
          <cell r="H43" t="str">
            <v>UNIPAR INDUPA SOCIEDAD ANONIMA INDUSTRIAL Y COMERCIAL</v>
          </cell>
        </row>
        <row r="44">
          <cell r="G44" t="str">
            <v>INTR</v>
          </cell>
          <cell r="H44" t="str">
            <v>COMPAÑIA INTRODUCTORA DE BUENOS AIRES S.A.</v>
          </cell>
        </row>
        <row r="45">
          <cell r="G45" t="str">
            <v>INVJ</v>
          </cell>
          <cell r="H45" t="str">
            <v>INVERSORA JURAMENTO S.A.</v>
          </cell>
        </row>
        <row r="46">
          <cell r="G46" t="str">
            <v>IRCP</v>
          </cell>
          <cell r="H46" t="str">
            <v>IRSA PROPIEDADES COMERCIALES S.A.</v>
          </cell>
        </row>
        <row r="47">
          <cell r="G47" t="str">
            <v>IRSA</v>
          </cell>
          <cell r="H47" t="str">
            <v>IRSA INVERSIONES Y REPRESENTACIONES S.A.</v>
          </cell>
        </row>
        <row r="48">
          <cell r="G48" t="str">
            <v>LEDE</v>
          </cell>
          <cell r="H48" t="str">
            <v>LEDESMA S.A.</v>
          </cell>
        </row>
        <row r="49">
          <cell r="G49" t="str">
            <v>LOMA</v>
          </cell>
          <cell r="H49" t="str">
            <v>LOMA NEGRA COMPAÑIA INDUSTRIAL ARGENTINA SOCIEDAD ANONIMA</v>
          </cell>
        </row>
        <row r="50">
          <cell r="G50" t="str">
            <v>LONG</v>
          </cell>
          <cell r="H50" t="str">
            <v>LONGVIE S.A.</v>
          </cell>
        </row>
        <row r="51">
          <cell r="G51" t="str">
            <v>METR</v>
          </cell>
          <cell r="H51" t="str">
            <v>METROGAS S.A.</v>
          </cell>
        </row>
        <row r="52">
          <cell r="G52" t="str">
            <v>MIRG</v>
          </cell>
          <cell r="H52" t="str">
            <v>MIRGOR S.A.</v>
          </cell>
        </row>
        <row r="53">
          <cell r="G53" t="str">
            <v>MOLA</v>
          </cell>
          <cell r="H53" t="str">
            <v>MOLINOS AGRO S.A.</v>
          </cell>
        </row>
        <row r="54">
          <cell r="G54" t="str">
            <v>MOLI</v>
          </cell>
          <cell r="H54" t="str">
            <v>MOLINOS RIO DE LA PLATA S.A.</v>
          </cell>
        </row>
        <row r="55">
          <cell r="G55" t="str">
            <v>MORI</v>
          </cell>
          <cell r="H55" t="str">
            <v>MORIXE HERMANOS S.A.</v>
          </cell>
        </row>
        <row r="56">
          <cell r="G56" t="str">
            <v>OEST</v>
          </cell>
          <cell r="H56" t="str">
            <v>GRUPO CONCESIONARIO DEL OESTE S.A.</v>
          </cell>
        </row>
        <row r="57">
          <cell r="G57" t="str">
            <v>OVOP</v>
          </cell>
          <cell r="H57" t="str">
            <v>OVOPROT INTERNATIONAL S.A</v>
          </cell>
        </row>
        <row r="58">
          <cell r="G58" t="str">
            <v>PAMP</v>
          </cell>
          <cell r="H58" t="str">
            <v>PAMPA ENERGIA S.A</v>
          </cell>
        </row>
        <row r="59">
          <cell r="G59" t="str">
            <v>PATA</v>
          </cell>
          <cell r="H59" t="str">
            <v>IMPORTADORA Y EXPORTADORA DE LA PATAGONIA S.A.</v>
          </cell>
        </row>
        <row r="60">
          <cell r="G60" t="str">
            <v>PATY</v>
          </cell>
          <cell r="H60" t="str">
            <v>QUICKFOOD S.A.</v>
          </cell>
        </row>
        <row r="61">
          <cell r="G61" t="str">
            <v>PESA</v>
          </cell>
          <cell r="H61" t="str">
            <v>PETROBRAS ARGENTINA S.A.</v>
          </cell>
        </row>
        <row r="62">
          <cell r="G62" t="str">
            <v>PETR</v>
          </cell>
          <cell r="H62" t="str">
            <v>PETROLERA PAMPA S.A.</v>
          </cell>
        </row>
        <row r="63">
          <cell r="G63" t="str">
            <v>PGR</v>
          </cell>
          <cell r="H63" t="str">
            <v>PHOENIX GLOBAL RESOURCES P.L.C.</v>
          </cell>
        </row>
        <row r="64">
          <cell r="G64" t="str">
            <v>POLL</v>
          </cell>
          <cell r="H64" t="str">
            <v>POLLEDO S.A.</v>
          </cell>
        </row>
        <row r="65">
          <cell r="G65" t="str">
            <v>PSUR</v>
          </cell>
          <cell r="H65" t="str">
            <v>PETROLERA DEL CONOSUR S.A.</v>
          </cell>
        </row>
        <row r="66">
          <cell r="G66" t="str">
            <v>RICH</v>
          </cell>
          <cell r="H66" t="str">
            <v>LABORATORIOS RICHMOND S.A.C.I.F.</v>
          </cell>
        </row>
        <row r="67">
          <cell r="G67" t="str">
            <v>RIGO</v>
          </cell>
          <cell r="H67" t="str">
            <v>RIGOLLEAU S.A.</v>
          </cell>
        </row>
        <row r="68">
          <cell r="G68" t="str">
            <v>ROSE</v>
          </cell>
          <cell r="H68" t="str">
            <v>INSTITUTO ROSENBUSCH S.A.</v>
          </cell>
        </row>
        <row r="69">
          <cell r="G69" t="str">
            <v>SAMI</v>
          </cell>
          <cell r="H69" t="str">
            <v>S.A. SAN MIGUEL</v>
          </cell>
        </row>
        <row r="70">
          <cell r="G70" t="str">
            <v>SEMI</v>
          </cell>
          <cell r="H70" t="str">
            <v>MOLINOS JUAN SEMINO S.A.</v>
          </cell>
        </row>
        <row r="71">
          <cell r="G71" t="str">
            <v>STD</v>
          </cell>
          <cell r="H71" t="str">
            <v>BANCO SANTANDER S.A.</v>
          </cell>
        </row>
        <row r="72">
          <cell r="G72" t="str">
            <v>SUPV</v>
          </cell>
          <cell r="H72" t="str">
            <v>GRUPO SUPERVIELLE S.A.</v>
          </cell>
        </row>
        <row r="73">
          <cell r="G73" t="str">
            <v>TECO2</v>
          </cell>
          <cell r="H73" t="str">
            <v>TELECOM ARGENTINA S. A.</v>
          </cell>
        </row>
        <row r="74">
          <cell r="G74" t="str">
            <v>TEF</v>
          </cell>
          <cell r="H74" t="str">
            <v>TELEFONICA S.A.</v>
          </cell>
        </row>
        <row r="75">
          <cell r="G75" t="str">
            <v>TGLT</v>
          </cell>
          <cell r="H75" t="str">
            <v>TGLT S.A.</v>
          </cell>
        </row>
        <row r="76">
          <cell r="G76" t="str">
            <v>TGNO4</v>
          </cell>
          <cell r="H76" t="str">
            <v>TRANSPORTADORA DE GAS DEL NORTE S.A.</v>
          </cell>
        </row>
        <row r="77">
          <cell r="G77" t="str">
            <v>TGSU2</v>
          </cell>
          <cell r="H77" t="str">
            <v>TRANSPORTADORA DE GAS DEL SUR S.A.</v>
          </cell>
        </row>
        <row r="78">
          <cell r="G78" t="str">
            <v>TRAN</v>
          </cell>
          <cell r="H78" t="str">
            <v>TRANSENER CIA. DE TRANSP. DE ENERGIA ELECTR. EN ALTA TENSION</v>
          </cell>
        </row>
        <row r="79">
          <cell r="G79" t="str">
            <v>TS</v>
          </cell>
          <cell r="H79" t="str">
            <v>TENARIS S.A.</v>
          </cell>
        </row>
        <row r="80">
          <cell r="G80" t="str">
            <v>TXAR</v>
          </cell>
          <cell r="H80" t="str">
            <v>TERNIUM ARGENTINA S.A.</v>
          </cell>
        </row>
        <row r="81">
          <cell r="G81" t="str">
            <v>VALO</v>
          </cell>
          <cell r="H81" t="str">
            <v>GRUPO FINANCIERO VALORES SOCIEDAD ANONIMA</v>
          </cell>
        </row>
        <row r="82">
          <cell r="G82" t="str">
            <v>YPFD</v>
          </cell>
          <cell r="H82" t="str">
            <v>YPF S.A.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mailto:jbano@invertironli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A1:AE108"/>
  <sheetViews>
    <sheetView tabSelected="1" view="pageBreakPreview" zoomScale="70" zoomScaleNormal="80" zoomScaleSheetLayoutView="70" workbookViewId="0">
      <selection activeCell="A8" sqref="A8"/>
    </sheetView>
  </sheetViews>
  <sheetFormatPr baseColWidth="10" defaultRowHeight="15" x14ac:dyDescent="0.25"/>
  <cols>
    <col min="2" max="2" width="7.7109375" customWidth="1"/>
    <col min="3" max="3" width="10.28515625" bestFit="1" customWidth="1"/>
    <col min="4" max="4" width="10.7109375" bestFit="1" customWidth="1"/>
    <col min="5" max="5" width="10.28515625" bestFit="1" customWidth="1"/>
    <col min="6" max="6" width="10.7109375" bestFit="1" customWidth="1"/>
    <col min="7" max="8" width="10.28515625" bestFit="1" customWidth="1"/>
    <col min="9" max="9" width="10.7109375" bestFit="1" customWidth="1"/>
    <col min="10" max="12" width="11.140625" bestFit="1" customWidth="1"/>
    <col min="13" max="13" width="10" bestFit="1" customWidth="1"/>
    <col min="14" max="14" width="2.85546875" customWidth="1"/>
    <col min="15" max="15" width="10.5703125" customWidth="1"/>
    <col min="16" max="16" width="9.42578125" bestFit="1" customWidth="1"/>
    <col min="17" max="17" width="24.140625" customWidth="1"/>
    <col min="18" max="18" width="13" customWidth="1"/>
    <col min="20" max="20" width="12.7109375" bestFit="1" customWidth="1"/>
  </cols>
  <sheetData>
    <row r="1" spans="1:31" x14ac:dyDescent="0.25">
      <c r="C1" s="1">
        <v>43404</v>
      </c>
      <c r="D1" s="1">
        <v>43434</v>
      </c>
      <c r="E1" s="1">
        <v>43465</v>
      </c>
      <c r="F1" s="1">
        <v>43496</v>
      </c>
      <c r="G1" s="1">
        <v>43524</v>
      </c>
      <c r="H1" s="1">
        <v>43555</v>
      </c>
      <c r="I1" s="1">
        <v>43585</v>
      </c>
      <c r="J1" s="1">
        <v>43616</v>
      </c>
      <c r="K1" s="1">
        <v>43646</v>
      </c>
      <c r="L1" s="1">
        <v>43677</v>
      </c>
      <c r="M1" s="1">
        <v>43708</v>
      </c>
      <c r="N1" s="1"/>
      <c r="O1" s="1">
        <v>43712</v>
      </c>
      <c r="T1" s="1">
        <v>43404</v>
      </c>
      <c r="U1" s="1">
        <v>43434</v>
      </c>
      <c r="V1" s="1">
        <v>43465</v>
      </c>
      <c r="W1" s="1">
        <v>43496</v>
      </c>
      <c r="X1" s="1">
        <v>43524</v>
      </c>
      <c r="Y1" s="1">
        <v>43555</v>
      </c>
      <c r="Z1" s="1">
        <v>43585</v>
      </c>
      <c r="AA1" s="1">
        <v>43616</v>
      </c>
      <c r="AB1" s="1">
        <v>43646</v>
      </c>
      <c r="AC1" s="1">
        <v>43677</v>
      </c>
      <c r="AD1" s="1">
        <v>43708</v>
      </c>
      <c r="AE1" s="1">
        <v>43712</v>
      </c>
    </row>
    <row r="2" spans="1:31" x14ac:dyDescent="0.25">
      <c r="C2">
        <v>10</v>
      </c>
      <c r="D2">
        <v>11</v>
      </c>
      <c r="E2">
        <v>12</v>
      </c>
      <c r="F2">
        <v>1</v>
      </c>
      <c r="G2">
        <v>2</v>
      </c>
      <c r="H2">
        <v>3</v>
      </c>
      <c r="I2">
        <v>4</v>
      </c>
      <c r="J2">
        <v>5</v>
      </c>
      <c r="K2">
        <v>6</v>
      </c>
      <c r="L2">
        <v>7</v>
      </c>
      <c r="M2">
        <v>8</v>
      </c>
      <c r="O2">
        <v>9</v>
      </c>
    </row>
    <row r="3" spans="1:31" ht="35.25" customHeight="1" x14ac:dyDescent="0.6">
      <c r="B3" s="2" t="s">
        <v>0</v>
      </c>
    </row>
    <row r="4" spans="1:31" x14ac:dyDescent="0.25">
      <c r="B4" t="s">
        <v>466</v>
      </c>
    </row>
    <row r="6" spans="1:31" ht="28.5" x14ac:dyDescent="0.45">
      <c r="B6" s="3" t="s">
        <v>1</v>
      </c>
    </row>
    <row r="7" spans="1:31" ht="18.75" x14ac:dyDescent="0.25">
      <c r="B7" s="4" t="s">
        <v>2</v>
      </c>
    </row>
    <row r="8" spans="1:31" ht="15.75" thickBot="1" x14ac:dyDescent="0.3">
      <c r="B8" s="5"/>
    </row>
    <row r="9" spans="1:31" ht="27" thickBot="1" x14ac:dyDescent="0.45">
      <c r="B9" s="6"/>
      <c r="C9" s="7">
        <v>-0.2</v>
      </c>
      <c r="D9" s="8">
        <v>-0.15000000000000002</v>
      </c>
      <c r="E9" s="8">
        <v>-0.1</v>
      </c>
      <c r="F9" s="8">
        <v>-0.05</v>
      </c>
      <c r="G9" s="8">
        <v>0</v>
      </c>
      <c r="H9" s="8">
        <v>5.0000000000000017E-2</v>
      </c>
      <c r="I9" s="8">
        <v>0.10000000000000002</v>
      </c>
      <c r="J9" s="8">
        <v>0.15000000000000002</v>
      </c>
      <c r="K9" s="9">
        <v>0.2</v>
      </c>
    </row>
    <row r="10" spans="1:31" ht="11.25" customHeight="1" x14ac:dyDescent="0.25"/>
    <row r="11" spans="1:31" ht="12" customHeight="1" x14ac:dyDescent="0.25">
      <c r="C11" s="10" t="s">
        <v>3</v>
      </c>
      <c r="D11" s="11"/>
      <c r="E11" s="11"/>
      <c r="F11" s="11"/>
      <c r="G11" s="11"/>
      <c r="H11" s="11"/>
      <c r="I11" s="11"/>
      <c r="J11" s="11"/>
      <c r="K11" s="11"/>
      <c r="L11" s="11"/>
      <c r="M11" s="12"/>
    </row>
    <row r="12" spans="1:31" x14ac:dyDescent="0.25">
      <c r="B12" s="13" t="s">
        <v>4</v>
      </c>
      <c r="C12" s="14" t="s">
        <v>467</v>
      </c>
      <c r="D12" s="14" t="s">
        <v>468</v>
      </c>
      <c r="E12" s="14" t="s">
        <v>469</v>
      </c>
      <c r="F12" s="14" t="s">
        <v>470</v>
      </c>
      <c r="G12" s="14" t="s">
        <v>471</v>
      </c>
      <c r="H12" s="14" t="s">
        <v>472</v>
      </c>
      <c r="I12" s="14" t="s">
        <v>473</v>
      </c>
      <c r="J12" s="14" t="s">
        <v>474</v>
      </c>
      <c r="K12" s="14" t="s">
        <v>475</v>
      </c>
      <c r="L12" s="14" t="s">
        <v>476</v>
      </c>
      <c r="M12" s="15" t="s">
        <v>477</v>
      </c>
      <c r="O12" s="16" t="s">
        <v>478</v>
      </c>
      <c r="P12" s="17" t="s">
        <v>4</v>
      </c>
      <c r="Q12" s="18" t="s">
        <v>5</v>
      </c>
      <c r="R12" s="19" t="s">
        <v>6</v>
      </c>
    </row>
    <row r="13" spans="1:31" x14ac:dyDescent="0.25">
      <c r="B13" s="20"/>
      <c r="C13" s="21"/>
      <c r="D13" s="21"/>
      <c r="E13" s="21"/>
      <c r="F13" s="21"/>
      <c r="G13" s="21"/>
      <c r="H13" s="21"/>
      <c r="I13" s="21"/>
      <c r="J13" s="21"/>
      <c r="K13" s="21"/>
      <c r="L13" s="21"/>
      <c r="M13" s="22"/>
      <c r="O13" s="23"/>
      <c r="P13" s="24"/>
      <c r="Q13" s="25"/>
      <c r="R13" s="26"/>
    </row>
    <row r="14" spans="1:31" x14ac:dyDescent="0.25">
      <c r="A14" t="s">
        <v>253</v>
      </c>
      <c r="B14" s="27" t="s">
        <v>7</v>
      </c>
      <c r="C14" s="28">
        <v>0.12951807228915646</v>
      </c>
      <c r="D14" s="28">
        <v>0</v>
      </c>
      <c r="E14" s="28">
        <v>-3.2000000000000028E-2</v>
      </c>
      <c r="F14" s="28">
        <v>0.12947658402203865</v>
      </c>
      <c r="G14" s="28">
        <v>-4.2682926829268331E-2</v>
      </c>
      <c r="H14" s="28">
        <v>-6.3694267515923553E-3</v>
      </c>
      <c r="I14" s="28">
        <v>3.589743589743577E-2</v>
      </c>
      <c r="J14" s="28">
        <v>6.4356435643564414E-2</v>
      </c>
      <c r="K14" s="28">
        <v>3.488372093023262E-2</v>
      </c>
      <c r="L14" s="28">
        <v>3.3707865168539408E-2</v>
      </c>
      <c r="M14" s="28">
        <v>-0.13043478260869568</v>
      </c>
      <c r="N14" s="29"/>
      <c r="O14" s="28">
        <v>0.29749999999999988</v>
      </c>
      <c r="P14" s="30" t="s">
        <v>7</v>
      </c>
      <c r="Q14" s="31"/>
      <c r="R14" s="28">
        <v>0.56325301204819245</v>
      </c>
      <c r="T14" s="32">
        <v>33.200000000000003</v>
      </c>
      <c r="U14" s="32">
        <v>37.5</v>
      </c>
      <c r="V14" s="32">
        <v>37.5</v>
      </c>
      <c r="W14" s="32">
        <v>36.299999999999997</v>
      </c>
      <c r="X14" s="32">
        <v>41</v>
      </c>
      <c r="Y14" s="32">
        <v>39.25</v>
      </c>
      <c r="Z14" s="32">
        <v>39</v>
      </c>
      <c r="AA14" s="32">
        <v>40.4</v>
      </c>
      <c r="AB14" s="32">
        <v>43</v>
      </c>
      <c r="AC14" s="32">
        <v>44.5</v>
      </c>
      <c r="AD14" s="32">
        <v>46</v>
      </c>
      <c r="AE14" s="32">
        <v>40</v>
      </c>
    </row>
    <row r="15" spans="1:31" x14ac:dyDescent="0.25">
      <c r="A15" t="s">
        <v>269</v>
      </c>
      <c r="B15" s="27" t="s">
        <v>8</v>
      </c>
      <c r="C15" s="28">
        <v>-0.1520467836257311</v>
      </c>
      <c r="D15" s="28">
        <v>-0.13793103448275867</v>
      </c>
      <c r="E15" s="28">
        <v>-1.0000000000000009E-2</v>
      </c>
      <c r="F15" s="28">
        <v>-1.0101010101010055E-2</v>
      </c>
      <c r="G15" s="28">
        <v>-5.1020408163265252E-2</v>
      </c>
      <c r="H15" s="28">
        <v>-0.15268817204301077</v>
      </c>
      <c r="I15" s="28">
        <v>-0.17512690355329952</v>
      </c>
      <c r="J15" s="28">
        <v>0.13846153846153841</v>
      </c>
      <c r="K15" s="28">
        <v>5.4054054054053946E-2</v>
      </c>
      <c r="L15" s="28">
        <v>5.0000000000000044E-2</v>
      </c>
      <c r="M15" s="28">
        <v>-0.43833943833943834</v>
      </c>
      <c r="N15" s="29"/>
      <c r="O15" s="28">
        <v>0.21739130434782616</v>
      </c>
      <c r="P15" s="30" t="s">
        <v>8</v>
      </c>
      <c r="Q15" s="31"/>
      <c r="R15" s="28">
        <v>-0.59064327485380119</v>
      </c>
      <c r="T15" s="32">
        <v>68.400000000000006</v>
      </c>
      <c r="U15" s="32">
        <v>58</v>
      </c>
      <c r="V15" s="32">
        <v>50</v>
      </c>
      <c r="W15" s="32">
        <v>49.5</v>
      </c>
      <c r="X15" s="32">
        <v>49</v>
      </c>
      <c r="Y15" s="32">
        <v>46.5</v>
      </c>
      <c r="Z15" s="32">
        <v>39.4</v>
      </c>
      <c r="AA15" s="32">
        <v>32.5</v>
      </c>
      <c r="AB15" s="32">
        <v>37</v>
      </c>
      <c r="AC15" s="32">
        <v>39</v>
      </c>
      <c r="AD15" s="32">
        <v>40.950000000000003</v>
      </c>
      <c r="AE15" s="32">
        <v>23</v>
      </c>
    </row>
    <row r="16" spans="1:31" x14ac:dyDescent="0.25">
      <c r="A16" t="s">
        <v>199</v>
      </c>
      <c r="B16" s="27" t="s">
        <v>9</v>
      </c>
      <c r="C16" s="28">
        <v>-0.15730337078651679</v>
      </c>
      <c r="D16" s="28">
        <v>-1.4285714285714346E-2</v>
      </c>
      <c r="E16" s="28">
        <v>-7.7294685990338063E-2</v>
      </c>
      <c r="F16" s="28">
        <v>2.6178010471204161E-2</v>
      </c>
      <c r="G16" s="28">
        <v>-3.0612244897959329E-2</v>
      </c>
      <c r="H16" s="28">
        <v>-0.10526315789473673</v>
      </c>
      <c r="I16" s="28">
        <v>-0.14117647058823524</v>
      </c>
      <c r="J16" s="28">
        <v>6.115499550550596E-2</v>
      </c>
      <c r="K16" s="28">
        <v>4.9286640726329489E-2</v>
      </c>
      <c r="L16" s="28">
        <v>-4.9443757725587956E-3</v>
      </c>
      <c r="M16" s="28">
        <v>-0.20496894409937894</v>
      </c>
      <c r="N16" s="29"/>
      <c r="O16" s="28">
        <v>0.1953125</v>
      </c>
      <c r="P16" s="30" t="s">
        <v>9</v>
      </c>
      <c r="Q16" s="31"/>
      <c r="R16" s="28">
        <v>-0.38313419311181007</v>
      </c>
      <c r="T16" s="32">
        <v>124.0140062</v>
      </c>
      <c r="U16" s="32">
        <v>104.506185</v>
      </c>
      <c r="V16" s="32">
        <v>103.0132395</v>
      </c>
      <c r="W16" s="32">
        <v>95.050863500000006</v>
      </c>
      <c r="X16" s="32">
        <v>97.539106000000004</v>
      </c>
      <c r="Y16" s="32">
        <v>94.553214999999994</v>
      </c>
      <c r="Z16" s="32">
        <v>84.600245000000001</v>
      </c>
      <c r="AA16" s="32">
        <v>72.656681000000006</v>
      </c>
      <c r="AB16" s="32">
        <v>77.099999999999994</v>
      </c>
      <c r="AC16" s="32">
        <v>80.900000000000006</v>
      </c>
      <c r="AD16" s="32">
        <v>80.5</v>
      </c>
      <c r="AE16" s="32">
        <v>64</v>
      </c>
    </row>
    <row r="17" spans="1:31" x14ac:dyDescent="0.25">
      <c r="A17" t="s">
        <v>203</v>
      </c>
      <c r="B17" s="27" t="s">
        <v>10</v>
      </c>
      <c r="C17" s="28">
        <v>2.2727272664545772E-2</v>
      </c>
      <c r="D17" s="28">
        <v>4.4457445796832751E-3</v>
      </c>
      <c r="E17" s="28">
        <v>-4.49438202247191E-2</v>
      </c>
      <c r="F17" s="28">
        <v>4.705882352941182E-2</v>
      </c>
      <c r="G17" s="28">
        <v>5.6179775280898792E-2</v>
      </c>
      <c r="H17" s="28">
        <v>-4.233487376761591E-2</v>
      </c>
      <c r="I17" s="28">
        <v>-0.140625</v>
      </c>
      <c r="J17" s="28">
        <v>3.6363636363636376E-2</v>
      </c>
      <c r="K17" s="28">
        <v>1.754385964912264E-2</v>
      </c>
      <c r="L17" s="28">
        <v>-5.1724137931034475E-2</v>
      </c>
      <c r="M17" s="28">
        <v>-0.27272727272727271</v>
      </c>
      <c r="N17" s="29"/>
      <c r="O17" s="28">
        <v>0.13500000000000001</v>
      </c>
      <c r="P17" s="30" t="s">
        <v>10</v>
      </c>
      <c r="Q17" s="31"/>
      <c r="R17" s="28">
        <v>-0.26292154139464952</v>
      </c>
      <c r="T17" s="32">
        <v>6.1594528329999996</v>
      </c>
      <c r="U17" s="32">
        <v>6.2994403969999997</v>
      </c>
      <c r="V17" s="32">
        <v>6.3274461000000004</v>
      </c>
      <c r="W17" s="32">
        <v>6.0430665000000001</v>
      </c>
      <c r="X17" s="32">
        <v>6.3274461000000004</v>
      </c>
      <c r="Y17" s="32">
        <v>6.6829206000000001</v>
      </c>
      <c r="Z17" s="32">
        <v>6.4</v>
      </c>
      <c r="AA17" s="32">
        <v>5.5</v>
      </c>
      <c r="AB17" s="32">
        <v>5.7</v>
      </c>
      <c r="AC17" s="32">
        <v>5.8</v>
      </c>
      <c r="AD17" s="32">
        <v>5.5</v>
      </c>
      <c r="AE17" s="32">
        <v>4</v>
      </c>
    </row>
    <row r="18" spans="1:31" x14ac:dyDescent="0.25">
      <c r="A18" t="s">
        <v>224</v>
      </c>
      <c r="B18" s="27" t="s">
        <v>11</v>
      </c>
      <c r="C18" s="28">
        <v>-0.19066937120879723</v>
      </c>
      <c r="D18" s="28">
        <v>-3.2581453599256793E-2</v>
      </c>
      <c r="E18" s="28">
        <v>-9.3264248696085961E-2</v>
      </c>
      <c r="F18" s="28">
        <v>0.21381564969157396</v>
      </c>
      <c r="G18" s="28">
        <v>-6.9047619047619024E-2</v>
      </c>
      <c r="H18" s="28">
        <v>-6.9053708439897776E-2</v>
      </c>
      <c r="I18" s="28">
        <v>-0.25</v>
      </c>
      <c r="J18" s="28">
        <v>8.9799777879397968E-2</v>
      </c>
      <c r="K18" s="28">
        <v>0.30136986301369872</v>
      </c>
      <c r="L18" s="28">
        <v>0.20526315789473681</v>
      </c>
      <c r="M18" s="28">
        <v>-0.55021834061135366</v>
      </c>
      <c r="N18" s="29"/>
      <c r="O18" s="28">
        <v>0.10679611650485432</v>
      </c>
      <c r="P18" s="30" t="s">
        <v>11</v>
      </c>
      <c r="Q18" s="31"/>
      <c r="R18" s="28">
        <v>-0.52336500569163347</v>
      </c>
      <c r="T18" s="32">
        <v>23.917673138000001</v>
      </c>
      <c r="U18" s="32">
        <v>19.357305440000001</v>
      </c>
      <c r="V18" s="32">
        <v>18.726616290999999</v>
      </c>
      <c r="W18" s="32">
        <v>16.980092492000001</v>
      </c>
      <c r="X18" s="32">
        <v>20.610702</v>
      </c>
      <c r="Y18" s="32">
        <v>19.1875821</v>
      </c>
      <c r="Z18" s="32">
        <v>17.862608399999999</v>
      </c>
      <c r="AA18" s="32">
        <v>13.396956299999999</v>
      </c>
      <c r="AB18" s="32">
        <v>14.6</v>
      </c>
      <c r="AC18" s="32">
        <v>19</v>
      </c>
      <c r="AD18" s="32">
        <v>22.9</v>
      </c>
      <c r="AE18" s="32">
        <v>10.3</v>
      </c>
    </row>
    <row r="19" spans="1:31" x14ac:dyDescent="0.25">
      <c r="A19" t="s">
        <v>258</v>
      </c>
      <c r="B19" s="27" t="s">
        <v>12</v>
      </c>
      <c r="C19" s="28">
        <v>-0.20053120849933592</v>
      </c>
      <c r="D19" s="28">
        <v>-6.8106312292358862E-2</v>
      </c>
      <c r="E19" s="28">
        <v>-5.5258467023172941E-2</v>
      </c>
      <c r="F19" s="28">
        <v>0.15660377358490551</v>
      </c>
      <c r="G19" s="28">
        <v>-0.12234910277324629</v>
      </c>
      <c r="H19" s="28">
        <v>-0.15241635687732336</v>
      </c>
      <c r="I19" s="28">
        <v>-0.28070175438596501</v>
      </c>
      <c r="J19" s="28">
        <v>8.2317073170731891E-2</v>
      </c>
      <c r="K19" s="28">
        <v>0.16619718309859155</v>
      </c>
      <c r="L19" s="28">
        <v>3.1400966183575019E-2</v>
      </c>
      <c r="M19" s="28">
        <v>-0.4660421545667448</v>
      </c>
      <c r="N19" s="29"/>
      <c r="O19" s="28">
        <v>0.10526315789473673</v>
      </c>
      <c r="P19" s="30" t="s">
        <v>12</v>
      </c>
      <c r="Q19" s="31"/>
      <c r="R19" s="28">
        <v>-0.66533864541832666</v>
      </c>
      <c r="T19" s="32">
        <v>37.65</v>
      </c>
      <c r="U19" s="32">
        <v>30.1</v>
      </c>
      <c r="V19" s="32">
        <v>28.05</v>
      </c>
      <c r="W19" s="32">
        <v>26.5</v>
      </c>
      <c r="X19" s="32">
        <v>30.65</v>
      </c>
      <c r="Y19" s="32">
        <v>26.9</v>
      </c>
      <c r="Z19" s="32">
        <v>22.8</v>
      </c>
      <c r="AA19" s="32">
        <v>16.399999999999999</v>
      </c>
      <c r="AB19" s="32">
        <v>17.75</v>
      </c>
      <c r="AC19" s="32">
        <v>20.7</v>
      </c>
      <c r="AD19" s="32">
        <v>21.35</v>
      </c>
      <c r="AE19" s="32">
        <v>11.4</v>
      </c>
    </row>
    <row r="20" spans="1:31" x14ac:dyDescent="0.25">
      <c r="A20" t="s">
        <v>244</v>
      </c>
      <c r="B20" s="27" t="s">
        <v>13</v>
      </c>
      <c r="C20" s="28">
        <v>-7.4183976261127604E-2</v>
      </c>
      <c r="D20" s="28">
        <v>-4.8076923076923128E-2</v>
      </c>
      <c r="E20" s="28">
        <v>-0.11111111111111105</v>
      </c>
      <c r="F20" s="28">
        <v>0.14772727272727271</v>
      </c>
      <c r="G20" s="28">
        <v>-3.6303630363036299E-2</v>
      </c>
      <c r="H20" s="28">
        <v>6.8493150684931559E-2</v>
      </c>
      <c r="I20" s="28">
        <v>-0.2241017456138773</v>
      </c>
      <c r="J20" s="28">
        <v>6.9264069264069139E-2</v>
      </c>
      <c r="K20" s="28">
        <v>0.1174089068825912</v>
      </c>
      <c r="L20" s="28">
        <v>1.0869565217391131E-2</v>
      </c>
      <c r="M20" s="28">
        <v>-0.21146953405017921</v>
      </c>
      <c r="N20" s="29"/>
      <c r="O20" s="28">
        <v>0.1045454545454545</v>
      </c>
      <c r="P20" s="30" t="s">
        <v>13</v>
      </c>
      <c r="Q20" s="31"/>
      <c r="R20" s="28">
        <v>-0.24434464970341496</v>
      </c>
      <c r="T20" s="32">
        <v>16.078758650000001</v>
      </c>
      <c r="U20" s="32">
        <v>14.8859724</v>
      </c>
      <c r="V20" s="32">
        <v>14.17030065</v>
      </c>
      <c r="W20" s="32">
        <v>12.595822800000001</v>
      </c>
      <c r="X20" s="32">
        <v>14.456569350000001</v>
      </c>
      <c r="Y20" s="32">
        <v>13.9317434</v>
      </c>
      <c r="Z20" s="32">
        <v>14.8859724</v>
      </c>
      <c r="AA20" s="32">
        <v>11.55</v>
      </c>
      <c r="AB20" s="32">
        <v>12.35</v>
      </c>
      <c r="AC20" s="32">
        <v>13.8</v>
      </c>
      <c r="AD20" s="32">
        <v>13.95</v>
      </c>
      <c r="AE20" s="32">
        <v>11</v>
      </c>
    </row>
    <row r="21" spans="1:31" x14ac:dyDescent="0.25">
      <c r="A21" t="s">
        <v>206</v>
      </c>
      <c r="B21" s="27" t="s">
        <v>14</v>
      </c>
      <c r="C21" s="28">
        <v>-0.14577225327720122</v>
      </c>
      <c r="D21" s="28">
        <v>-3.0379746836743382E-2</v>
      </c>
      <c r="E21" s="28">
        <v>0.16024804177701291</v>
      </c>
      <c r="F21" s="28">
        <v>8.1575246129710788E-2</v>
      </c>
      <c r="G21" s="28">
        <v>-3.3810143041506535E-2</v>
      </c>
      <c r="H21" s="28">
        <v>-0.16150740242291961</v>
      </c>
      <c r="I21" s="28">
        <v>-3.3707865168214002E-2</v>
      </c>
      <c r="J21" s="28">
        <v>2.0451944403696798E-2</v>
      </c>
      <c r="K21" s="28">
        <v>0.11780038783721469</v>
      </c>
      <c r="L21" s="28">
        <v>4.6521632421914205E-4</v>
      </c>
      <c r="M21" s="28">
        <v>-0.18618689761021823</v>
      </c>
      <c r="N21" s="29"/>
      <c r="O21" s="28">
        <v>0.10035842293906816</v>
      </c>
      <c r="P21" s="30" t="s">
        <v>14</v>
      </c>
      <c r="Q21" s="31"/>
      <c r="R21" s="28">
        <v>-0.16848374363072993</v>
      </c>
      <c r="T21" s="32">
        <v>369.20504878700001</v>
      </c>
      <c r="U21" s="32">
        <v>315.385196904</v>
      </c>
      <c r="V21" s="32">
        <v>305.80387446600002</v>
      </c>
      <c r="W21" s="32">
        <v>354.80834651700002</v>
      </c>
      <c r="X21" s="32">
        <v>383.75192471299999</v>
      </c>
      <c r="Y21" s="32">
        <v>370.77721724600002</v>
      </c>
      <c r="Z21" s="32">
        <v>310.89395201100001</v>
      </c>
      <c r="AA21" s="32">
        <v>300.41438059500001</v>
      </c>
      <c r="AB21" s="32">
        <v>306.55843880499998</v>
      </c>
      <c r="AC21" s="32">
        <v>342.67114179100003</v>
      </c>
      <c r="AD21" s="32">
        <v>342.830558</v>
      </c>
      <c r="AE21" s="32">
        <v>279</v>
      </c>
    </row>
    <row r="22" spans="1:31" x14ac:dyDescent="0.25">
      <c r="A22" t="s">
        <v>207</v>
      </c>
      <c r="B22" s="27" t="s">
        <v>15</v>
      </c>
      <c r="C22" s="28">
        <v>-0.23809523810427613</v>
      </c>
      <c r="D22" s="28">
        <v>0.13750000001953255</v>
      </c>
      <c r="E22" s="28">
        <v>-1.0989010988573411E-2</v>
      </c>
      <c r="F22" s="28">
        <v>0.29629629629107734</v>
      </c>
      <c r="G22" s="28">
        <v>5.71428571459629E-2</v>
      </c>
      <c r="H22" s="28">
        <v>0.28378378377266733</v>
      </c>
      <c r="I22" s="28">
        <v>-0.12105263157334656</v>
      </c>
      <c r="J22" s="28">
        <v>4.7969049851031231E-2</v>
      </c>
      <c r="K22" s="28">
        <v>6.2111801242235032E-3</v>
      </c>
      <c r="L22" s="28">
        <v>-1.2345679012345734E-2</v>
      </c>
      <c r="M22" s="28">
        <v>-0.125</v>
      </c>
      <c r="N22" s="29"/>
      <c r="O22" s="28">
        <v>0.10000000000000009</v>
      </c>
      <c r="P22" s="30" t="s">
        <v>15</v>
      </c>
      <c r="Q22" s="31"/>
      <c r="R22" s="28">
        <v>0.32858464084259453</v>
      </c>
      <c r="T22" s="32">
        <v>57.956412886999999</v>
      </c>
      <c r="U22" s="32">
        <v>44.157266960999998</v>
      </c>
      <c r="V22" s="32">
        <v>50.228891169000001</v>
      </c>
      <c r="W22" s="32">
        <v>49.676925332000003</v>
      </c>
      <c r="X22" s="32">
        <v>64.396014319000003</v>
      </c>
      <c r="Y22" s="32">
        <v>68.075786566000005</v>
      </c>
      <c r="Z22" s="32">
        <v>87.394590860999998</v>
      </c>
      <c r="AA22" s="32">
        <v>76.815245652000002</v>
      </c>
      <c r="AB22" s="32">
        <v>80.5</v>
      </c>
      <c r="AC22" s="32">
        <v>81</v>
      </c>
      <c r="AD22" s="32">
        <v>80</v>
      </c>
      <c r="AE22" s="32">
        <v>70</v>
      </c>
    </row>
    <row r="23" spans="1:31" x14ac:dyDescent="0.25">
      <c r="A23" t="s">
        <v>197</v>
      </c>
      <c r="B23" s="27" t="s">
        <v>16</v>
      </c>
      <c r="C23" s="28">
        <v>-0.15520628683693516</v>
      </c>
      <c r="D23" s="28">
        <v>-2.3255813953488413E-2</v>
      </c>
      <c r="E23" s="28">
        <v>-0.11904761904761907</v>
      </c>
      <c r="F23" s="28">
        <v>0.17567567567567566</v>
      </c>
      <c r="G23" s="28">
        <v>-8.2758620689655227E-2</v>
      </c>
      <c r="H23" s="28">
        <v>-2.2556390977443552E-2</v>
      </c>
      <c r="I23" s="28">
        <v>-6.7948717948717929E-2</v>
      </c>
      <c r="J23" s="28">
        <v>0.27372764786795045</v>
      </c>
      <c r="K23" s="28">
        <v>-4.643628509719222E-2</v>
      </c>
      <c r="L23" s="28">
        <v>-1.6987542468856143E-2</v>
      </c>
      <c r="M23" s="28">
        <v>-0.17050691244239624</v>
      </c>
      <c r="N23" s="29"/>
      <c r="O23" s="28">
        <v>9.7222222222222321E-2</v>
      </c>
      <c r="P23" s="30" t="s">
        <v>16</v>
      </c>
      <c r="Q23" s="31"/>
      <c r="R23" s="28">
        <v>-0.22396856581532409</v>
      </c>
      <c r="T23" s="32">
        <v>50.9</v>
      </c>
      <c r="U23" s="32">
        <v>43</v>
      </c>
      <c r="V23" s="32">
        <v>42</v>
      </c>
      <c r="W23" s="32">
        <v>37</v>
      </c>
      <c r="X23" s="32">
        <v>43.5</v>
      </c>
      <c r="Y23" s="32">
        <v>39.9</v>
      </c>
      <c r="Z23" s="32">
        <v>39</v>
      </c>
      <c r="AA23" s="32">
        <v>36.35</v>
      </c>
      <c r="AB23" s="32">
        <v>46.3</v>
      </c>
      <c r="AC23" s="32">
        <v>44.15</v>
      </c>
      <c r="AD23" s="32">
        <v>43.4</v>
      </c>
      <c r="AE23" s="32">
        <v>36</v>
      </c>
    </row>
    <row r="24" spans="1:31" x14ac:dyDescent="0.25">
      <c r="A24" t="s">
        <v>217</v>
      </c>
      <c r="B24" s="27" t="s">
        <v>17</v>
      </c>
      <c r="C24" s="28">
        <v>-0.22852760736196331</v>
      </c>
      <c r="D24" s="28">
        <v>2.1868787276341894E-2</v>
      </c>
      <c r="E24" s="28">
        <v>0.10019455252918275</v>
      </c>
      <c r="F24" s="28">
        <v>0.17948717948717952</v>
      </c>
      <c r="G24" s="28">
        <v>6.1469265367316339E-2</v>
      </c>
      <c r="H24" s="28">
        <v>-8.4745762711864403E-2</v>
      </c>
      <c r="I24" s="28">
        <v>-0.17746913580246915</v>
      </c>
      <c r="J24" s="28">
        <v>0.29455909943714831</v>
      </c>
      <c r="K24" s="28">
        <v>-7.2463768115942351E-3</v>
      </c>
      <c r="L24" s="28">
        <v>0.11532846715328482</v>
      </c>
      <c r="M24" s="28">
        <v>-0.68193717277486909</v>
      </c>
      <c r="N24" s="29"/>
      <c r="O24" s="28">
        <v>9.6707818930041212E-2</v>
      </c>
      <c r="P24" s="30" t="s">
        <v>17</v>
      </c>
      <c r="Q24" s="31"/>
      <c r="R24" s="28">
        <v>-0.59125766871165653</v>
      </c>
      <c r="T24" s="32">
        <v>65.2</v>
      </c>
      <c r="U24" s="32">
        <v>50.3</v>
      </c>
      <c r="V24" s="32">
        <v>51.4</v>
      </c>
      <c r="W24" s="32">
        <v>56.55</v>
      </c>
      <c r="X24" s="32">
        <v>66.7</v>
      </c>
      <c r="Y24" s="32">
        <v>70.8</v>
      </c>
      <c r="Z24" s="32">
        <v>64.8</v>
      </c>
      <c r="AA24" s="32">
        <v>53.3</v>
      </c>
      <c r="AB24" s="32">
        <v>69</v>
      </c>
      <c r="AC24" s="32">
        <v>68.5</v>
      </c>
      <c r="AD24" s="32">
        <v>76.400000000000006</v>
      </c>
      <c r="AE24" s="32">
        <v>24.3</v>
      </c>
    </row>
    <row r="25" spans="1:31" x14ac:dyDescent="0.25">
      <c r="A25" t="s">
        <v>240</v>
      </c>
      <c r="B25" s="27" t="s">
        <v>18</v>
      </c>
      <c r="C25" s="28">
        <v>-0.28814814814814815</v>
      </c>
      <c r="D25" s="28">
        <v>0.10880207627002014</v>
      </c>
      <c r="E25" s="28">
        <v>-4.757185332011904E-2</v>
      </c>
      <c r="F25" s="28">
        <v>0.15504682622268473</v>
      </c>
      <c r="G25" s="28">
        <v>-5.1351351351351382E-2</v>
      </c>
      <c r="H25" s="28">
        <v>-6.9325735992402659E-2</v>
      </c>
      <c r="I25" s="28">
        <v>-0.15510204081632661</v>
      </c>
      <c r="J25" s="28">
        <v>1.6908212560386549E-2</v>
      </c>
      <c r="K25" s="28">
        <v>-1.5439429928741033E-2</v>
      </c>
      <c r="L25" s="28">
        <v>9.6501809408926498E-2</v>
      </c>
      <c r="M25" s="28">
        <v>-0.3113311331133114</v>
      </c>
      <c r="N25" s="29"/>
      <c r="O25" s="28">
        <v>9.1054313099041551E-2</v>
      </c>
      <c r="P25" s="30" t="s">
        <v>18</v>
      </c>
      <c r="Q25" s="31"/>
      <c r="R25" s="28">
        <v>-0.46571474713737904</v>
      </c>
      <c r="T25" s="32">
        <v>63.917167499999998</v>
      </c>
      <c r="U25" s="32">
        <v>45.49955405</v>
      </c>
      <c r="V25" s="32">
        <v>50.45</v>
      </c>
      <c r="W25" s="32">
        <v>48.05</v>
      </c>
      <c r="X25" s="32">
        <v>55.5</v>
      </c>
      <c r="Y25" s="32">
        <v>52.65</v>
      </c>
      <c r="Z25" s="32">
        <v>49</v>
      </c>
      <c r="AA25" s="32">
        <v>41.4</v>
      </c>
      <c r="AB25" s="32">
        <v>42.1</v>
      </c>
      <c r="AC25" s="32">
        <v>41.45</v>
      </c>
      <c r="AD25" s="32">
        <v>45.45</v>
      </c>
      <c r="AE25" s="32">
        <v>31.3</v>
      </c>
    </row>
    <row r="26" spans="1:31" x14ac:dyDescent="0.25">
      <c r="A26" t="s">
        <v>267</v>
      </c>
      <c r="B26" s="27" t="s">
        <v>19</v>
      </c>
      <c r="C26" s="28">
        <v>-9.7289784569235871E-2</v>
      </c>
      <c r="D26" s="28">
        <v>0</v>
      </c>
      <c r="E26" s="28">
        <v>-8.3910700537780269E-2</v>
      </c>
      <c r="F26" s="28">
        <v>4.0336134453692551E-2</v>
      </c>
      <c r="G26" s="28">
        <v>-5.5331179327202995E-2</v>
      </c>
      <c r="H26" s="28">
        <v>8.42240273708732E-2</v>
      </c>
      <c r="I26" s="28">
        <v>-6.4668769722034281E-2</v>
      </c>
      <c r="J26" s="28">
        <v>0.1457421616162089</v>
      </c>
      <c r="K26" s="28">
        <v>0.14630467571644057</v>
      </c>
      <c r="L26" s="28">
        <v>-5.5921052631580093E-3</v>
      </c>
      <c r="M26" s="28">
        <v>-0.24918237944989785</v>
      </c>
      <c r="N26" s="29"/>
      <c r="O26" s="28">
        <v>8.4010840108400986E-2</v>
      </c>
      <c r="P26" s="33" t="s">
        <v>19</v>
      </c>
      <c r="Q26" s="31"/>
      <c r="R26" s="28">
        <v>-0.12392053893845001</v>
      </c>
      <c r="T26" s="32">
        <v>136.97387660999999</v>
      </c>
      <c r="U26" s="32">
        <v>123.64771766299999</v>
      </c>
      <c r="V26" s="32">
        <v>123.64771766299999</v>
      </c>
      <c r="W26" s="32">
        <v>113.272351054</v>
      </c>
      <c r="X26" s="32">
        <v>117.841319836</v>
      </c>
      <c r="Y26" s="32">
        <v>111.321020636</v>
      </c>
      <c r="Z26" s="32">
        <v>120.696925325</v>
      </c>
      <c r="AA26" s="32">
        <v>112.891603655</v>
      </c>
      <c r="AB26" s="32">
        <v>129.34467000000001</v>
      </c>
      <c r="AC26" s="32">
        <v>148.26840000000001</v>
      </c>
      <c r="AD26" s="32">
        <v>147.4392675</v>
      </c>
      <c r="AE26" s="32">
        <v>110.7</v>
      </c>
    </row>
    <row r="27" spans="1:31" x14ac:dyDescent="0.25">
      <c r="A27" t="s">
        <v>196</v>
      </c>
      <c r="B27" s="27" t="s">
        <v>20</v>
      </c>
      <c r="C27" s="28">
        <v>-0.2087542087542088</v>
      </c>
      <c r="D27" s="28">
        <v>2.1276595744680771E-2</v>
      </c>
      <c r="E27" s="28">
        <v>-0.11249999999999993</v>
      </c>
      <c r="F27" s="28">
        <v>0.15023474178403751</v>
      </c>
      <c r="G27" s="28">
        <v>-6.1224489795918435E-2</v>
      </c>
      <c r="H27" s="28">
        <v>-3.1521739130434767E-2</v>
      </c>
      <c r="I27" s="28">
        <v>-0.12457912457912457</v>
      </c>
      <c r="J27" s="28">
        <v>0.30769230769230771</v>
      </c>
      <c r="K27" s="28">
        <v>0.41960784313725497</v>
      </c>
      <c r="L27" s="28">
        <v>0.25359542182483685</v>
      </c>
      <c r="M27" s="28">
        <v>-0.38118811881188119</v>
      </c>
      <c r="N27" s="29"/>
      <c r="O27" s="28">
        <v>8.0000000000000071E-2</v>
      </c>
      <c r="P27" s="30" t="s">
        <v>20</v>
      </c>
      <c r="Q27" s="31"/>
      <c r="R27" s="28">
        <v>2.1155586634993062E-2</v>
      </c>
      <c r="T27" s="32">
        <v>264.40632900000003</v>
      </c>
      <c r="U27" s="32">
        <v>209.21039500000001</v>
      </c>
      <c r="V27" s="32">
        <v>213.66167999999999</v>
      </c>
      <c r="W27" s="32">
        <v>189.624741</v>
      </c>
      <c r="X27" s="32">
        <v>218.112965</v>
      </c>
      <c r="Y27" s="32">
        <v>204.75910999999999</v>
      </c>
      <c r="Z27" s="32">
        <v>198.30474674999999</v>
      </c>
      <c r="AA27" s="32">
        <v>173.60011499999999</v>
      </c>
      <c r="AB27" s="32">
        <v>227.015535</v>
      </c>
      <c r="AC27" s="32">
        <v>322.273034</v>
      </c>
      <c r="AD27" s="32">
        <v>404</v>
      </c>
      <c r="AE27" s="32">
        <v>250</v>
      </c>
    </row>
    <row r="28" spans="1:31" x14ac:dyDescent="0.25">
      <c r="A28" t="s">
        <v>225</v>
      </c>
      <c r="B28" s="27" t="s">
        <v>21</v>
      </c>
      <c r="C28" s="28">
        <v>-6.5443934972905349E-2</v>
      </c>
      <c r="D28" s="28">
        <v>7.0918822479928645E-2</v>
      </c>
      <c r="E28" s="28">
        <v>5.0673330556712637E-2</v>
      </c>
      <c r="F28" s="28">
        <v>1.0835095137420758E-2</v>
      </c>
      <c r="G28" s="28">
        <v>-6.9281045751633963E-2</v>
      </c>
      <c r="H28" s="28">
        <v>-9.550561797752799E-2</v>
      </c>
      <c r="I28" s="28">
        <v>-8.8800183753470874E-2</v>
      </c>
      <c r="J28" s="28">
        <v>-8.1455805892547639E-2</v>
      </c>
      <c r="K28" s="28">
        <v>0.39999999999999991</v>
      </c>
      <c r="L28" s="28">
        <v>0</v>
      </c>
      <c r="M28" s="28">
        <v>-0.45956873315363878</v>
      </c>
      <c r="N28" s="29"/>
      <c r="O28" s="28">
        <v>7.2319201995012516E-2</v>
      </c>
      <c r="P28" s="30" t="s">
        <v>21</v>
      </c>
      <c r="Q28" s="31"/>
      <c r="R28" s="28">
        <v>-0.39236800930922022</v>
      </c>
      <c r="T28" s="32">
        <v>353.8325883</v>
      </c>
      <c r="U28" s="32">
        <v>330.6763914</v>
      </c>
      <c r="V28" s="32">
        <v>354.12757169999998</v>
      </c>
      <c r="W28" s="32">
        <v>372.07239520000002</v>
      </c>
      <c r="X28" s="32">
        <v>376.103835</v>
      </c>
      <c r="Y28" s="32">
        <v>350.04696799999999</v>
      </c>
      <c r="Z28" s="32">
        <v>316.61551600000001</v>
      </c>
      <c r="AA28" s="32">
        <v>288.5</v>
      </c>
      <c r="AB28" s="32">
        <v>265</v>
      </c>
      <c r="AC28" s="32">
        <v>371</v>
      </c>
      <c r="AD28" s="32">
        <v>371</v>
      </c>
      <c r="AE28" s="32">
        <v>200.5</v>
      </c>
    </row>
    <row r="29" spans="1:31" x14ac:dyDescent="0.25">
      <c r="A29" t="s">
        <v>242</v>
      </c>
      <c r="B29" s="27" t="s">
        <v>22</v>
      </c>
      <c r="C29" s="28">
        <v>-0.27146574154379877</v>
      </c>
      <c r="D29" s="28">
        <v>8.7643019469852756E-2</v>
      </c>
      <c r="E29" s="28">
        <v>2.5114155251141579E-2</v>
      </c>
      <c r="F29" s="28">
        <v>0.11358574610244987</v>
      </c>
      <c r="G29" s="28">
        <v>-3.5000000000000031E-2</v>
      </c>
      <c r="H29" s="28">
        <v>5.5958549222798082E-2</v>
      </c>
      <c r="I29" s="28">
        <v>-0.126594700686948</v>
      </c>
      <c r="J29" s="28">
        <v>4.4943820224718767E-3</v>
      </c>
      <c r="K29" s="28">
        <v>3.3557046979866278E-3</v>
      </c>
      <c r="L29" s="28">
        <v>5.5741360089185399E-3</v>
      </c>
      <c r="M29" s="28">
        <v>-0.20731707317073178</v>
      </c>
      <c r="N29" s="29"/>
      <c r="O29" s="28">
        <v>7.1328671328671378E-2</v>
      </c>
      <c r="P29" s="30" t="s">
        <v>22</v>
      </c>
      <c r="Q29" s="31"/>
      <c r="R29" s="28">
        <v>-0.30711522408519154</v>
      </c>
      <c r="T29" s="32">
        <v>55.27614595</v>
      </c>
      <c r="U29" s="32">
        <v>40.270566000000002</v>
      </c>
      <c r="V29" s="32">
        <v>43.8</v>
      </c>
      <c r="W29" s="32">
        <v>44.9</v>
      </c>
      <c r="X29" s="32">
        <v>50</v>
      </c>
      <c r="Y29" s="32">
        <v>48.25</v>
      </c>
      <c r="Z29" s="32">
        <v>50.95</v>
      </c>
      <c r="AA29" s="32">
        <v>44.5</v>
      </c>
      <c r="AB29" s="32">
        <v>44.7</v>
      </c>
      <c r="AC29" s="32">
        <v>44.85</v>
      </c>
      <c r="AD29" s="32">
        <v>45.1</v>
      </c>
      <c r="AE29" s="32">
        <v>35.75</v>
      </c>
    </row>
    <row r="30" spans="1:31" x14ac:dyDescent="0.25">
      <c r="A30" t="s">
        <v>260</v>
      </c>
      <c r="B30" s="27" t="s">
        <v>23</v>
      </c>
      <c r="C30" s="28">
        <v>-8.8471849865951691E-2</v>
      </c>
      <c r="D30" s="28">
        <v>2.2058823529411686E-2</v>
      </c>
      <c r="E30" s="28">
        <v>-0.10935251798561152</v>
      </c>
      <c r="F30" s="28">
        <v>0.16316639741518579</v>
      </c>
      <c r="G30" s="28">
        <v>-0.12361111111111112</v>
      </c>
      <c r="H30" s="28">
        <v>-0.150554675118859</v>
      </c>
      <c r="I30" s="28">
        <v>-0.19776119402985082</v>
      </c>
      <c r="J30" s="28">
        <v>0.20930232558139528</v>
      </c>
      <c r="K30" s="28">
        <v>0.14615384615384608</v>
      </c>
      <c r="L30" s="28">
        <v>0.12919463087248317</v>
      </c>
      <c r="M30" s="28">
        <v>-0.36106983655274882</v>
      </c>
      <c r="N30" s="29"/>
      <c r="O30" s="28">
        <v>6.9767441860465018E-2</v>
      </c>
      <c r="P30" s="30" t="s">
        <v>23</v>
      </c>
      <c r="Q30" s="31"/>
      <c r="R30" s="28">
        <v>-0.38337801608579103</v>
      </c>
      <c r="T30" s="32">
        <v>74.599999999999994</v>
      </c>
      <c r="U30" s="32">
        <v>68</v>
      </c>
      <c r="V30" s="32">
        <v>69.5</v>
      </c>
      <c r="W30" s="32">
        <v>61.9</v>
      </c>
      <c r="X30" s="32">
        <v>72</v>
      </c>
      <c r="Y30" s="32">
        <v>63.1</v>
      </c>
      <c r="Z30" s="32">
        <v>53.6</v>
      </c>
      <c r="AA30" s="32">
        <v>43</v>
      </c>
      <c r="AB30" s="32">
        <v>52</v>
      </c>
      <c r="AC30" s="32">
        <v>59.6</v>
      </c>
      <c r="AD30" s="32">
        <v>67.3</v>
      </c>
      <c r="AE30" s="32">
        <v>43</v>
      </c>
    </row>
    <row r="31" spans="1:31" x14ac:dyDescent="0.25">
      <c r="A31" t="s">
        <v>261</v>
      </c>
      <c r="B31" s="27" t="s">
        <v>24</v>
      </c>
      <c r="C31" s="28">
        <v>-0.20021074815595363</v>
      </c>
      <c r="D31" s="28">
        <v>-0.10408432147562585</v>
      </c>
      <c r="E31" s="28">
        <v>-0.10735294117647054</v>
      </c>
      <c r="F31" s="28">
        <v>0.21911037891268537</v>
      </c>
      <c r="G31" s="28">
        <v>-0.12432432432432439</v>
      </c>
      <c r="H31" s="28">
        <v>-0.1728395061728395</v>
      </c>
      <c r="I31" s="28">
        <v>-0.25373134328358216</v>
      </c>
      <c r="J31" s="28">
        <v>0.11999999999999988</v>
      </c>
      <c r="K31" s="28">
        <v>0.29910714285714302</v>
      </c>
      <c r="L31" s="28">
        <v>5.1546391752577359E-2</v>
      </c>
      <c r="M31" s="28">
        <v>-0.50980392156862742</v>
      </c>
      <c r="N31" s="29"/>
      <c r="O31" s="28">
        <v>6.6666666666666652E-2</v>
      </c>
      <c r="P31" s="30" t="s">
        <v>24</v>
      </c>
      <c r="Q31" s="31"/>
      <c r="R31" s="28">
        <v>-0.66280295047418325</v>
      </c>
      <c r="T31" s="32">
        <v>47.45</v>
      </c>
      <c r="U31" s="32">
        <v>37.950000000000003</v>
      </c>
      <c r="V31" s="32">
        <v>34</v>
      </c>
      <c r="W31" s="32">
        <v>30.35</v>
      </c>
      <c r="X31" s="32">
        <v>37</v>
      </c>
      <c r="Y31" s="32">
        <v>32.4</v>
      </c>
      <c r="Z31" s="32">
        <v>26.8</v>
      </c>
      <c r="AA31" s="32">
        <v>20</v>
      </c>
      <c r="AB31" s="32">
        <v>22.4</v>
      </c>
      <c r="AC31" s="32">
        <v>29.1</v>
      </c>
      <c r="AD31" s="32">
        <v>30.6</v>
      </c>
      <c r="AE31" s="32">
        <v>15</v>
      </c>
    </row>
    <row r="32" spans="1:31" x14ac:dyDescent="0.25">
      <c r="A32" t="s">
        <v>228</v>
      </c>
      <c r="B32" s="27" t="s">
        <v>25</v>
      </c>
      <c r="C32" s="28">
        <v>-0.15946843853820603</v>
      </c>
      <c r="D32" s="28">
        <v>0.11660079051383399</v>
      </c>
      <c r="E32" s="28">
        <v>-6.7256637168141453E-2</v>
      </c>
      <c r="F32" s="28">
        <v>0.1688804554079697</v>
      </c>
      <c r="G32" s="28">
        <v>0.1217532467532465</v>
      </c>
      <c r="H32" s="28">
        <v>-0.10130246020260492</v>
      </c>
      <c r="I32" s="28">
        <v>4.4417235154767809E-3</v>
      </c>
      <c r="J32" s="28">
        <v>7.2953736654804313E-2</v>
      </c>
      <c r="K32" s="28">
        <v>0.35655058043117727</v>
      </c>
      <c r="L32" s="28">
        <v>-1.5892420537897189E-2</v>
      </c>
      <c r="M32" s="28">
        <v>-0.36521739130434783</v>
      </c>
      <c r="N32" s="29"/>
      <c r="O32" s="28">
        <v>6.6536203522504778E-2</v>
      </c>
      <c r="P32" s="30" t="s">
        <v>25</v>
      </c>
      <c r="Q32" s="31"/>
      <c r="R32" s="28">
        <v>4.8009574112257702E-3</v>
      </c>
      <c r="T32" s="32">
        <v>5.4239598000000004</v>
      </c>
      <c r="U32" s="32">
        <v>4.5590093999999999</v>
      </c>
      <c r="V32" s="32">
        <v>5.0905934999999998</v>
      </c>
      <c r="W32" s="32">
        <v>4.7482173000000003</v>
      </c>
      <c r="X32" s="32">
        <v>5.5500984000000004</v>
      </c>
      <c r="Y32" s="32">
        <v>6.2258408999999997</v>
      </c>
      <c r="Z32" s="32">
        <v>5.5951478999999997</v>
      </c>
      <c r="AA32" s="32">
        <v>5.62</v>
      </c>
      <c r="AB32" s="32">
        <v>6.03</v>
      </c>
      <c r="AC32" s="32">
        <v>8.18</v>
      </c>
      <c r="AD32" s="32">
        <v>8.0500000000000007</v>
      </c>
      <c r="AE32" s="32">
        <v>5.1100000000000003</v>
      </c>
    </row>
    <row r="33" spans="1:31" x14ac:dyDescent="0.25">
      <c r="A33" t="s">
        <v>264</v>
      </c>
      <c r="B33" s="27" t="s">
        <v>26</v>
      </c>
      <c r="C33" s="28">
        <v>-3.5175879396984966E-2</v>
      </c>
      <c r="D33" s="28">
        <v>-8.854166666666663E-2</v>
      </c>
      <c r="E33" s="28">
        <v>-5.8285714285714274E-2</v>
      </c>
      <c r="F33" s="28">
        <v>9.2233009708737823E-2</v>
      </c>
      <c r="G33" s="28">
        <v>5.555555555555558E-2</v>
      </c>
      <c r="H33" s="28">
        <v>-0.18631578947368421</v>
      </c>
      <c r="I33" s="28">
        <v>0.27037516170763243</v>
      </c>
      <c r="J33" s="28">
        <v>0.20578167772511313</v>
      </c>
      <c r="K33" s="28">
        <v>4.0358744394618729E-2</v>
      </c>
      <c r="L33" s="28">
        <v>0.13685344827586232</v>
      </c>
      <c r="M33" s="28">
        <v>-0.29004739336492891</v>
      </c>
      <c r="N33" s="29"/>
      <c r="O33" s="28">
        <v>6.4085447263017237E-2</v>
      </c>
      <c r="P33" s="30" t="s">
        <v>26</v>
      </c>
      <c r="Q33" s="31"/>
      <c r="R33" s="28">
        <v>6.3287123057293782E-2</v>
      </c>
      <c r="T33" s="32">
        <v>7.4956235500000004</v>
      </c>
      <c r="U33" s="32">
        <v>7.2319583999999999</v>
      </c>
      <c r="V33" s="32">
        <v>6.5916287499999999</v>
      </c>
      <c r="W33" s="32">
        <v>6.2074309599999999</v>
      </c>
      <c r="X33" s="32">
        <v>6.7799610000000001</v>
      </c>
      <c r="Y33" s="32">
        <v>7.1566254999999996</v>
      </c>
      <c r="Z33" s="32">
        <v>5.82323317</v>
      </c>
      <c r="AA33" s="32">
        <v>7.3976907799999996</v>
      </c>
      <c r="AB33" s="32">
        <v>8.92</v>
      </c>
      <c r="AC33" s="32">
        <v>9.2799999999999994</v>
      </c>
      <c r="AD33" s="32">
        <v>10.55</v>
      </c>
      <c r="AE33" s="32">
        <v>7.49</v>
      </c>
    </row>
    <row r="34" spans="1:31" x14ac:dyDescent="0.25">
      <c r="A34" t="s">
        <v>219</v>
      </c>
      <c r="B34" s="27" t="s">
        <v>27</v>
      </c>
      <c r="C34" s="28">
        <v>-0.20712694867828196</v>
      </c>
      <c r="D34" s="28">
        <v>-2.8089887687602122E-2</v>
      </c>
      <c r="E34" s="28">
        <v>-3.4682081086353733E-2</v>
      </c>
      <c r="F34" s="28">
        <v>3.8922156183347489E-2</v>
      </c>
      <c r="G34" s="28">
        <v>-5.1873199326048725E-2</v>
      </c>
      <c r="H34" s="28">
        <v>9.118541478358555E-3</v>
      </c>
      <c r="I34" s="28">
        <v>-0.15060240986179774</v>
      </c>
      <c r="J34" s="28">
        <v>7.056149265465983E-2</v>
      </c>
      <c r="K34" s="28">
        <v>7.1917808219178037E-2</v>
      </c>
      <c r="L34" s="28">
        <v>-2.2364217252396235E-2</v>
      </c>
      <c r="M34" s="28">
        <v>-0.37222190833317648</v>
      </c>
      <c r="N34" s="29"/>
      <c r="O34" s="28">
        <v>6.1946902654867353E-2</v>
      </c>
      <c r="P34" s="30" t="s">
        <v>27</v>
      </c>
      <c r="Q34" s="31"/>
      <c r="R34" s="28">
        <v>-0.53025526782116206</v>
      </c>
      <c r="T34" s="32">
        <v>2.5545789399999999</v>
      </c>
      <c r="U34" s="32">
        <v>2.0254567990000001</v>
      </c>
      <c r="V34" s="32">
        <v>1.968561945</v>
      </c>
      <c r="W34" s="32">
        <v>1.9002881199999999</v>
      </c>
      <c r="X34" s="32">
        <v>1.9742514309999999</v>
      </c>
      <c r="Y34" s="32">
        <v>1.871840693</v>
      </c>
      <c r="Z34" s="32">
        <v>1.8889091499999999</v>
      </c>
      <c r="AA34" s="32">
        <v>1.6044348799999999</v>
      </c>
      <c r="AB34" s="32">
        <v>1.7176461999999999</v>
      </c>
      <c r="AC34" s="32">
        <v>1.84117555</v>
      </c>
      <c r="AD34" s="32">
        <v>1.7999991</v>
      </c>
      <c r="AE34" s="32">
        <v>1.1299999999999999</v>
      </c>
    </row>
    <row r="35" spans="1:31" x14ac:dyDescent="0.25">
      <c r="A35" t="s">
        <v>220</v>
      </c>
      <c r="B35" s="27" t="s">
        <v>28</v>
      </c>
      <c r="C35" s="28">
        <v>-0.35785953177257535</v>
      </c>
      <c r="D35" s="28">
        <v>-7.291666666666663E-2</v>
      </c>
      <c r="E35" s="28">
        <v>-0.1292134831460674</v>
      </c>
      <c r="F35" s="28">
        <v>-1.9354838709677469E-2</v>
      </c>
      <c r="G35" s="28">
        <v>8.5526315789473673E-2</v>
      </c>
      <c r="H35" s="28">
        <v>-0.16969696969696957</v>
      </c>
      <c r="I35" s="28">
        <v>1.4598540145985162E-2</v>
      </c>
      <c r="J35" s="28">
        <v>7.9136690647482189E-2</v>
      </c>
      <c r="K35" s="28">
        <v>0.19333333333333336</v>
      </c>
      <c r="L35" s="28">
        <v>2.2346368715083775E-2</v>
      </c>
      <c r="M35" s="28">
        <v>-0.37158469945355199</v>
      </c>
      <c r="N35" s="29"/>
      <c r="O35" s="28">
        <v>6.0869565217391397E-2</v>
      </c>
      <c r="P35" s="30" t="s">
        <v>28</v>
      </c>
      <c r="Q35" s="31"/>
      <c r="R35" s="28">
        <v>-0.59197324414715724</v>
      </c>
      <c r="T35" s="32">
        <v>2.99</v>
      </c>
      <c r="U35" s="32">
        <v>1.92</v>
      </c>
      <c r="V35" s="32">
        <v>1.78</v>
      </c>
      <c r="W35" s="32">
        <v>1.55</v>
      </c>
      <c r="X35" s="32">
        <v>1.52</v>
      </c>
      <c r="Y35" s="32">
        <v>1.65</v>
      </c>
      <c r="Z35" s="32">
        <v>1.37</v>
      </c>
      <c r="AA35" s="32">
        <v>1.39</v>
      </c>
      <c r="AB35" s="32">
        <v>1.5</v>
      </c>
      <c r="AC35" s="32">
        <v>1.79</v>
      </c>
      <c r="AD35" s="32">
        <v>1.83</v>
      </c>
      <c r="AE35" s="32">
        <v>1.1499999999999999</v>
      </c>
    </row>
    <row r="36" spans="1:31" x14ac:dyDescent="0.25">
      <c r="A36" t="s">
        <v>216</v>
      </c>
      <c r="B36" s="27" t="s">
        <v>29</v>
      </c>
      <c r="C36" s="28">
        <v>-0.13411078717201164</v>
      </c>
      <c r="D36" s="28">
        <v>0.11063011063011063</v>
      </c>
      <c r="E36" s="28">
        <v>-5.0238198354266017E-2</v>
      </c>
      <c r="F36" s="28">
        <v>0.14774281805745559</v>
      </c>
      <c r="G36" s="28">
        <v>-9.0186730234406043E-2</v>
      </c>
      <c r="H36" s="28">
        <v>-3.4934497816594412E-3</v>
      </c>
      <c r="I36" s="28">
        <v>-0.1328193425673978</v>
      </c>
      <c r="J36" s="28">
        <v>0.28705752212389357</v>
      </c>
      <c r="K36" s="28">
        <v>6.1452513966480549E-2</v>
      </c>
      <c r="L36" s="28">
        <v>0.11093117408906883</v>
      </c>
      <c r="M36" s="28">
        <v>-0.3115889212827988</v>
      </c>
      <c r="N36" s="29"/>
      <c r="O36" s="28">
        <v>5.3467443091582911E-2</v>
      </c>
      <c r="P36" s="30" t="s">
        <v>29</v>
      </c>
      <c r="Q36" s="31"/>
      <c r="R36" s="28">
        <v>-9.2832020139150928E-2</v>
      </c>
      <c r="T36" s="32">
        <v>109.68200179999999</v>
      </c>
      <c r="U36" s="32">
        <v>94.972462199999995</v>
      </c>
      <c r="V36" s="32">
        <v>105.4792762</v>
      </c>
      <c r="W36" s="32">
        <v>100.18018739999999</v>
      </c>
      <c r="X36" s="32">
        <v>114.9810906</v>
      </c>
      <c r="Y36" s="32">
        <v>104.611322</v>
      </c>
      <c r="Z36" s="32">
        <v>104.2458676</v>
      </c>
      <c r="AA36" s="32">
        <v>90.4</v>
      </c>
      <c r="AB36" s="32">
        <v>116.35</v>
      </c>
      <c r="AC36" s="32">
        <v>123.5</v>
      </c>
      <c r="AD36" s="32">
        <v>137.19999999999999</v>
      </c>
      <c r="AE36" s="32">
        <v>94.45</v>
      </c>
    </row>
    <row r="37" spans="1:31" x14ac:dyDescent="0.25">
      <c r="A37" t="s">
        <v>209</v>
      </c>
      <c r="B37" s="27" t="s">
        <v>30</v>
      </c>
      <c r="C37" s="28">
        <v>-0.27426160337552741</v>
      </c>
      <c r="D37" s="28">
        <v>-8.1395348837209225E-2</v>
      </c>
      <c r="E37" s="28">
        <v>-7.8481012658227822E-2</v>
      </c>
      <c r="F37" s="28">
        <v>-9.3406593406593519E-2</v>
      </c>
      <c r="G37" s="28">
        <v>-0.12878787878787878</v>
      </c>
      <c r="H37" s="28">
        <v>-0.20869565217391306</v>
      </c>
      <c r="I37" s="28">
        <v>-0.14285714285714279</v>
      </c>
      <c r="J37" s="28">
        <v>0.24615384615384617</v>
      </c>
      <c r="K37" s="28">
        <v>-4.7325102880658498E-2</v>
      </c>
      <c r="L37" s="28">
        <v>1.0799136069114423E-2</v>
      </c>
      <c r="M37" s="28">
        <v>-0.35897435897435892</v>
      </c>
      <c r="N37" s="29"/>
      <c r="O37" s="28">
        <v>5.3333333333333455E-2</v>
      </c>
      <c r="P37" s="30" t="s">
        <v>30</v>
      </c>
      <c r="Q37" s="31"/>
      <c r="R37" s="28">
        <v>-0.73333333333333339</v>
      </c>
      <c r="T37" s="32">
        <v>11.85</v>
      </c>
      <c r="U37" s="32">
        <v>8.6</v>
      </c>
      <c r="V37" s="32">
        <v>7.9</v>
      </c>
      <c r="W37" s="32">
        <v>7.28</v>
      </c>
      <c r="X37" s="32">
        <v>6.6</v>
      </c>
      <c r="Y37" s="32">
        <v>5.75</v>
      </c>
      <c r="Z37" s="32">
        <v>4.55</v>
      </c>
      <c r="AA37" s="32">
        <v>3.9</v>
      </c>
      <c r="AB37" s="32">
        <v>4.8600000000000003</v>
      </c>
      <c r="AC37" s="32">
        <v>4.63</v>
      </c>
      <c r="AD37" s="32">
        <v>4.68</v>
      </c>
      <c r="AE37" s="32">
        <v>3</v>
      </c>
    </row>
    <row r="38" spans="1:31" x14ac:dyDescent="0.25">
      <c r="A38" t="s">
        <v>232</v>
      </c>
      <c r="B38" s="27" t="s">
        <v>31</v>
      </c>
      <c r="C38" s="28">
        <v>4.4843049327352169E-3</v>
      </c>
      <c r="D38" s="28">
        <v>3.5714285714285809E-2</v>
      </c>
      <c r="E38" s="28">
        <v>0.10775862068965525</v>
      </c>
      <c r="F38" s="28">
        <v>3.8910505836575737E-3</v>
      </c>
      <c r="G38" s="28">
        <v>-3.8759689922480689E-2</v>
      </c>
      <c r="H38" s="28">
        <v>0</v>
      </c>
      <c r="I38" s="28">
        <v>-3.6290322580645129E-2</v>
      </c>
      <c r="J38" s="28">
        <v>0</v>
      </c>
      <c r="K38" s="28">
        <v>2.4310782993448354E-2</v>
      </c>
      <c r="L38" s="28">
        <v>-1.6666666666666607E-2</v>
      </c>
      <c r="M38" s="28">
        <v>-3.8135593220339103E-2</v>
      </c>
      <c r="N38" s="29"/>
      <c r="O38" s="28">
        <v>4.8458149779735837E-2</v>
      </c>
      <c r="P38" s="30" t="s">
        <v>31</v>
      </c>
      <c r="Q38" s="31"/>
      <c r="R38" s="28">
        <v>8.8655567231564314E-2</v>
      </c>
      <c r="T38" s="32">
        <v>10.930913650000001</v>
      </c>
      <c r="U38" s="32">
        <v>10.979931199999999</v>
      </c>
      <c r="V38" s="32">
        <v>11.3720716</v>
      </c>
      <c r="W38" s="32">
        <v>12.59751035</v>
      </c>
      <c r="X38" s="32">
        <v>12.646527900000001</v>
      </c>
      <c r="Y38" s="32">
        <v>12.156352399999999</v>
      </c>
      <c r="Z38" s="32">
        <v>12.156352399999999</v>
      </c>
      <c r="AA38" s="32">
        <v>11.71519445</v>
      </c>
      <c r="AB38" s="32">
        <v>11.71519445</v>
      </c>
      <c r="AC38" s="32">
        <v>12</v>
      </c>
      <c r="AD38" s="32">
        <v>11.8</v>
      </c>
      <c r="AE38" s="32">
        <v>11.35</v>
      </c>
    </row>
    <row r="39" spans="1:31" x14ac:dyDescent="0.25">
      <c r="A39" t="s">
        <v>262</v>
      </c>
      <c r="B39" s="27" t="s">
        <v>32</v>
      </c>
      <c r="C39" s="28">
        <v>-0.15354330708661412</v>
      </c>
      <c r="D39" s="28">
        <v>-5.6976744186046591E-2</v>
      </c>
      <c r="E39" s="28">
        <v>-5.6720098643649797E-2</v>
      </c>
      <c r="F39" s="28">
        <v>0.1869281045751634</v>
      </c>
      <c r="G39" s="28">
        <v>-0.12334801762114544</v>
      </c>
      <c r="H39" s="28">
        <v>-0.13567839195979892</v>
      </c>
      <c r="I39" s="28">
        <v>-0.33284883720930236</v>
      </c>
      <c r="J39" s="28">
        <v>0.11546840958605675</v>
      </c>
      <c r="K39" s="28">
        <v>0.18359375</v>
      </c>
      <c r="L39" s="28">
        <v>-3.3003300330032959E-2</v>
      </c>
      <c r="M39" s="28">
        <v>-0.60068259385665534</v>
      </c>
      <c r="N39" s="29"/>
      <c r="O39" s="28">
        <v>4.7008547008547064E-2</v>
      </c>
      <c r="P39" s="30" t="s">
        <v>32</v>
      </c>
      <c r="Q39" s="31"/>
      <c r="R39" s="28">
        <v>-0.75885826771653542</v>
      </c>
      <c r="T39" s="32">
        <v>50.8</v>
      </c>
      <c r="U39" s="32">
        <v>43</v>
      </c>
      <c r="V39" s="32">
        <v>40.549999999999997</v>
      </c>
      <c r="W39" s="32">
        <v>38.25</v>
      </c>
      <c r="X39" s="32">
        <v>45.4</v>
      </c>
      <c r="Y39" s="32">
        <v>39.799999999999997</v>
      </c>
      <c r="Z39" s="32">
        <v>34.4</v>
      </c>
      <c r="AA39" s="32">
        <v>22.95</v>
      </c>
      <c r="AB39" s="32">
        <v>25.6</v>
      </c>
      <c r="AC39" s="32">
        <v>30.3</v>
      </c>
      <c r="AD39" s="32">
        <v>29.3</v>
      </c>
      <c r="AE39" s="32">
        <v>11.7</v>
      </c>
    </row>
    <row r="40" spans="1:31" x14ac:dyDescent="0.25">
      <c r="A40" t="s">
        <v>247</v>
      </c>
      <c r="B40" s="27" t="s">
        <v>33</v>
      </c>
      <c r="C40" s="28">
        <v>-0.19999999999999996</v>
      </c>
      <c r="D40" s="28">
        <v>0.24434389140271495</v>
      </c>
      <c r="E40" s="28">
        <v>6.3636363636363713E-2</v>
      </c>
      <c r="F40" s="28">
        <v>0.22222222222222232</v>
      </c>
      <c r="G40" s="28">
        <v>6.9930069930070893E-3</v>
      </c>
      <c r="H40" s="28">
        <v>0</v>
      </c>
      <c r="I40" s="28">
        <v>0.13888888888888884</v>
      </c>
      <c r="J40" s="28">
        <v>8.5365853658536661E-2</v>
      </c>
      <c r="K40" s="28">
        <v>0.11235955056179781</v>
      </c>
      <c r="L40" s="28">
        <v>-6.0606060606060552E-2</v>
      </c>
      <c r="M40" s="28">
        <v>-0.4731182795698925</v>
      </c>
      <c r="N40" s="29"/>
      <c r="O40" s="28">
        <v>4.2857142857142927E-2</v>
      </c>
      <c r="P40" s="30" t="s">
        <v>33</v>
      </c>
      <c r="Q40" s="31"/>
      <c r="R40" s="28">
        <v>-7.5113122171945323E-2</v>
      </c>
      <c r="T40" s="32">
        <v>55.25</v>
      </c>
      <c r="U40" s="32">
        <v>44.2</v>
      </c>
      <c r="V40" s="32">
        <v>55</v>
      </c>
      <c r="W40" s="32">
        <v>58.5</v>
      </c>
      <c r="X40" s="32">
        <v>71.5</v>
      </c>
      <c r="Y40" s="32">
        <v>72</v>
      </c>
      <c r="Z40" s="32">
        <v>72</v>
      </c>
      <c r="AA40" s="32">
        <v>82</v>
      </c>
      <c r="AB40" s="32">
        <v>89</v>
      </c>
      <c r="AC40" s="32">
        <v>99</v>
      </c>
      <c r="AD40" s="32">
        <v>93</v>
      </c>
      <c r="AE40" s="32">
        <v>49</v>
      </c>
    </row>
    <row r="41" spans="1:31" x14ac:dyDescent="0.25">
      <c r="A41" t="s">
        <v>218</v>
      </c>
      <c r="B41" s="27" t="s">
        <v>34</v>
      </c>
      <c r="C41" s="28">
        <v>-0.29166666666666663</v>
      </c>
      <c r="D41" s="28">
        <v>-7.0588235294117618E-2</v>
      </c>
      <c r="E41" s="28">
        <v>0.39873417721519</v>
      </c>
      <c r="F41" s="28">
        <v>6.3348416289592757E-2</v>
      </c>
      <c r="G41" s="28">
        <v>3.8297872340425476E-2</v>
      </c>
      <c r="H41" s="28">
        <v>-0.12295081967213117</v>
      </c>
      <c r="I41" s="28">
        <v>-0.14672897196261669</v>
      </c>
      <c r="J41" s="28">
        <v>0.32530120481927693</v>
      </c>
      <c r="K41" s="28">
        <v>0</v>
      </c>
      <c r="L41" s="28">
        <v>-7.4380165289256284E-2</v>
      </c>
      <c r="M41" s="28">
        <v>-0.20535714285714279</v>
      </c>
      <c r="N41" s="29"/>
      <c r="O41" s="28">
        <v>3.3707865168539408E-2</v>
      </c>
      <c r="P41" s="30" t="s">
        <v>34</v>
      </c>
      <c r="Q41" s="31"/>
      <c r="R41" s="28">
        <v>-0.23333333333333317</v>
      </c>
      <c r="T41" s="32">
        <v>12</v>
      </c>
      <c r="U41" s="32">
        <v>8.5</v>
      </c>
      <c r="V41" s="32">
        <v>7.9</v>
      </c>
      <c r="W41" s="32">
        <v>11.05</v>
      </c>
      <c r="X41" s="32">
        <v>11.75</v>
      </c>
      <c r="Y41" s="32">
        <v>12.2</v>
      </c>
      <c r="Z41" s="32">
        <v>10.7</v>
      </c>
      <c r="AA41" s="32">
        <v>9.1300000000000008</v>
      </c>
      <c r="AB41" s="32">
        <v>12.1</v>
      </c>
      <c r="AC41" s="32">
        <v>12.1</v>
      </c>
      <c r="AD41" s="32">
        <v>11.2</v>
      </c>
      <c r="AE41" s="32">
        <v>8.9</v>
      </c>
    </row>
    <row r="42" spans="1:31" x14ac:dyDescent="0.25">
      <c r="A42" t="s">
        <v>195</v>
      </c>
      <c r="B42" s="27" t="s">
        <v>35</v>
      </c>
      <c r="C42" s="28">
        <v>3.8461538461538547E-2</v>
      </c>
      <c r="D42" s="28">
        <v>-3.703703703703709E-2</v>
      </c>
      <c r="E42" s="28">
        <v>-6.9230769230769207E-2</v>
      </c>
      <c r="F42" s="28">
        <v>1.2396694214876103E-2</v>
      </c>
      <c r="G42" s="28">
        <v>-4.0816326530612734E-3</v>
      </c>
      <c r="H42" s="28">
        <v>-3.688524590163933E-2</v>
      </c>
      <c r="I42" s="28">
        <v>-6.3829787234042534E-2</v>
      </c>
      <c r="J42" s="28">
        <v>-4.5454545454545414E-2</v>
      </c>
      <c r="K42" s="28">
        <v>8.5714285714285854E-2</v>
      </c>
      <c r="L42" s="28">
        <v>9.210526315789469E-2</v>
      </c>
      <c r="M42" s="28">
        <v>-0.31726907630522083</v>
      </c>
      <c r="N42" s="29"/>
      <c r="O42" s="28">
        <v>2.9411764705882248E-2</v>
      </c>
      <c r="P42" s="30" t="s">
        <v>35</v>
      </c>
      <c r="Q42" s="31"/>
      <c r="R42" s="28">
        <v>-0.32692307692307687</v>
      </c>
      <c r="T42" s="32">
        <v>26</v>
      </c>
      <c r="U42" s="32">
        <v>27</v>
      </c>
      <c r="V42" s="32">
        <v>26</v>
      </c>
      <c r="W42" s="32">
        <v>24.2</v>
      </c>
      <c r="X42" s="32">
        <v>24.5</v>
      </c>
      <c r="Y42" s="32">
        <v>24.4</v>
      </c>
      <c r="Z42" s="32">
        <v>23.5</v>
      </c>
      <c r="AA42" s="32">
        <v>22</v>
      </c>
      <c r="AB42" s="32">
        <v>21</v>
      </c>
      <c r="AC42" s="32">
        <v>22.8</v>
      </c>
      <c r="AD42" s="32">
        <v>24.9</v>
      </c>
      <c r="AE42" s="32">
        <v>17</v>
      </c>
    </row>
    <row r="43" spans="1:31" x14ac:dyDescent="0.25">
      <c r="A43" t="s">
        <v>236</v>
      </c>
      <c r="B43" s="27" t="s">
        <v>36</v>
      </c>
      <c r="C43" s="28">
        <v>-0.19696969696969702</v>
      </c>
      <c r="D43" s="28">
        <v>3.7735849056603765E-3</v>
      </c>
      <c r="E43" s="28">
        <v>-9.7744360902255578E-2</v>
      </c>
      <c r="F43" s="28">
        <v>5.4166666666666696E-2</v>
      </c>
      <c r="G43" s="28">
        <v>2.3715415019762709E-2</v>
      </c>
      <c r="H43" s="28">
        <v>-5.4054054054054057E-2</v>
      </c>
      <c r="I43" s="28">
        <v>7.7551020408163307E-2</v>
      </c>
      <c r="J43" s="28">
        <v>8.0808080808080662E-2</v>
      </c>
      <c r="K43" s="28">
        <v>7.4766355140186924E-2</v>
      </c>
      <c r="L43" s="28">
        <v>-1.7391304347825987E-2</v>
      </c>
      <c r="M43" s="28">
        <v>-0.42389380530973453</v>
      </c>
      <c r="N43" s="29"/>
      <c r="O43" s="28">
        <v>2.7649769585253559E-2</v>
      </c>
      <c r="P43" s="30" t="s">
        <v>36</v>
      </c>
      <c r="Q43" s="31"/>
      <c r="R43" s="28">
        <v>-0.45939393939393935</v>
      </c>
      <c r="T43" s="32">
        <v>12.375</v>
      </c>
      <c r="U43" s="32">
        <v>9.9375</v>
      </c>
      <c r="V43" s="32">
        <v>9.9749999999999996</v>
      </c>
      <c r="W43" s="32">
        <v>9</v>
      </c>
      <c r="X43" s="32">
        <v>9.4875000000000007</v>
      </c>
      <c r="Y43" s="32">
        <v>9.7125000000000004</v>
      </c>
      <c r="Z43" s="32">
        <v>9.1875</v>
      </c>
      <c r="AA43" s="32">
        <v>9.9</v>
      </c>
      <c r="AB43" s="32">
        <v>10.7</v>
      </c>
      <c r="AC43" s="32">
        <v>11.5</v>
      </c>
      <c r="AD43" s="32">
        <v>11.3</v>
      </c>
      <c r="AE43" s="32">
        <v>6.51</v>
      </c>
    </row>
    <row r="44" spans="1:31" x14ac:dyDescent="0.25">
      <c r="A44" t="s">
        <v>250</v>
      </c>
      <c r="B44" s="27" t="s">
        <v>37</v>
      </c>
      <c r="C44" s="28">
        <v>-0.17827298050139273</v>
      </c>
      <c r="D44" s="28">
        <v>0.21355932203389827</v>
      </c>
      <c r="E44" s="28">
        <v>1.6759776536312998E-2</v>
      </c>
      <c r="F44" s="28">
        <v>1.6483516483516425E-2</v>
      </c>
      <c r="G44" s="28">
        <v>2.4324324324324298E-2</v>
      </c>
      <c r="H44" s="28">
        <v>-7.9155672823217893E-3</v>
      </c>
      <c r="I44" s="28">
        <v>0.11702127659574457</v>
      </c>
      <c r="J44" s="28">
        <v>0.23809523809523814</v>
      </c>
      <c r="K44" s="28">
        <v>0.1134615384615385</v>
      </c>
      <c r="L44" s="28">
        <v>2.9360967184801412E-2</v>
      </c>
      <c r="M44" s="28">
        <v>-0.42953020134228193</v>
      </c>
      <c r="N44" s="29"/>
      <c r="O44" s="28">
        <v>2.3529411764706021E-2</v>
      </c>
      <c r="P44" s="30" t="s">
        <v>37</v>
      </c>
      <c r="Q44" s="31"/>
      <c r="R44" s="28">
        <v>-3.0640668523676307E-2</v>
      </c>
      <c r="T44" s="32">
        <v>17.95</v>
      </c>
      <c r="U44" s="32">
        <v>14.75</v>
      </c>
      <c r="V44" s="32">
        <v>17.899999999999999</v>
      </c>
      <c r="W44" s="32">
        <v>18.2</v>
      </c>
      <c r="X44" s="32">
        <v>18.5</v>
      </c>
      <c r="Y44" s="32">
        <v>18.95</v>
      </c>
      <c r="Z44" s="32">
        <v>18.8</v>
      </c>
      <c r="AA44" s="32">
        <v>21</v>
      </c>
      <c r="AB44" s="32">
        <v>26</v>
      </c>
      <c r="AC44" s="32">
        <v>28.95</v>
      </c>
      <c r="AD44" s="32">
        <v>29.8</v>
      </c>
      <c r="AE44" s="32">
        <v>17</v>
      </c>
    </row>
    <row r="45" spans="1:31" x14ac:dyDescent="0.25">
      <c r="A45" t="s">
        <v>226</v>
      </c>
      <c r="B45" s="27" t="s">
        <v>38</v>
      </c>
      <c r="C45" s="28">
        <v>-0.17283950619056654</v>
      </c>
      <c r="D45" s="28">
        <v>8.955223883138097E-2</v>
      </c>
      <c r="E45" s="28">
        <v>-6.4383561652943344E-2</v>
      </c>
      <c r="F45" s="28">
        <v>0.15812591509049989</v>
      </c>
      <c r="G45" s="28">
        <v>5.183312262193307E-2</v>
      </c>
      <c r="H45" s="28">
        <v>-5.889423076490119E-2</v>
      </c>
      <c r="I45" s="28">
        <v>-0.15964240101390426</v>
      </c>
      <c r="J45" s="28">
        <v>0.27208604858220276</v>
      </c>
      <c r="K45" s="28">
        <v>0.10817941952506582</v>
      </c>
      <c r="L45" s="28">
        <v>0.20081817674133817</v>
      </c>
      <c r="M45" s="28">
        <v>-0.39759036144578308</v>
      </c>
      <c r="N45" s="29"/>
      <c r="O45" s="28">
        <v>2.3333333333333206E-2</v>
      </c>
      <c r="P45" s="30" t="s">
        <v>38</v>
      </c>
      <c r="Q45" s="31"/>
      <c r="R45" s="28">
        <v>-0.15227746012586718</v>
      </c>
      <c r="T45" s="32">
        <v>36.214679398000001</v>
      </c>
      <c r="U45" s="32">
        <v>29.955352093999998</v>
      </c>
      <c r="V45" s="32">
        <v>32.637920938999997</v>
      </c>
      <c r="W45" s="32">
        <v>30.536575343999999</v>
      </c>
      <c r="X45" s="32">
        <v>35.365199263999997</v>
      </c>
      <c r="Y45" s="32">
        <v>37.198287974000003</v>
      </c>
      <c r="Z45" s="32">
        <v>35.007523417999998</v>
      </c>
      <c r="AA45" s="32">
        <v>29.418838325999999</v>
      </c>
      <c r="AB45" s="32">
        <v>37.423293800000003</v>
      </c>
      <c r="AC45" s="32">
        <v>41.471724000000002</v>
      </c>
      <c r="AD45" s="32">
        <v>49.8</v>
      </c>
      <c r="AE45" s="32">
        <v>30</v>
      </c>
    </row>
    <row r="46" spans="1:31" x14ac:dyDescent="0.25">
      <c r="A46" t="s">
        <v>205</v>
      </c>
      <c r="B46" s="27" t="s">
        <v>39</v>
      </c>
      <c r="C46" s="28">
        <v>-0.11555555555555552</v>
      </c>
      <c r="D46" s="28">
        <v>-2.010050251256279E-2</v>
      </c>
      <c r="E46" s="28">
        <v>-4.1025641025640991E-2</v>
      </c>
      <c r="F46" s="28">
        <v>1.6042780748662944E-2</v>
      </c>
      <c r="G46" s="28">
        <v>-3.1578947368420929E-2</v>
      </c>
      <c r="H46" s="28">
        <v>-4.8913043478260865E-2</v>
      </c>
      <c r="I46" s="28">
        <v>-2.2857142857142909E-2</v>
      </c>
      <c r="J46" s="28">
        <v>0.50877192982456143</v>
      </c>
      <c r="K46" s="28">
        <v>0.193798449612403</v>
      </c>
      <c r="L46" s="28">
        <v>8.4415584415584277E-2</v>
      </c>
      <c r="M46" s="28">
        <v>-0.32634730538922152</v>
      </c>
      <c r="N46" s="29"/>
      <c r="O46" s="28">
        <v>2.2222222222222365E-2</v>
      </c>
      <c r="P46" s="30" t="s">
        <v>39</v>
      </c>
      <c r="Q46" s="31"/>
      <c r="R46" s="28">
        <v>2.2222222222222143E-2</v>
      </c>
      <c r="T46" s="32">
        <v>2.25</v>
      </c>
      <c r="U46" s="32">
        <v>1.99</v>
      </c>
      <c r="V46" s="32">
        <v>1.95</v>
      </c>
      <c r="W46" s="32">
        <v>1.87</v>
      </c>
      <c r="X46" s="32">
        <v>1.9</v>
      </c>
      <c r="Y46" s="32">
        <v>1.84</v>
      </c>
      <c r="Z46" s="32">
        <v>1.75</v>
      </c>
      <c r="AA46" s="32">
        <v>1.71</v>
      </c>
      <c r="AB46" s="32">
        <v>2.58</v>
      </c>
      <c r="AC46" s="32">
        <v>3.08</v>
      </c>
      <c r="AD46" s="32">
        <v>3.34</v>
      </c>
      <c r="AE46" s="32">
        <v>2.25</v>
      </c>
    </row>
    <row r="47" spans="1:31" x14ac:dyDescent="0.25">
      <c r="A47" t="s">
        <v>233</v>
      </c>
      <c r="B47" s="27" t="s">
        <v>40</v>
      </c>
      <c r="C47" s="28">
        <v>-0.18918918918918926</v>
      </c>
      <c r="D47" s="28">
        <v>1.1111111111111072E-2</v>
      </c>
      <c r="E47" s="28">
        <v>-4.3394659398027113E-2</v>
      </c>
      <c r="F47" s="28">
        <v>0.10149253731343277</v>
      </c>
      <c r="G47" s="28">
        <v>2.4390243902439046E-2</v>
      </c>
      <c r="H47" s="28">
        <v>-0.14021164021164012</v>
      </c>
      <c r="I47" s="28">
        <v>-6.1538461538461542E-2</v>
      </c>
      <c r="J47" s="28">
        <v>0.14426229508196742</v>
      </c>
      <c r="K47" s="28">
        <v>-1.4326647564469996E-2</v>
      </c>
      <c r="L47" s="28">
        <v>-1.4534883720930147E-2</v>
      </c>
      <c r="M47" s="28">
        <v>-0.20353982300884954</v>
      </c>
      <c r="N47" s="29"/>
      <c r="O47" s="28">
        <v>1.8518518518518379E-2</v>
      </c>
      <c r="P47" s="30" t="s">
        <v>40</v>
      </c>
      <c r="Q47" s="31"/>
      <c r="R47" s="28">
        <v>-0.35621759718799595</v>
      </c>
      <c r="T47" s="32">
        <v>4.2716296500000004</v>
      </c>
      <c r="U47" s="32">
        <v>3.4634835000000002</v>
      </c>
      <c r="V47" s="32">
        <v>3.50196665</v>
      </c>
      <c r="W47" s="32">
        <v>3.35</v>
      </c>
      <c r="X47" s="32">
        <v>3.69</v>
      </c>
      <c r="Y47" s="32">
        <v>3.78</v>
      </c>
      <c r="Z47" s="32">
        <v>3.25</v>
      </c>
      <c r="AA47" s="32">
        <v>3.05</v>
      </c>
      <c r="AB47" s="32">
        <v>3.49</v>
      </c>
      <c r="AC47" s="32">
        <v>3.44</v>
      </c>
      <c r="AD47" s="32">
        <v>3.39</v>
      </c>
      <c r="AE47" s="32">
        <v>2.7</v>
      </c>
    </row>
    <row r="48" spans="1:31" x14ac:dyDescent="0.25">
      <c r="A48" t="s">
        <v>229</v>
      </c>
      <c r="B48" s="27" t="s">
        <v>41</v>
      </c>
      <c r="C48" s="28">
        <v>-5.4528650654388722E-2</v>
      </c>
      <c r="D48" s="28">
        <v>0.33919843598694244</v>
      </c>
      <c r="E48" s="28">
        <v>-6.4672392386350142E-3</v>
      </c>
      <c r="F48" s="28">
        <v>6.8001668751804578E-2</v>
      </c>
      <c r="G48" s="28">
        <v>-6.2499999997603806E-2</v>
      </c>
      <c r="H48" s="28">
        <v>-6.2499999998082867E-2</v>
      </c>
      <c r="I48" s="28">
        <v>-6.222222222091367E-2</v>
      </c>
      <c r="J48" s="28">
        <v>8.3007202803029312E-3</v>
      </c>
      <c r="K48" s="28">
        <v>0.10885045778229907</v>
      </c>
      <c r="L48" s="28">
        <v>-5.7339449541284448E-2</v>
      </c>
      <c r="M48" s="28">
        <v>-0.32802351639633376</v>
      </c>
      <c r="N48" s="29"/>
      <c r="O48" s="28">
        <v>1.8062397372742289E-2</v>
      </c>
      <c r="P48" s="30" t="s">
        <v>41</v>
      </c>
      <c r="Q48" s="31"/>
      <c r="R48" s="28">
        <v>-0.2015701196228975</v>
      </c>
      <c r="T48" s="32">
        <v>77.652404454999996</v>
      </c>
      <c r="U48" s="32">
        <v>73.418123620000003</v>
      </c>
      <c r="V48" s="32">
        <v>98.321436324999993</v>
      </c>
      <c r="W48" s="32">
        <v>97.685568074000003</v>
      </c>
      <c r="X48" s="32">
        <v>104.32834971600001</v>
      </c>
      <c r="Y48" s="32">
        <v>97.807827859</v>
      </c>
      <c r="Z48" s="32">
        <v>91.694838618000006</v>
      </c>
      <c r="AA48" s="32">
        <v>85.989381992999995</v>
      </c>
      <c r="AB48" s="32">
        <v>86.703155800000005</v>
      </c>
      <c r="AC48" s="32">
        <v>96.140833999999998</v>
      </c>
      <c r="AD48" s="32">
        <v>90.628171499999993</v>
      </c>
      <c r="AE48" s="32">
        <v>60.9</v>
      </c>
    </row>
    <row r="49" spans="1:31" x14ac:dyDescent="0.25">
      <c r="A49" t="s">
        <v>265</v>
      </c>
      <c r="B49" s="27" t="s">
        <v>42</v>
      </c>
      <c r="C49" s="28">
        <v>-0.12792792790377749</v>
      </c>
      <c r="D49" s="28">
        <v>-0.11157024797387294</v>
      </c>
      <c r="E49" s="28">
        <v>-5.348837194848477E-2</v>
      </c>
      <c r="F49" s="28">
        <v>5.4054054017462327E-2</v>
      </c>
      <c r="G49" s="28">
        <v>5.3070538067549577E-2</v>
      </c>
      <c r="H49" s="28">
        <v>-5.1569506726457326E-2</v>
      </c>
      <c r="I49" s="28">
        <v>-0.16406606010399749</v>
      </c>
      <c r="J49" s="28">
        <v>9.9999999999999867E-2</v>
      </c>
      <c r="K49" s="28">
        <v>0.41258741258741272</v>
      </c>
      <c r="L49" s="28">
        <v>0.15841584158415833</v>
      </c>
      <c r="M49" s="28">
        <v>-0.48717948717948711</v>
      </c>
      <c r="N49" s="29"/>
      <c r="O49" s="28">
        <v>1.6666666666666607E-2</v>
      </c>
      <c r="P49" s="30" t="s">
        <v>42</v>
      </c>
      <c r="Q49" s="31"/>
      <c r="R49" s="28">
        <v>-0.39435837338682189</v>
      </c>
      <c r="T49" s="32">
        <v>4.0287851640000003</v>
      </c>
      <c r="U49" s="32">
        <v>3.5133910259999999</v>
      </c>
      <c r="V49" s="32">
        <v>3.1214011180000001</v>
      </c>
      <c r="W49" s="32">
        <v>2.9544424540000001</v>
      </c>
      <c r="X49" s="32">
        <v>3.114142046</v>
      </c>
      <c r="Y49" s="32">
        <v>3.2794112399999999</v>
      </c>
      <c r="Z49" s="32">
        <v>3.1102936200000002</v>
      </c>
      <c r="AA49" s="32">
        <v>2.6</v>
      </c>
      <c r="AB49" s="32">
        <v>2.86</v>
      </c>
      <c r="AC49" s="32">
        <v>4.04</v>
      </c>
      <c r="AD49" s="32">
        <v>4.68</v>
      </c>
      <c r="AE49" s="32">
        <v>2.4</v>
      </c>
    </row>
    <row r="50" spans="1:31" x14ac:dyDescent="0.25">
      <c r="A50" t="s">
        <v>202</v>
      </c>
      <c r="B50" s="27" t="s">
        <v>43</v>
      </c>
      <c r="C50" s="28">
        <v>1.4316466820967211E-3</v>
      </c>
      <c r="D50" s="28">
        <v>0.30588235294117649</v>
      </c>
      <c r="E50" s="28">
        <v>-0.19999999999999996</v>
      </c>
      <c r="F50" s="28">
        <v>2.2522522522521182E-3</v>
      </c>
      <c r="G50" s="28">
        <v>-3.3707865168539408E-2</v>
      </c>
      <c r="H50" s="28">
        <v>2.3255813953488413E-2</v>
      </c>
      <c r="I50" s="28">
        <v>6.1363636363636287E-2</v>
      </c>
      <c r="J50" s="28">
        <v>-7.4946466809421741E-2</v>
      </c>
      <c r="K50" s="28">
        <v>3.009259259259256E-2</v>
      </c>
      <c r="L50" s="28">
        <v>5.6179775280898792E-2</v>
      </c>
      <c r="M50" s="28">
        <v>-0.34042553191489366</v>
      </c>
      <c r="N50" s="29"/>
      <c r="O50" s="28">
        <v>1.6129032258064502E-2</v>
      </c>
      <c r="P50" s="30" t="s">
        <v>43</v>
      </c>
      <c r="Q50" s="31"/>
      <c r="R50" s="28">
        <v>-0.25776242657679937</v>
      </c>
      <c r="T50" s="32">
        <v>4.2439242000000004</v>
      </c>
      <c r="U50" s="32">
        <v>4.25</v>
      </c>
      <c r="V50" s="32">
        <v>5.55</v>
      </c>
      <c r="W50" s="32">
        <v>4.4400000000000004</v>
      </c>
      <c r="X50" s="32">
        <v>4.45</v>
      </c>
      <c r="Y50" s="32">
        <v>4.3</v>
      </c>
      <c r="Z50" s="32">
        <v>4.4000000000000004</v>
      </c>
      <c r="AA50" s="32">
        <v>4.67</v>
      </c>
      <c r="AB50" s="32">
        <v>4.32</v>
      </c>
      <c r="AC50" s="32">
        <v>4.45</v>
      </c>
      <c r="AD50" s="32">
        <v>4.7</v>
      </c>
      <c r="AE50" s="32">
        <v>3.1</v>
      </c>
    </row>
    <row r="51" spans="1:31" x14ac:dyDescent="0.25">
      <c r="A51" t="s">
        <v>201</v>
      </c>
      <c r="B51" s="27" t="s">
        <v>44</v>
      </c>
      <c r="C51" s="28">
        <v>-0.12060301507537685</v>
      </c>
      <c r="D51" s="28">
        <v>5.7142857142857828E-3</v>
      </c>
      <c r="E51" s="28">
        <v>-1.1363636363636576E-2</v>
      </c>
      <c r="F51" s="28">
        <v>6.7816091954022939E-2</v>
      </c>
      <c r="G51" s="28">
        <v>-4.1980624327233484E-2</v>
      </c>
      <c r="H51" s="28">
        <v>-5.6179775280898903E-2</v>
      </c>
      <c r="I51" s="28">
        <v>1.1904761904761862E-2</v>
      </c>
      <c r="J51" s="28">
        <v>1.1764705882352899E-2</v>
      </c>
      <c r="K51" s="28">
        <v>0.2441860465116279</v>
      </c>
      <c r="L51" s="28">
        <v>-3.2710280373831724E-2</v>
      </c>
      <c r="M51" s="28">
        <v>-0.28502415458937191</v>
      </c>
      <c r="N51" s="29"/>
      <c r="O51" s="28">
        <v>1.3513513513513375E-2</v>
      </c>
      <c r="P51" s="30" t="s">
        <v>44</v>
      </c>
      <c r="Q51" s="31"/>
      <c r="R51" s="28">
        <v>-0.24623115577889465</v>
      </c>
      <c r="T51" s="32">
        <v>9.9499999999999993</v>
      </c>
      <c r="U51" s="32">
        <v>8.75</v>
      </c>
      <c r="V51" s="32">
        <v>8.8000000000000007</v>
      </c>
      <c r="W51" s="32">
        <v>8.6999999999999993</v>
      </c>
      <c r="X51" s="32">
        <v>9.2899999999999991</v>
      </c>
      <c r="Y51" s="32">
        <v>8.9</v>
      </c>
      <c r="Z51" s="32">
        <v>8.4</v>
      </c>
      <c r="AA51" s="32">
        <v>8.5</v>
      </c>
      <c r="AB51" s="32">
        <v>8.6</v>
      </c>
      <c r="AC51" s="32">
        <v>10.7</v>
      </c>
      <c r="AD51" s="32">
        <v>10.35</v>
      </c>
      <c r="AE51" s="32">
        <v>7.4</v>
      </c>
    </row>
    <row r="52" spans="1:31" x14ac:dyDescent="0.25">
      <c r="A52" t="s">
        <v>246</v>
      </c>
      <c r="B52" s="27" t="s">
        <v>45</v>
      </c>
      <c r="C52" s="28">
        <v>-0.18362831861348017</v>
      </c>
      <c r="D52" s="28">
        <v>8.8510398375535981E-2</v>
      </c>
      <c r="E52" s="28">
        <v>-8.9473684210526261E-2</v>
      </c>
      <c r="F52" s="28">
        <v>0.10115606936416177</v>
      </c>
      <c r="G52" s="28">
        <v>-1.8372703412073532E-2</v>
      </c>
      <c r="H52" s="28">
        <v>-7.7540106951871524E-2</v>
      </c>
      <c r="I52" s="28">
        <v>-0.10724637681159421</v>
      </c>
      <c r="J52" s="28">
        <v>-3.5714285714285698E-2</v>
      </c>
      <c r="K52" s="28">
        <v>0.21212121212121215</v>
      </c>
      <c r="L52" s="28">
        <v>2.3752089582125047E-2</v>
      </c>
      <c r="M52" s="28">
        <v>0.18644067796610164</v>
      </c>
      <c r="N52" s="29"/>
      <c r="O52" s="28">
        <v>4.761904761904745E-3</v>
      </c>
      <c r="P52" s="30" t="s">
        <v>45</v>
      </c>
      <c r="Q52" s="31"/>
      <c r="R52" s="28">
        <v>2.7409099341213272E-2</v>
      </c>
      <c r="T52" s="32">
        <v>20.537096677000001</v>
      </c>
      <c r="U52" s="32">
        <v>16.765904145</v>
      </c>
      <c r="V52" s="32">
        <v>18.249860999999999</v>
      </c>
      <c r="W52" s="32">
        <v>16.616978700000001</v>
      </c>
      <c r="X52" s="32">
        <v>18.297886949999999</v>
      </c>
      <c r="Y52" s="32">
        <v>17.961705299999998</v>
      </c>
      <c r="Z52" s="32">
        <v>16.568952750000001</v>
      </c>
      <c r="AA52" s="32">
        <v>14.7919926</v>
      </c>
      <c r="AB52" s="32">
        <v>14.26370715</v>
      </c>
      <c r="AC52" s="32">
        <v>17.289342000000001</v>
      </c>
      <c r="AD52" s="32">
        <v>17.7</v>
      </c>
      <c r="AE52" s="32">
        <v>21</v>
      </c>
    </row>
    <row r="53" spans="1:31" x14ac:dyDescent="0.25">
      <c r="A53" t="s">
        <v>210</v>
      </c>
      <c r="B53" s="27" t="s">
        <v>46</v>
      </c>
      <c r="C53" s="28">
        <v>-0.23188405797101452</v>
      </c>
      <c r="D53" s="28">
        <v>-5.6603773584905648E-2</v>
      </c>
      <c r="E53" s="28">
        <v>-0.124</v>
      </c>
      <c r="F53" s="28">
        <v>9.5890410958904049E-2</v>
      </c>
      <c r="G53" s="28">
        <v>4.1666666666666741E-2</v>
      </c>
      <c r="H53" s="28">
        <v>-0.11599999999999999</v>
      </c>
      <c r="I53" s="28">
        <v>6.3348416289592757E-2</v>
      </c>
      <c r="J53" s="28">
        <v>5.9574468085106469E-2</v>
      </c>
      <c r="K53" s="28">
        <v>-4.4176706827309342E-2</v>
      </c>
      <c r="L53" s="28">
        <v>8.4033613445377853E-3</v>
      </c>
      <c r="M53" s="28">
        <v>-4.5833333333333282E-2</v>
      </c>
      <c r="N53" s="29"/>
      <c r="O53" s="28">
        <v>4.366812227074357E-3</v>
      </c>
      <c r="P53" s="30" t="s">
        <v>46</v>
      </c>
      <c r="Q53" s="31"/>
      <c r="R53" s="28">
        <v>-0.33333333333333326</v>
      </c>
      <c r="T53" s="32">
        <v>3.45</v>
      </c>
      <c r="U53" s="32">
        <v>2.65</v>
      </c>
      <c r="V53" s="32">
        <v>2.5</v>
      </c>
      <c r="W53" s="32">
        <v>2.19</v>
      </c>
      <c r="X53" s="32">
        <v>2.4</v>
      </c>
      <c r="Y53" s="32">
        <v>2.5</v>
      </c>
      <c r="Z53" s="32">
        <v>2.21</v>
      </c>
      <c r="AA53" s="32">
        <v>2.35</v>
      </c>
      <c r="AB53" s="32">
        <v>2.4900000000000002</v>
      </c>
      <c r="AC53" s="32">
        <v>2.38</v>
      </c>
      <c r="AD53" s="32">
        <v>2.4</v>
      </c>
      <c r="AE53" s="32">
        <v>2.29</v>
      </c>
    </row>
    <row r="54" spans="1:31" x14ac:dyDescent="0.25">
      <c r="A54" t="s">
        <v>479</v>
      </c>
      <c r="B54" s="27" t="s">
        <v>47</v>
      </c>
      <c r="C54" s="28">
        <v>-0.17500000000000016</v>
      </c>
      <c r="D54" s="28">
        <v>0.13560606060606073</v>
      </c>
      <c r="E54" s="28">
        <v>-6.1040693795863965E-2</v>
      </c>
      <c r="F54" s="28">
        <v>0.19360568383658983</v>
      </c>
      <c r="G54" s="28">
        <v>-0.13988095238095244</v>
      </c>
      <c r="H54" s="28">
        <v>-4.5328719723183197E-2</v>
      </c>
      <c r="I54" s="28">
        <v>-0.13374411018484966</v>
      </c>
      <c r="J54" s="28">
        <v>0.16027384933717936</v>
      </c>
      <c r="K54" s="28">
        <v>0.20513775130305278</v>
      </c>
      <c r="L54" s="28">
        <v>5.0355267222737199E-2</v>
      </c>
      <c r="M54" s="28">
        <v>-0.48911764705882355</v>
      </c>
      <c r="N54" s="29"/>
      <c r="O54" s="28">
        <v>4.0299366724239061E-3</v>
      </c>
      <c r="P54" s="30" t="s">
        <v>47</v>
      </c>
      <c r="Q54" s="31"/>
      <c r="R54" s="28">
        <v>-0.43733629841617905</v>
      </c>
      <c r="T54" s="32">
        <v>154.97712000000001</v>
      </c>
      <c r="U54" s="32">
        <v>127.85612399999999</v>
      </c>
      <c r="V54" s="32">
        <v>145.19418930000001</v>
      </c>
      <c r="W54" s="32">
        <v>136.33143525</v>
      </c>
      <c r="X54" s="32">
        <v>162.725976</v>
      </c>
      <c r="Y54" s="32">
        <v>139.96371149999999</v>
      </c>
      <c r="Z54" s="32">
        <v>133.61933565000001</v>
      </c>
      <c r="AA54" s="32">
        <v>115.7485365</v>
      </c>
      <c r="AB54" s="32">
        <v>134.30000000000001</v>
      </c>
      <c r="AC54" s="32">
        <v>161.85</v>
      </c>
      <c r="AD54" s="32">
        <v>170</v>
      </c>
      <c r="AE54" s="32">
        <v>86.85</v>
      </c>
    </row>
    <row r="55" spans="1:31" x14ac:dyDescent="0.25">
      <c r="A55" t="s">
        <v>211</v>
      </c>
      <c r="B55" s="27" t="s">
        <v>48</v>
      </c>
      <c r="C55" s="28">
        <v>-0.42226890756302515</v>
      </c>
      <c r="D55" s="28">
        <v>-4.7272727272727244E-2</v>
      </c>
      <c r="E55" s="28">
        <v>6.8702290076335659E-2</v>
      </c>
      <c r="F55" s="28">
        <v>0.32142857142857162</v>
      </c>
      <c r="G55" s="28">
        <v>0.17567567567567544</v>
      </c>
      <c r="H55" s="28">
        <v>-0.16091954022988497</v>
      </c>
      <c r="I55" s="28">
        <v>0</v>
      </c>
      <c r="J55" s="28">
        <v>0</v>
      </c>
      <c r="K55" s="28">
        <v>0</v>
      </c>
      <c r="L55" s="28">
        <v>0</v>
      </c>
      <c r="M55" s="28">
        <v>0</v>
      </c>
      <c r="N55" s="29"/>
      <c r="O55" s="28">
        <v>0</v>
      </c>
      <c r="P55" s="30" t="s">
        <v>48</v>
      </c>
      <c r="Q55" s="31"/>
      <c r="R55" s="28">
        <v>-0.23319327731092443</v>
      </c>
      <c r="T55" s="32">
        <v>4.76</v>
      </c>
      <c r="U55" s="32">
        <v>2.75</v>
      </c>
      <c r="V55" s="32">
        <v>2.62</v>
      </c>
      <c r="W55" s="32">
        <v>2.8</v>
      </c>
      <c r="X55" s="32">
        <v>3.7</v>
      </c>
      <c r="Y55" s="32">
        <v>4.3499999999999996</v>
      </c>
      <c r="Z55" s="32">
        <v>3.65</v>
      </c>
      <c r="AA55" s="32">
        <v>3.65</v>
      </c>
      <c r="AB55" s="32">
        <v>3.65</v>
      </c>
      <c r="AC55" s="32">
        <v>3.65</v>
      </c>
      <c r="AD55" s="32">
        <v>3.65</v>
      </c>
      <c r="AE55" s="32">
        <v>3.65</v>
      </c>
    </row>
    <row r="56" spans="1:31" x14ac:dyDescent="0.25">
      <c r="A56" t="s">
        <v>256</v>
      </c>
      <c r="B56" s="27" t="s">
        <v>49</v>
      </c>
      <c r="C56" s="28">
        <v>-0.21052631578947367</v>
      </c>
      <c r="D56" s="28">
        <v>0.18888888888888888</v>
      </c>
      <c r="E56" s="28">
        <v>5.8151609553478867E-2</v>
      </c>
      <c r="F56" s="28">
        <v>5.0049067713444417E-2</v>
      </c>
      <c r="G56" s="28">
        <v>-6.074766355140182E-2</v>
      </c>
      <c r="H56" s="28">
        <v>-0.1422885572139303</v>
      </c>
      <c r="I56" s="28">
        <v>-9.9767981438515174E-2</v>
      </c>
      <c r="J56" s="28">
        <v>1.2886597938146505E-3</v>
      </c>
      <c r="K56" s="28">
        <v>6.4350064350064962E-3</v>
      </c>
      <c r="L56" s="28">
        <v>6.13810741687979E-2</v>
      </c>
      <c r="M56" s="28">
        <v>-0.59036144578313254</v>
      </c>
      <c r="N56" s="29"/>
      <c r="O56" s="28">
        <v>0</v>
      </c>
      <c r="P56" s="30" t="s">
        <v>49</v>
      </c>
      <c r="Q56" s="31"/>
      <c r="R56" s="28">
        <v>-0.668615984405458</v>
      </c>
      <c r="T56" s="32">
        <v>51.3</v>
      </c>
      <c r="U56" s="32">
        <v>40.5</v>
      </c>
      <c r="V56" s="32">
        <v>48.15</v>
      </c>
      <c r="W56" s="32">
        <v>50.95</v>
      </c>
      <c r="X56" s="32">
        <v>53.5</v>
      </c>
      <c r="Y56" s="32">
        <v>50.25</v>
      </c>
      <c r="Z56" s="32">
        <v>43.1</v>
      </c>
      <c r="AA56" s="32">
        <v>38.799999999999997</v>
      </c>
      <c r="AB56" s="32">
        <v>38.85</v>
      </c>
      <c r="AC56" s="32">
        <v>39.1</v>
      </c>
      <c r="AD56" s="32">
        <v>41.5</v>
      </c>
      <c r="AE56" s="32">
        <v>17</v>
      </c>
    </row>
    <row r="57" spans="1:31" x14ac:dyDescent="0.25">
      <c r="A57" t="s">
        <v>252</v>
      </c>
      <c r="B57" s="27" t="s">
        <v>50</v>
      </c>
      <c r="C57" s="28">
        <v>-0.29879101899827287</v>
      </c>
      <c r="D57" s="28">
        <v>-1.4778325123152691E-2</v>
      </c>
      <c r="E57" s="28">
        <v>-0.12749999999999995</v>
      </c>
      <c r="F57" s="28">
        <v>3.1753392756688426E-2</v>
      </c>
      <c r="G57" s="28">
        <v>4.2857142857142927E-2</v>
      </c>
      <c r="H57" s="28">
        <v>-6.8493150684931559E-2</v>
      </c>
      <c r="I57" s="28">
        <v>0</v>
      </c>
      <c r="J57" s="28">
        <v>0</v>
      </c>
      <c r="K57" s="28">
        <v>4.4117647058823595E-2</v>
      </c>
      <c r="L57" s="28">
        <v>-7.0422535211267623E-2</v>
      </c>
      <c r="M57" s="28">
        <v>6.0606060606060552E-2</v>
      </c>
      <c r="N57" s="29"/>
      <c r="O57" s="28">
        <v>0</v>
      </c>
      <c r="P57" s="30" t="s">
        <v>50</v>
      </c>
      <c r="Q57" s="31"/>
      <c r="R57" s="28">
        <v>-0.37809683234527747</v>
      </c>
      <c r="T57" s="32">
        <v>5.6278857899999997</v>
      </c>
      <c r="U57" s="32">
        <v>3.9463240599999998</v>
      </c>
      <c r="V57" s="32">
        <v>3.888004</v>
      </c>
      <c r="W57" s="32">
        <v>3.3922834900000001</v>
      </c>
      <c r="X57" s="32">
        <v>3.5</v>
      </c>
      <c r="Y57" s="32">
        <v>3.65</v>
      </c>
      <c r="Z57" s="32">
        <v>3.4</v>
      </c>
      <c r="AA57" s="32">
        <v>3.4</v>
      </c>
      <c r="AB57" s="32">
        <v>3.4</v>
      </c>
      <c r="AC57" s="32">
        <v>3.55</v>
      </c>
      <c r="AD57" s="32">
        <v>3.3</v>
      </c>
      <c r="AE57" s="32">
        <v>3.5</v>
      </c>
    </row>
    <row r="58" spans="1:31" x14ac:dyDescent="0.25">
      <c r="A58" t="s">
        <v>200</v>
      </c>
      <c r="B58" s="27" t="s">
        <v>51</v>
      </c>
      <c r="C58" s="28">
        <v>-0.16279069767441867</v>
      </c>
      <c r="D58" s="28">
        <v>1.1904761904761862E-2</v>
      </c>
      <c r="E58" s="28">
        <v>-4.3137254901960853E-2</v>
      </c>
      <c r="F58" s="28">
        <v>0.10245901639344268</v>
      </c>
      <c r="G58" s="28">
        <v>-3.7174721189591087E-2</v>
      </c>
      <c r="H58" s="28">
        <v>-5.791505791505791E-2</v>
      </c>
      <c r="I58" s="28">
        <v>-4.5081967213114638E-2</v>
      </c>
      <c r="J58" s="28">
        <v>-4.2918454935623185E-3</v>
      </c>
      <c r="K58" s="28">
        <v>4.31034482758621E-2</v>
      </c>
      <c r="L58" s="28">
        <v>4.9586776859504189E-2</v>
      </c>
      <c r="M58" s="28">
        <v>-0.21259842519685035</v>
      </c>
      <c r="N58" s="29"/>
      <c r="O58" s="28">
        <v>0</v>
      </c>
      <c r="P58" s="30" t="s">
        <v>51</v>
      </c>
      <c r="Q58" s="31"/>
      <c r="R58" s="28">
        <v>-0.33554817275747506</v>
      </c>
      <c r="T58" s="32">
        <v>15.05</v>
      </c>
      <c r="U58" s="32">
        <v>12.6</v>
      </c>
      <c r="V58" s="32">
        <v>12.75</v>
      </c>
      <c r="W58" s="32">
        <v>12.2</v>
      </c>
      <c r="X58" s="32">
        <v>13.45</v>
      </c>
      <c r="Y58" s="32">
        <v>12.95</v>
      </c>
      <c r="Z58" s="32">
        <v>12.2</v>
      </c>
      <c r="AA58" s="32">
        <v>11.65</v>
      </c>
      <c r="AB58" s="32">
        <v>11.6</v>
      </c>
      <c r="AC58" s="32">
        <v>12.1</v>
      </c>
      <c r="AD58" s="32">
        <v>12.7</v>
      </c>
      <c r="AE58" s="32">
        <v>10</v>
      </c>
    </row>
    <row r="59" spans="1:31" x14ac:dyDescent="0.25">
      <c r="A59" t="s">
        <v>204</v>
      </c>
      <c r="B59" s="27" t="s">
        <v>52</v>
      </c>
      <c r="C59" s="28">
        <v>-5.0176422536083898E-2</v>
      </c>
      <c r="D59" s="28">
        <v>-7.999999999999996E-2</v>
      </c>
      <c r="E59" s="28">
        <v>-8.0745341614906874E-2</v>
      </c>
      <c r="F59" s="28">
        <v>5.7432432432432456E-2</v>
      </c>
      <c r="G59" s="28">
        <v>-5.7507987220447254E-2</v>
      </c>
      <c r="H59" s="28">
        <v>8.5052973588739533E-4</v>
      </c>
      <c r="I59" s="28">
        <v>-0.14285714285714268</v>
      </c>
      <c r="J59" s="28">
        <v>0.24324324324324298</v>
      </c>
      <c r="K59" s="28">
        <v>0.12318840579710155</v>
      </c>
      <c r="L59" s="28">
        <v>-6.7741935483870974E-2</v>
      </c>
      <c r="M59" s="28">
        <v>-0.2214532871972319</v>
      </c>
      <c r="N59" s="29"/>
      <c r="O59" s="28">
        <v>0</v>
      </c>
      <c r="P59" s="30" t="s">
        <v>52</v>
      </c>
      <c r="Q59" s="31"/>
      <c r="R59" s="28">
        <v>-0.30393644555892108</v>
      </c>
      <c r="T59" s="32">
        <v>3.2324634520000002</v>
      </c>
      <c r="U59" s="32">
        <v>3.0702699999999998</v>
      </c>
      <c r="V59" s="32">
        <v>2.8246484000000001</v>
      </c>
      <c r="W59" s="32">
        <v>2.5965712000000001</v>
      </c>
      <c r="X59" s="32">
        <v>2.7456985999999999</v>
      </c>
      <c r="Y59" s="32">
        <v>2.587799</v>
      </c>
      <c r="Z59" s="32">
        <v>2.59</v>
      </c>
      <c r="AA59" s="32">
        <v>2.2200000000000002</v>
      </c>
      <c r="AB59" s="32">
        <v>2.76</v>
      </c>
      <c r="AC59" s="32">
        <v>3.1</v>
      </c>
      <c r="AD59" s="32">
        <v>2.89</v>
      </c>
      <c r="AE59" s="32">
        <v>2.25</v>
      </c>
    </row>
    <row r="60" spans="1:31" x14ac:dyDescent="0.25">
      <c r="A60" t="s">
        <v>227</v>
      </c>
      <c r="B60" s="27" t="s">
        <v>53</v>
      </c>
      <c r="C60" s="28">
        <v>-0.12</v>
      </c>
      <c r="D60" s="28">
        <v>0.13636363636363624</v>
      </c>
      <c r="E60" s="28">
        <v>-5.9999999999999942E-2</v>
      </c>
      <c r="F60" s="28">
        <v>0.15319148936170213</v>
      </c>
      <c r="G60" s="28">
        <v>2.2140221402213944E-2</v>
      </c>
      <c r="H60" s="28">
        <v>-7.2202166064981976E-2</v>
      </c>
      <c r="I60" s="28">
        <v>-5.2594273600304886E-2</v>
      </c>
      <c r="J60" s="28">
        <v>0.16666666666666674</v>
      </c>
      <c r="K60" s="28">
        <v>0.22499999999999987</v>
      </c>
      <c r="L60" s="28">
        <v>9.0379008746355627E-2</v>
      </c>
      <c r="M60" s="28">
        <v>-0.41711229946524064</v>
      </c>
      <c r="N60" s="29"/>
      <c r="O60" s="28">
        <v>0</v>
      </c>
      <c r="P60" s="30" t="s">
        <v>53</v>
      </c>
      <c r="Q60" s="31"/>
      <c r="R60" s="28">
        <v>-0.11534411287884494</v>
      </c>
      <c r="T60" s="32">
        <v>12.321175</v>
      </c>
      <c r="U60" s="32">
        <v>10.842634</v>
      </c>
      <c r="V60" s="32">
        <v>12.321175</v>
      </c>
      <c r="W60" s="32">
        <v>11.5819045</v>
      </c>
      <c r="X60" s="32">
        <v>13.3561537</v>
      </c>
      <c r="Y60" s="32">
        <v>13.6518619</v>
      </c>
      <c r="Z60" s="32">
        <v>12.6661679</v>
      </c>
      <c r="AA60" s="32">
        <v>12</v>
      </c>
      <c r="AB60" s="32">
        <v>14</v>
      </c>
      <c r="AC60" s="32">
        <v>17.149999999999999</v>
      </c>
      <c r="AD60" s="32">
        <v>18.7</v>
      </c>
      <c r="AE60" s="32">
        <v>10.9</v>
      </c>
    </row>
    <row r="61" spans="1:31" x14ac:dyDescent="0.25">
      <c r="A61" t="s">
        <v>238</v>
      </c>
      <c r="B61" s="27" t="s">
        <v>54</v>
      </c>
      <c r="C61" s="28">
        <v>6.0606060606060774E-2</v>
      </c>
      <c r="D61" s="28">
        <v>0.10999999999999988</v>
      </c>
      <c r="E61" s="28">
        <v>0.28700128700128702</v>
      </c>
      <c r="F61" s="28">
        <v>0.10000000000000009</v>
      </c>
      <c r="G61" s="28">
        <v>0.18181818181818188</v>
      </c>
      <c r="H61" s="28">
        <v>-0.1692307692307693</v>
      </c>
      <c r="I61" s="28">
        <v>0.20370370370370372</v>
      </c>
      <c r="J61" s="28">
        <v>-7.5384615384615383E-2</v>
      </c>
      <c r="K61" s="28">
        <v>0.26455906821963393</v>
      </c>
      <c r="L61" s="28">
        <v>5.2631578947368363E-2</v>
      </c>
      <c r="M61" s="28">
        <v>0.16730697010288376</v>
      </c>
      <c r="N61" s="29"/>
      <c r="O61" s="28">
        <v>0</v>
      </c>
      <c r="P61" s="30" t="s">
        <v>54</v>
      </c>
      <c r="Q61" s="31"/>
      <c r="R61" s="28">
        <v>1.8298350790372941</v>
      </c>
      <c r="T61" s="32">
        <v>32.864106</v>
      </c>
      <c r="U61" s="32">
        <v>34.855870000000003</v>
      </c>
      <c r="V61" s="32">
        <v>38.690015699999996</v>
      </c>
      <c r="W61" s="32">
        <v>49.7941</v>
      </c>
      <c r="X61" s="32">
        <v>54.773510000000002</v>
      </c>
      <c r="Y61" s="32">
        <v>64.732330000000005</v>
      </c>
      <c r="Z61" s="32">
        <v>53.777628</v>
      </c>
      <c r="AA61" s="32">
        <v>64.732330000000005</v>
      </c>
      <c r="AB61" s="32">
        <v>59.852508200000003</v>
      </c>
      <c r="AC61" s="32">
        <v>75.687032000000002</v>
      </c>
      <c r="AD61" s="32">
        <v>79.670559999999995</v>
      </c>
      <c r="AE61" s="32">
        <v>93</v>
      </c>
    </row>
    <row r="62" spans="1:31" x14ac:dyDescent="0.25">
      <c r="A62" t="s">
        <v>198</v>
      </c>
      <c r="B62" s="27" t="s">
        <v>55</v>
      </c>
      <c r="C62" s="28">
        <v>-2.4390243902439046E-2</v>
      </c>
      <c r="D62" s="28">
        <v>0</v>
      </c>
      <c r="E62" s="28">
        <v>5.8333333333333348E-2</v>
      </c>
      <c r="F62" s="28">
        <v>6.1023622047244208E-2</v>
      </c>
      <c r="G62" s="28">
        <v>2.4118738404452555E-2</v>
      </c>
      <c r="H62" s="28">
        <v>-9.4202898550724612E-2</v>
      </c>
      <c r="I62" s="28">
        <v>3.2000000000000028E-2</v>
      </c>
      <c r="J62" s="28">
        <v>6.201550387596888E-2</v>
      </c>
      <c r="K62" s="28">
        <v>7.2992700729928028E-3</v>
      </c>
      <c r="L62" s="28">
        <v>-4.3478260869565188E-2</v>
      </c>
      <c r="M62" s="28">
        <v>4.2401137909609199E-2</v>
      </c>
      <c r="N62" s="29"/>
      <c r="O62" s="28">
        <v>0</v>
      </c>
      <c r="P62" s="30" t="s">
        <v>55</v>
      </c>
      <c r="Q62" s="31"/>
      <c r="R62" s="28">
        <v>0.11867439190299534</v>
      </c>
      <c r="T62" s="32">
        <v>121.572462</v>
      </c>
      <c r="U62" s="32">
        <v>118.60728</v>
      </c>
      <c r="V62" s="32">
        <v>118.60728</v>
      </c>
      <c r="W62" s="32">
        <v>125.526038</v>
      </c>
      <c r="X62" s="32">
        <v>133.1860915</v>
      </c>
      <c r="Y62" s="32">
        <v>136.39837199999999</v>
      </c>
      <c r="Z62" s="32">
        <v>123.54925</v>
      </c>
      <c r="AA62" s="32">
        <v>127.502826</v>
      </c>
      <c r="AB62" s="32">
        <v>135.409978</v>
      </c>
      <c r="AC62" s="32">
        <v>136.39837199999999</v>
      </c>
      <c r="AD62" s="32">
        <v>130.468008</v>
      </c>
      <c r="AE62" s="32">
        <v>136</v>
      </c>
    </row>
    <row r="63" spans="1:31" x14ac:dyDescent="0.25">
      <c r="A63" t="s">
        <v>231</v>
      </c>
      <c r="B63" s="27" t="s">
        <v>56</v>
      </c>
      <c r="C63" s="28">
        <v>-0.33789954337899542</v>
      </c>
      <c r="D63" s="28">
        <v>-4.8275862068965503E-2</v>
      </c>
      <c r="E63" s="28">
        <v>-1.449275362318847E-2</v>
      </c>
      <c r="F63" s="28">
        <v>-0.11764705882352944</v>
      </c>
      <c r="G63" s="28">
        <v>-0.12916666666666676</v>
      </c>
      <c r="H63" s="28">
        <v>-0.23062200956937806</v>
      </c>
      <c r="I63" s="28">
        <v>-0.16666666666666652</v>
      </c>
      <c r="J63" s="28">
        <v>0.26865671641791034</v>
      </c>
      <c r="K63" s="28">
        <v>-9.9999999999999978E-2</v>
      </c>
      <c r="L63" s="28">
        <v>0</v>
      </c>
      <c r="M63" s="28">
        <v>0</v>
      </c>
      <c r="N63" s="29"/>
      <c r="O63" s="28">
        <v>0</v>
      </c>
      <c r="P63" s="30" t="s">
        <v>56</v>
      </c>
      <c r="Q63" s="31"/>
      <c r="R63" s="28">
        <v>-0.65068493150684925</v>
      </c>
      <c r="T63" s="32">
        <v>21.9</v>
      </c>
      <c r="U63" s="32">
        <v>14.5</v>
      </c>
      <c r="V63" s="32">
        <v>13.8</v>
      </c>
      <c r="W63" s="32">
        <v>13.6</v>
      </c>
      <c r="X63" s="32">
        <v>12</v>
      </c>
      <c r="Y63" s="32">
        <v>10.45</v>
      </c>
      <c r="Z63" s="32">
        <v>8.0399999999999991</v>
      </c>
      <c r="AA63" s="32">
        <v>6.7</v>
      </c>
      <c r="AB63" s="32">
        <v>8.5</v>
      </c>
      <c r="AC63" s="32">
        <v>7.65</v>
      </c>
      <c r="AD63" s="32">
        <v>7.65</v>
      </c>
      <c r="AE63" s="32">
        <v>7.65</v>
      </c>
    </row>
    <row r="64" spans="1:31" x14ac:dyDescent="0.25">
      <c r="A64" t="s">
        <v>251</v>
      </c>
      <c r="B64" s="27" t="s">
        <v>57</v>
      </c>
      <c r="C64" s="28">
        <v>7.4999999999999956E-2</v>
      </c>
      <c r="D64" s="28">
        <v>-9.966777408637939E-3</v>
      </c>
      <c r="E64" s="28">
        <v>0</v>
      </c>
      <c r="F64" s="28">
        <v>-0.29194630872483218</v>
      </c>
      <c r="G64" s="28">
        <v>5.2132701421800931E-2</v>
      </c>
      <c r="H64" s="28">
        <v>-9.0090090090090058E-2</v>
      </c>
      <c r="I64" s="28">
        <v>-9.9009900990099098E-3</v>
      </c>
      <c r="J64" s="28">
        <v>0.26</v>
      </c>
      <c r="K64" s="28">
        <v>3.9682539682539542E-3</v>
      </c>
      <c r="L64" s="28">
        <v>-7.905138339920903E-3</v>
      </c>
      <c r="M64" s="28">
        <v>0</v>
      </c>
      <c r="N64" s="29"/>
      <c r="O64" s="28">
        <v>0</v>
      </c>
      <c r="P64" s="30" t="s">
        <v>57</v>
      </c>
      <c r="Q64" s="31"/>
      <c r="R64" s="28">
        <v>-0.10357142857142854</v>
      </c>
      <c r="T64" s="32">
        <v>14</v>
      </c>
      <c r="U64" s="32">
        <v>15.05</v>
      </c>
      <c r="V64" s="32">
        <v>14.9</v>
      </c>
      <c r="W64" s="32">
        <v>14.9</v>
      </c>
      <c r="X64" s="32">
        <v>10.55</v>
      </c>
      <c r="Y64" s="32">
        <v>11.1</v>
      </c>
      <c r="Z64" s="32">
        <v>10.1</v>
      </c>
      <c r="AA64" s="32">
        <v>10</v>
      </c>
      <c r="AB64" s="32">
        <v>12.6</v>
      </c>
      <c r="AC64" s="32">
        <v>12.65</v>
      </c>
      <c r="AD64" s="32">
        <v>12.55</v>
      </c>
      <c r="AE64" s="32">
        <v>12.55</v>
      </c>
    </row>
    <row r="65" spans="1:31" x14ac:dyDescent="0.25">
      <c r="A65" t="s">
        <v>480</v>
      </c>
      <c r="B65" s="27" t="s">
        <v>58</v>
      </c>
      <c r="C65" s="28">
        <v>2.3255813953488413E-2</v>
      </c>
      <c r="D65" s="28">
        <v>-2.2727272727272707E-2</v>
      </c>
      <c r="E65" s="28">
        <v>6.9767441860465018E-2</v>
      </c>
      <c r="F65" s="28">
        <v>0</v>
      </c>
      <c r="G65" s="28">
        <v>-2.1739130434782594E-2</v>
      </c>
      <c r="H65" s="28">
        <v>4.4444444444444509E-2</v>
      </c>
      <c r="I65" s="28">
        <v>0</v>
      </c>
      <c r="J65" s="28">
        <v>0</v>
      </c>
      <c r="K65" s="28">
        <v>0</v>
      </c>
      <c r="L65" s="28">
        <v>2.1276595744680771E-2</v>
      </c>
      <c r="M65" s="28">
        <v>0</v>
      </c>
      <c r="N65" s="29"/>
      <c r="O65" s="28">
        <v>0</v>
      </c>
      <c r="P65" s="30" t="s">
        <v>58</v>
      </c>
      <c r="Q65" s="31"/>
      <c r="R65" s="28">
        <v>0.11627906976744162</v>
      </c>
      <c r="T65" s="32">
        <v>43</v>
      </c>
      <c r="U65" s="32">
        <v>44</v>
      </c>
      <c r="V65" s="32">
        <v>43</v>
      </c>
      <c r="W65" s="32">
        <v>46</v>
      </c>
      <c r="X65" s="32">
        <v>46</v>
      </c>
      <c r="Y65" s="32">
        <v>45</v>
      </c>
      <c r="Z65" s="32">
        <v>47</v>
      </c>
      <c r="AA65" s="32">
        <v>47</v>
      </c>
      <c r="AB65" s="32">
        <v>47</v>
      </c>
      <c r="AC65" s="32">
        <v>47</v>
      </c>
      <c r="AD65" s="32">
        <v>48</v>
      </c>
      <c r="AE65" s="32">
        <v>48</v>
      </c>
    </row>
    <row r="66" spans="1:31" x14ac:dyDescent="0.25">
      <c r="A66" t="s">
        <v>239</v>
      </c>
      <c r="B66" s="27" t="s">
        <v>59</v>
      </c>
      <c r="C66" s="28">
        <v>-5.8823529411764719E-2</v>
      </c>
      <c r="D66" s="28">
        <v>0</v>
      </c>
      <c r="E66" s="28">
        <v>0.1875</v>
      </c>
      <c r="F66" s="28">
        <v>-5.2631578947368474E-2</v>
      </c>
      <c r="G66" s="28">
        <v>-0.15555555555555556</v>
      </c>
      <c r="H66" s="28">
        <v>-5.921052631578938E-2</v>
      </c>
      <c r="I66" s="28">
        <v>0.44055944055944063</v>
      </c>
      <c r="J66" s="28">
        <v>-0.22815533980582525</v>
      </c>
      <c r="K66" s="28">
        <v>-0.11949685534591192</v>
      </c>
      <c r="L66" s="28">
        <v>5.7142857142857162E-2</v>
      </c>
      <c r="M66" s="28">
        <v>-0.12162162162162171</v>
      </c>
      <c r="N66" s="29"/>
      <c r="O66" s="28">
        <v>0</v>
      </c>
      <c r="P66" s="30" t="s">
        <v>59</v>
      </c>
      <c r="Q66" s="31"/>
      <c r="R66" s="28">
        <v>-0.23529411764705865</v>
      </c>
      <c r="T66" s="32">
        <v>8.5</v>
      </c>
      <c r="U66" s="32">
        <v>8</v>
      </c>
      <c r="V66" s="32">
        <v>8</v>
      </c>
      <c r="W66" s="32">
        <v>9.5</v>
      </c>
      <c r="X66" s="32">
        <v>9</v>
      </c>
      <c r="Y66" s="32">
        <v>7.6</v>
      </c>
      <c r="Z66" s="32">
        <v>7.15</v>
      </c>
      <c r="AA66" s="32">
        <v>10.3</v>
      </c>
      <c r="AB66" s="32">
        <v>7.95</v>
      </c>
      <c r="AC66" s="32">
        <v>7</v>
      </c>
      <c r="AD66" s="32">
        <v>7.4</v>
      </c>
      <c r="AE66" s="32">
        <v>6.5</v>
      </c>
    </row>
    <row r="67" spans="1:31" x14ac:dyDescent="0.25">
      <c r="A67" t="s">
        <v>213</v>
      </c>
      <c r="B67" s="27" t="s">
        <v>60</v>
      </c>
      <c r="C67" s="28">
        <v>0.16803854647460437</v>
      </c>
      <c r="D67" s="28">
        <v>-7.2929222358854129E-2</v>
      </c>
      <c r="E67" s="28">
        <v>-6.8971544206055779E-2</v>
      </c>
      <c r="F67" s="28">
        <v>0.20949329060576782</v>
      </c>
      <c r="G67" s="28">
        <v>2.467295909710554E-2</v>
      </c>
      <c r="H67" s="28">
        <v>0.11958629605711657</v>
      </c>
      <c r="I67" s="28">
        <v>-2.4826789835698859E-2</v>
      </c>
      <c r="J67" s="28">
        <v>-3.8253474442351165E-2</v>
      </c>
      <c r="K67" s="28">
        <v>2.1621621621621623E-2</v>
      </c>
      <c r="L67" s="28">
        <v>-1.0582010582010914E-3</v>
      </c>
      <c r="M67" s="28">
        <v>0.30492148866775048</v>
      </c>
      <c r="N67" s="29"/>
      <c r="O67" s="28">
        <v>-9.4615115056652099E-3</v>
      </c>
      <c r="P67" s="30" t="s">
        <v>60</v>
      </c>
      <c r="Q67" s="31"/>
      <c r="R67" s="28">
        <v>0.73064392574779147</v>
      </c>
      <c r="T67" s="32">
        <v>244.99551507499999</v>
      </c>
      <c r="U67" s="32">
        <v>286.164205321</v>
      </c>
      <c r="V67" s="32">
        <v>265.29447235999999</v>
      </c>
      <c r="W67" s="32">
        <v>246.99670293200001</v>
      </c>
      <c r="X67" s="32">
        <v>298.74085499799997</v>
      </c>
      <c r="Y67" s="32">
        <v>306.11167589399997</v>
      </c>
      <c r="Z67" s="32">
        <v>342.71843739399998</v>
      </c>
      <c r="AA67" s="32">
        <v>334.20983877600003</v>
      </c>
      <c r="AB67" s="32">
        <v>321.42515125</v>
      </c>
      <c r="AC67" s="32">
        <v>328.37488424999998</v>
      </c>
      <c r="AD67" s="32">
        <v>328.02739759999997</v>
      </c>
      <c r="AE67" s="32">
        <v>428.05</v>
      </c>
    </row>
    <row r="68" spans="1:31" x14ac:dyDescent="0.25">
      <c r="A68" t="s">
        <v>263</v>
      </c>
      <c r="B68" s="27" t="s">
        <v>61</v>
      </c>
      <c r="C68" s="28">
        <v>-0.172539489671932</v>
      </c>
      <c r="D68" s="28">
        <v>3.6710719530102853E-2</v>
      </c>
      <c r="E68" s="28">
        <v>-5.6657223796033995E-2</v>
      </c>
      <c r="F68" s="28">
        <v>0.15465465465465478</v>
      </c>
      <c r="G68" s="28">
        <v>3.5110533159947943E-2</v>
      </c>
      <c r="H68" s="28">
        <v>1.2562814070353756E-3</v>
      </c>
      <c r="I68" s="28">
        <v>-0.11166875784190722</v>
      </c>
      <c r="J68" s="28">
        <v>1.4124293785310771E-2</v>
      </c>
      <c r="K68" s="28">
        <v>9.1922005571030807E-2</v>
      </c>
      <c r="L68" s="28">
        <v>3.1887755102040893E-2</v>
      </c>
      <c r="M68" s="28">
        <v>-0.57972805933250937</v>
      </c>
      <c r="N68" s="29"/>
      <c r="O68" s="28">
        <v>-1.1764705882352899E-2</v>
      </c>
      <c r="P68" s="30" t="s">
        <v>61</v>
      </c>
      <c r="Q68" s="31"/>
      <c r="R68" s="28">
        <v>-0.59173754556500602</v>
      </c>
      <c r="T68" s="32">
        <v>41.15</v>
      </c>
      <c r="U68" s="32">
        <v>34.049999999999997</v>
      </c>
      <c r="V68" s="32">
        <v>35.299999999999997</v>
      </c>
      <c r="W68" s="32">
        <v>33.299999999999997</v>
      </c>
      <c r="X68" s="32">
        <v>38.450000000000003</v>
      </c>
      <c r="Y68" s="32">
        <v>39.799999999999997</v>
      </c>
      <c r="Z68" s="32">
        <v>39.85</v>
      </c>
      <c r="AA68" s="32">
        <v>35.4</v>
      </c>
      <c r="AB68" s="32">
        <v>35.9</v>
      </c>
      <c r="AC68" s="32">
        <v>39.200000000000003</v>
      </c>
      <c r="AD68" s="32">
        <v>40.450000000000003</v>
      </c>
      <c r="AE68" s="32">
        <v>17</v>
      </c>
    </row>
    <row r="69" spans="1:31" x14ac:dyDescent="0.25">
      <c r="A69" t="s">
        <v>230</v>
      </c>
      <c r="B69" s="27" t="s">
        <v>62</v>
      </c>
      <c r="C69" s="28">
        <v>-0.10310559005073971</v>
      </c>
      <c r="D69" s="28">
        <v>0.24441440516070423</v>
      </c>
      <c r="E69" s="28">
        <v>-6.4171123000019481E-2</v>
      </c>
      <c r="F69" s="28">
        <v>8.0000000013313421E-2</v>
      </c>
      <c r="G69" s="28">
        <v>3.9682539672756256E-2</v>
      </c>
      <c r="H69" s="28">
        <v>2.5445292636787631E-3</v>
      </c>
      <c r="I69" s="28">
        <v>-2.0304568507740761E-2</v>
      </c>
      <c r="J69" s="28">
        <v>7.5878139918718057E-2</v>
      </c>
      <c r="K69" s="28">
        <v>6.6666666666666874E-2</v>
      </c>
      <c r="L69" s="28">
        <v>-3.6989795918367485E-2</v>
      </c>
      <c r="M69" s="28">
        <v>-0.37191884187113966</v>
      </c>
      <c r="N69" s="29"/>
      <c r="O69" s="28">
        <v>-1.2077294685990392E-2</v>
      </c>
      <c r="P69" s="30" t="s">
        <v>62</v>
      </c>
      <c r="Q69" s="31"/>
      <c r="R69" s="28">
        <v>-0.21007933130631584</v>
      </c>
      <c r="T69" s="32">
        <v>25.888675674000002</v>
      </c>
      <c r="U69" s="32">
        <v>23.219408493</v>
      </c>
      <c r="V69" s="32">
        <v>28.894566407999999</v>
      </c>
      <c r="W69" s="32">
        <v>27.040369633000001</v>
      </c>
      <c r="X69" s="32">
        <v>29.203599204</v>
      </c>
      <c r="Y69" s="32">
        <v>30.362472188000002</v>
      </c>
      <c r="Z69" s="32">
        <v>30.439730387000001</v>
      </c>
      <c r="AA69" s="32">
        <v>29.821664796</v>
      </c>
      <c r="AB69" s="32">
        <v>32.084477249999999</v>
      </c>
      <c r="AC69" s="32">
        <v>34.223442400000003</v>
      </c>
      <c r="AD69" s="32">
        <v>32.957524249999999</v>
      </c>
      <c r="AE69" s="32">
        <v>20.7</v>
      </c>
    </row>
    <row r="70" spans="1:31" x14ac:dyDescent="0.25">
      <c r="A70" t="s">
        <v>245</v>
      </c>
      <c r="B70" s="27" t="s">
        <v>63</v>
      </c>
      <c r="C70" s="28">
        <v>-0.11663216011042099</v>
      </c>
      <c r="D70" s="28">
        <v>0.21875</v>
      </c>
      <c r="E70" s="28">
        <v>3.2051282051282159E-2</v>
      </c>
      <c r="F70" s="28">
        <v>0.16521739130434776</v>
      </c>
      <c r="G70" s="28">
        <v>-6.6098081023454158E-2</v>
      </c>
      <c r="H70" s="28">
        <v>0.10730593607305949</v>
      </c>
      <c r="I70" s="28">
        <v>-9.2783505154639179E-2</v>
      </c>
      <c r="J70" s="28">
        <v>1.647727272727284E-2</v>
      </c>
      <c r="K70" s="28">
        <v>0.10899944102850756</v>
      </c>
      <c r="L70" s="28">
        <v>0.10383064516129026</v>
      </c>
      <c r="M70" s="28">
        <v>-0.44246575342465755</v>
      </c>
      <c r="N70" s="29"/>
      <c r="O70" s="28">
        <v>-1.3923013923013872E-2</v>
      </c>
      <c r="P70" s="30" t="s">
        <v>63</v>
      </c>
      <c r="Q70" s="31"/>
      <c r="R70" s="28">
        <v>-0.16908212560386449</v>
      </c>
      <c r="T70" s="32">
        <v>72.45</v>
      </c>
      <c r="U70" s="32">
        <v>64</v>
      </c>
      <c r="V70" s="32">
        <v>78</v>
      </c>
      <c r="W70" s="32">
        <v>80.5</v>
      </c>
      <c r="X70" s="32">
        <v>93.8</v>
      </c>
      <c r="Y70" s="32">
        <v>87.6</v>
      </c>
      <c r="Z70" s="32">
        <v>97</v>
      </c>
      <c r="AA70" s="32">
        <v>88</v>
      </c>
      <c r="AB70" s="32">
        <v>89.45</v>
      </c>
      <c r="AC70" s="32">
        <v>99.2</v>
      </c>
      <c r="AD70" s="32">
        <v>109.5</v>
      </c>
      <c r="AE70" s="32">
        <v>61.05</v>
      </c>
    </row>
    <row r="71" spans="1:31" x14ac:dyDescent="0.25">
      <c r="A71" t="s">
        <v>243</v>
      </c>
      <c r="B71" s="27" t="s">
        <v>64</v>
      </c>
      <c r="C71" s="28">
        <v>-0.18478260869565211</v>
      </c>
      <c r="D71" s="28">
        <v>4.5333333333333226E-2</v>
      </c>
      <c r="E71" s="28">
        <v>-4.84693877551019E-2</v>
      </c>
      <c r="F71" s="28">
        <v>0.13941018766756041</v>
      </c>
      <c r="G71" s="28">
        <v>8.2352941176470518E-2</v>
      </c>
      <c r="H71" s="28">
        <v>2.1739130434782483E-2</v>
      </c>
      <c r="I71" s="28">
        <v>-9.9999999999999978E-2</v>
      </c>
      <c r="J71" s="28">
        <v>0.14321251863436424</v>
      </c>
      <c r="K71" s="28">
        <v>0.17234042553191498</v>
      </c>
      <c r="L71" s="28">
        <v>-7.0780399274047112E-2</v>
      </c>
      <c r="M71" s="28">
        <v>-0.216796875</v>
      </c>
      <c r="N71" s="29"/>
      <c r="O71" s="28">
        <v>-1.4962593516209544E-2</v>
      </c>
      <c r="P71" s="30" t="s">
        <v>64</v>
      </c>
      <c r="Q71" s="31"/>
      <c r="R71" s="28">
        <v>-0.11649554266409434</v>
      </c>
      <c r="T71" s="32">
        <v>44.708320000000001</v>
      </c>
      <c r="U71" s="32">
        <v>36.447000000000003</v>
      </c>
      <c r="V71" s="32">
        <v>38.099263999999998</v>
      </c>
      <c r="W71" s="32">
        <v>36.252616000000003</v>
      </c>
      <c r="X71" s="32">
        <v>41.306600000000003</v>
      </c>
      <c r="Y71" s="32">
        <v>44.708320000000001</v>
      </c>
      <c r="Z71" s="32">
        <v>45.680239999999998</v>
      </c>
      <c r="AA71" s="32">
        <v>41.112215999999997</v>
      </c>
      <c r="AB71" s="32">
        <v>47</v>
      </c>
      <c r="AC71" s="32">
        <v>55.1</v>
      </c>
      <c r="AD71" s="32">
        <v>51.2</v>
      </c>
      <c r="AE71" s="32">
        <v>40.1</v>
      </c>
    </row>
    <row r="72" spans="1:31" x14ac:dyDescent="0.25">
      <c r="A72" t="s">
        <v>222</v>
      </c>
      <c r="B72" s="27" t="s">
        <v>65</v>
      </c>
      <c r="C72" s="28">
        <v>-7.3815751235105975E-2</v>
      </c>
      <c r="D72" s="28">
        <v>6.5892689049262598E-2</v>
      </c>
      <c r="E72" s="28">
        <v>-3.473653223432438E-2</v>
      </c>
      <c r="F72" s="28">
        <v>0.30832570905763945</v>
      </c>
      <c r="G72" s="28">
        <v>-8.2983682983682971E-2</v>
      </c>
      <c r="H72" s="28">
        <v>1.0421962379257854E-2</v>
      </c>
      <c r="I72" s="28">
        <v>-9.1823899371069162E-2</v>
      </c>
      <c r="J72" s="28">
        <v>0.30025215743329969</v>
      </c>
      <c r="K72" s="28">
        <v>0.39647085101630575</v>
      </c>
      <c r="L72" s="28">
        <v>-2.2552783109405006E-2</v>
      </c>
      <c r="M72" s="28">
        <v>-0.51873670430371455</v>
      </c>
      <c r="N72" s="29"/>
      <c r="O72" s="28">
        <v>-2.0741244474668519E-2</v>
      </c>
      <c r="P72" s="30" t="s">
        <v>65</v>
      </c>
      <c r="Q72" s="31"/>
      <c r="R72" s="28">
        <v>-0.12248306674083975</v>
      </c>
      <c r="T72" s="32">
        <v>164.09939745</v>
      </c>
      <c r="U72" s="32">
        <v>151.98627715000001</v>
      </c>
      <c r="V72" s="32">
        <v>162.00106165</v>
      </c>
      <c r="W72" s="32">
        <v>156.37370655000001</v>
      </c>
      <c r="X72" s="32">
        <v>204.5877405</v>
      </c>
      <c r="Y72" s="32">
        <v>187.61029629999999</v>
      </c>
      <c r="Z72" s="32">
        <v>189.56556375</v>
      </c>
      <c r="AA72" s="32">
        <v>172.15891450000001</v>
      </c>
      <c r="AB72" s="32">
        <v>223.85</v>
      </c>
      <c r="AC72" s="32">
        <v>312.60000000000002</v>
      </c>
      <c r="AD72" s="32">
        <v>305.55</v>
      </c>
      <c r="AE72" s="32">
        <v>147.05000000000001</v>
      </c>
    </row>
    <row r="73" spans="1:31" x14ac:dyDescent="0.25">
      <c r="A73" t="s">
        <v>248</v>
      </c>
      <c r="B73" s="27" t="s">
        <v>66</v>
      </c>
      <c r="C73" s="28">
        <v>-0.32812499999999989</v>
      </c>
      <c r="D73" s="28">
        <v>0.13289036544850497</v>
      </c>
      <c r="E73" s="28">
        <v>-4.3988269794721369E-2</v>
      </c>
      <c r="F73" s="28">
        <v>0.1042944785276072</v>
      </c>
      <c r="G73" s="28">
        <v>-1.388888888888884E-2</v>
      </c>
      <c r="H73" s="28">
        <v>4.2253521126760507E-2</v>
      </c>
      <c r="I73" s="28">
        <v>0.16216216216216206</v>
      </c>
      <c r="J73" s="28">
        <v>-0.21395348837209305</v>
      </c>
      <c r="K73" s="28">
        <v>-4.7337278106508673E-2</v>
      </c>
      <c r="L73" s="28">
        <v>-6.8322981366459756E-2</v>
      </c>
      <c r="M73" s="28">
        <v>0.10000000000000009</v>
      </c>
      <c r="N73" s="29"/>
      <c r="O73" s="28">
        <v>-2.4242424242424176E-2</v>
      </c>
      <c r="P73" s="30" t="s">
        <v>66</v>
      </c>
      <c r="Q73" s="31"/>
      <c r="R73" s="28">
        <v>-0.28124999999999978</v>
      </c>
      <c r="T73" s="32">
        <v>22.4</v>
      </c>
      <c r="U73" s="32">
        <v>15.05</v>
      </c>
      <c r="V73" s="32">
        <v>17.05</v>
      </c>
      <c r="W73" s="32">
        <v>16.3</v>
      </c>
      <c r="X73" s="32">
        <v>18</v>
      </c>
      <c r="Y73" s="32">
        <v>17.75</v>
      </c>
      <c r="Z73" s="32">
        <v>18.5</v>
      </c>
      <c r="AA73" s="32">
        <v>21.5</v>
      </c>
      <c r="AB73" s="32">
        <v>16.899999999999999</v>
      </c>
      <c r="AC73" s="32">
        <v>16.100000000000001</v>
      </c>
      <c r="AD73" s="32">
        <v>15</v>
      </c>
      <c r="AE73" s="32">
        <v>16.5</v>
      </c>
    </row>
    <row r="74" spans="1:31" x14ac:dyDescent="0.25">
      <c r="A74" t="s">
        <v>221</v>
      </c>
      <c r="B74" s="27" t="s">
        <v>67</v>
      </c>
      <c r="C74" s="28">
        <v>-0.21202082347373408</v>
      </c>
      <c r="D74" s="28">
        <v>0.22402402402402388</v>
      </c>
      <c r="E74" s="28">
        <v>1.3738959764475034E-2</v>
      </c>
      <c r="F74" s="28">
        <v>0.31026137463697978</v>
      </c>
      <c r="G74" s="28">
        <v>-0.10749907646841528</v>
      </c>
      <c r="H74" s="28">
        <v>-8.3609271523178763E-2</v>
      </c>
      <c r="I74" s="28">
        <v>-0.12420957542908773</v>
      </c>
      <c r="J74" s="28">
        <v>0.19846152376187876</v>
      </c>
      <c r="K74" s="28">
        <v>0.32170880557977322</v>
      </c>
      <c r="L74" s="28">
        <v>6.8931398416886669E-2</v>
      </c>
      <c r="M74" s="28">
        <v>-0.57327985189756248</v>
      </c>
      <c r="N74" s="29"/>
      <c r="O74" s="28">
        <v>-3.1091829356471479E-2</v>
      </c>
      <c r="P74" s="30" t="s">
        <v>67</v>
      </c>
      <c r="Q74" s="31"/>
      <c r="R74" s="28">
        <v>-0.35758778146956371</v>
      </c>
      <c r="T74" s="32">
        <v>104.29440485000001</v>
      </c>
      <c r="U74" s="32">
        <v>82.181819250000004</v>
      </c>
      <c r="V74" s="32">
        <v>100.5925211</v>
      </c>
      <c r="W74" s="32">
        <v>101.97455770000001</v>
      </c>
      <c r="X74" s="32">
        <v>133.61332415000001</v>
      </c>
      <c r="Y74" s="32">
        <v>119.25001520000001</v>
      </c>
      <c r="Z74" s="32">
        <v>109.27960830000001</v>
      </c>
      <c r="AA74" s="32">
        <v>95.706034549999998</v>
      </c>
      <c r="AB74" s="32">
        <v>114.7</v>
      </c>
      <c r="AC74" s="32">
        <v>151.6</v>
      </c>
      <c r="AD74" s="32">
        <v>162.05000000000001</v>
      </c>
      <c r="AE74" s="32">
        <v>69.150000000000006</v>
      </c>
    </row>
    <row r="75" spans="1:31" x14ac:dyDescent="0.25">
      <c r="A75" t="s">
        <v>241</v>
      </c>
      <c r="B75" s="27" t="s">
        <v>68</v>
      </c>
      <c r="C75" s="28">
        <v>-8.7500000000000022E-2</v>
      </c>
      <c r="D75" s="28">
        <v>-9.5397111403247026E-2</v>
      </c>
      <c r="E75" s="28">
        <v>-2.4704065877509063E-2</v>
      </c>
      <c r="F75" s="28">
        <v>2.9023746701847042E-2</v>
      </c>
      <c r="G75" s="28">
        <v>0.10846153846153839</v>
      </c>
      <c r="H75" s="28">
        <v>-2.8452463566967401E-2</v>
      </c>
      <c r="I75" s="28">
        <v>-5.4761904761904789E-2</v>
      </c>
      <c r="J75" s="28">
        <v>-4.2821158690176331E-2</v>
      </c>
      <c r="K75" s="28">
        <v>3.1578947368421151E-2</v>
      </c>
      <c r="L75" s="28">
        <v>2.0408163265306145E-2</v>
      </c>
      <c r="M75" s="28">
        <v>-0.25025000000000008</v>
      </c>
      <c r="N75" s="29"/>
      <c r="O75" s="28">
        <v>-3.3011003667889227E-2</v>
      </c>
      <c r="P75" s="30" t="s">
        <v>68</v>
      </c>
      <c r="Q75" s="31"/>
      <c r="R75" s="28">
        <v>-0.38399243593691268</v>
      </c>
      <c r="T75" s="32">
        <v>235.38672</v>
      </c>
      <c r="U75" s="32">
        <v>214.79038199999999</v>
      </c>
      <c r="V75" s="32">
        <v>194.3</v>
      </c>
      <c r="W75" s="32">
        <v>189.5</v>
      </c>
      <c r="X75" s="32">
        <v>195</v>
      </c>
      <c r="Y75" s="32">
        <v>216.15</v>
      </c>
      <c r="Z75" s="32">
        <v>210</v>
      </c>
      <c r="AA75" s="32">
        <v>198.5</v>
      </c>
      <c r="AB75" s="32">
        <v>190</v>
      </c>
      <c r="AC75" s="32">
        <v>196</v>
      </c>
      <c r="AD75" s="32">
        <v>200</v>
      </c>
      <c r="AE75" s="32">
        <v>149.94999999999999</v>
      </c>
    </row>
    <row r="76" spans="1:31" x14ac:dyDescent="0.25">
      <c r="A76" t="s">
        <v>254</v>
      </c>
      <c r="B76" s="27" t="s">
        <v>69</v>
      </c>
      <c r="C76" s="28">
        <v>-0.17500000000000004</v>
      </c>
      <c r="D76" s="28">
        <v>-9.0909090909090828E-2</v>
      </c>
      <c r="E76" s="28">
        <v>5.0000000000000044E-2</v>
      </c>
      <c r="F76" s="28">
        <v>-9.5238095238095233E-2</v>
      </c>
      <c r="G76" s="28">
        <v>3.5087719298245723E-2</v>
      </c>
      <c r="H76" s="28">
        <v>-5.0847457627118731E-2</v>
      </c>
      <c r="I76" s="28">
        <v>-0.12499999999999989</v>
      </c>
      <c r="J76" s="28">
        <v>0.21428571428571419</v>
      </c>
      <c r="K76" s="28">
        <v>8.4033613445377853E-3</v>
      </c>
      <c r="L76" s="28">
        <v>-2.5000000000000022E-2</v>
      </c>
      <c r="M76" s="28">
        <v>2.5641025641025772E-2</v>
      </c>
      <c r="N76" s="29"/>
      <c r="O76" s="28">
        <v>-3.3333333333333326E-2</v>
      </c>
      <c r="P76" s="30" t="s">
        <v>69</v>
      </c>
      <c r="Q76" s="31"/>
      <c r="R76" s="28">
        <v>-0.27499999999999969</v>
      </c>
      <c r="T76" s="32">
        <v>8</v>
      </c>
      <c r="U76" s="32">
        <v>6.6</v>
      </c>
      <c r="V76" s="32">
        <v>6</v>
      </c>
      <c r="W76" s="32">
        <v>6.3</v>
      </c>
      <c r="X76" s="32">
        <v>5.7</v>
      </c>
      <c r="Y76" s="32">
        <v>5.9</v>
      </c>
      <c r="Z76" s="32">
        <v>5.6</v>
      </c>
      <c r="AA76" s="32">
        <v>4.9000000000000004</v>
      </c>
      <c r="AB76" s="32">
        <v>5.95</v>
      </c>
      <c r="AC76" s="32">
        <v>6</v>
      </c>
      <c r="AD76" s="32">
        <v>5.85</v>
      </c>
      <c r="AE76" s="32">
        <v>6</v>
      </c>
    </row>
    <row r="77" spans="1:31" x14ac:dyDescent="0.25">
      <c r="A77" t="s">
        <v>255</v>
      </c>
      <c r="B77" s="27" t="s">
        <v>70</v>
      </c>
      <c r="C77" s="28">
        <v>-6.3788027477919562E-2</v>
      </c>
      <c r="D77" s="28">
        <v>0.12683438155136262</v>
      </c>
      <c r="E77" s="28">
        <v>-0.13023255813953494</v>
      </c>
      <c r="F77" s="28">
        <v>0.1390374331550801</v>
      </c>
      <c r="G77" s="28">
        <v>-4.6948356807511749E-2</v>
      </c>
      <c r="H77" s="28">
        <v>-5.2216748768472931E-2</v>
      </c>
      <c r="I77" s="28">
        <v>-0.2214137214137214</v>
      </c>
      <c r="J77" s="28">
        <v>0.21361815754339109</v>
      </c>
      <c r="K77" s="28">
        <v>0.30803080308030806</v>
      </c>
      <c r="L77" s="28">
        <v>-2.5231286795626584E-2</v>
      </c>
      <c r="M77" s="28">
        <v>-0.43744607420189818</v>
      </c>
      <c r="N77" s="29"/>
      <c r="O77" s="28">
        <v>-3.3742331288343586E-2</v>
      </c>
      <c r="P77" s="30" t="s">
        <v>70</v>
      </c>
      <c r="Q77" s="31"/>
      <c r="R77" s="28">
        <v>-0.38174681059862614</v>
      </c>
      <c r="T77" s="32">
        <v>50.95</v>
      </c>
      <c r="U77" s="32">
        <v>47.7</v>
      </c>
      <c r="V77" s="32">
        <v>53.75</v>
      </c>
      <c r="W77" s="32">
        <v>46.75</v>
      </c>
      <c r="X77" s="32">
        <v>53.25</v>
      </c>
      <c r="Y77" s="32">
        <v>50.75</v>
      </c>
      <c r="Z77" s="32">
        <v>48.1</v>
      </c>
      <c r="AA77" s="32">
        <v>37.450000000000003</v>
      </c>
      <c r="AB77" s="32">
        <v>45.45</v>
      </c>
      <c r="AC77" s="32">
        <v>59.45</v>
      </c>
      <c r="AD77" s="32">
        <v>57.95</v>
      </c>
      <c r="AE77" s="32">
        <v>32.6</v>
      </c>
    </row>
    <row r="78" spans="1:31" x14ac:dyDescent="0.25">
      <c r="A78" t="s">
        <v>268</v>
      </c>
      <c r="B78" s="27" t="s">
        <v>71</v>
      </c>
      <c r="C78" s="28">
        <v>-0.14537379718726873</v>
      </c>
      <c r="D78" s="28">
        <v>-7.9681274900398447E-2</v>
      </c>
      <c r="E78" s="28">
        <v>-0.10239036325992845</v>
      </c>
      <c r="F78" s="28">
        <v>0.14908785908995603</v>
      </c>
      <c r="G78" s="28">
        <v>-5.6569343065693389E-2</v>
      </c>
      <c r="H78" s="28">
        <v>-0.13442940038684714</v>
      </c>
      <c r="I78" s="28">
        <v>-0.1608938547486034</v>
      </c>
      <c r="J78" s="28">
        <v>0.16644474034620504</v>
      </c>
      <c r="K78" s="28">
        <v>0.19634703196347036</v>
      </c>
      <c r="L78" s="28">
        <v>-7.4427480916030575E-2</v>
      </c>
      <c r="M78" s="28">
        <v>-0.39278350515463922</v>
      </c>
      <c r="N78" s="29"/>
      <c r="O78" s="28">
        <v>-3.5653650254668934E-2</v>
      </c>
      <c r="P78" s="33" t="s">
        <v>71</v>
      </c>
      <c r="Q78" s="31"/>
      <c r="R78" s="28">
        <v>-0.57957068837897863</v>
      </c>
      <c r="T78" s="32">
        <v>337.75</v>
      </c>
      <c r="U78" s="32">
        <v>288.64999999999998</v>
      </c>
      <c r="V78" s="32">
        <v>265.64999999999998</v>
      </c>
      <c r="W78" s="32">
        <v>238.45</v>
      </c>
      <c r="X78" s="32">
        <v>274</v>
      </c>
      <c r="Y78" s="32">
        <v>258.5</v>
      </c>
      <c r="Z78" s="32">
        <v>223.75</v>
      </c>
      <c r="AA78" s="32">
        <v>187.75</v>
      </c>
      <c r="AB78" s="32">
        <v>219</v>
      </c>
      <c r="AC78" s="32">
        <v>262</v>
      </c>
      <c r="AD78" s="32">
        <v>242.5</v>
      </c>
      <c r="AE78" s="32">
        <v>147.25</v>
      </c>
    </row>
    <row r="79" spans="1:31" x14ac:dyDescent="0.25">
      <c r="A79" t="s">
        <v>214</v>
      </c>
      <c r="B79" s="27" t="s">
        <v>72</v>
      </c>
      <c r="C79" s="28">
        <v>-0.24166187464059807</v>
      </c>
      <c r="D79" s="28">
        <v>-0.11981042654028429</v>
      </c>
      <c r="E79" s="28">
        <v>-0.11565797975446912</v>
      </c>
      <c r="F79" s="28">
        <v>0.13395031660983925</v>
      </c>
      <c r="G79" s="28">
        <v>0.11941580756013748</v>
      </c>
      <c r="H79" s="28">
        <v>0.18016116653875658</v>
      </c>
      <c r="I79" s="28">
        <v>-1.6257519102591544E-4</v>
      </c>
      <c r="J79" s="28">
        <v>-0.14552845528455283</v>
      </c>
      <c r="K79" s="28">
        <v>6.1941008563273003E-2</v>
      </c>
      <c r="L79" s="28">
        <v>-1.8546725203834602E-2</v>
      </c>
      <c r="M79" s="28">
        <v>0.25461018805915625</v>
      </c>
      <c r="N79" s="29"/>
      <c r="O79" s="28">
        <v>-4.2421596449101373E-2</v>
      </c>
      <c r="P79" s="30" t="s">
        <v>72</v>
      </c>
      <c r="Q79" s="31"/>
      <c r="R79" s="28">
        <v>-5.4054054054054168E-2</v>
      </c>
      <c r="T79" s="32">
        <v>695.6</v>
      </c>
      <c r="U79" s="32">
        <v>527.5</v>
      </c>
      <c r="V79" s="32">
        <v>464.3</v>
      </c>
      <c r="W79" s="32">
        <v>410.6</v>
      </c>
      <c r="X79" s="32">
        <v>465.6</v>
      </c>
      <c r="Y79" s="32">
        <v>521.20000000000005</v>
      </c>
      <c r="Z79" s="32">
        <v>615.1</v>
      </c>
      <c r="AA79" s="32">
        <v>615</v>
      </c>
      <c r="AB79" s="32">
        <v>525.5</v>
      </c>
      <c r="AC79" s="32">
        <v>558.04999999999995</v>
      </c>
      <c r="AD79" s="32">
        <v>547.70000000000005</v>
      </c>
      <c r="AE79" s="32">
        <v>687.15</v>
      </c>
    </row>
    <row r="80" spans="1:31" x14ac:dyDescent="0.25">
      <c r="A80" t="s">
        <v>215</v>
      </c>
      <c r="B80" s="27" t="s">
        <v>73</v>
      </c>
      <c r="C80" s="28">
        <v>-0.15868333203860374</v>
      </c>
      <c r="D80" s="28">
        <v>4.669188889914655E-2</v>
      </c>
      <c r="E80" s="28">
        <v>-0.10912030946762052</v>
      </c>
      <c r="F80" s="28">
        <v>0.20740814497660054</v>
      </c>
      <c r="G80" s="28">
        <v>-8.5931057232393249E-2</v>
      </c>
      <c r="H80" s="28">
        <v>0.10068567304222298</v>
      </c>
      <c r="I80" s="28">
        <v>-1.6393442622950838E-2</v>
      </c>
      <c r="J80" s="28">
        <v>0.10525000000000007</v>
      </c>
      <c r="K80" s="28">
        <v>0.17612908090175683</v>
      </c>
      <c r="L80" s="28">
        <v>-5.5021481104864156E-2</v>
      </c>
      <c r="M80" s="28">
        <v>-0.24307881605031112</v>
      </c>
      <c r="N80" s="29"/>
      <c r="O80" s="28">
        <v>-4.4522712905264994E-2</v>
      </c>
      <c r="P80" s="30" t="s">
        <v>73</v>
      </c>
      <c r="Q80" s="31"/>
      <c r="R80" s="28">
        <v>-0.16723268813991288</v>
      </c>
      <c r="T80" s="32">
        <v>635.23146557999996</v>
      </c>
      <c r="U80" s="32">
        <v>534.43082000599998</v>
      </c>
      <c r="V80" s="32">
        <v>559.38440447799996</v>
      </c>
      <c r="W80" s="32">
        <v>498.34420514999999</v>
      </c>
      <c r="X80" s="32">
        <v>601.70485229999997</v>
      </c>
      <c r="Y80" s="32">
        <v>549.99971819999996</v>
      </c>
      <c r="Z80" s="32">
        <v>605.37680999999998</v>
      </c>
      <c r="AA80" s="32">
        <v>595.45259999999996</v>
      </c>
      <c r="AB80" s="32">
        <v>658.12398614999995</v>
      </c>
      <c r="AC80" s="32">
        <v>774.03875894999999</v>
      </c>
      <c r="AD80" s="32">
        <v>731.45</v>
      </c>
      <c r="AE80" s="32">
        <v>553.65</v>
      </c>
    </row>
    <row r="81" spans="1:31" x14ac:dyDescent="0.25">
      <c r="A81" t="s">
        <v>208</v>
      </c>
      <c r="B81" s="27" t="s">
        <v>74</v>
      </c>
      <c r="C81" s="28">
        <v>-0.22448979591836737</v>
      </c>
      <c r="D81" s="28">
        <v>-1.9205899504810553E-3</v>
      </c>
      <c r="E81" s="28">
        <v>-1.8518518518518379E-2</v>
      </c>
      <c r="F81" s="28">
        <v>-0.16442048517520214</v>
      </c>
      <c r="G81" s="28">
        <v>1.0580645161290323</v>
      </c>
      <c r="H81" s="28">
        <v>-0.21630094043887149</v>
      </c>
      <c r="I81" s="28">
        <v>-0.16000000000000003</v>
      </c>
      <c r="J81" s="28">
        <v>0.28571428571428581</v>
      </c>
      <c r="K81" s="28">
        <v>-0.2592592592592593</v>
      </c>
      <c r="L81" s="28">
        <v>6.0000000000000053E-2</v>
      </c>
      <c r="M81" s="28">
        <v>-5.8962264150943411E-2</v>
      </c>
      <c r="N81" s="29"/>
      <c r="O81" s="28">
        <v>-5.5137844611528708E-2</v>
      </c>
      <c r="P81" s="30" t="s">
        <v>74</v>
      </c>
      <c r="Q81" s="31"/>
      <c r="R81" s="28">
        <v>-0.22802690700953399</v>
      </c>
      <c r="T81" s="32">
        <v>24.417949499999999</v>
      </c>
      <c r="U81" s="32">
        <v>18.936368999999999</v>
      </c>
      <c r="V81" s="32">
        <v>18.899999999999999</v>
      </c>
      <c r="W81" s="32">
        <v>18.55</v>
      </c>
      <c r="X81" s="32">
        <v>15.5</v>
      </c>
      <c r="Y81" s="32">
        <v>31.9</v>
      </c>
      <c r="Z81" s="32">
        <v>25</v>
      </c>
      <c r="AA81" s="32">
        <v>21</v>
      </c>
      <c r="AB81" s="32">
        <v>27</v>
      </c>
      <c r="AC81" s="32">
        <v>20</v>
      </c>
      <c r="AD81" s="32">
        <v>21.2</v>
      </c>
      <c r="AE81" s="32">
        <v>19.95</v>
      </c>
    </row>
    <row r="82" spans="1:31" x14ac:dyDescent="0.25">
      <c r="A82" t="s">
        <v>237</v>
      </c>
      <c r="B82" s="27" t="s">
        <v>75</v>
      </c>
      <c r="C82" s="28">
        <v>-0.17146974063400577</v>
      </c>
      <c r="D82" s="28">
        <v>-0.10608695652173916</v>
      </c>
      <c r="E82" s="28">
        <v>-7.9766536964980372E-2</v>
      </c>
      <c r="F82" s="28">
        <v>2.5369978858350795E-2</v>
      </c>
      <c r="G82" s="28">
        <v>3.0927835051546504E-2</v>
      </c>
      <c r="H82" s="28">
        <v>-0.1359999999999999</v>
      </c>
      <c r="I82" s="28">
        <v>6.9444444444441977E-3</v>
      </c>
      <c r="J82" s="28">
        <v>-2.0689655172413723E-2</v>
      </c>
      <c r="K82" s="28">
        <v>2.1126760563380254E-2</v>
      </c>
      <c r="L82" s="28">
        <v>8.0459770114942764E-2</v>
      </c>
      <c r="M82" s="28">
        <v>-0.13191489361702124</v>
      </c>
      <c r="N82" s="29"/>
      <c r="O82" s="28">
        <v>-5.6372549019607865E-2</v>
      </c>
      <c r="P82" s="30" t="s">
        <v>75</v>
      </c>
      <c r="Q82" s="31"/>
      <c r="R82" s="28">
        <v>-0.44524495677233433</v>
      </c>
      <c r="T82" s="32">
        <v>6.94</v>
      </c>
      <c r="U82" s="32">
        <v>5.75</v>
      </c>
      <c r="V82" s="32">
        <v>5.14</v>
      </c>
      <c r="W82" s="32">
        <v>4.7300000000000004</v>
      </c>
      <c r="X82" s="32">
        <v>4.8499999999999996</v>
      </c>
      <c r="Y82" s="32">
        <v>5</v>
      </c>
      <c r="Z82" s="32">
        <v>4.32</v>
      </c>
      <c r="AA82" s="32">
        <v>4.3499999999999996</v>
      </c>
      <c r="AB82" s="32">
        <v>4.26</v>
      </c>
      <c r="AC82" s="32">
        <v>4.3499999999999996</v>
      </c>
      <c r="AD82" s="32">
        <v>4.7</v>
      </c>
      <c r="AE82" s="32">
        <v>4.08</v>
      </c>
    </row>
    <row r="83" spans="1:31" x14ac:dyDescent="0.25">
      <c r="A83" t="s">
        <v>234</v>
      </c>
      <c r="B83" s="27" t="s">
        <v>76</v>
      </c>
      <c r="C83" s="28">
        <v>-1.2987012987012991E-2</v>
      </c>
      <c r="D83" s="28">
        <v>3.289473684210531E-2</v>
      </c>
      <c r="E83" s="28">
        <v>-3.1847133757961776E-2</v>
      </c>
      <c r="F83" s="28">
        <v>0.18421052631578938</v>
      </c>
      <c r="G83" s="28">
        <v>-4.4444444444444398E-2</v>
      </c>
      <c r="H83" s="28">
        <v>-0.14186046511627914</v>
      </c>
      <c r="I83" s="28">
        <v>-5.962059620596194E-2</v>
      </c>
      <c r="J83" s="28">
        <v>5.187319884726227E-2</v>
      </c>
      <c r="K83" s="28">
        <v>0.15068493150684925</v>
      </c>
      <c r="L83" s="28">
        <v>-4.7619047619047672E-2</v>
      </c>
      <c r="M83" s="28">
        <v>-7.3750000000000093E-2</v>
      </c>
      <c r="N83" s="29"/>
      <c r="O83" s="28">
        <v>-7.6923076923076761E-2</v>
      </c>
      <c r="P83" s="30" t="s">
        <v>76</v>
      </c>
      <c r="Q83" s="31"/>
      <c r="R83" s="28">
        <v>-0.11168831168831173</v>
      </c>
      <c r="T83" s="32">
        <v>38.5</v>
      </c>
      <c r="U83" s="32">
        <v>38</v>
      </c>
      <c r="V83" s="32">
        <v>39.25</v>
      </c>
      <c r="W83" s="32">
        <v>38</v>
      </c>
      <c r="X83" s="32">
        <v>45</v>
      </c>
      <c r="Y83" s="32">
        <v>43</v>
      </c>
      <c r="Z83" s="32">
        <v>36.9</v>
      </c>
      <c r="AA83" s="32">
        <v>34.700000000000003</v>
      </c>
      <c r="AB83" s="32">
        <v>36.5</v>
      </c>
      <c r="AC83" s="32">
        <v>42</v>
      </c>
      <c r="AD83" s="32">
        <v>40</v>
      </c>
      <c r="AE83" s="32">
        <v>37.049999999999997</v>
      </c>
    </row>
    <row r="84" spans="1:31" x14ac:dyDescent="0.25">
      <c r="A84" t="s">
        <v>249</v>
      </c>
      <c r="B84" s="27" t="s">
        <v>77</v>
      </c>
      <c r="C84" s="28">
        <v>3.5256094932929027E-2</v>
      </c>
      <c r="D84" s="28">
        <v>2.2986393057836452E-2</v>
      </c>
      <c r="E84" s="28">
        <v>-1.0326086956521818E-2</v>
      </c>
      <c r="F84" s="28">
        <v>3.2399780340472306E-2</v>
      </c>
      <c r="G84" s="28">
        <v>-4.2553191489361653E-2</v>
      </c>
      <c r="H84" s="28">
        <v>-0.11111111111111116</v>
      </c>
      <c r="I84" s="28">
        <v>-6.8749999999999978E-2</v>
      </c>
      <c r="J84" s="28">
        <v>-6.0402684563758413E-2</v>
      </c>
      <c r="K84" s="28">
        <v>7.1428571428571397E-2</v>
      </c>
      <c r="L84" s="28">
        <v>-0.10666666666666669</v>
      </c>
      <c r="M84" s="28">
        <v>-0.25373134328358204</v>
      </c>
      <c r="N84" s="29"/>
      <c r="O84" s="28">
        <v>-7.999999999999996E-2</v>
      </c>
      <c r="P84" s="30" t="s">
        <v>77</v>
      </c>
      <c r="Q84" s="31"/>
      <c r="R84" s="28">
        <v>-0.47047355077671094</v>
      </c>
      <c r="T84" s="32">
        <v>43.435035272999997</v>
      </c>
      <c r="U84" s="32">
        <v>44.966385000000002</v>
      </c>
      <c r="V84" s="32">
        <v>46</v>
      </c>
      <c r="W84" s="32">
        <v>45.524999999999999</v>
      </c>
      <c r="X84" s="32">
        <v>47</v>
      </c>
      <c r="Y84" s="32">
        <v>45</v>
      </c>
      <c r="Z84" s="32">
        <v>40</v>
      </c>
      <c r="AA84" s="32">
        <v>37.25</v>
      </c>
      <c r="AB84" s="32">
        <v>35</v>
      </c>
      <c r="AC84" s="32">
        <v>37.5</v>
      </c>
      <c r="AD84" s="32">
        <v>33.5</v>
      </c>
      <c r="AE84" s="32">
        <v>25</v>
      </c>
    </row>
    <row r="85" spans="1:31" x14ac:dyDescent="0.25">
      <c r="A85" t="s">
        <v>257</v>
      </c>
      <c r="B85" s="27" t="s">
        <v>78</v>
      </c>
      <c r="C85" s="28">
        <v>-0.16425619835770122</v>
      </c>
      <c r="D85" s="28">
        <v>8.899876390457151E-2</v>
      </c>
      <c r="E85" s="28">
        <v>9.9677823579743974E-2</v>
      </c>
      <c r="F85" s="28">
        <v>0.26748057713651496</v>
      </c>
      <c r="G85" s="28">
        <v>-3.6777583187390661E-2</v>
      </c>
      <c r="H85" s="28">
        <v>-0.16090909090909089</v>
      </c>
      <c r="I85" s="28">
        <v>-0.14951245937161439</v>
      </c>
      <c r="J85" s="28">
        <v>0.17147453150717884</v>
      </c>
      <c r="K85" s="28">
        <v>0.12289780077619672</v>
      </c>
      <c r="L85" s="28">
        <v>7.2580645161290258E-2</v>
      </c>
      <c r="M85" s="28">
        <v>-0.63157894736842102</v>
      </c>
      <c r="N85" s="29"/>
      <c r="O85" s="28">
        <v>-0.10787172011661794</v>
      </c>
      <c r="P85" s="30" t="s">
        <v>78</v>
      </c>
      <c r="Q85" s="31"/>
      <c r="R85" s="28">
        <v>-0.5956237246720899</v>
      </c>
      <c r="T85" s="32">
        <v>37.836047596</v>
      </c>
      <c r="U85" s="32">
        <v>31.621242256999999</v>
      </c>
      <c r="V85" s="32">
        <v>34.435493731000001</v>
      </c>
      <c r="W85" s="32">
        <v>37.867948800000001</v>
      </c>
      <c r="X85" s="32">
        <v>47.996889600000003</v>
      </c>
      <c r="Y85" s="32">
        <v>46.231679999999997</v>
      </c>
      <c r="Z85" s="32">
        <v>38.792582400000001</v>
      </c>
      <c r="AA85" s="32">
        <v>32.992607999999997</v>
      </c>
      <c r="AB85" s="32">
        <v>38.65</v>
      </c>
      <c r="AC85" s="32">
        <v>43.4</v>
      </c>
      <c r="AD85" s="32">
        <v>46.55</v>
      </c>
      <c r="AE85" s="32">
        <v>17.149999999999999</v>
      </c>
    </row>
    <row r="86" spans="1:31" x14ac:dyDescent="0.25">
      <c r="A86" t="s">
        <v>259</v>
      </c>
      <c r="B86" s="27" t="s">
        <v>79</v>
      </c>
      <c r="C86" s="28">
        <v>-0.125</v>
      </c>
      <c r="D86" s="28">
        <v>-9.5238095238095233E-2</v>
      </c>
      <c r="E86" s="28">
        <v>1.3157894736842035E-2</v>
      </c>
      <c r="F86" s="28">
        <v>1.298701298701288E-2</v>
      </c>
      <c r="G86" s="28">
        <v>-8.2051282051282093E-2</v>
      </c>
      <c r="H86" s="28">
        <v>6.1452513966480549E-2</v>
      </c>
      <c r="I86" s="28">
        <v>-0.11052631578947381</v>
      </c>
      <c r="J86" s="28">
        <v>3.5502958579881838E-2</v>
      </c>
      <c r="K86" s="28">
        <v>8.285714285714274E-2</v>
      </c>
      <c r="L86" s="28">
        <v>-0.11609498680738783</v>
      </c>
      <c r="M86" s="28">
        <v>-7.4626865671641784E-2</v>
      </c>
      <c r="N86" s="29"/>
      <c r="O86" s="28">
        <v>-0.12903225806451613</v>
      </c>
      <c r="P86" s="30" t="s">
        <v>79</v>
      </c>
      <c r="Q86" s="31"/>
      <c r="R86" s="28">
        <v>-0.43750000000000011</v>
      </c>
      <c r="T86" s="32">
        <v>48</v>
      </c>
      <c r="U86" s="32">
        <v>42</v>
      </c>
      <c r="V86" s="32">
        <v>38</v>
      </c>
      <c r="W86" s="32">
        <v>38.5</v>
      </c>
      <c r="X86" s="32">
        <v>39</v>
      </c>
      <c r="Y86" s="32">
        <v>35.799999999999997</v>
      </c>
      <c r="Z86" s="32">
        <v>38</v>
      </c>
      <c r="AA86" s="32">
        <v>33.799999999999997</v>
      </c>
      <c r="AB86" s="32">
        <v>35</v>
      </c>
      <c r="AC86" s="32">
        <v>37.9</v>
      </c>
      <c r="AD86" s="32">
        <v>33.5</v>
      </c>
      <c r="AE86" s="32">
        <v>31</v>
      </c>
    </row>
    <row r="87" spans="1:31" hidden="1" x14ac:dyDescent="0.25">
      <c r="A87" t="s">
        <v>212</v>
      </c>
      <c r="B87" s="34" t="s">
        <v>80</v>
      </c>
      <c r="C87" s="28">
        <v>-0.16666666666666663</v>
      </c>
      <c r="D87" s="28">
        <v>-5.8823529411764719E-2</v>
      </c>
      <c r="E87" s="28">
        <v>0</v>
      </c>
      <c r="F87" s="28">
        <v>0</v>
      </c>
      <c r="G87" s="28">
        <v>0</v>
      </c>
      <c r="H87" s="28">
        <v>0</v>
      </c>
      <c r="I87" s="28">
        <v>-0.12500000000000011</v>
      </c>
      <c r="J87" s="28">
        <v>0</v>
      </c>
      <c r="K87" s="28">
        <v>928.48162345119329</v>
      </c>
      <c r="L87" s="28">
        <v>-0.99910500000000002</v>
      </c>
      <c r="M87" s="35">
        <v>3.9106145251396773E-2</v>
      </c>
      <c r="N87" s="29"/>
      <c r="O87" s="28">
        <v>-3.2258064516129115E-2</v>
      </c>
      <c r="P87" s="36" t="s">
        <v>80</v>
      </c>
      <c r="Q87" s="37"/>
      <c r="R87" s="28">
        <v>-0.4259084090448646</v>
      </c>
      <c r="T87" s="32">
        <v>3.1353882</v>
      </c>
      <c r="U87" s="32">
        <v>2.6128235000000002</v>
      </c>
      <c r="V87" s="32">
        <v>2.4591280000000002</v>
      </c>
      <c r="W87" s="32">
        <v>2.4591280000000002</v>
      </c>
      <c r="X87" s="32">
        <v>2.4591280000000002</v>
      </c>
      <c r="Y87" s="32">
        <v>2.4591280000000002</v>
      </c>
      <c r="Z87" s="32">
        <v>2.4591280000000002</v>
      </c>
      <c r="AA87" s="32">
        <v>2.1517369999999998</v>
      </c>
      <c r="AB87" s="32">
        <v>2.1517369999999998</v>
      </c>
      <c r="AC87" s="32">
        <v>2000</v>
      </c>
      <c r="AD87" s="32">
        <v>1.79</v>
      </c>
      <c r="AE87" s="32">
        <v>1.86</v>
      </c>
    </row>
    <row r="88" spans="1:31" x14ac:dyDescent="0.25">
      <c r="B88" s="38"/>
      <c r="O88" s="39"/>
      <c r="P88" s="30"/>
    </row>
    <row r="89" spans="1:31" x14ac:dyDescent="0.25">
      <c r="B89" s="38"/>
      <c r="O89" s="31"/>
      <c r="P89" s="30"/>
    </row>
    <row r="90" spans="1:31" x14ac:dyDescent="0.25">
      <c r="O90" s="31"/>
      <c r="P90" s="30"/>
    </row>
    <row r="91" spans="1:31" x14ac:dyDescent="0.25">
      <c r="M91" s="40"/>
    </row>
    <row r="92" spans="1:31" x14ac:dyDescent="0.25">
      <c r="M92" s="40"/>
    </row>
    <row r="93" spans="1:31" x14ac:dyDescent="0.25">
      <c r="M93" s="40"/>
    </row>
    <row r="94" spans="1:31" x14ac:dyDescent="0.25">
      <c r="M94" s="40"/>
    </row>
    <row r="95" spans="1:31" x14ac:dyDescent="0.25">
      <c r="M95" s="40"/>
    </row>
    <row r="96" spans="1:31" x14ac:dyDescent="0.25">
      <c r="M96" s="40"/>
    </row>
    <row r="97" spans="5:13" x14ac:dyDescent="0.25">
      <c r="M97" s="40"/>
    </row>
    <row r="98" spans="5:13" x14ac:dyDescent="0.25">
      <c r="M98" s="40"/>
    </row>
    <row r="99" spans="5:13" x14ac:dyDescent="0.25">
      <c r="M99" s="40"/>
    </row>
    <row r="100" spans="5:13" x14ac:dyDescent="0.25">
      <c r="E100" s="40">
        <v>0.2</v>
      </c>
      <c r="F100" t="s">
        <v>81</v>
      </c>
      <c r="H100" t="s">
        <v>82</v>
      </c>
    </row>
    <row r="101" spans="5:13" x14ac:dyDescent="0.25">
      <c r="E101" s="40">
        <v>0.15000000000000002</v>
      </c>
      <c r="F101" t="s">
        <v>83</v>
      </c>
      <c r="H101" t="s">
        <v>84</v>
      </c>
    </row>
    <row r="102" spans="5:13" x14ac:dyDescent="0.25">
      <c r="E102" s="40">
        <v>0.10000000000000002</v>
      </c>
      <c r="F102" t="s">
        <v>85</v>
      </c>
      <c r="H102" t="s">
        <v>86</v>
      </c>
    </row>
    <row r="103" spans="5:13" x14ac:dyDescent="0.25">
      <c r="E103" s="40">
        <v>5.0000000000000017E-2</v>
      </c>
      <c r="F103" t="s">
        <v>87</v>
      </c>
      <c r="H103" t="s">
        <v>88</v>
      </c>
    </row>
    <row r="104" spans="5:13" x14ac:dyDescent="0.25">
      <c r="E104" s="40">
        <v>-0.05</v>
      </c>
      <c r="F104" t="s">
        <v>89</v>
      </c>
      <c r="H104" t="s">
        <v>90</v>
      </c>
    </row>
    <row r="105" spans="5:13" x14ac:dyDescent="0.25">
      <c r="E105" s="40">
        <v>-0.1</v>
      </c>
      <c r="F105" t="s">
        <v>91</v>
      </c>
    </row>
    <row r="106" spans="5:13" x14ac:dyDescent="0.25">
      <c r="E106" s="40">
        <v>-0.15000000000000002</v>
      </c>
      <c r="F106" t="s">
        <v>92</v>
      </c>
    </row>
    <row r="107" spans="5:13" x14ac:dyDescent="0.25">
      <c r="E107" s="40">
        <v>-0.2</v>
      </c>
      <c r="F107" t="s">
        <v>93</v>
      </c>
    </row>
    <row r="108" spans="5:13" x14ac:dyDescent="0.25">
      <c r="E108" s="40"/>
    </row>
  </sheetData>
  <mergeCells count="17">
    <mergeCell ref="R12:R13"/>
    <mergeCell ref="K12:K13"/>
    <mergeCell ref="L12:L13"/>
    <mergeCell ref="M12:M13"/>
    <mergeCell ref="O12:O13"/>
    <mergeCell ref="P12:P13"/>
    <mergeCell ref="Q12:Q13"/>
    <mergeCell ref="C11:M11"/>
    <mergeCell ref="B12:B13"/>
    <mergeCell ref="C12:C13"/>
    <mergeCell ref="D12:D13"/>
    <mergeCell ref="E12:E13"/>
    <mergeCell ref="F12:F13"/>
    <mergeCell ref="G12:G13"/>
    <mergeCell ref="H12:H13"/>
    <mergeCell ref="I12:I13"/>
    <mergeCell ref="J12:J13"/>
  </mergeCells>
  <conditionalFormatting sqref="C9:K9 C14:M87 R14:R87">
    <cfRule type="expression" dxfId="17" priority="10">
      <formula>C9&lt;-0.175</formula>
    </cfRule>
    <cfRule type="expression" dxfId="16" priority="11">
      <formula>AND(C9&lt;-0.125,C9&gt;=-0.175)</formula>
    </cfRule>
    <cfRule type="expression" dxfId="15" priority="12">
      <formula>AND(C9&lt;-0.075,C9&gt;=-0.125)</formula>
    </cfRule>
    <cfRule type="expression" dxfId="14" priority="13">
      <formula>AND(C9&lt;-0.025,C9&gt;=-0.075)</formula>
    </cfRule>
    <cfRule type="expression" dxfId="13" priority="14">
      <formula>C9&gt;0.175</formula>
    </cfRule>
    <cfRule type="expression" dxfId="12" priority="15">
      <formula>AND(C9&lt;0.175,C9&gt;=0.125)</formula>
    </cfRule>
    <cfRule type="expression" dxfId="11" priority="16">
      <formula>AND(C9&lt;0.125,C9&gt;=0.075)</formula>
    </cfRule>
    <cfRule type="expression" dxfId="10" priority="17">
      <formula>AND(C9&lt;0.075,C9&gt;=0.025)</formula>
    </cfRule>
    <cfRule type="expression" dxfId="9" priority="18">
      <formula>AND(C9&lt;0.025,C9&gt;-0.025)</formula>
    </cfRule>
  </conditionalFormatting>
  <conditionalFormatting sqref="O14:O87">
    <cfRule type="expression" dxfId="8" priority="1">
      <formula>O14&lt;-0.175</formula>
    </cfRule>
    <cfRule type="expression" dxfId="7" priority="2">
      <formula>AND(O14&lt;-0.125,O14&gt;=-0.175)</formula>
    </cfRule>
    <cfRule type="expression" dxfId="6" priority="3">
      <formula>AND(O14&lt;-0.075,O14&gt;=-0.125)</formula>
    </cfRule>
    <cfRule type="expression" dxfId="5" priority="4">
      <formula>AND(O14&lt;-0.025,O14&gt;=-0.075)</formula>
    </cfRule>
    <cfRule type="expression" dxfId="4" priority="5">
      <formula>O14&gt;=0.175</formula>
    </cfRule>
    <cfRule type="expression" dxfId="3" priority="6">
      <formula>AND(O14&lt;0.175,O14&gt;=0.125)</formula>
    </cfRule>
    <cfRule type="expression" dxfId="2" priority="7">
      <formula>AND(O14&lt;0.125,O14&gt;=0.075)</formula>
    </cfRule>
    <cfRule type="expression" dxfId="1" priority="8">
      <formula>AND(O14&lt;0.075,O14&gt;=0.025)</formula>
    </cfRule>
    <cfRule type="expression" dxfId="0" priority="9">
      <formula>AND(O14&lt;0.025,O14&gt;-0.025)</formula>
    </cfRule>
  </conditionalFormatting>
  <printOptions verticalCentered="1"/>
  <pageMargins left="0" right="0" top="0.34" bottom="0" header="0.25" footer="0.5"/>
  <pageSetup paperSize="9" scale="50"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Heatmap!T14:AE14</xm:f>
              <xm:sqref>Q14</xm:sqref>
            </x14:sparkline>
            <x14:sparkline>
              <xm:f>Heatmap!T15:AE15</xm:f>
              <xm:sqref>Q15</xm:sqref>
            </x14:sparkline>
            <x14:sparkline>
              <xm:f>Heatmap!T16:AE16</xm:f>
              <xm:sqref>Q16</xm:sqref>
            </x14:sparkline>
            <x14:sparkline>
              <xm:f>Heatmap!T17:AE17</xm:f>
              <xm:sqref>Q17</xm:sqref>
            </x14:sparkline>
            <x14:sparkline>
              <xm:f>Heatmap!T18:AE18</xm:f>
              <xm:sqref>Q18</xm:sqref>
            </x14:sparkline>
            <x14:sparkline>
              <xm:f>Heatmap!T19:AE19</xm:f>
              <xm:sqref>Q19</xm:sqref>
            </x14:sparkline>
            <x14:sparkline>
              <xm:f>Heatmap!T20:AE20</xm:f>
              <xm:sqref>Q20</xm:sqref>
            </x14:sparkline>
            <x14:sparkline>
              <xm:f>Heatmap!T21:AE21</xm:f>
              <xm:sqref>Q21</xm:sqref>
            </x14:sparkline>
            <x14:sparkline>
              <xm:f>Heatmap!T22:AE22</xm:f>
              <xm:sqref>Q22</xm:sqref>
            </x14:sparkline>
            <x14:sparkline>
              <xm:f>Heatmap!T23:AE23</xm:f>
              <xm:sqref>Q23</xm:sqref>
            </x14:sparkline>
            <x14:sparkline>
              <xm:f>Heatmap!T24:AE24</xm:f>
              <xm:sqref>Q24</xm:sqref>
            </x14:sparkline>
            <x14:sparkline>
              <xm:f>Heatmap!T25:AE25</xm:f>
              <xm:sqref>Q25</xm:sqref>
            </x14:sparkline>
            <x14:sparkline>
              <xm:f>Heatmap!T26:AE26</xm:f>
              <xm:sqref>Q26</xm:sqref>
            </x14:sparkline>
            <x14:sparkline>
              <xm:f>Heatmap!T27:AE27</xm:f>
              <xm:sqref>Q27</xm:sqref>
            </x14:sparkline>
            <x14:sparkline>
              <xm:f>Heatmap!T28:AE28</xm:f>
              <xm:sqref>Q28</xm:sqref>
            </x14:sparkline>
            <x14:sparkline>
              <xm:f>Heatmap!T29:AE29</xm:f>
              <xm:sqref>Q29</xm:sqref>
            </x14:sparkline>
            <x14:sparkline>
              <xm:f>Heatmap!T30:AE30</xm:f>
              <xm:sqref>Q30</xm:sqref>
            </x14:sparkline>
            <x14:sparkline>
              <xm:f>Heatmap!T31:AE31</xm:f>
              <xm:sqref>Q31</xm:sqref>
            </x14:sparkline>
            <x14:sparkline>
              <xm:f>Heatmap!T32:AE32</xm:f>
              <xm:sqref>Q32</xm:sqref>
            </x14:sparkline>
            <x14:sparkline>
              <xm:f>Heatmap!T33:AE33</xm:f>
              <xm:sqref>Q33</xm:sqref>
            </x14:sparkline>
            <x14:sparkline>
              <xm:f>Heatmap!T34:AE34</xm:f>
              <xm:sqref>Q34</xm:sqref>
            </x14:sparkline>
            <x14:sparkline>
              <xm:f>Heatmap!T35:AE35</xm:f>
              <xm:sqref>Q35</xm:sqref>
            </x14:sparkline>
            <x14:sparkline>
              <xm:f>Heatmap!T36:AE36</xm:f>
              <xm:sqref>Q36</xm:sqref>
            </x14:sparkline>
            <x14:sparkline>
              <xm:f>Heatmap!T37:AE37</xm:f>
              <xm:sqref>Q37</xm:sqref>
            </x14:sparkline>
            <x14:sparkline>
              <xm:f>Heatmap!T38:AE38</xm:f>
              <xm:sqref>Q38</xm:sqref>
            </x14:sparkline>
            <x14:sparkline>
              <xm:f>Heatmap!T39:AE39</xm:f>
              <xm:sqref>Q39</xm:sqref>
            </x14:sparkline>
            <x14:sparkline>
              <xm:f>Heatmap!T40:AE40</xm:f>
              <xm:sqref>Q40</xm:sqref>
            </x14:sparkline>
            <x14:sparkline>
              <xm:f>Heatmap!T41:AE41</xm:f>
              <xm:sqref>Q41</xm:sqref>
            </x14:sparkline>
            <x14:sparkline>
              <xm:f>Heatmap!T42:AE42</xm:f>
              <xm:sqref>Q42</xm:sqref>
            </x14:sparkline>
            <x14:sparkline>
              <xm:f>Heatmap!T43:AE43</xm:f>
              <xm:sqref>Q43</xm:sqref>
            </x14:sparkline>
            <x14:sparkline>
              <xm:f>Heatmap!T44:AE44</xm:f>
              <xm:sqref>Q44</xm:sqref>
            </x14:sparkline>
            <x14:sparkline>
              <xm:f>Heatmap!T45:AE45</xm:f>
              <xm:sqref>Q45</xm:sqref>
            </x14:sparkline>
            <x14:sparkline>
              <xm:f>Heatmap!T46:AE46</xm:f>
              <xm:sqref>Q46</xm:sqref>
            </x14:sparkline>
            <x14:sparkline>
              <xm:f>Heatmap!T47:AE47</xm:f>
              <xm:sqref>Q47</xm:sqref>
            </x14:sparkline>
            <x14:sparkline>
              <xm:f>Heatmap!T48:AE48</xm:f>
              <xm:sqref>Q48</xm:sqref>
            </x14:sparkline>
            <x14:sparkline>
              <xm:f>Heatmap!T49:AE49</xm:f>
              <xm:sqref>Q49</xm:sqref>
            </x14:sparkline>
            <x14:sparkline>
              <xm:f>Heatmap!T50:AE50</xm:f>
              <xm:sqref>Q50</xm:sqref>
            </x14:sparkline>
            <x14:sparkline>
              <xm:f>Heatmap!T51:AE51</xm:f>
              <xm:sqref>Q51</xm:sqref>
            </x14:sparkline>
            <x14:sparkline>
              <xm:f>Heatmap!T52:AE52</xm:f>
              <xm:sqref>Q52</xm:sqref>
            </x14:sparkline>
            <x14:sparkline>
              <xm:f>Heatmap!T53:AE53</xm:f>
              <xm:sqref>Q53</xm:sqref>
            </x14:sparkline>
            <x14:sparkline>
              <xm:f>Heatmap!T54:AE54</xm:f>
              <xm:sqref>Q54</xm:sqref>
            </x14:sparkline>
            <x14:sparkline>
              <xm:f>Heatmap!T55:AE55</xm:f>
              <xm:sqref>Q55</xm:sqref>
            </x14:sparkline>
            <x14:sparkline>
              <xm:f>Heatmap!T56:AE56</xm:f>
              <xm:sqref>Q56</xm:sqref>
            </x14:sparkline>
            <x14:sparkline>
              <xm:f>Heatmap!T57:AE57</xm:f>
              <xm:sqref>Q57</xm:sqref>
            </x14:sparkline>
            <x14:sparkline>
              <xm:f>Heatmap!T58:AE58</xm:f>
              <xm:sqref>Q58</xm:sqref>
            </x14:sparkline>
            <x14:sparkline>
              <xm:f>Heatmap!T59:AE59</xm:f>
              <xm:sqref>Q59</xm:sqref>
            </x14:sparkline>
            <x14:sparkline>
              <xm:f>Heatmap!T60:AE60</xm:f>
              <xm:sqref>Q60</xm:sqref>
            </x14:sparkline>
            <x14:sparkline>
              <xm:f>Heatmap!T61:AE61</xm:f>
              <xm:sqref>Q61</xm:sqref>
            </x14:sparkline>
            <x14:sparkline>
              <xm:f>Heatmap!T62:AE62</xm:f>
              <xm:sqref>Q62</xm:sqref>
            </x14:sparkline>
            <x14:sparkline>
              <xm:f>Heatmap!T63:AE63</xm:f>
              <xm:sqref>Q63</xm:sqref>
            </x14:sparkline>
            <x14:sparkline>
              <xm:f>Heatmap!T64:AE64</xm:f>
              <xm:sqref>Q64</xm:sqref>
            </x14:sparkline>
            <x14:sparkline>
              <xm:f>Heatmap!T65:AE65</xm:f>
              <xm:sqref>Q65</xm:sqref>
            </x14:sparkline>
            <x14:sparkline>
              <xm:f>Heatmap!T66:AE66</xm:f>
              <xm:sqref>Q66</xm:sqref>
            </x14:sparkline>
            <x14:sparkline>
              <xm:f>Heatmap!T67:AE67</xm:f>
              <xm:sqref>Q67</xm:sqref>
            </x14:sparkline>
            <x14:sparkline>
              <xm:f>Heatmap!T68:AE68</xm:f>
              <xm:sqref>Q68</xm:sqref>
            </x14:sparkline>
            <x14:sparkline>
              <xm:f>Heatmap!T69:AE69</xm:f>
              <xm:sqref>Q69</xm:sqref>
            </x14:sparkline>
            <x14:sparkline>
              <xm:f>Heatmap!T70:AE70</xm:f>
              <xm:sqref>Q70</xm:sqref>
            </x14:sparkline>
            <x14:sparkline>
              <xm:f>Heatmap!T71:AE71</xm:f>
              <xm:sqref>Q71</xm:sqref>
            </x14:sparkline>
            <x14:sparkline>
              <xm:f>Heatmap!T72:AE72</xm:f>
              <xm:sqref>Q72</xm:sqref>
            </x14:sparkline>
            <x14:sparkline>
              <xm:f>Heatmap!T73:AE73</xm:f>
              <xm:sqref>Q73</xm:sqref>
            </x14:sparkline>
            <x14:sparkline>
              <xm:f>Heatmap!T74:AE74</xm:f>
              <xm:sqref>Q74</xm:sqref>
            </x14:sparkline>
            <x14:sparkline>
              <xm:f>Heatmap!T75:AE75</xm:f>
              <xm:sqref>Q75</xm:sqref>
            </x14:sparkline>
            <x14:sparkline>
              <xm:f>Heatmap!T76:AE76</xm:f>
              <xm:sqref>Q76</xm:sqref>
            </x14:sparkline>
            <x14:sparkline>
              <xm:f>Heatmap!T77:AE77</xm:f>
              <xm:sqref>Q77</xm:sqref>
            </x14:sparkline>
            <x14:sparkline>
              <xm:f>Heatmap!T78:AE78</xm:f>
              <xm:sqref>Q78</xm:sqref>
            </x14:sparkline>
            <x14:sparkline>
              <xm:f>Heatmap!T79:AE79</xm:f>
              <xm:sqref>Q79</xm:sqref>
            </x14:sparkline>
            <x14:sparkline>
              <xm:f>Heatmap!T80:AE80</xm:f>
              <xm:sqref>Q80</xm:sqref>
            </x14:sparkline>
            <x14:sparkline>
              <xm:f>Heatmap!T81:AE81</xm:f>
              <xm:sqref>Q81</xm:sqref>
            </x14:sparkline>
            <x14:sparkline>
              <xm:f>Heatmap!T82:AE82</xm:f>
              <xm:sqref>Q82</xm:sqref>
            </x14:sparkline>
            <x14:sparkline>
              <xm:f>Heatmap!T83:AE83</xm:f>
              <xm:sqref>Q83</xm:sqref>
            </x14:sparkline>
            <x14:sparkline>
              <xm:f>Heatmap!T84:AE84</xm:f>
              <xm:sqref>Q84</xm:sqref>
            </x14:sparkline>
            <x14:sparkline>
              <xm:f>Heatmap!T85:AE85</xm:f>
              <xm:sqref>Q85</xm:sqref>
            </x14:sparkline>
            <x14:sparkline>
              <xm:f>Heatmap!T86:AE86</xm:f>
              <xm:sqref>Q86</xm:sqref>
            </x14:sparkline>
            <x14:sparkline>
              <xm:f>Heatmap!T87:AE87</xm:f>
              <xm:sqref>Q87</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564585"/>
  </sheetPr>
  <dimension ref="A1:AD124"/>
  <sheetViews>
    <sheetView view="pageBreakPreview" zoomScale="90" zoomScaleNormal="100" zoomScaleSheetLayoutView="90" workbookViewId="0">
      <selection activeCell="AC105" sqref="AC105"/>
    </sheetView>
  </sheetViews>
  <sheetFormatPr baseColWidth="10" defaultRowHeight="15" x14ac:dyDescent="0.25"/>
  <cols>
    <col min="1" max="1" width="1.28515625" customWidth="1"/>
    <col min="2" max="2" width="7" customWidth="1"/>
    <col min="3" max="3" width="9" bestFit="1" customWidth="1"/>
    <col min="4" max="4" width="9.7109375" customWidth="1"/>
    <col min="5" max="5" width="10.140625" customWidth="1"/>
    <col min="6" max="7" width="8.42578125" bestFit="1" customWidth="1"/>
    <col min="8" max="8" width="6.85546875" bestFit="1" customWidth="1"/>
    <col min="9" max="10" width="6.42578125" bestFit="1" customWidth="1"/>
    <col min="11" max="11" width="12.85546875" bestFit="1" customWidth="1"/>
    <col min="12" max="12" width="11.42578125" bestFit="1" customWidth="1"/>
    <col min="13" max="13" width="6.7109375" bestFit="1" customWidth="1"/>
    <col min="14" max="14" width="8.42578125" bestFit="1" customWidth="1"/>
    <col min="15" max="15" width="6.85546875" bestFit="1" customWidth="1"/>
    <col min="16" max="16" width="15.28515625" bestFit="1" customWidth="1"/>
    <col min="17" max="17" width="9" bestFit="1" customWidth="1"/>
    <col min="18" max="18" width="7" bestFit="1" customWidth="1"/>
    <col min="19" max="19" width="8.140625" bestFit="1" customWidth="1"/>
    <col min="20" max="20" width="6" bestFit="1" customWidth="1"/>
    <col min="21" max="21" width="9.140625" customWidth="1"/>
    <col min="22" max="23" width="7" bestFit="1" customWidth="1"/>
    <col min="24" max="24" width="8.85546875" bestFit="1" customWidth="1"/>
    <col min="25" max="25" width="8.85546875" style="67" customWidth="1"/>
    <col min="27" max="27" width="13" bestFit="1" customWidth="1"/>
    <col min="28" max="28" width="13.28515625" bestFit="1" customWidth="1"/>
    <col min="29" max="29" width="12.85546875" bestFit="1" customWidth="1"/>
  </cols>
  <sheetData>
    <row r="1" spans="1:25" ht="10.5" customHeight="1" x14ac:dyDescent="0.5">
      <c r="B1" s="41"/>
      <c r="Y1"/>
    </row>
    <row r="2" spans="1:25" ht="10.5" customHeight="1" x14ac:dyDescent="0.25">
      <c r="Y2"/>
    </row>
    <row r="3" spans="1:25" ht="9.75" customHeight="1" x14ac:dyDescent="0.25">
      <c r="Y3"/>
    </row>
    <row r="4" spans="1:25" ht="26.25" x14ac:dyDescent="0.4">
      <c r="B4" s="6" t="s">
        <v>94</v>
      </c>
      <c r="Y4"/>
    </row>
    <row r="5" spans="1:25" ht="26.25" customHeight="1" x14ac:dyDescent="0.25">
      <c r="Y5"/>
    </row>
    <row r="6" spans="1:25" ht="20.25" customHeight="1" x14ac:dyDescent="0.25">
      <c r="B6" s="42" t="s">
        <v>4</v>
      </c>
      <c r="C6" s="42" t="s">
        <v>95</v>
      </c>
      <c r="D6" s="43" t="s">
        <v>96</v>
      </c>
      <c r="E6" s="43"/>
      <c r="F6" s="44" t="s">
        <v>97</v>
      </c>
      <c r="G6" s="45"/>
      <c r="H6" s="46"/>
      <c r="I6" s="43" t="s">
        <v>98</v>
      </c>
      <c r="J6" s="43"/>
      <c r="K6" s="47" t="s">
        <v>99</v>
      </c>
      <c r="L6" s="47" t="s">
        <v>100</v>
      </c>
      <c r="M6" s="48" t="s">
        <v>101</v>
      </c>
      <c r="N6" s="43" t="s">
        <v>102</v>
      </c>
      <c r="O6" s="43"/>
      <c r="P6" s="43" t="s">
        <v>103</v>
      </c>
      <c r="Q6" s="43"/>
      <c r="R6" s="43"/>
      <c r="S6" s="48" t="s">
        <v>104</v>
      </c>
      <c r="T6" s="43" t="s">
        <v>105</v>
      </c>
      <c r="U6" s="43"/>
      <c r="V6" s="43"/>
      <c r="W6" s="43"/>
      <c r="X6" s="43"/>
      <c r="Y6" s="49" t="s">
        <v>4</v>
      </c>
    </row>
    <row r="7" spans="1:25" ht="30.75" customHeight="1" x14ac:dyDescent="0.25">
      <c r="B7" s="50"/>
      <c r="C7" s="50"/>
      <c r="D7" s="51" t="s">
        <v>106</v>
      </c>
      <c r="E7" s="51" t="s">
        <v>107</v>
      </c>
      <c r="F7" s="52" t="s">
        <v>108</v>
      </c>
      <c r="G7" s="52" t="s">
        <v>109</v>
      </c>
      <c r="H7" s="52">
        <v>2019</v>
      </c>
      <c r="I7" s="52" t="s">
        <v>110</v>
      </c>
      <c r="J7" s="52" t="s">
        <v>111</v>
      </c>
      <c r="K7" s="53"/>
      <c r="L7" s="53"/>
      <c r="M7" s="48"/>
      <c r="N7" s="52" t="s">
        <v>109</v>
      </c>
      <c r="O7" s="52">
        <v>2019</v>
      </c>
      <c r="P7" s="54" t="s">
        <v>112</v>
      </c>
      <c r="Q7" s="52" t="s">
        <v>113</v>
      </c>
      <c r="R7" s="52" t="s">
        <v>114</v>
      </c>
      <c r="S7" s="48"/>
      <c r="T7" s="55" t="s">
        <v>115</v>
      </c>
      <c r="U7" s="52" t="s">
        <v>116</v>
      </c>
      <c r="V7" s="52" t="s">
        <v>117</v>
      </c>
      <c r="W7" s="52" t="s">
        <v>118</v>
      </c>
      <c r="X7" s="52" t="s">
        <v>119</v>
      </c>
      <c r="Y7" s="56"/>
    </row>
    <row r="8" spans="1:25" x14ac:dyDescent="0.25">
      <c r="B8" s="57" t="s">
        <v>120</v>
      </c>
      <c r="C8" s="58"/>
      <c r="D8" s="58"/>
      <c r="E8" s="58"/>
      <c r="F8" s="58"/>
      <c r="G8" s="58"/>
      <c r="H8" s="58"/>
      <c r="I8" s="58"/>
      <c r="J8" s="58"/>
      <c r="K8" s="58"/>
      <c r="L8" s="58"/>
      <c r="M8" s="58"/>
      <c r="N8" s="58"/>
      <c r="O8" s="58"/>
      <c r="P8" s="58"/>
      <c r="Q8" s="58"/>
      <c r="R8" s="58"/>
      <c r="S8" s="58"/>
      <c r="T8" s="58"/>
      <c r="U8" s="58"/>
      <c r="V8" s="58"/>
      <c r="W8" s="58"/>
      <c r="X8" s="58"/>
      <c r="Y8" s="58"/>
    </row>
    <row r="9" spans="1:25" x14ac:dyDescent="0.25">
      <c r="A9" t="s">
        <v>195</v>
      </c>
      <c r="B9" t="s">
        <v>35</v>
      </c>
      <c r="C9" s="59">
        <v>17.5</v>
      </c>
      <c r="D9" s="60">
        <v>27.5</v>
      </c>
      <c r="E9" s="60">
        <v>16.149999999999999</v>
      </c>
      <c r="F9" s="61" t="s">
        <v>235</v>
      </c>
      <c r="G9" s="61">
        <v>2.9411764705882248E-2</v>
      </c>
      <c r="H9" s="61">
        <v>-0.27685950413223137</v>
      </c>
      <c r="I9" s="62">
        <v>0.65789550769884597</v>
      </c>
      <c r="J9" s="62">
        <v>0.46837177511083899</v>
      </c>
      <c r="K9" s="63" t="s">
        <v>235</v>
      </c>
      <c r="L9" s="63" t="s">
        <v>235</v>
      </c>
      <c r="M9" s="64">
        <v>0.28606954134818902</v>
      </c>
      <c r="N9" s="61">
        <v>2.7136540149874211E-2</v>
      </c>
      <c r="O9" s="65">
        <v>-9.1071276142569602E-2</v>
      </c>
      <c r="P9" s="64">
        <v>8.75</v>
      </c>
      <c r="Q9" s="64">
        <v>11.867304000000001</v>
      </c>
      <c r="R9" s="66">
        <v>13.422851403442101</v>
      </c>
      <c r="S9" s="61">
        <v>0</v>
      </c>
      <c r="T9" s="66">
        <v>0.163103209492764</v>
      </c>
      <c r="U9" s="66">
        <v>648.62861378799096</v>
      </c>
      <c r="V9" s="66" t="s">
        <v>235</v>
      </c>
      <c r="W9" s="66">
        <v>0.87629419890235905</v>
      </c>
      <c r="X9" s="66">
        <v>5.0948960786768502</v>
      </c>
      <c r="Y9" s="67" t="s">
        <v>35</v>
      </c>
    </row>
    <row r="10" spans="1:25" x14ac:dyDescent="0.25">
      <c r="A10" t="s">
        <v>196</v>
      </c>
      <c r="B10" t="s">
        <v>20</v>
      </c>
      <c r="C10" s="59">
        <v>270</v>
      </c>
      <c r="D10" s="60">
        <v>438</v>
      </c>
      <c r="E10" s="60">
        <v>159.35600299999999</v>
      </c>
      <c r="F10" s="61">
        <v>3.8461538461538547E-2</v>
      </c>
      <c r="G10" s="61">
        <v>8.0000000000000071E-2</v>
      </c>
      <c r="H10" s="61">
        <v>0.42386483206851167</v>
      </c>
      <c r="I10" s="62">
        <v>0.86451365562861793</v>
      </c>
      <c r="J10" s="62">
        <v>0.91939409482487411</v>
      </c>
      <c r="K10" s="62" t="s">
        <v>235</v>
      </c>
      <c r="L10" s="62" t="s">
        <v>235</v>
      </c>
      <c r="M10" s="64">
        <v>0.45302350127541302</v>
      </c>
      <c r="N10" s="61">
        <v>7.7724775443992034E-2</v>
      </c>
      <c r="O10" s="65">
        <v>0.60965306005817343</v>
      </c>
      <c r="P10" s="64">
        <v>12.368670048</v>
      </c>
      <c r="Q10" s="64">
        <v>12.23238641</v>
      </c>
      <c r="R10" s="66">
        <v>7.2980939820667698</v>
      </c>
      <c r="S10" s="61">
        <v>0.18891817873253999</v>
      </c>
      <c r="T10" s="66">
        <v>0.188201205485553</v>
      </c>
      <c r="U10" s="66">
        <v>8.5084471548225409</v>
      </c>
      <c r="V10" s="66">
        <v>8.5173501577287105</v>
      </c>
      <c r="W10" s="66">
        <v>3.2522717182841099</v>
      </c>
      <c r="X10" s="66">
        <v>3.1786077362696199</v>
      </c>
      <c r="Y10" s="67" t="s">
        <v>20</v>
      </c>
    </row>
    <row r="11" spans="1:25" x14ac:dyDescent="0.25">
      <c r="A11" t="s">
        <v>197</v>
      </c>
      <c r="B11" t="s">
        <v>16</v>
      </c>
      <c r="C11" s="59">
        <v>39.5</v>
      </c>
      <c r="D11" s="60">
        <v>54</v>
      </c>
      <c r="E11" s="60">
        <v>34.049999999999997</v>
      </c>
      <c r="F11" s="61">
        <v>-1.0025062656641603E-2</v>
      </c>
      <c r="G11" s="61">
        <v>9.7222222222222321E-2</v>
      </c>
      <c r="H11" s="61">
        <v>6.7567567567567544E-2</v>
      </c>
      <c r="I11" s="62">
        <v>0.78212574553239311</v>
      </c>
      <c r="J11" s="62">
        <v>0.55949084740644306</v>
      </c>
      <c r="K11" s="63">
        <v>0.44990567216453348</v>
      </c>
      <c r="L11" s="63">
        <v>-8.9972918350068487E-2</v>
      </c>
      <c r="M11" s="64">
        <v>0.399397171064652</v>
      </c>
      <c r="N11" s="61">
        <v>9.4946997666214283E-2</v>
      </c>
      <c r="O11" s="65">
        <v>0.25335579555722931</v>
      </c>
      <c r="P11" s="64">
        <v>7.9558975165000003</v>
      </c>
      <c r="Q11" s="64">
        <v>13.5171405165</v>
      </c>
      <c r="R11" s="66">
        <v>15.3610851817128</v>
      </c>
      <c r="S11" s="61" t="s">
        <v>235</v>
      </c>
      <c r="T11" s="66">
        <v>0.32998076068347199</v>
      </c>
      <c r="U11" s="66" t="s">
        <v>235</v>
      </c>
      <c r="V11" s="66">
        <v>8.5869565217391308</v>
      </c>
      <c r="W11" s="66">
        <v>1.1334291881140901</v>
      </c>
      <c r="X11" s="66">
        <v>7.7324828884053103</v>
      </c>
      <c r="Y11" s="67" t="s">
        <v>16</v>
      </c>
    </row>
    <row r="12" spans="1:25" x14ac:dyDescent="0.25">
      <c r="A12" t="s">
        <v>198</v>
      </c>
      <c r="B12" t="s">
        <v>55</v>
      </c>
      <c r="C12" s="59">
        <v>136</v>
      </c>
      <c r="D12" s="60">
        <v>145</v>
      </c>
      <c r="E12" s="60">
        <v>100.321991</v>
      </c>
      <c r="F12" s="61" t="s">
        <v>235</v>
      </c>
      <c r="G12" s="61" t="s">
        <v>235</v>
      </c>
      <c r="H12" s="61">
        <v>8.344055278794027E-2</v>
      </c>
      <c r="I12" s="62">
        <v>0.379607085526318</v>
      </c>
      <c r="J12" s="62">
        <v>0.32197772094646998</v>
      </c>
      <c r="K12" s="62">
        <v>0.35178442545892308</v>
      </c>
      <c r="L12" s="62">
        <v>3.8422653128662665E-2</v>
      </c>
      <c r="M12" s="64" t="s">
        <v>235</v>
      </c>
      <c r="N12" s="61" t="s">
        <v>235</v>
      </c>
      <c r="O12" s="65">
        <v>0.26922878077760204</v>
      </c>
      <c r="P12" s="64">
        <v>8.0154189440000003</v>
      </c>
      <c r="Q12" s="64">
        <v>6.6377050439999907</v>
      </c>
      <c r="R12" s="66">
        <v>7.25964658999367</v>
      </c>
      <c r="S12" s="61">
        <v>1.16911764705882E-2</v>
      </c>
      <c r="T12" s="66">
        <v>1.33101594408166</v>
      </c>
      <c r="U12" s="66">
        <v>1712.8463476070499</v>
      </c>
      <c r="V12" s="66" t="s">
        <v>235</v>
      </c>
      <c r="W12" s="66">
        <v>213.594669376512</v>
      </c>
      <c r="X12" s="66">
        <v>14.503263396637299</v>
      </c>
      <c r="Y12" s="67" t="s">
        <v>55</v>
      </c>
    </row>
    <row r="13" spans="1:25" x14ac:dyDescent="0.25">
      <c r="A13" t="s">
        <v>199</v>
      </c>
      <c r="B13" t="s">
        <v>9</v>
      </c>
      <c r="C13" s="59">
        <v>76.5</v>
      </c>
      <c r="D13" s="60">
        <v>130.38390699999999</v>
      </c>
      <c r="E13" s="60">
        <v>53</v>
      </c>
      <c r="F13" s="61">
        <v>9.2857142857142749E-2</v>
      </c>
      <c r="G13" s="61">
        <v>0.1953125</v>
      </c>
      <c r="H13" s="61">
        <v>-0.19516775775967699</v>
      </c>
      <c r="I13" s="62">
        <v>1.3203335385233299</v>
      </c>
      <c r="J13" s="62">
        <v>0.80308778090033295</v>
      </c>
      <c r="K13" s="62">
        <v>0.19190559846302052</v>
      </c>
      <c r="L13" s="62">
        <v>-0.23283606606957463</v>
      </c>
      <c r="M13" s="64">
        <v>0.62659422565253498</v>
      </c>
      <c r="N13" s="61">
        <v>0.19303727544399196</v>
      </c>
      <c r="O13" s="65">
        <v>-9.3795297700152158E-3</v>
      </c>
      <c r="P13" s="64">
        <v>4.9094181719999996</v>
      </c>
      <c r="Q13" s="64">
        <v>13.581061045</v>
      </c>
      <c r="R13" s="66">
        <v>13.8294377469349</v>
      </c>
      <c r="S13" s="61">
        <v>5.2144671884058E-3</v>
      </c>
      <c r="T13" s="66">
        <v>0.29794639703724302</v>
      </c>
      <c r="U13" s="66" t="s">
        <v>235</v>
      </c>
      <c r="V13" s="66">
        <v>31.3524590163934</v>
      </c>
      <c r="W13" s="66">
        <v>4.3310762150853597</v>
      </c>
      <c r="X13" s="66" t="s">
        <v>235</v>
      </c>
      <c r="Y13" s="67" t="s">
        <v>9</v>
      </c>
    </row>
    <row r="14" spans="1:25" x14ac:dyDescent="0.25">
      <c r="A14" t="s">
        <v>200</v>
      </c>
      <c r="B14" t="s">
        <v>51</v>
      </c>
      <c r="C14" s="59">
        <v>10</v>
      </c>
      <c r="D14" s="60">
        <v>16</v>
      </c>
      <c r="E14" s="60">
        <v>9.1999999999999993</v>
      </c>
      <c r="F14" s="61">
        <v>-3.8461538461538547E-2</v>
      </c>
      <c r="G14" s="61">
        <v>0</v>
      </c>
      <c r="H14" s="61">
        <v>-0.18032786885245899</v>
      </c>
      <c r="I14" s="62">
        <v>0.66862132964583909</v>
      </c>
      <c r="J14" s="62">
        <v>0.50609641527128002</v>
      </c>
      <c r="K14" s="62">
        <v>0.42045537279486617</v>
      </c>
      <c r="L14" s="62">
        <v>-0.14239911872270394</v>
      </c>
      <c r="M14" s="64">
        <v>0.36863412183099398</v>
      </c>
      <c r="N14" s="61">
        <v>-2.2752245560080375E-3</v>
      </c>
      <c r="O14" s="65">
        <v>5.4603591372027749E-3</v>
      </c>
      <c r="P14" s="64">
        <v>4.3559999999999999</v>
      </c>
      <c r="Q14" s="64">
        <v>12.837175999999999</v>
      </c>
      <c r="R14" s="66">
        <v>9.64465163803564</v>
      </c>
      <c r="S14" s="61" t="s">
        <v>235</v>
      </c>
      <c r="T14" s="66">
        <v>0.30428689053237601</v>
      </c>
      <c r="U14" s="66" t="s">
        <v>235</v>
      </c>
      <c r="V14" s="66" t="s">
        <v>235</v>
      </c>
      <c r="W14" s="66">
        <v>0.86740607827453897</v>
      </c>
      <c r="X14" s="66" t="s">
        <v>235</v>
      </c>
      <c r="Y14" s="67" t="s">
        <v>51</v>
      </c>
    </row>
    <row r="15" spans="1:25" x14ac:dyDescent="0.25">
      <c r="A15" t="s">
        <v>201</v>
      </c>
      <c r="B15" t="s">
        <v>44</v>
      </c>
      <c r="C15" s="59">
        <v>7.5</v>
      </c>
      <c r="D15" s="60">
        <v>11.1</v>
      </c>
      <c r="E15" s="60">
        <v>7</v>
      </c>
      <c r="F15" s="61">
        <v>1.3513513513513375E-2</v>
      </c>
      <c r="G15" s="61">
        <v>1.3513513513513375E-2</v>
      </c>
      <c r="H15" s="61">
        <v>-0.13793103448275856</v>
      </c>
      <c r="I15" s="62">
        <v>0.7117244673225539</v>
      </c>
      <c r="J15" s="62">
        <v>0.54001767184764293</v>
      </c>
      <c r="K15" s="62" t="s">
        <v>235</v>
      </c>
      <c r="L15" s="62" t="s">
        <v>235</v>
      </c>
      <c r="M15" s="64">
        <v>0.38461423335188599</v>
      </c>
      <c r="N15" s="61">
        <v>1.1238288957505338E-2</v>
      </c>
      <c r="O15" s="65">
        <v>4.7857193506903206E-2</v>
      </c>
      <c r="P15" s="64">
        <v>3.9378574368000003</v>
      </c>
      <c r="Q15" s="64">
        <v>4.5572010699999996</v>
      </c>
      <c r="R15" s="66">
        <v>5.8459783265266303</v>
      </c>
      <c r="S15" s="61" t="s">
        <v>235</v>
      </c>
      <c r="T15" s="66">
        <v>0.859906545682674</v>
      </c>
      <c r="U15" s="66" t="s">
        <v>235</v>
      </c>
      <c r="V15" s="66" t="s">
        <v>235</v>
      </c>
      <c r="W15" s="66">
        <v>0.48184330231546002</v>
      </c>
      <c r="X15" s="66" t="s">
        <v>235</v>
      </c>
      <c r="Y15" s="67" t="s">
        <v>44</v>
      </c>
    </row>
    <row r="16" spans="1:25" x14ac:dyDescent="0.25">
      <c r="A16" t="s">
        <v>202</v>
      </c>
      <c r="B16" t="s">
        <v>43</v>
      </c>
      <c r="C16" s="59">
        <v>3.15</v>
      </c>
      <c r="D16" s="60">
        <v>7.4</v>
      </c>
      <c r="E16" s="60">
        <v>2.8</v>
      </c>
      <c r="F16" s="61">
        <v>-1.5625000000000111E-2</v>
      </c>
      <c r="G16" s="61">
        <v>1.6129032258064502E-2</v>
      </c>
      <c r="H16" s="61">
        <v>-0.29054054054054057</v>
      </c>
      <c r="I16" s="62">
        <v>0.93741153371053798</v>
      </c>
      <c r="J16" s="62">
        <v>0.62121801026954504</v>
      </c>
      <c r="K16" s="62">
        <v>0.56063335772928069</v>
      </c>
      <c r="L16" s="62">
        <v>-0.22054008103046452</v>
      </c>
      <c r="M16" s="64">
        <v>0.28938875641450701</v>
      </c>
      <c r="N16" s="61">
        <v>1.3853807702056464E-2</v>
      </c>
      <c r="O16" s="65">
        <v>-0.1047523125508788</v>
      </c>
      <c r="P16" s="64">
        <v>1.7499426360000001</v>
      </c>
      <c r="Q16" s="64">
        <v>2.0364806447500001</v>
      </c>
      <c r="R16" s="66">
        <v>2.5970119028186698</v>
      </c>
      <c r="S16" s="61" t="s">
        <v>235</v>
      </c>
      <c r="T16" s="66">
        <v>0.171892655645352</v>
      </c>
      <c r="U16" s="66" t="s">
        <v>235</v>
      </c>
      <c r="V16" s="66" t="s">
        <v>235</v>
      </c>
      <c r="W16" s="66">
        <v>0.67376891934591099</v>
      </c>
      <c r="X16" s="66">
        <v>2.3342284710891801</v>
      </c>
      <c r="Y16" s="67" t="s">
        <v>43</v>
      </c>
    </row>
    <row r="17" spans="1:25" x14ac:dyDescent="0.25">
      <c r="A17" t="s">
        <v>203</v>
      </c>
      <c r="B17" t="s">
        <v>10</v>
      </c>
      <c r="C17" s="59">
        <v>4.54</v>
      </c>
      <c r="D17" s="60">
        <v>6.8819863200000002</v>
      </c>
      <c r="E17" s="60">
        <v>3.9</v>
      </c>
      <c r="F17" s="61" t="s">
        <v>235</v>
      </c>
      <c r="G17" s="61">
        <v>0.13500000000000001</v>
      </c>
      <c r="H17" s="61">
        <v>-0.24872585394138436</v>
      </c>
      <c r="I17" s="62">
        <v>0.63053559932385705</v>
      </c>
      <c r="J17" s="62">
        <v>0.475754631715609</v>
      </c>
      <c r="K17" s="62">
        <v>0.43532238182520056</v>
      </c>
      <c r="L17" s="62">
        <v>6.0552115804395346E-3</v>
      </c>
      <c r="M17" s="64">
        <v>-3.6059589140503001E-2</v>
      </c>
      <c r="N17" s="61">
        <v>0.13272477544399197</v>
      </c>
      <c r="O17" s="65">
        <v>-6.2937625951722587E-2</v>
      </c>
      <c r="P17" s="64">
        <v>0.37877755080000003</v>
      </c>
      <c r="Q17" s="64">
        <v>0.51435857378000094</v>
      </c>
      <c r="R17" s="66">
        <v>2.0377455971602401</v>
      </c>
      <c r="S17" s="61">
        <v>2.25234784772727E-2</v>
      </c>
      <c r="T17" s="66">
        <v>0.30163003792465898</v>
      </c>
      <c r="U17" s="66">
        <v>6.7624934832799601</v>
      </c>
      <c r="V17" s="66" t="s">
        <v>235</v>
      </c>
      <c r="W17" s="66">
        <v>0.52334159017091098</v>
      </c>
      <c r="X17" s="66">
        <v>4.4572935975803301</v>
      </c>
      <c r="Y17" s="67" t="s">
        <v>10</v>
      </c>
    </row>
    <row r="18" spans="1:25" x14ac:dyDescent="0.25">
      <c r="A18" t="s">
        <v>204</v>
      </c>
      <c r="B18" t="s">
        <v>52</v>
      </c>
      <c r="C18" s="59">
        <v>2.25</v>
      </c>
      <c r="D18" s="60">
        <v>3.4</v>
      </c>
      <c r="E18" s="60">
        <v>2.13</v>
      </c>
      <c r="F18" s="61">
        <v>-3.4334763948497882E-2</v>
      </c>
      <c r="G18" s="61">
        <v>0</v>
      </c>
      <c r="H18" s="61">
        <v>-0.13347256824481213</v>
      </c>
      <c r="I18" s="62">
        <v>0.77602049106375204</v>
      </c>
      <c r="J18" s="62">
        <v>0.64035454852180607</v>
      </c>
      <c r="K18" s="62">
        <v>0.49748245179325518</v>
      </c>
      <c r="L18" s="62">
        <v>-0.14675190957332884</v>
      </c>
      <c r="M18" s="64">
        <v>0.45500839240010099</v>
      </c>
      <c r="N18" s="61">
        <v>-2.2752245560080375E-3</v>
      </c>
      <c r="O18" s="65">
        <v>5.2315659744849641E-2</v>
      </c>
      <c r="P18" s="64">
        <v>0.37273800000000001</v>
      </c>
      <c r="Q18" s="64">
        <v>0.67917163000000003</v>
      </c>
      <c r="R18" s="66">
        <v>3.2896268868677598</v>
      </c>
      <c r="S18" s="61">
        <v>1.9910870855855901E-2</v>
      </c>
      <c r="T18" s="66">
        <v>0.206948497763186</v>
      </c>
      <c r="U18" s="66">
        <v>6.4469914040114604</v>
      </c>
      <c r="V18" s="66" t="s">
        <v>235</v>
      </c>
      <c r="W18" s="66">
        <v>0.61213800367260796</v>
      </c>
      <c r="X18" s="66" t="s">
        <v>235</v>
      </c>
      <c r="Y18" s="67" t="s">
        <v>52</v>
      </c>
    </row>
    <row r="19" spans="1:25" x14ac:dyDescent="0.25">
      <c r="A19" t="s">
        <v>205</v>
      </c>
      <c r="B19" t="s">
        <v>39</v>
      </c>
      <c r="C19" s="59">
        <v>2.3000000000000003</v>
      </c>
      <c r="D19" s="60">
        <v>3.76</v>
      </c>
      <c r="E19" s="60">
        <v>1.6</v>
      </c>
      <c r="F19" s="61">
        <v>-2.5423728813559143E-2</v>
      </c>
      <c r="G19" s="61">
        <v>2.2222222222222365E-2</v>
      </c>
      <c r="H19" s="61">
        <v>0.22994652406417115</v>
      </c>
      <c r="I19" s="62">
        <v>1.0125973281331799</v>
      </c>
      <c r="J19" s="62">
        <v>0.83238079447090596</v>
      </c>
      <c r="K19" s="62">
        <v>0.58044466394118088</v>
      </c>
      <c r="L19" s="62">
        <v>-0.15151677447891809</v>
      </c>
      <c r="M19" s="64">
        <v>0.50547732268005996</v>
      </c>
      <c r="N19" s="61">
        <v>1.9946997666214328E-2</v>
      </c>
      <c r="O19" s="65">
        <v>0.41573475205383292</v>
      </c>
      <c r="P19" s="64">
        <v>0.49927954050000001</v>
      </c>
      <c r="Q19" s="64">
        <v>0.75631931139999997</v>
      </c>
      <c r="R19" s="66">
        <v>9.8793957015602594</v>
      </c>
      <c r="S19" s="61" t="s">
        <v>235</v>
      </c>
      <c r="T19" s="66">
        <v>0.40809187682423698</v>
      </c>
      <c r="U19" s="68" t="s">
        <v>235</v>
      </c>
      <c r="V19" s="66" t="s">
        <v>235</v>
      </c>
      <c r="W19" s="66">
        <v>1.3642752083124701</v>
      </c>
      <c r="X19" s="66" t="s">
        <v>235</v>
      </c>
      <c r="Y19" s="67" t="s">
        <v>39</v>
      </c>
    </row>
    <row r="20" spans="1:25" x14ac:dyDescent="0.25">
      <c r="B20" s="69" t="s">
        <v>121</v>
      </c>
      <c r="C20" s="70"/>
      <c r="D20" s="70"/>
      <c r="E20" s="70"/>
      <c r="F20" s="71">
        <v>2.6202626189946732E-3</v>
      </c>
      <c r="G20" s="71">
        <v>5.8881125492190489E-2</v>
      </c>
      <c r="H20" s="71">
        <v>-5.9836877405970212E-2</v>
      </c>
      <c r="I20" s="72">
        <v>0.79467148019174794</v>
      </c>
      <c r="J20" s="72">
        <v>0.60801311738961339</v>
      </c>
      <c r="K20" s="72">
        <v>0.43599174052128253</v>
      </c>
      <c r="L20" s="72">
        <v>-0.11744237543949454</v>
      </c>
      <c r="M20" s="73">
        <v>0.37321476768778339</v>
      </c>
      <c r="N20" s="71">
        <v>5.6605900936182452E-2</v>
      </c>
      <c r="O20" s="71">
        <v>0.12595135058369156</v>
      </c>
      <c r="P20" s="73">
        <v>4.8449090767818186</v>
      </c>
      <c r="Q20" s="73">
        <v>7.2014822041299995</v>
      </c>
      <c r="R20" s="74">
        <v>8.2241386324654044</v>
      </c>
      <c r="S20" s="72">
        <v>4.1376361954110437E-2</v>
      </c>
      <c r="T20" s="74">
        <v>0.41481854737756146</v>
      </c>
      <c r="U20" s="66">
        <v>476.63857868743088</v>
      </c>
      <c r="V20" s="75">
        <v>16.152255231953745</v>
      </c>
      <c r="W20" s="76">
        <v>20.700955799908169</v>
      </c>
      <c r="X20" s="77">
        <v>6.2167953614430997</v>
      </c>
      <c r="Y20" s="78" t="s">
        <v>122</v>
      </c>
    </row>
    <row r="21" spans="1:25" ht="9.75" customHeight="1" x14ac:dyDescent="0.25">
      <c r="I21" s="40"/>
      <c r="J21" s="40"/>
      <c r="K21" s="40"/>
      <c r="L21" s="40"/>
      <c r="M21" s="32"/>
      <c r="N21" s="79"/>
      <c r="O21" s="79"/>
      <c r="Q21" s="32"/>
      <c r="R21" s="80"/>
      <c r="S21" s="81"/>
      <c r="T21" s="80"/>
      <c r="U21" s="80"/>
      <c r="V21" s="80"/>
      <c r="W21" s="80"/>
      <c r="X21" s="80"/>
    </row>
    <row r="22" spans="1:25" x14ac:dyDescent="0.25">
      <c r="B22" s="57" t="s">
        <v>123</v>
      </c>
      <c r="C22" s="82"/>
      <c r="D22" s="82"/>
      <c r="E22" s="82"/>
      <c r="F22" s="82"/>
      <c r="G22" s="82"/>
      <c r="H22" s="82"/>
      <c r="I22" s="83"/>
      <c r="J22" s="83"/>
      <c r="K22" s="83"/>
      <c r="L22" s="83"/>
      <c r="M22" s="84"/>
      <c r="N22" s="85"/>
      <c r="O22" s="85"/>
      <c r="P22" s="82"/>
      <c r="Q22" s="84"/>
      <c r="R22" s="86"/>
      <c r="S22" s="87"/>
      <c r="T22" s="86"/>
      <c r="U22" s="86"/>
      <c r="V22" s="86"/>
      <c r="W22" s="86"/>
      <c r="X22" s="86"/>
      <c r="Y22" s="88"/>
    </row>
    <row r="23" spans="1:25" x14ac:dyDescent="0.25">
      <c r="A23" t="s">
        <v>206</v>
      </c>
      <c r="B23" t="s">
        <v>14</v>
      </c>
      <c r="C23" s="59">
        <v>307</v>
      </c>
      <c r="D23" s="60">
        <v>428.381465133593</v>
      </c>
      <c r="E23" s="60">
        <v>225</v>
      </c>
      <c r="F23" s="61">
        <v>-3.0015797788309651E-2</v>
      </c>
      <c r="G23" s="61">
        <v>0.10035842293906816</v>
      </c>
      <c r="H23" s="61">
        <v>-0.13474414399839363</v>
      </c>
      <c r="I23" s="62">
        <v>1.3764656873301899</v>
      </c>
      <c r="J23" s="62">
        <v>0.855541496101068</v>
      </c>
      <c r="K23" s="62">
        <v>0.5150268990858724</v>
      </c>
      <c r="L23" s="62">
        <v>7.331189562575835E-2</v>
      </c>
      <c r="M23" s="64">
        <v>0.76222863165339305</v>
      </c>
      <c r="N23" s="61">
        <v>9.8083198383060122E-2</v>
      </c>
      <c r="O23" s="65">
        <v>5.1044083991268141E-2</v>
      </c>
      <c r="P23" s="64">
        <v>5.31</v>
      </c>
      <c r="Q23" s="64">
        <v>5.0481850000000001</v>
      </c>
      <c r="R23" s="66">
        <v>0.818613266756956</v>
      </c>
      <c r="S23" s="61">
        <v>2.98179532474576E-3</v>
      </c>
      <c r="T23" s="66">
        <v>0.16257480524763401</v>
      </c>
      <c r="U23" s="66" t="s">
        <v>235</v>
      </c>
      <c r="V23" s="66" t="s">
        <v>235</v>
      </c>
      <c r="W23" s="66">
        <v>12.387465268313701</v>
      </c>
      <c r="X23" s="66">
        <v>32.903504664481503</v>
      </c>
      <c r="Y23" s="67" t="s">
        <v>14</v>
      </c>
    </row>
    <row r="24" spans="1:25" x14ac:dyDescent="0.25">
      <c r="A24" t="s">
        <v>207</v>
      </c>
      <c r="B24" t="s">
        <v>15</v>
      </c>
      <c r="C24" s="59">
        <v>77</v>
      </c>
      <c r="D24" s="60">
        <v>91.442340332582404</v>
      </c>
      <c r="E24" s="60">
        <v>41.397437776319997</v>
      </c>
      <c r="F24" s="61">
        <v>7.8431372549019551E-2</v>
      </c>
      <c r="G24" s="61">
        <v>0.10000000000000009</v>
      </c>
      <c r="H24" s="61">
        <v>0.55001542466648257</v>
      </c>
      <c r="I24" s="62">
        <v>1.3773896341924101</v>
      </c>
      <c r="J24" s="62">
        <v>0.869177773629912</v>
      </c>
      <c r="K24" s="62" t="s">
        <v>235</v>
      </c>
      <c r="L24" s="62" t="s">
        <v>235</v>
      </c>
      <c r="M24" s="64">
        <v>0.65929780072683197</v>
      </c>
      <c r="N24" s="61">
        <v>9.7724775443992051E-2</v>
      </c>
      <c r="O24" s="65">
        <v>0.73580365265614434</v>
      </c>
      <c r="P24" s="64">
        <v>3.3822817199999999</v>
      </c>
      <c r="Q24" s="64">
        <v>1.1130708810000001</v>
      </c>
      <c r="R24" s="66">
        <v>2.55278658129818</v>
      </c>
      <c r="S24" s="61">
        <v>2.67030266777778E-2</v>
      </c>
      <c r="T24" s="66">
        <v>0.42416210159419898</v>
      </c>
      <c r="U24" s="66">
        <v>26.647655698445401</v>
      </c>
      <c r="V24" s="66" t="s">
        <v>235</v>
      </c>
      <c r="W24" s="66">
        <v>0.72332203419325602</v>
      </c>
      <c r="X24" s="66">
        <v>4.1776560014418802</v>
      </c>
      <c r="Y24" s="67" t="s">
        <v>15</v>
      </c>
    </row>
    <row r="25" spans="1:25" x14ac:dyDescent="0.25">
      <c r="A25" t="s">
        <v>208</v>
      </c>
      <c r="B25" t="s">
        <v>74</v>
      </c>
      <c r="C25" s="59">
        <v>18.850000000000001</v>
      </c>
      <c r="D25" s="60">
        <v>33.700000000000003</v>
      </c>
      <c r="E25" s="60">
        <v>14.5</v>
      </c>
      <c r="F25" s="61">
        <v>-2.8350515463917425E-2</v>
      </c>
      <c r="G25" s="61" t="s">
        <v>235</v>
      </c>
      <c r="H25" s="61" t="s">
        <v>235</v>
      </c>
      <c r="I25" s="62">
        <v>1.17928068485385</v>
      </c>
      <c r="J25" s="62">
        <v>1.0328007027995101</v>
      </c>
      <c r="K25" s="62">
        <v>0.55894198065434464</v>
      </c>
      <c r="L25" s="62">
        <v>0.11772448810835168</v>
      </c>
      <c r="M25" s="64">
        <v>0.47541448966773597</v>
      </c>
      <c r="N25" s="61" t="s">
        <v>235</v>
      </c>
      <c r="O25" s="65" t="s">
        <v>235</v>
      </c>
      <c r="P25" s="64">
        <v>0.84184276599999996</v>
      </c>
      <c r="Q25" s="64">
        <v>0.96725377889999997</v>
      </c>
      <c r="R25" s="66">
        <v>1.8811399924424099</v>
      </c>
      <c r="S25" s="61">
        <v>3.8605784531579E-2</v>
      </c>
      <c r="T25" s="66">
        <v>0.15139156688371799</v>
      </c>
      <c r="U25" s="66" t="s">
        <v>235</v>
      </c>
      <c r="V25" s="66" t="s">
        <v>235</v>
      </c>
      <c r="W25" s="66">
        <v>0.85097254784128395</v>
      </c>
      <c r="X25" s="66">
        <v>1.40130812253771</v>
      </c>
      <c r="Y25" s="67" t="s">
        <v>74</v>
      </c>
    </row>
    <row r="26" spans="1:25" x14ac:dyDescent="0.25">
      <c r="A26" t="s">
        <v>209</v>
      </c>
      <c r="B26" t="s">
        <v>30</v>
      </c>
      <c r="C26" s="59">
        <v>3.16</v>
      </c>
      <c r="D26" s="60">
        <v>14.7</v>
      </c>
      <c r="E26" s="60">
        <v>2.75</v>
      </c>
      <c r="F26" s="61">
        <v>-1.2499999999999956E-2</v>
      </c>
      <c r="G26" s="61">
        <v>5.3333333333333455E-2</v>
      </c>
      <c r="H26" s="61">
        <v>-0.56593406593406592</v>
      </c>
      <c r="I26" s="62">
        <v>1.13925806782325</v>
      </c>
      <c r="J26" s="62">
        <v>0.78231149282413992</v>
      </c>
      <c r="K26" s="62" t="s">
        <v>235</v>
      </c>
      <c r="L26" s="62" t="s">
        <v>235</v>
      </c>
      <c r="M26" s="64">
        <v>0.61737806478506596</v>
      </c>
      <c r="N26" s="61">
        <v>5.1058108777325417E-2</v>
      </c>
      <c r="O26" s="65">
        <v>-0.38014583794440415</v>
      </c>
      <c r="P26" s="64">
        <v>0.22332388805</v>
      </c>
      <c r="Q26" s="64">
        <v>0.71872913984000009</v>
      </c>
      <c r="R26" s="66" t="s">
        <v>235</v>
      </c>
      <c r="S26" s="61" t="s">
        <v>235</v>
      </c>
      <c r="T26" s="66">
        <v>4.2157235985018998E-2</v>
      </c>
      <c r="U26" s="66" t="s">
        <v>235</v>
      </c>
      <c r="V26" s="66" t="s">
        <v>235</v>
      </c>
      <c r="W26" s="66">
        <v>-0.114776215281415</v>
      </c>
      <c r="X26" s="66">
        <v>0.12135732749380899</v>
      </c>
      <c r="Y26" s="67" t="s">
        <v>30</v>
      </c>
    </row>
    <row r="27" spans="1:25" x14ac:dyDescent="0.25">
      <c r="A27" t="s">
        <v>210</v>
      </c>
      <c r="B27" t="s">
        <v>46</v>
      </c>
      <c r="C27" s="59">
        <v>2.3000000000000003</v>
      </c>
      <c r="D27" s="60">
        <v>3.77</v>
      </c>
      <c r="E27" s="60">
        <v>2</v>
      </c>
      <c r="F27" s="61">
        <v>2.2204460492503131E-16</v>
      </c>
      <c r="G27" s="61">
        <v>4.366812227074357E-3</v>
      </c>
      <c r="H27" s="61">
        <v>5.0228310502283158E-2</v>
      </c>
      <c r="I27" s="62">
        <v>0.70456888645914006</v>
      </c>
      <c r="J27" s="62">
        <v>0.52927933296339302</v>
      </c>
      <c r="K27" s="62">
        <v>0.47746250940462859</v>
      </c>
      <c r="L27" s="62">
        <v>-6.9755922066637277E-2</v>
      </c>
      <c r="M27" s="64">
        <v>0.31384592571607001</v>
      </c>
      <c r="N27" s="61">
        <v>2.0915876710663195E-3</v>
      </c>
      <c r="O27" s="65">
        <v>0.23601653849194493</v>
      </c>
      <c r="P27" s="64">
        <v>0.34415698911999998</v>
      </c>
      <c r="Q27" s="64">
        <v>0.58164843989999993</v>
      </c>
      <c r="R27" s="66" t="s">
        <v>235</v>
      </c>
      <c r="S27" s="61" t="s">
        <v>235</v>
      </c>
      <c r="T27" s="66">
        <v>0.209445781757608</v>
      </c>
      <c r="U27" s="66" t="s">
        <v>235</v>
      </c>
      <c r="V27" s="66" t="s">
        <v>235</v>
      </c>
      <c r="W27" s="66">
        <v>0.72404272254819702</v>
      </c>
      <c r="X27" s="66" t="s">
        <v>235</v>
      </c>
      <c r="Y27" s="67" t="s">
        <v>46</v>
      </c>
    </row>
    <row r="28" spans="1:25" x14ac:dyDescent="0.25">
      <c r="A28" t="s">
        <v>211</v>
      </c>
      <c r="B28" t="s">
        <v>48</v>
      </c>
      <c r="C28" s="59">
        <v>3.65</v>
      </c>
      <c r="D28" s="60">
        <v>5.5</v>
      </c>
      <c r="E28" s="60">
        <v>2.42</v>
      </c>
      <c r="F28" s="61" t="s">
        <v>235</v>
      </c>
      <c r="G28" s="61" t="s">
        <v>235</v>
      </c>
      <c r="H28" s="61">
        <v>0.3035714285714286</v>
      </c>
      <c r="I28" s="62">
        <v>0</v>
      </c>
      <c r="J28" s="62">
        <v>0</v>
      </c>
      <c r="K28" s="62">
        <v>0.83794903929225706</v>
      </c>
      <c r="L28" s="62">
        <v>-0.10783251525650461</v>
      </c>
      <c r="M28" s="64" t="s">
        <v>235</v>
      </c>
      <c r="N28" s="61" t="s">
        <v>235</v>
      </c>
      <c r="O28" s="65">
        <v>0.48935965656109037</v>
      </c>
      <c r="P28" s="64">
        <v>0.36634667844999996</v>
      </c>
      <c r="Q28" s="64">
        <v>0.36480671845000001</v>
      </c>
      <c r="R28" s="66" t="s">
        <v>235</v>
      </c>
      <c r="S28" s="61" t="s">
        <v>235</v>
      </c>
      <c r="T28" s="66" t="s">
        <v>235</v>
      </c>
      <c r="U28" s="66" t="s">
        <v>235</v>
      </c>
      <c r="V28" s="66" t="s">
        <v>235</v>
      </c>
      <c r="W28" s="66" t="s">
        <v>235</v>
      </c>
      <c r="X28" s="66" t="s">
        <v>235</v>
      </c>
      <c r="Y28" s="67" t="s">
        <v>48</v>
      </c>
    </row>
    <row r="29" spans="1:25" x14ac:dyDescent="0.25">
      <c r="A29" t="s">
        <v>212</v>
      </c>
      <c r="B29" s="38" t="s">
        <v>80</v>
      </c>
      <c r="C29" s="59">
        <v>1.8</v>
      </c>
      <c r="D29" s="60">
        <v>3.4427791999999999</v>
      </c>
      <c r="E29" s="60">
        <v>1.7</v>
      </c>
      <c r="F29" s="61">
        <v>0</v>
      </c>
      <c r="G29" s="61" t="s">
        <v>235</v>
      </c>
      <c r="H29" s="61" t="s">
        <v>235</v>
      </c>
      <c r="I29" s="62">
        <v>0.28038680421172196</v>
      </c>
      <c r="J29" s="62">
        <v>16.288283847824601</v>
      </c>
      <c r="K29" s="62">
        <v>303.3994096384863</v>
      </c>
      <c r="L29" s="62">
        <v>-0.14653293547152346</v>
      </c>
      <c r="M29" s="64" t="s">
        <v>235</v>
      </c>
      <c r="N29" s="61" t="s">
        <v>235</v>
      </c>
      <c r="O29" s="65" t="s">
        <v>235</v>
      </c>
      <c r="P29" s="64">
        <v>0.18</v>
      </c>
      <c r="Q29" s="64">
        <v>0.17674825</v>
      </c>
      <c r="R29" s="66">
        <v>5.0195173831796902</v>
      </c>
      <c r="S29" s="61" t="s">
        <v>235</v>
      </c>
      <c r="T29" s="66">
        <v>0.324143002816839</v>
      </c>
      <c r="U29" s="68" t="s">
        <v>235</v>
      </c>
      <c r="V29" s="66" t="s">
        <v>235</v>
      </c>
      <c r="W29" s="66">
        <v>0.89194645786955395</v>
      </c>
      <c r="X29" s="66" t="s">
        <v>235</v>
      </c>
      <c r="Y29" s="67" t="s">
        <v>80</v>
      </c>
    </row>
    <row r="30" spans="1:25" x14ac:dyDescent="0.25">
      <c r="B30" s="69" t="s">
        <v>121</v>
      </c>
      <c r="C30" s="70"/>
      <c r="D30" s="70"/>
      <c r="E30" s="70"/>
      <c r="F30" s="71">
        <v>1.2608432161321237E-3</v>
      </c>
      <c r="G30" s="71">
        <v>6.4514642124869015E-2</v>
      </c>
      <c r="H30" s="71">
        <v>4.0627390761546957E-2</v>
      </c>
      <c r="I30" s="72">
        <v>0.86533568069579458</v>
      </c>
      <c r="J30" s="72">
        <v>2.9081992351632318</v>
      </c>
      <c r="K30" s="72">
        <v>61.157758013384679</v>
      </c>
      <c r="L30" s="72">
        <v>-2.6616997812111066E-2</v>
      </c>
      <c r="M30" s="73">
        <v>0.56563298250981942</v>
      </c>
      <c r="N30" s="71">
        <v>6.2239417568860977E-2</v>
      </c>
      <c r="O30" s="71">
        <v>0.22641561875120875</v>
      </c>
      <c r="P30" s="73">
        <v>1.5211360059457142</v>
      </c>
      <c r="Q30" s="73">
        <v>1.281491744012857</v>
      </c>
      <c r="R30" s="74">
        <v>2.5680143059193092</v>
      </c>
      <c r="S30" s="72">
        <v>2.2763535511367519E-2</v>
      </c>
      <c r="T30" s="74">
        <v>0.21897908238083616</v>
      </c>
      <c r="U30" s="66">
        <v>26.647655698445401</v>
      </c>
      <c r="V30" s="72" t="s">
        <v>235</v>
      </c>
      <c r="W30" s="76">
        <v>2.5771621359140959</v>
      </c>
      <c r="X30" s="75">
        <v>9.6509565289887256</v>
      </c>
      <c r="Y30" s="78" t="s">
        <v>122</v>
      </c>
    </row>
    <row r="31" spans="1:25" ht="9" customHeight="1" x14ac:dyDescent="0.25">
      <c r="I31" s="40"/>
      <c r="J31" s="40"/>
      <c r="K31" s="40"/>
      <c r="L31" s="40"/>
      <c r="M31" s="32"/>
      <c r="N31" s="79"/>
      <c r="O31" s="79"/>
      <c r="Q31" s="32"/>
      <c r="R31" s="80"/>
      <c r="S31" s="81"/>
      <c r="T31" s="80"/>
      <c r="U31" s="80"/>
      <c r="V31" s="80"/>
      <c r="W31" s="80"/>
      <c r="X31" s="80"/>
    </row>
    <row r="32" spans="1:25" x14ac:dyDescent="0.25">
      <c r="B32" s="57" t="s">
        <v>124</v>
      </c>
      <c r="C32" s="82"/>
      <c r="D32" s="82"/>
      <c r="E32" s="82"/>
      <c r="F32" s="82"/>
      <c r="G32" s="82"/>
      <c r="H32" s="82"/>
      <c r="I32" s="83"/>
      <c r="J32" s="83"/>
      <c r="K32" s="83"/>
      <c r="L32" s="83"/>
      <c r="M32" s="84"/>
      <c r="N32" s="85"/>
      <c r="O32" s="85"/>
      <c r="P32" s="82"/>
      <c r="Q32" s="84"/>
      <c r="R32" s="86"/>
      <c r="S32" s="87"/>
      <c r="T32" s="86"/>
      <c r="U32" s="86"/>
      <c r="V32" s="86"/>
      <c r="W32" s="86"/>
      <c r="X32" s="86"/>
      <c r="Y32" s="88"/>
    </row>
    <row r="33" spans="1:30" x14ac:dyDescent="0.25">
      <c r="A33" t="s">
        <v>213</v>
      </c>
      <c r="B33" t="s">
        <v>60</v>
      </c>
      <c r="C33" s="59">
        <v>424</v>
      </c>
      <c r="D33" s="60">
        <v>436</v>
      </c>
      <c r="E33" s="60">
        <v>191.87462443416399</v>
      </c>
      <c r="F33" s="61">
        <v>3.3642125792296529E-2</v>
      </c>
      <c r="G33" s="61">
        <v>-9.4615115056652099E-3</v>
      </c>
      <c r="H33" s="61">
        <v>0.71662210406104077</v>
      </c>
      <c r="I33" s="62">
        <v>0.68282401849254004</v>
      </c>
      <c r="J33" s="62">
        <v>0.46626348629709802</v>
      </c>
      <c r="K33" s="62">
        <v>0.48683688117407847</v>
      </c>
      <c r="L33" s="62">
        <v>-8.2679227346255102E-2</v>
      </c>
      <c r="M33" s="64">
        <v>-6.9834358331787999E-2</v>
      </c>
      <c r="N33" s="61">
        <v>-1.1736736061673247E-2</v>
      </c>
      <c r="O33" s="65">
        <v>0.90241033205070253</v>
      </c>
      <c r="P33" s="64">
        <v>4356.1924854089502</v>
      </c>
      <c r="Q33" s="64">
        <v>679.07268130442003</v>
      </c>
      <c r="R33" s="66">
        <v>4.8622928469967999</v>
      </c>
      <c r="S33" s="61">
        <v>1.5555209861424399E-2</v>
      </c>
      <c r="T33" s="66">
        <v>0.99861281569842197</v>
      </c>
      <c r="U33" s="66">
        <v>10.819537718345501</v>
      </c>
      <c r="V33" s="66">
        <v>13.152864720081601</v>
      </c>
      <c r="W33" s="66">
        <v>1.09983746819585</v>
      </c>
      <c r="X33" s="66">
        <v>3.8703219838204999</v>
      </c>
      <c r="Y33" s="67" t="s">
        <v>60</v>
      </c>
    </row>
    <row r="34" spans="1:30" x14ac:dyDescent="0.25">
      <c r="A34" t="s">
        <v>214</v>
      </c>
      <c r="B34" t="s">
        <v>72</v>
      </c>
      <c r="C34" s="59">
        <v>658</v>
      </c>
      <c r="D34" s="60">
        <v>708.95</v>
      </c>
      <c r="E34" s="60">
        <v>395</v>
      </c>
      <c r="F34" s="61">
        <v>2.8124999999999956E-2</v>
      </c>
      <c r="G34" s="61">
        <v>-4.2421596449101373E-2</v>
      </c>
      <c r="H34" s="61">
        <v>0.6025328787140769</v>
      </c>
      <c r="I34" s="62">
        <v>0.62436705796654202</v>
      </c>
      <c r="J34" s="62">
        <v>0.45932999191565899</v>
      </c>
      <c r="K34" s="62">
        <v>0.34259635719550835</v>
      </c>
      <c r="L34" s="62">
        <v>-1.1442717123260726E-2</v>
      </c>
      <c r="M34" s="64">
        <v>-0.13779449910613201</v>
      </c>
      <c r="N34" s="61">
        <v>-4.4696821005109411E-2</v>
      </c>
      <c r="O34" s="65">
        <v>0.78832110670373867</v>
      </c>
      <c r="P34" s="64">
        <v>757.01924223749995</v>
      </c>
      <c r="Q34" s="64">
        <v>12.443477123182699</v>
      </c>
      <c r="R34" s="66">
        <v>7.68102595954067</v>
      </c>
      <c r="S34" s="61">
        <v>2.8864639376218301E-2</v>
      </c>
      <c r="T34" s="66">
        <v>1.6264220011466799</v>
      </c>
      <c r="U34" s="66">
        <v>13.243551500307699</v>
      </c>
      <c r="V34" s="66">
        <v>14.8694358262113</v>
      </c>
      <c r="W34" s="66">
        <v>1.06148082285289</v>
      </c>
      <c r="X34" s="66">
        <v>10.750804145717</v>
      </c>
      <c r="Y34" s="67" t="s">
        <v>72</v>
      </c>
    </row>
    <row r="35" spans="1:30" x14ac:dyDescent="0.25">
      <c r="A35" t="s">
        <v>215</v>
      </c>
      <c r="B35" t="s">
        <v>73</v>
      </c>
      <c r="C35" s="59">
        <v>529</v>
      </c>
      <c r="D35" s="60">
        <v>785.997432</v>
      </c>
      <c r="E35" s="60">
        <v>456.51366000000002</v>
      </c>
      <c r="F35" s="61">
        <v>-0.1099520484562968</v>
      </c>
      <c r="G35" s="61">
        <v>-4.4522712905264994E-2</v>
      </c>
      <c r="H35" s="61">
        <v>6.1515303463797633E-2</v>
      </c>
      <c r="I35" s="62">
        <v>0.90281184949264703</v>
      </c>
      <c r="J35" s="62">
        <v>0.58478474321653695</v>
      </c>
      <c r="K35" s="62">
        <v>0.45772055055541405</v>
      </c>
      <c r="L35" s="62">
        <v>-0.11402134229533178</v>
      </c>
      <c r="M35" s="64">
        <v>0.60171310837281</v>
      </c>
      <c r="N35" s="61">
        <v>-4.6797937461273031E-2</v>
      </c>
      <c r="O35" s="65">
        <v>0.2473035314534594</v>
      </c>
      <c r="P35" s="64">
        <v>197.81666923935001</v>
      </c>
      <c r="Q35" s="64">
        <v>552.60922279525005</v>
      </c>
      <c r="R35" s="66">
        <v>4.0162597137590597</v>
      </c>
      <c r="S35" s="61">
        <v>1.41545879312059E-2</v>
      </c>
      <c r="T35" s="66">
        <v>0.42197705212271702</v>
      </c>
      <c r="U35" s="66">
        <v>7.1382786550900299</v>
      </c>
      <c r="V35" s="66">
        <v>10.282693548402801</v>
      </c>
      <c r="W35" s="66">
        <v>0.54591651117364925</v>
      </c>
      <c r="X35" s="66">
        <v>1.4161987447717299</v>
      </c>
      <c r="Y35" s="67" t="s">
        <v>73</v>
      </c>
      <c r="AD35" s="89"/>
    </row>
    <row r="36" spans="1:30" x14ac:dyDescent="0.25">
      <c r="A36" t="s">
        <v>216</v>
      </c>
      <c r="B36" t="s">
        <v>29</v>
      </c>
      <c r="C36" s="59">
        <v>99.5</v>
      </c>
      <c r="D36" s="60">
        <v>144</v>
      </c>
      <c r="E36" s="60">
        <v>83.7</v>
      </c>
      <c r="F36" s="61">
        <v>0</v>
      </c>
      <c r="G36" s="61">
        <v>5.3467443091582911E-2</v>
      </c>
      <c r="H36" s="61">
        <v>-6.7896359586552268E-3</v>
      </c>
      <c r="I36" s="62">
        <v>1.48243864377872</v>
      </c>
      <c r="J36" s="62">
        <v>0.91405713586458803</v>
      </c>
      <c r="K36" s="62">
        <v>0.51102413383251288</v>
      </c>
      <c r="L36" s="62">
        <v>0.22903922396714638</v>
      </c>
      <c r="M36" s="64">
        <v>0.91784177117242005</v>
      </c>
      <c r="N36" s="61">
        <v>5.1192218535574874E-2</v>
      </c>
      <c r="O36" s="65">
        <v>0.17899859203100654</v>
      </c>
      <c r="P36" s="64">
        <v>73.252465092600005</v>
      </c>
      <c r="Q36" s="64">
        <v>52.808985975599995</v>
      </c>
      <c r="R36" s="66">
        <v>2.5184399496054302</v>
      </c>
      <c r="S36" s="61">
        <v>0.143786461140998</v>
      </c>
      <c r="T36" s="66">
        <v>1.87356818053638</v>
      </c>
      <c r="U36" s="66">
        <v>5.13342823017393</v>
      </c>
      <c r="V36" s="66">
        <v>7.0954063604240298</v>
      </c>
      <c r="W36" s="66">
        <v>2.1416217026765199</v>
      </c>
      <c r="X36" s="66">
        <v>10.1704485606554</v>
      </c>
      <c r="Y36" s="67" t="s">
        <v>29</v>
      </c>
    </row>
    <row r="37" spans="1:30" x14ac:dyDescent="0.25">
      <c r="A37" t="s">
        <v>217</v>
      </c>
      <c r="B37" t="s">
        <v>17</v>
      </c>
      <c r="C37" s="59">
        <v>26.650000000000002</v>
      </c>
      <c r="D37" s="60">
        <v>79</v>
      </c>
      <c r="E37" s="60">
        <v>23</v>
      </c>
      <c r="F37" s="61">
        <v>3.4951456310679641E-2</v>
      </c>
      <c r="G37" s="61">
        <v>9.6707818930041212E-2</v>
      </c>
      <c r="H37" s="61">
        <v>-0.52873563218390807</v>
      </c>
      <c r="I37" s="62">
        <v>1.53506425600867</v>
      </c>
      <c r="J37" s="62">
        <v>0.95538719602067201</v>
      </c>
      <c r="K37" s="62">
        <v>0.54706317071020949</v>
      </c>
      <c r="L37" s="62">
        <v>0.11804612799212455</v>
      </c>
      <c r="M37" s="64">
        <v>0.77663430962375501</v>
      </c>
      <c r="N37" s="61">
        <v>9.4432594374033174E-2</v>
      </c>
      <c r="O37" s="65">
        <v>-0.3429474041942463</v>
      </c>
      <c r="P37" s="64">
        <v>11.5994719896</v>
      </c>
      <c r="Q37" s="64">
        <v>6.0810453416999994</v>
      </c>
      <c r="R37" s="66">
        <v>0.62037682859323195</v>
      </c>
      <c r="S37" s="61" t="s">
        <v>235</v>
      </c>
      <c r="T37" s="66" t="s">
        <v>235</v>
      </c>
      <c r="U37" s="66" t="s">
        <v>235</v>
      </c>
      <c r="V37" s="66">
        <v>3.4503311258278102</v>
      </c>
      <c r="W37" s="66" t="s">
        <v>235</v>
      </c>
      <c r="X37" s="66" t="s">
        <v>235</v>
      </c>
      <c r="Y37" s="67" t="s">
        <v>17</v>
      </c>
    </row>
    <row r="38" spans="1:30" x14ac:dyDescent="0.25">
      <c r="A38" t="s">
        <v>218</v>
      </c>
      <c r="B38" t="s">
        <v>34</v>
      </c>
      <c r="C38" s="59">
        <v>9.2000000000000011</v>
      </c>
      <c r="D38" s="60">
        <v>12.8</v>
      </c>
      <c r="E38" s="60">
        <v>7.63</v>
      </c>
      <c r="F38" s="61">
        <v>1.0989010989011172E-2</v>
      </c>
      <c r="G38" s="61">
        <v>3.3707865168539408E-2</v>
      </c>
      <c r="H38" s="61">
        <v>-0.16742081447963797</v>
      </c>
      <c r="I38" s="62">
        <v>0.86525182866926797</v>
      </c>
      <c r="J38" s="62">
        <v>0.59114697118026494</v>
      </c>
      <c r="K38" s="62" t="s">
        <v>235</v>
      </c>
      <c r="L38" s="62" t="s">
        <v>235</v>
      </c>
      <c r="M38" s="64">
        <v>0.36376531550207403</v>
      </c>
      <c r="N38" s="61">
        <v>3.1432640612531371E-2</v>
      </c>
      <c r="O38" s="65">
        <v>1.83674135100238E-2</v>
      </c>
      <c r="P38" s="64">
        <v>5.5709438223999994</v>
      </c>
      <c r="Q38" s="64">
        <v>0.61707173018947803</v>
      </c>
      <c r="R38" s="66">
        <v>20.697381437897501</v>
      </c>
      <c r="S38" s="61" t="s">
        <v>235</v>
      </c>
      <c r="T38" s="66">
        <v>2.4528215208591102</v>
      </c>
      <c r="U38" s="66" t="s">
        <v>235</v>
      </c>
      <c r="V38" s="66" t="s">
        <v>235</v>
      </c>
      <c r="W38" s="66">
        <v>1.27366283482208</v>
      </c>
      <c r="X38" s="66">
        <v>21.5189733387605</v>
      </c>
      <c r="Y38" s="67" t="s">
        <v>34</v>
      </c>
    </row>
    <row r="39" spans="1:30" x14ac:dyDescent="0.25">
      <c r="A39" t="s">
        <v>219</v>
      </c>
      <c r="B39" t="s">
        <v>27</v>
      </c>
      <c r="C39" s="59">
        <v>1.2</v>
      </c>
      <c r="D39" s="60">
        <v>2.7138845312923499</v>
      </c>
      <c r="E39" s="60">
        <v>1.08</v>
      </c>
      <c r="F39" s="61">
        <v>0</v>
      </c>
      <c r="G39" s="61">
        <v>6.1946902654867353E-2</v>
      </c>
      <c r="H39" s="61">
        <v>-0.3685167721945305</v>
      </c>
      <c r="I39" s="62">
        <v>1.0944842668301999</v>
      </c>
      <c r="J39" s="62">
        <v>0.68878414746297301</v>
      </c>
      <c r="K39" s="62">
        <v>0.52278799069988213</v>
      </c>
      <c r="L39" s="62">
        <v>-0.12012166393649293</v>
      </c>
      <c r="M39" s="64">
        <v>0.62239088371453999</v>
      </c>
      <c r="N39" s="61">
        <v>5.9671678098859315E-2</v>
      </c>
      <c r="O39" s="65">
        <v>-0.18272854420486873</v>
      </c>
      <c r="P39" s="64">
        <v>1.7516746344</v>
      </c>
      <c r="Q39" s="64">
        <v>6.2131867090956696</v>
      </c>
      <c r="R39" s="66" t="s">
        <v>235</v>
      </c>
      <c r="S39" s="61">
        <v>5.0709913793103495E-2</v>
      </c>
      <c r="T39" s="66">
        <v>0.23727304233982399</v>
      </c>
      <c r="U39" s="66">
        <v>1.5089764754436701</v>
      </c>
      <c r="V39" s="66">
        <v>3.6163570611689799</v>
      </c>
      <c r="W39" s="66">
        <v>0.1573439357572573</v>
      </c>
      <c r="X39" s="66" t="s">
        <v>235</v>
      </c>
      <c r="Y39" s="67" t="s">
        <v>27</v>
      </c>
      <c r="AB39" s="90"/>
      <c r="AD39" s="91"/>
    </row>
    <row r="40" spans="1:30" x14ac:dyDescent="0.25">
      <c r="A40" t="s">
        <v>220</v>
      </c>
      <c r="B40" t="s">
        <v>28</v>
      </c>
      <c r="C40" s="59">
        <v>1.22</v>
      </c>
      <c r="D40" s="60">
        <v>3.02</v>
      </c>
      <c r="E40" s="60">
        <v>0.98</v>
      </c>
      <c r="F40" s="61">
        <v>0</v>
      </c>
      <c r="G40" s="61">
        <v>6.0869565217391397E-2</v>
      </c>
      <c r="H40" s="61">
        <v>-0.2129032258064516</v>
      </c>
      <c r="I40" s="62">
        <v>0.78276175472843501</v>
      </c>
      <c r="J40" s="62">
        <v>0.61920331433564602</v>
      </c>
      <c r="K40" s="62">
        <v>0.58570560688316775</v>
      </c>
      <c r="L40" s="62">
        <v>-0.14888218776472106</v>
      </c>
      <c r="M40" s="64">
        <v>0.42675618579888702</v>
      </c>
      <c r="N40" s="61">
        <v>5.859434066138336E-2</v>
      </c>
      <c r="O40" s="65">
        <v>-2.7114997816789832E-2</v>
      </c>
      <c r="P40" s="64">
        <v>0.54520142383000003</v>
      </c>
      <c r="Q40" s="64">
        <v>0.66573730040000001</v>
      </c>
      <c r="R40" s="66">
        <v>5.2711129849684699</v>
      </c>
      <c r="S40" s="61" t="s">
        <v>235</v>
      </c>
      <c r="T40" s="66">
        <v>1.9063606653169101</v>
      </c>
      <c r="U40" s="68">
        <v>14.8544989650554</v>
      </c>
      <c r="V40" s="66" t="s">
        <v>235</v>
      </c>
      <c r="W40" s="66">
        <v>1.26740138359807</v>
      </c>
      <c r="X40" s="66" t="s">
        <v>235</v>
      </c>
      <c r="Y40" s="67" t="s">
        <v>28</v>
      </c>
    </row>
    <row r="41" spans="1:30" x14ac:dyDescent="0.25">
      <c r="B41" s="69" t="s">
        <v>121</v>
      </c>
      <c r="C41" s="70"/>
      <c r="D41" s="70"/>
      <c r="E41" s="70"/>
      <c r="F41" s="71">
        <v>-2.8055692053868819E-4</v>
      </c>
      <c r="G41" s="71">
        <v>2.6286721775298838E-2</v>
      </c>
      <c r="H41" s="71">
        <v>1.2038025701966493E-2</v>
      </c>
      <c r="I41" s="72">
        <v>0.99625045949587776</v>
      </c>
      <c r="J41" s="72">
        <v>0.65986962328667975</v>
      </c>
      <c r="K41" s="72">
        <v>0.49339067015011046</v>
      </c>
      <c r="L41" s="72">
        <v>-1.858025521525581E-2</v>
      </c>
      <c r="M41" s="73">
        <v>0.43768408959332078</v>
      </c>
      <c r="N41" s="71">
        <v>2.40114972192908E-2</v>
      </c>
      <c r="O41" s="71">
        <v>0.19782625369162826</v>
      </c>
      <c r="P41" s="73">
        <v>675.46851923107874</v>
      </c>
      <c r="Q41" s="73">
        <v>163.81392603497977</v>
      </c>
      <c r="R41" s="74">
        <v>6.5238413887658799</v>
      </c>
      <c r="S41" s="72">
        <v>5.0614162420590025E-2</v>
      </c>
      <c r="T41" s="74">
        <v>1.3595764682885778</v>
      </c>
      <c r="U41" s="66">
        <v>8.7830452574027031</v>
      </c>
      <c r="V41" s="74">
        <v>8.7445147736860864</v>
      </c>
      <c r="W41" s="76">
        <v>1.0781806655823309</v>
      </c>
      <c r="X41" s="74">
        <v>9.5453493547450243</v>
      </c>
      <c r="Y41" s="78" t="s">
        <v>122</v>
      </c>
    </row>
    <row r="42" spans="1:30" ht="8.25" customHeight="1" x14ac:dyDescent="0.25">
      <c r="F42" s="81"/>
      <c r="G42" s="81"/>
      <c r="H42" s="81"/>
      <c r="I42" s="40"/>
      <c r="J42" s="40"/>
      <c r="K42" s="40"/>
      <c r="L42" s="40"/>
      <c r="M42" s="32"/>
      <c r="N42" s="79"/>
      <c r="O42" s="79"/>
      <c r="Q42" s="32"/>
      <c r="R42" s="80"/>
      <c r="S42" s="81"/>
      <c r="T42" s="80"/>
      <c r="U42" s="80"/>
      <c r="V42" s="80"/>
      <c r="W42" s="80"/>
      <c r="X42" s="80"/>
    </row>
    <row r="43" spans="1:30" ht="26.25" customHeight="1" x14ac:dyDescent="0.25">
      <c r="F43" s="81"/>
      <c r="G43" s="81"/>
      <c r="H43" s="81"/>
      <c r="I43" s="40"/>
      <c r="J43" s="40"/>
      <c r="K43" s="40"/>
      <c r="L43" s="40"/>
      <c r="M43" s="32"/>
      <c r="N43" s="79"/>
      <c r="O43" s="79"/>
      <c r="Q43" s="32"/>
      <c r="R43" s="32"/>
      <c r="S43" s="81"/>
      <c r="T43" s="80"/>
      <c r="U43" s="80"/>
      <c r="V43" s="80"/>
      <c r="W43" s="80"/>
      <c r="X43" s="80"/>
    </row>
    <row r="44" spans="1:30" x14ac:dyDescent="0.25">
      <c r="B44" s="42" t="s">
        <v>4</v>
      </c>
      <c r="C44" s="42" t="s">
        <v>95</v>
      </c>
      <c r="D44" s="43" t="s">
        <v>96</v>
      </c>
      <c r="E44" s="43"/>
      <c r="F44" s="44" t="s">
        <v>97</v>
      </c>
      <c r="G44" s="45"/>
      <c r="H44" s="46"/>
      <c r="I44" s="43" t="s">
        <v>98</v>
      </c>
      <c r="J44" s="43"/>
      <c r="K44" s="47" t="s">
        <v>99</v>
      </c>
      <c r="L44" s="47" t="s">
        <v>100</v>
      </c>
      <c r="M44" s="48" t="s">
        <v>101</v>
      </c>
      <c r="N44" s="43" t="s">
        <v>102</v>
      </c>
      <c r="O44" s="43"/>
      <c r="P44" s="43" t="s">
        <v>103</v>
      </c>
      <c r="Q44" s="43"/>
      <c r="R44" s="43"/>
      <c r="S44" s="48" t="s">
        <v>104</v>
      </c>
      <c r="T44" s="43" t="s">
        <v>105</v>
      </c>
      <c r="U44" s="43"/>
      <c r="V44" s="43"/>
      <c r="W44" s="43"/>
      <c r="X44" s="43"/>
      <c r="Y44" s="92" t="s">
        <v>4</v>
      </c>
    </row>
    <row r="45" spans="1:30" ht="33" customHeight="1" x14ac:dyDescent="0.25">
      <c r="B45" s="50"/>
      <c r="C45" s="50"/>
      <c r="D45" s="51" t="s">
        <v>106</v>
      </c>
      <c r="E45" s="51" t="s">
        <v>107</v>
      </c>
      <c r="F45" s="52" t="s">
        <v>108</v>
      </c>
      <c r="G45" s="52" t="s">
        <v>109</v>
      </c>
      <c r="H45" s="52">
        <v>2019</v>
      </c>
      <c r="I45" s="52" t="s">
        <v>110</v>
      </c>
      <c r="J45" s="52" t="s">
        <v>111</v>
      </c>
      <c r="K45" s="53"/>
      <c r="L45" s="53"/>
      <c r="M45" s="48"/>
      <c r="N45" s="52" t="s">
        <v>109</v>
      </c>
      <c r="O45" s="52">
        <v>2019</v>
      </c>
      <c r="P45" s="54" t="s">
        <v>112</v>
      </c>
      <c r="Q45" s="52" t="s">
        <v>113</v>
      </c>
      <c r="R45" s="52" t="s">
        <v>114</v>
      </c>
      <c r="S45" s="48"/>
      <c r="T45" s="55" t="s">
        <v>115</v>
      </c>
      <c r="U45" s="52" t="s">
        <v>116</v>
      </c>
      <c r="V45" s="52" t="s">
        <v>117</v>
      </c>
      <c r="W45" s="52" t="s">
        <v>118</v>
      </c>
      <c r="X45" s="52" t="s">
        <v>119</v>
      </c>
      <c r="Y45" s="93"/>
    </row>
    <row r="46" spans="1:30" x14ac:dyDescent="0.25">
      <c r="B46" s="57" t="s">
        <v>125</v>
      </c>
      <c r="C46" s="82"/>
      <c r="D46" s="82"/>
      <c r="E46" s="82"/>
      <c r="F46" s="87"/>
      <c r="G46" s="87"/>
      <c r="H46" s="87"/>
      <c r="I46" s="83"/>
      <c r="J46" s="83"/>
      <c r="K46" s="83"/>
      <c r="L46" s="83"/>
      <c r="M46" s="84"/>
      <c r="N46" s="85"/>
      <c r="O46" s="85"/>
      <c r="P46" s="82"/>
      <c r="Q46" s="84"/>
      <c r="R46" s="84"/>
      <c r="S46" s="87"/>
      <c r="T46" s="86"/>
      <c r="U46" s="86"/>
      <c r="V46" s="86"/>
      <c r="W46" s="86"/>
      <c r="X46" s="86"/>
      <c r="Y46" s="88"/>
    </row>
    <row r="47" spans="1:30" x14ac:dyDescent="0.25">
      <c r="A47" t="s">
        <v>221</v>
      </c>
      <c r="B47" t="s">
        <v>67</v>
      </c>
      <c r="C47" s="59">
        <v>67</v>
      </c>
      <c r="D47" s="60">
        <v>175.9</v>
      </c>
      <c r="E47" s="60">
        <v>58.5</v>
      </c>
      <c r="F47" s="61">
        <v>-6.4898813677599532E-2</v>
      </c>
      <c r="G47" s="61">
        <v>-3.1091829356471479E-2</v>
      </c>
      <c r="H47" s="61">
        <v>-0.34297337184829968</v>
      </c>
      <c r="I47" s="62">
        <v>2.0825249972104998</v>
      </c>
      <c r="J47" s="62">
        <v>1.28797717844837</v>
      </c>
      <c r="K47" s="62">
        <v>0.52291403035095518</v>
      </c>
      <c r="L47" s="62">
        <v>0.10845815880587018</v>
      </c>
      <c r="M47" s="64">
        <v>1.2638720195942501</v>
      </c>
      <c r="N47" s="61">
        <v>-3.3367053912479516E-2</v>
      </c>
      <c r="O47" s="65">
        <v>-0.15718514385863791</v>
      </c>
      <c r="P47" s="64">
        <v>84.535802372250004</v>
      </c>
      <c r="Q47" s="64">
        <v>-10.48058451955</v>
      </c>
      <c r="R47" s="66">
        <v>-0.17593273552692701</v>
      </c>
      <c r="S47" s="61">
        <v>2.36586149755274E-2</v>
      </c>
      <c r="T47" s="66">
        <v>0.88893088101684004</v>
      </c>
      <c r="U47" s="66">
        <v>3.28444140356592</v>
      </c>
      <c r="V47" s="66">
        <v>3.6485021639111901</v>
      </c>
      <c r="W47" s="66">
        <v>1.3106223461700901</v>
      </c>
      <c r="X47" s="66">
        <v>0.55841330760233998</v>
      </c>
      <c r="Y47" s="67" t="s">
        <v>67</v>
      </c>
    </row>
    <row r="48" spans="1:30" x14ac:dyDescent="0.25">
      <c r="A48" t="s">
        <v>222</v>
      </c>
      <c r="B48" t="s">
        <v>65</v>
      </c>
      <c r="C48" s="59">
        <v>144</v>
      </c>
      <c r="D48" s="60">
        <v>351.45</v>
      </c>
      <c r="E48" s="60">
        <v>121.131203</v>
      </c>
      <c r="F48" s="61">
        <v>-0.10280373831775702</v>
      </c>
      <c r="G48" s="61">
        <v>-2.0741244474668519E-2</v>
      </c>
      <c r="H48" s="61">
        <v>-7.9129076347854266E-2</v>
      </c>
      <c r="I48" s="62">
        <v>2.10598063016932</v>
      </c>
      <c r="J48" s="62">
        <v>1.3108862725626802</v>
      </c>
      <c r="K48" s="62">
        <v>0.53628609404235439</v>
      </c>
      <c r="L48" s="62">
        <v>3.2336512855540622E-2</v>
      </c>
      <c r="M48" s="64">
        <v>1.3387703979073799</v>
      </c>
      <c r="N48" s="61">
        <v>-2.3016469030676556E-2</v>
      </c>
      <c r="O48" s="65">
        <v>0.1066591516418075</v>
      </c>
      <c r="P48" s="64">
        <v>90.538440439200002</v>
      </c>
      <c r="Q48" s="64">
        <v>45.131965344000001</v>
      </c>
      <c r="R48" s="66">
        <v>1.1903240637861401</v>
      </c>
      <c r="S48" s="61">
        <v>7.3964497041420108E-2</v>
      </c>
      <c r="T48" s="66">
        <v>1.0008176940948399</v>
      </c>
      <c r="U48" s="66">
        <v>3.9542373909941699</v>
      </c>
      <c r="V48" s="66">
        <v>3.8612782171620399</v>
      </c>
      <c r="W48" s="66">
        <v>1.53716747931869</v>
      </c>
      <c r="X48" s="66">
        <v>0.95169940362530303</v>
      </c>
      <c r="Y48" s="67" t="s">
        <v>65</v>
      </c>
    </row>
    <row r="49" spans="1:25" x14ac:dyDescent="0.25">
      <c r="A49" t="s">
        <v>479</v>
      </c>
      <c r="B49" t="s">
        <v>47</v>
      </c>
      <c r="C49" s="59">
        <v>87.2</v>
      </c>
      <c r="D49" s="60">
        <v>184</v>
      </c>
      <c r="E49" s="60">
        <v>79.5</v>
      </c>
      <c r="F49" s="61">
        <v>-5.3716766142159589E-2</v>
      </c>
      <c r="G49" s="61">
        <v>4.0299366724239061E-3</v>
      </c>
      <c r="H49" s="61">
        <v>-0.36038229187567783</v>
      </c>
      <c r="I49" s="62">
        <v>2.0727841980499098</v>
      </c>
      <c r="J49" s="62">
        <v>1.2773720821558598</v>
      </c>
      <c r="K49" s="62">
        <v>0.5225131233335476</v>
      </c>
      <c r="L49" s="62">
        <v>2.0009619767965559E-2</v>
      </c>
      <c r="M49" s="64">
        <v>1.25412625252129</v>
      </c>
      <c r="N49" s="61">
        <v>1.7547121164158686E-3</v>
      </c>
      <c r="O49" s="65">
        <v>-0.17459406388601606</v>
      </c>
      <c r="P49" s="64">
        <v>49.349733840900001</v>
      </c>
      <c r="Q49" s="64">
        <v>-31.742311878600102</v>
      </c>
      <c r="R49" s="66">
        <v>-1.021190504257</v>
      </c>
      <c r="S49" s="61">
        <v>4.87743258845438E-2</v>
      </c>
      <c r="T49" s="66">
        <v>0.73167191660195896</v>
      </c>
      <c r="U49" s="66">
        <v>2.7898400110154502</v>
      </c>
      <c r="V49" s="66">
        <v>3.1392644699666601</v>
      </c>
      <c r="W49" s="66">
        <v>1.07143362677308</v>
      </c>
      <c r="X49" s="66">
        <v>2.7278204106940902</v>
      </c>
      <c r="Y49" s="67" t="s">
        <v>47</v>
      </c>
    </row>
    <row r="50" spans="1:25" x14ac:dyDescent="0.25">
      <c r="A50" t="s">
        <v>224</v>
      </c>
      <c r="B50" t="s">
        <v>11</v>
      </c>
      <c r="C50" s="59">
        <v>11.4</v>
      </c>
      <c r="D50" s="60">
        <v>26.197856986931999</v>
      </c>
      <c r="E50" s="60">
        <v>9.6</v>
      </c>
      <c r="F50" s="61">
        <v>5.069124423963145E-2</v>
      </c>
      <c r="G50" s="61">
        <v>0.10679611650485432</v>
      </c>
      <c r="H50" s="61">
        <v>-0.32862554572731406</v>
      </c>
      <c r="I50" s="62">
        <v>1.2935600750481699</v>
      </c>
      <c r="J50" s="62">
        <v>0.86125300411701999</v>
      </c>
      <c r="K50" s="62">
        <v>0.5071728636500209</v>
      </c>
      <c r="L50" s="62">
        <v>-0.13022586334173081</v>
      </c>
      <c r="M50" s="64">
        <v>0.760746860259228</v>
      </c>
      <c r="N50" s="61">
        <v>0.10452089194884628</v>
      </c>
      <c r="O50" s="65">
        <v>-0.14283731773765229</v>
      </c>
      <c r="P50" s="64">
        <v>23.359754172400002</v>
      </c>
      <c r="Q50" s="64">
        <v>-189.73435234429999</v>
      </c>
      <c r="R50" s="66">
        <v>-4.1245021161973403</v>
      </c>
      <c r="S50" s="61">
        <v>2.7806742700000001E-2</v>
      </c>
      <c r="T50" s="66">
        <v>0.53808022631524299</v>
      </c>
      <c r="U50" s="66">
        <v>2.77179383689209</v>
      </c>
      <c r="V50" s="66" t="s">
        <v>235</v>
      </c>
      <c r="W50" s="66">
        <v>0.89632972242209097</v>
      </c>
      <c r="X50" s="66">
        <v>0.35667261056931998</v>
      </c>
      <c r="Y50" s="67" t="s">
        <v>11</v>
      </c>
    </row>
    <row r="51" spans="1:25" x14ac:dyDescent="0.25">
      <c r="A51" t="s">
        <v>226</v>
      </c>
      <c r="B51" t="s">
        <v>38</v>
      </c>
      <c r="C51" s="59">
        <v>30.7</v>
      </c>
      <c r="D51" s="60">
        <v>53</v>
      </c>
      <c r="E51" s="60">
        <v>26.825688442800001</v>
      </c>
      <c r="F51" s="61">
        <v>-9.6774193548386789E-3</v>
      </c>
      <c r="G51" s="61">
        <v>2.3333333333333206E-2</v>
      </c>
      <c r="H51" s="61">
        <v>5.3517789732475674E-3</v>
      </c>
      <c r="I51" s="62">
        <v>1.15458678860155</v>
      </c>
      <c r="J51" s="62">
        <v>0.76230936309883102</v>
      </c>
      <c r="K51" s="62">
        <v>0.47437899386121368</v>
      </c>
      <c r="L51" s="62">
        <v>5.2064767988923233E-2</v>
      </c>
      <c r="M51" s="64">
        <v>0.71960257298899899</v>
      </c>
      <c r="N51" s="61">
        <v>2.1058108777325169E-2</v>
      </c>
      <c r="O51" s="65">
        <v>0.19114000696290934</v>
      </c>
      <c r="P51" s="64">
        <v>20.747340087450002</v>
      </c>
      <c r="Q51" s="64">
        <v>3.1294130633000203</v>
      </c>
      <c r="R51" s="66">
        <v>0.22249998121549</v>
      </c>
      <c r="S51" s="61">
        <v>0.15026782169844</v>
      </c>
      <c r="T51" s="66">
        <v>0.690539125151998</v>
      </c>
      <c r="U51" s="66">
        <v>3.0818125876484599</v>
      </c>
      <c r="V51" s="66" t="s">
        <v>235</v>
      </c>
      <c r="W51" s="66">
        <v>0.91438529439765404</v>
      </c>
      <c r="X51" s="66">
        <v>0.47893576732387599</v>
      </c>
      <c r="Y51" s="67" t="s">
        <v>38</v>
      </c>
    </row>
    <row r="52" spans="1:25" x14ac:dyDescent="0.25">
      <c r="A52" t="s">
        <v>225</v>
      </c>
      <c r="B52" t="s">
        <v>21</v>
      </c>
      <c r="C52" s="59">
        <v>215</v>
      </c>
      <c r="D52" s="60">
        <v>392.81956100000002</v>
      </c>
      <c r="E52" s="60">
        <v>185.5</v>
      </c>
      <c r="F52" s="61">
        <v>3.8647342995169032E-2</v>
      </c>
      <c r="G52" s="61">
        <v>7.2319201995012516E-2</v>
      </c>
      <c r="H52" s="61">
        <v>-0.42215546520187286</v>
      </c>
      <c r="I52" s="62">
        <v>1.7840568079005499</v>
      </c>
      <c r="J52" s="62">
        <v>1.11182926861019</v>
      </c>
      <c r="K52" s="62" t="s">
        <v>235</v>
      </c>
      <c r="L52" s="62" t="s">
        <v>235</v>
      </c>
      <c r="M52" s="64">
        <v>0.93375484455900104</v>
      </c>
      <c r="N52" s="61">
        <v>7.0043977439004479E-2</v>
      </c>
      <c r="O52" s="65">
        <v>-0.23636723721221109</v>
      </c>
      <c r="P52" s="64">
        <v>14.754375</v>
      </c>
      <c r="Q52" s="64">
        <v>-3.5086869599999999</v>
      </c>
      <c r="R52" s="66">
        <v>-3.0391516987290101</v>
      </c>
      <c r="S52" s="61">
        <v>2.5839793281653801E-2</v>
      </c>
      <c r="T52" s="66">
        <v>8.2218777321294301</v>
      </c>
      <c r="U52" s="66">
        <v>10.5741685950446</v>
      </c>
      <c r="V52" s="66" t="s">
        <v>235</v>
      </c>
      <c r="W52" s="66">
        <v>1.53311751213975</v>
      </c>
      <c r="X52" s="66">
        <v>3.7407315637502498</v>
      </c>
      <c r="Y52" s="67" t="s">
        <v>21</v>
      </c>
    </row>
    <row r="53" spans="1:25" x14ac:dyDescent="0.25">
      <c r="A53" t="s">
        <v>227</v>
      </c>
      <c r="B53" t="s">
        <v>53</v>
      </c>
      <c r="C53" s="59">
        <v>10.9</v>
      </c>
      <c r="D53" s="60">
        <v>19</v>
      </c>
      <c r="E53" s="60">
        <v>6.51</v>
      </c>
      <c r="F53" s="61">
        <v>-9.0909090909090384E-3</v>
      </c>
      <c r="G53" s="61">
        <v>0</v>
      </c>
      <c r="H53" s="61">
        <v>-5.8876756457594825E-2</v>
      </c>
      <c r="I53" s="62">
        <v>0.89271864304056603</v>
      </c>
      <c r="J53" s="62">
        <v>0.61876047325580208</v>
      </c>
      <c r="K53" s="62">
        <v>0.53938430332067799</v>
      </c>
      <c r="L53" s="62">
        <v>-1.8719774003048029E-2</v>
      </c>
      <c r="M53" s="64">
        <v>0.54369308725630705</v>
      </c>
      <c r="N53" s="61">
        <v>-2.2752245560080375E-3</v>
      </c>
      <c r="O53" s="65">
        <v>0.12691147153206694</v>
      </c>
      <c r="P53" s="64">
        <v>16.425000000000001</v>
      </c>
      <c r="Q53" s="64">
        <v>1.113511922</v>
      </c>
      <c r="R53" s="66">
        <v>0.41002064331494997</v>
      </c>
      <c r="S53" s="61">
        <v>1.5220700456621E-2</v>
      </c>
      <c r="T53" s="66">
        <v>0.983403899174634</v>
      </c>
      <c r="U53" s="66">
        <v>9.3820742130677708</v>
      </c>
      <c r="V53" s="66" t="s">
        <v>235</v>
      </c>
      <c r="W53" s="66">
        <v>1.5529189728207</v>
      </c>
      <c r="X53" s="66">
        <v>2.06900598024083</v>
      </c>
      <c r="Y53" s="67" t="s">
        <v>53</v>
      </c>
    </row>
    <row r="54" spans="1:25" x14ac:dyDescent="0.25">
      <c r="A54" t="s">
        <v>228</v>
      </c>
      <c r="B54" t="s">
        <v>25</v>
      </c>
      <c r="C54" s="59">
        <v>5.45</v>
      </c>
      <c r="D54" s="60">
        <v>9.0500000000000007</v>
      </c>
      <c r="E54" s="60">
        <v>4.4148509999999996</v>
      </c>
      <c r="F54" s="61">
        <v>2.4436090225563811E-2</v>
      </c>
      <c r="G54" s="61">
        <v>6.6536203522504778E-2</v>
      </c>
      <c r="H54" s="61">
        <v>0.14779926865179083</v>
      </c>
      <c r="I54" s="62">
        <v>1.0858796294736401</v>
      </c>
      <c r="J54" s="62">
        <v>0.69958751959677301</v>
      </c>
      <c r="K54" s="62">
        <v>0.58611173266140348</v>
      </c>
      <c r="L54" s="62">
        <v>-3.0626220922140623E-2</v>
      </c>
      <c r="M54" s="64">
        <v>0.68972975778841095</v>
      </c>
      <c r="N54" s="61">
        <v>6.426097896649674E-2</v>
      </c>
      <c r="O54" s="65">
        <v>0.3335874966414526</v>
      </c>
      <c r="P54" s="64">
        <v>4.3351876499999999</v>
      </c>
      <c r="Q54" s="64">
        <v>10.08207979</v>
      </c>
      <c r="R54" s="66">
        <v>4.6549473653679598</v>
      </c>
      <c r="S54" s="61">
        <v>0.16963696370297002</v>
      </c>
      <c r="T54" s="66">
        <v>1.4078762546364201</v>
      </c>
      <c r="U54" s="66">
        <v>3.07288336059126</v>
      </c>
      <c r="V54" s="66">
        <v>3.37267080745342</v>
      </c>
      <c r="W54" s="66">
        <v>1.93078027316009</v>
      </c>
      <c r="X54" s="66">
        <v>0.32600769380290101</v>
      </c>
      <c r="Y54" s="67" t="s">
        <v>25</v>
      </c>
    </row>
    <row r="55" spans="1:25" x14ac:dyDescent="0.25">
      <c r="B55" s="69" t="s">
        <v>121</v>
      </c>
      <c r="C55" s="70"/>
      <c r="D55" s="70"/>
      <c r="E55" s="70"/>
      <c r="F55" s="71">
        <v>-1.5801621140362446E-2</v>
      </c>
      <c r="G55" s="71">
        <v>2.7647714774623591E-2</v>
      </c>
      <c r="H55" s="71">
        <v>-0.17987393247919689</v>
      </c>
      <c r="I55" s="72">
        <v>1.5590114711867755</v>
      </c>
      <c r="J55" s="72">
        <v>0.99124689523069087</v>
      </c>
      <c r="K55" s="72">
        <v>0.5269658773171676</v>
      </c>
      <c r="L55" s="72">
        <v>4.7567430216257324E-3</v>
      </c>
      <c r="M55" s="94">
        <v>0.93803697410935816</v>
      </c>
      <c r="N55" s="71">
        <v>2.5372490218615554E-2</v>
      </c>
      <c r="O55" s="71">
        <v>5.9142955104648787E-3</v>
      </c>
      <c r="P55" s="73">
        <v>38.005704195275008</v>
      </c>
      <c r="Q55" s="73">
        <v>-22.001120697893764</v>
      </c>
      <c r="R55" s="74">
        <v>-0.23537312512821718</v>
      </c>
      <c r="S55" s="71">
        <v>6.6896182467647017E-2</v>
      </c>
      <c r="T55" s="74">
        <v>1.8078997161401706</v>
      </c>
      <c r="U55" s="74">
        <v>4.8639064248524662</v>
      </c>
      <c r="V55" s="74">
        <v>3.5054289146233275</v>
      </c>
      <c r="W55" s="76">
        <v>1.3433444034002682</v>
      </c>
      <c r="X55" s="74">
        <v>1.4011608422011137</v>
      </c>
      <c r="Y55" s="78" t="s">
        <v>122</v>
      </c>
    </row>
    <row r="56" spans="1:25" ht="9" customHeight="1" x14ac:dyDescent="0.25">
      <c r="F56" s="81"/>
      <c r="G56" s="81"/>
      <c r="H56" s="81"/>
      <c r="I56" s="40"/>
      <c r="J56" s="40"/>
      <c r="K56" s="40"/>
      <c r="L56" s="40"/>
      <c r="M56" s="32"/>
      <c r="N56" s="79"/>
      <c r="O56" s="79"/>
      <c r="P56" s="32"/>
      <c r="Q56" s="32"/>
      <c r="R56" s="80"/>
      <c r="S56" s="81"/>
      <c r="T56" s="80"/>
      <c r="U56" s="80"/>
      <c r="V56" s="80"/>
      <c r="W56" s="80"/>
      <c r="X56" s="80"/>
    </row>
    <row r="57" spans="1:25" x14ac:dyDescent="0.25">
      <c r="B57" s="57" t="s">
        <v>126</v>
      </c>
      <c r="C57" s="82"/>
      <c r="D57" s="82"/>
      <c r="E57" s="82"/>
      <c r="F57" s="87"/>
      <c r="G57" s="87"/>
      <c r="H57" s="87"/>
      <c r="I57" s="83"/>
      <c r="J57" s="83"/>
      <c r="K57" s="83"/>
      <c r="L57" s="83"/>
      <c r="M57" s="84"/>
      <c r="N57" s="85"/>
      <c r="O57" s="85"/>
      <c r="P57" s="84"/>
      <c r="Q57" s="84"/>
      <c r="R57" s="86"/>
      <c r="S57" s="87"/>
      <c r="T57" s="86"/>
      <c r="U57" s="86"/>
      <c r="V57" s="86"/>
      <c r="W57" s="86"/>
      <c r="X57" s="86"/>
      <c r="Y57" s="88"/>
    </row>
    <row r="58" spans="1:25" x14ac:dyDescent="0.25">
      <c r="A58" t="s">
        <v>229</v>
      </c>
      <c r="B58" t="s">
        <v>41</v>
      </c>
      <c r="C58" s="59">
        <v>62</v>
      </c>
      <c r="D58" s="60">
        <v>104.73588233230301</v>
      </c>
      <c r="E58" s="60">
        <v>56</v>
      </c>
      <c r="F58" s="61">
        <v>-1.4308426073131986E-2</v>
      </c>
      <c r="G58" s="61">
        <v>1.8062397372742289E-2</v>
      </c>
      <c r="H58" s="61">
        <v>-0.3653105441327833</v>
      </c>
      <c r="I58" s="62">
        <v>1.00965669750311</v>
      </c>
      <c r="J58" s="62">
        <v>0.62774311228308699</v>
      </c>
      <c r="K58" s="62">
        <v>0.65724746891197749</v>
      </c>
      <c r="L58" s="62">
        <v>0.23258718167854497</v>
      </c>
      <c r="M58" s="64">
        <v>0.52737611908323301</v>
      </c>
      <c r="N58" s="61">
        <v>1.5787172816734252E-2</v>
      </c>
      <c r="O58" s="65">
        <v>-0.17952231614312153</v>
      </c>
      <c r="P58" s="64">
        <v>5.611770688</v>
      </c>
      <c r="Q58" s="64">
        <v>0.53156767999999899</v>
      </c>
      <c r="R58" s="66">
        <v>0.30173041619174701</v>
      </c>
      <c r="S58" s="61">
        <v>0.303272679409539</v>
      </c>
      <c r="T58" s="66">
        <v>0.49079300995546399</v>
      </c>
      <c r="U58" s="66" t="s">
        <v>235</v>
      </c>
      <c r="V58" s="66" t="s">
        <v>235</v>
      </c>
      <c r="W58" s="66">
        <v>0.50193854711937702</v>
      </c>
      <c r="X58" s="66">
        <v>0.82803258777036104</v>
      </c>
      <c r="Y58" s="67" t="s">
        <v>41</v>
      </c>
    </row>
    <row r="59" spans="1:25" x14ac:dyDescent="0.25">
      <c r="A59" t="s">
        <v>230</v>
      </c>
      <c r="B59" t="s">
        <v>62</v>
      </c>
      <c r="C59" s="59">
        <v>20.45</v>
      </c>
      <c r="D59" s="60">
        <v>35.271098799999997</v>
      </c>
      <c r="E59" s="60">
        <v>18.25</v>
      </c>
      <c r="F59" s="61">
        <v>-4.8837209302325602E-2</v>
      </c>
      <c r="G59" s="61">
        <v>-1.2077294685990392E-2</v>
      </c>
      <c r="H59" s="61">
        <v>-0.24372336621133517</v>
      </c>
      <c r="I59" s="62">
        <v>0.97012839101517401</v>
      </c>
      <c r="J59" s="62">
        <v>0.60342408771658906</v>
      </c>
      <c r="K59" s="62">
        <v>0.4209416740457399</v>
      </c>
      <c r="L59" s="62">
        <v>0.19237977830962039</v>
      </c>
      <c r="M59" s="64">
        <v>0.491936020768867</v>
      </c>
      <c r="N59" s="61">
        <v>-1.4352519241998429E-2</v>
      </c>
      <c r="O59" s="65">
        <v>-5.7935138221673399E-2</v>
      </c>
      <c r="P59" s="64">
        <v>3.1520000000000001</v>
      </c>
      <c r="Q59" s="64">
        <v>2.0920243100000002</v>
      </c>
      <c r="R59" s="66">
        <v>3.0841726844191499</v>
      </c>
      <c r="S59" s="61">
        <v>0.63494430329949203</v>
      </c>
      <c r="T59" s="66">
        <v>1.17683284981581</v>
      </c>
      <c r="U59" s="66">
        <v>0.50507108659437605</v>
      </c>
      <c r="V59" s="66" t="s">
        <v>235</v>
      </c>
      <c r="W59" s="66">
        <v>0.47575607527712699</v>
      </c>
      <c r="X59" s="66">
        <v>1.7923606303210899</v>
      </c>
      <c r="Y59" s="67" t="s">
        <v>62</v>
      </c>
    </row>
    <row r="60" spans="1:25" x14ac:dyDescent="0.25">
      <c r="A60" t="s">
        <v>231</v>
      </c>
      <c r="B60" t="s">
        <v>56</v>
      </c>
      <c r="C60" s="59">
        <v>7.65</v>
      </c>
      <c r="D60" s="60">
        <v>29.5</v>
      </c>
      <c r="E60" s="60">
        <v>5.9</v>
      </c>
      <c r="F60" s="61" t="s">
        <v>235</v>
      </c>
      <c r="G60" s="61" t="s">
        <v>235</v>
      </c>
      <c r="H60" s="61">
        <v>-0.4375</v>
      </c>
      <c r="I60" s="62">
        <v>0</v>
      </c>
      <c r="J60" s="62">
        <v>0.31486327844524103</v>
      </c>
      <c r="K60" s="62">
        <v>0.54963796741717075</v>
      </c>
      <c r="L60" s="62">
        <v>0.11171476512495793</v>
      </c>
      <c r="M60" s="64" t="s">
        <v>235</v>
      </c>
      <c r="N60" s="61" t="s">
        <v>235</v>
      </c>
      <c r="O60" s="65">
        <v>-0.25171177201033823</v>
      </c>
      <c r="P60" s="64" t="s">
        <v>235</v>
      </c>
      <c r="Q60" s="64">
        <v>1.2802299619999999</v>
      </c>
      <c r="R60" s="66">
        <v>12.2601555419356</v>
      </c>
      <c r="S60" s="61" t="s">
        <v>235</v>
      </c>
      <c r="T60" s="66">
        <v>0.47138512544533301</v>
      </c>
      <c r="U60" s="66">
        <v>4.4845941002673202</v>
      </c>
      <c r="V60" s="66" t="s">
        <v>235</v>
      </c>
      <c r="W60" s="66">
        <v>1.63659019488292</v>
      </c>
      <c r="X60" s="66" t="s">
        <v>235</v>
      </c>
      <c r="Y60" s="67" t="s">
        <v>56</v>
      </c>
    </row>
    <row r="61" spans="1:25" x14ac:dyDescent="0.25">
      <c r="A61" t="s">
        <v>232</v>
      </c>
      <c r="B61" t="s">
        <v>31</v>
      </c>
      <c r="C61" s="59">
        <v>11.9</v>
      </c>
      <c r="D61" s="60">
        <v>13.4308087</v>
      </c>
      <c r="E61" s="60">
        <v>9.1270678099999998</v>
      </c>
      <c r="F61" s="61">
        <v>8.4745762711864181E-3</v>
      </c>
      <c r="G61" s="61">
        <v>4.8458149779735837E-2</v>
      </c>
      <c r="H61" s="61">
        <v>-5.5368878452964121E-2</v>
      </c>
      <c r="I61" s="62">
        <v>0.61303459337379107</v>
      </c>
      <c r="J61" s="62">
        <v>0.38289722176033503</v>
      </c>
      <c r="K61" s="62">
        <v>0.35464134153910892</v>
      </c>
      <c r="L61" s="62">
        <v>-0.11021636586317773</v>
      </c>
      <c r="M61" s="64">
        <v>0.27300864517227402</v>
      </c>
      <c r="N61" s="61">
        <v>4.61829252237278E-2</v>
      </c>
      <c r="O61" s="65">
        <v>0.13041934953669765</v>
      </c>
      <c r="P61" s="64">
        <v>1.4168000000000001</v>
      </c>
      <c r="Q61" s="64">
        <v>1.4529910399999999</v>
      </c>
      <c r="R61" s="66">
        <v>3.7095069965869198</v>
      </c>
      <c r="S61" s="61">
        <v>2.0759420782608701E-2</v>
      </c>
      <c r="T61" s="66">
        <v>2.7961315018692301</v>
      </c>
      <c r="U61" s="66">
        <v>9.5982448923625405</v>
      </c>
      <c r="V61" s="66" t="s">
        <v>235</v>
      </c>
      <c r="W61" s="66">
        <v>0.78583387150959705</v>
      </c>
      <c r="X61" s="66">
        <v>5.3623819585956696</v>
      </c>
      <c r="Y61" s="67" t="s">
        <v>31</v>
      </c>
    </row>
    <row r="62" spans="1:25" x14ac:dyDescent="0.25">
      <c r="A62" t="s">
        <v>233</v>
      </c>
      <c r="B62" t="s">
        <v>40</v>
      </c>
      <c r="C62" s="59">
        <v>2.75</v>
      </c>
      <c r="D62" s="60">
        <v>4.5794948499999997</v>
      </c>
      <c r="E62" s="60">
        <v>2.6</v>
      </c>
      <c r="F62" s="61">
        <v>0</v>
      </c>
      <c r="G62" s="61">
        <v>1.8518518518518379E-2</v>
      </c>
      <c r="H62" s="61">
        <v>-0.17910447761194037</v>
      </c>
      <c r="I62" s="62">
        <v>0.51776638614839099</v>
      </c>
      <c r="J62" s="62">
        <v>0.40061579714090301</v>
      </c>
      <c r="K62" s="62" t="s">
        <v>235</v>
      </c>
      <c r="L62" s="62" t="s">
        <v>235</v>
      </c>
      <c r="M62" s="64">
        <v>0.29078051188338899</v>
      </c>
      <c r="N62" s="61">
        <v>1.6243293962510341E-2</v>
      </c>
      <c r="O62" s="65">
        <v>6.683750377721398E-3</v>
      </c>
      <c r="P62" s="64">
        <v>1.0686</v>
      </c>
      <c r="Q62" s="64">
        <v>1.6271666472499999</v>
      </c>
      <c r="R62" s="66">
        <v>7.0133633656576002</v>
      </c>
      <c r="S62" s="61" t="s">
        <v>235</v>
      </c>
      <c r="T62" s="66">
        <v>0.38771608696753002</v>
      </c>
      <c r="U62" s="66" t="s">
        <v>235</v>
      </c>
      <c r="V62" s="66" t="s">
        <v>235</v>
      </c>
      <c r="W62" s="66">
        <v>6.0078997196159101</v>
      </c>
      <c r="X62" s="66">
        <v>25.376964960779301</v>
      </c>
      <c r="Y62" s="67" t="s">
        <v>40</v>
      </c>
    </row>
    <row r="63" spans="1:25" x14ac:dyDescent="0.25">
      <c r="A63" t="s">
        <v>234</v>
      </c>
      <c r="B63" t="s">
        <v>76</v>
      </c>
      <c r="C63" s="59">
        <v>34.200000000000003</v>
      </c>
      <c r="D63" s="60">
        <v>45.8</v>
      </c>
      <c r="E63" s="60">
        <v>23.3</v>
      </c>
      <c r="F63" s="61">
        <v>-4.9999999999999933E-2</v>
      </c>
      <c r="G63" s="61" t="s">
        <v>235</v>
      </c>
      <c r="H63" s="61">
        <v>-9.9999999999999978E-2</v>
      </c>
      <c r="I63" s="62">
        <v>0.57591202195764502</v>
      </c>
      <c r="J63" s="62">
        <v>0.457630485233472</v>
      </c>
      <c r="K63" s="62">
        <v>0.46365766487363907</v>
      </c>
      <c r="L63" s="62">
        <v>-5.2355293393476665E-2</v>
      </c>
      <c r="M63" s="64">
        <v>0.248921346635087</v>
      </c>
      <c r="N63" s="61" t="s">
        <v>235</v>
      </c>
      <c r="O63" s="65">
        <v>8.5788227989661792E-2</v>
      </c>
      <c r="P63" s="64">
        <v>1.05</v>
      </c>
      <c r="Q63" s="64">
        <v>0.90417146000000004</v>
      </c>
      <c r="R63" s="66">
        <v>4.8244204483341697</v>
      </c>
      <c r="S63" s="61" t="s">
        <v>235</v>
      </c>
      <c r="T63" s="66">
        <v>0.239368455865307</v>
      </c>
      <c r="U63" s="66" t="s">
        <v>235</v>
      </c>
      <c r="V63" s="66" t="s">
        <v>235</v>
      </c>
      <c r="W63" s="66">
        <v>1.48457476894933</v>
      </c>
      <c r="X63" s="66" t="s">
        <v>235</v>
      </c>
      <c r="Y63" s="67" t="s">
        <v>76</v>
      </c>
    </row>
    <row r="64" spans="1:25" x14ac:dyDescent="0.25">
      <c r="A64" t="s">
        <v>236</v>
      </c>
      <c r="B64" t="s">
        <v>36</v>
      </c>
      <c r="C64" s="59">
        <v>6.69</v>
      </c>
      <c r="D64" s="60">
        <v>13.425000000000001</v>
      </c>
      <c r="E64" s="60">
        <v>5.0999999999999996</v>
      </c>
      <c r="F64" s="61">
        <v>-1.6176470588235237E-2</v>
      </c>
      <c r="G64" s="61">
        <v>2.7649769585253559E-2</v>
      </c>
      <c r="H64" s="61">
        <v>-0.2566666666666666</v>
      </c>
      <c r="I64" s="62">
        <v>1.1996101735686999</v>
      </c>
      <c r="J64" s="62">
        <v>0.8213438364078669</v>
      </c>
      <c r="K64" s="62">
        <v>0.53773579507622948</v>
      </c>
      <c r="L64" s="62">
        <v>-3.3965264148635987E-2</v>
      </c>
      <c r="M64" s="64">
        <v>0.619802057705651</v>
      </c>
      <c r="N64" s="61">
        <v>2.5374545029245521E-2</v>
      </c>
      <c r="O64" s="65">
        <v>-7.0878438677004829E-2</v>
      </c>
      <c r="P64" s="64">
        <v>0.495</v>
      </c>
      <c r="Q64" s="64">
        <v>0.94702253000000003</v>
      </c>
      <c r="R64" s="66">
        <v>5.8832274232635999</v>
      </c>
      <c r="S64" s="61" t="s">
        <v>235</v>
      </c>
      <c r="T64" s="66">
        <v>0.67005571297914301</v>
      </c>
      <c r="U64" s="66" t="s">
        <v>235</v>
      </c>
      <c r="V64" s="66" t="s">
        <v>235</v>
      </c>
      <c r="W64" s="66">
        <v>1.4077894145683501</v>
      </c>
      <c r="X64" s="66">
        <v>1.65854463229136</v>
      </c>
      <c r="Y64" s="67" t="s">
        <v>36</v>
      </c>
    </row>
    <row r="65" spans="1:25" x14ac:dyDescent="0.25">
      <c r="A65" t="s">
        <v>237</v>
      </c>
      <c r="B65" t="s">
        <v>75</v>
      </c>
      <c r="C65" s="59">
        <v>3.85</v>
      </c>
      <c r="D65" s="60">
        <v>6.9</v>
      </c>
      <c r="E65" s="60">
        <v>3.75</v>
      </c>
      <c r="F65" s="61">
        <v>1.049868766404205E-2</v>
      </c>
      <c r="G65" s="61" t="s">
        <v>235</v>
      </c>
      <c r="H65" s="61">
        <v>-0.18604651162790709</v>
      </c>
      <c r="I65" s="62">
        <v>0.65870793134685501</v>
      </c>
      <c r="J65" s="62">
        <v>0.45416767782497502</v>
      </c>
      <c r="K65" s="62">
        <v>0.46767896991166213</v>
      </c>
      <c r="L65" s="62">
        <v>-3.3870938864537514E-2</v>
      </c>
      <c r="M65" s="64">
        <v>0.277581278628179</v>
      </c>
      <c r="N65" s="61" t="s">
        <v>235</v>
      </c>
      <c r="O65" s="65">
        <v>-2.5828363824531575E-4</v>
      </c>
      <c r="P65" s="64">
        <v>0.17380000000000001</v>
      </c>
      <c r="Q65" s="64">
        <v>0.28358866999999999</v>
      </c>
      <c r="R65" s="66">
        <v>2.3358064273813599</v>
      </c>
      <c r="S65" s="61" t="s">
        <v>235</v>
      </c>
      <c r="T65" s="66">
        <v>0.124995340344898</v>
      </c>
      <c r="U65" s="66" t="s">
        <v>235</v>
      </c>
      <c r="V65" s="66" t="s">
        <v>235</v>
      </c>
      <c r="W65" s="66">
        <v>1.05379217127692</v>
      </c>
      <c r="X65" s="66">
        <v>4.5970149253731396</v>
      </c>
      <c r="Y65" s="67" t="s">
        <v>75</v>
      </c>
    </row>
    <row r="66" spans="1:25" x14ac:dyDescent="0.25">
      <c r="A66" t="s">
        <v>238</v>
      </c>
      <c r="B66" t="s">
        <v>54</v>
      </c>
      <c r="C66" s="59">
        <v>93</v>
      </c>
      <c r="D66" s="60">
        <v>93</v>
      </c>
      <c r="E66" s="60">
        <v>23.502815200000001</v>
      </c>
      <c r="F66" s="61" t="s">
        <v>235</v>
      </c>
      <c r="G66" s="61" t="s">
        <v>235</v>
      </c>
      <c r="H66" s="61" t="s">
        <v>235</v>
      </c>
      <c r="I66" s="62">
        <v>0.57061424867541899</v>
      </c>
      <c r="J66" s="62">
        <v>0.52036795802651103</v>
      </c>
      <c r="K66" s="62">
        <v>0.40657353726766943</v>
      </c>
      <c r="L66" s="62">
        <v>8.5973661866513895E-2</v>
      </c>
      <c r="M66" s="64" t="s">
        <v>235</v>
      </c>
      <c r="N66" s="61" t="s">
        <v>235</v>
      </c>
      <c r="O66" s="65" t="s">
        <v>235</v>
      </c>
      <c r="P66" s="64">
        <v>0.2046</v>
      </c>
      <c r="Q66" s="64">
        <v>0.21082877999999999</v>
      </c>
      <c r="R66" s="66">
        <v>2.52151673643545</v>
      </c>
      <c r="S66" s="61">
        <v>3.7634408602150501E-3</v>
      </c>
      <c r="T66" s="66" t="s">
        <v>235</v>
      </c>
      <c r="U66" s="66" t="s">
        <v>235</v>
      </c>
      <c r="V66" s="66" t="s">
        <v>235</v>
      </c>
      <c r="W66" s="66" t="s">
        <v>235</v>
      </c>
      <c r="X66" s="66" t="s">
        <v>235</v>
      </c>
      <c r="Y66" s="67" t="s">
        <v>54</v>
      </c>
    </row>
    <row r="67" spans="1:25" x14ac:dyDescent="0.25">
      <c r="A67" t="s">
        <v>239</v>
      </c>
      <c r="B67" t="s">
        <v>59</v>
      </c>
      <c r="C67" s="59">
        <v>6.5</v>
      </c>
      <c r="D67" s="60">
        <v>11.3</v>
      </c>
      <c r="E67" s="60">
        <v>6.5</v>
      </c>
      <c r="F67" s="61">
        <v>0</v>
      </c>
      <c r="G67" s="61">
        <v>0</v>
      </c>
      <c r="H67" s="61" t="s">
        <v>235</v>
      </c>
      <c r="I67" s="62">
        <v>0.38749226698230899</v>
      </c>
      <c r="J67" s="62">
        <v>0.40418679158683701</v>
      </c>
      <c r="K67" s="62">
        <v>0.65025667326103087</v>
      </c>
      <c r="L67" s="62">
        <v>-0.24255820424330021</v>
      </c>
      <c r="M67" s="64" t="s">
        <v>235</v>
      </c>
      <c r="N67" s="61">
        <v>-2.2752245560080375E-3</v>
      </c>
      <c r="O67" s="65" t="s">
        <v>235</v>
      </c>
      <c r="P67" s="64">
        <v>4.1732561000000001E-2</v>
      </c>
      <c r="Q67" s="64">
        <v>4.0993381000000002E-2</v>
      </c>
      <c r="R67" s="66" t="s">
        <v>235</v>
      </c>
      <c r="S67" s="61" t="s">
        <v>235</v>
      </c>
      <c r="T67" s="66" t="s">
        <v>235</v>
      </c>
      <c r="U67" s="66">
        <v>3.7456636739774298</v>
      </c>
      <c r="V67" s="66" t="s">
        <v>235</v>
      </c>
      <c r="W67" s="66">
        <v>-0.597974189944528</v>
      </c>
      <c r="X67" s="66" t="s">
        <v>235</v>
      </c>
      <c r="Y67" s="67" t="s">
        <v>59</v>
      </c>
    </row>
    <row r="68" spans="1:25" x14ac:dyDescent="0.25">
      <c r="B68" s="69" t="s">
        <v>121</v>
      </c>
      <c r="C68" s="70"/>
      <c r="D68" s="70"/>
      <c r="E68" s="70"/>
      <c r="F68" s="71">
        <v>-1.3793605253558036E-2</v>
      </c>
      <c r="G68" s="71">
        <v>1.6768590095043279E-2</v>
      </c>
      <c r="H68" s="71">
        <v>-0.22796505558794961</v>
      </c>
      <c r="I68" s="72">
        <v>0.65029227105713938</v>
      </c>
      <c r="J68" s="72">
        <v>0.49872402464258164</v>
      </c>
      <c r="K68" s="72">
        <v>0.50093012136713644</v>
      </c>
      <c r="L68" s="72">
        <v>1.6632146718501009E-2</v>
      </c>
      <c r="M68" s="73">
        <v>0.38991513998238281</v>
      </c>
      <c r="N68" s="71">
        <v>1.4493365539035241E-2</v>
      </c>
      <c r="O68" s="71">
        <v>-4.2176827598287808E-2</v>
      </c>
      <c r="P68" s="73">
        <v>1.4682559165555555</v>
      </c>
      <c r="Q68" s="73">
        <v>0.93705844602499988</v>
      </c>
      <c r="R68" s="74">
        <v>4.6593222266895102</v>
      </c>
      <c r="S68" s="71">
        <v>0.24068496108796369</v>
      </c>
      <c r="T68" s="74">
        <v>0.79465976040533948</v>
      </c>
      <c r="U68" s="74">
        <v>4.5833934383004165</v>
      </c>
      <c r="V68" s="74" t="s">
        <v>235</v>
      </c>
      <c r="W68" s="76">
        <v>1.4173556192505559</v>
      </c>
      <c r="X68" s="74">
        <v>6.6025499491884858</v>
      </c>
      <c r="Y68" s="78" t="s">
        <v>122</v>
      </c>
    </row>
    <row r="69" spans="1:25" ht="7.5" customHeight="1" x14ac:dyDescent="0.25">
      <c r="F69" s="81"/>
      <c r="G69" s="81"/>
      <c r="H69" s="81"/>
      <c r="I69" s="40"/>
      <c r="J69" s="40"/>
      <c r="K69" s="40"/>
      <c r="L69" s="40"/>
      <c r="M69" s="32"/>
      <c r="N69" s="79"/>
      <c r="O69" s="79"/>
      <c r="P69" s="32"/>
      <c r="Q69" s="32"/>
      <c r="R69" s="80"/>
      <c r="S69" s="81"/>
      <c r="T69" s="80"/>
      <c r="U69" s="80"/>
      <c r="V69" s="80"/>
      <c r="W69" s="80"/>
      <c r="X69" s="80"/>
    </row>
    <row r="70" spans="1:25" x14ac:dyDescent="0.25">
      <c r="B70" s="57" t="s">
        <v>127</v>
      </c>
      <c r="C70" s="82"/>
      <c r="D70" s="82"/>
      <c r="E70" s="82"/>
      <c r="F70" s="87"/>
      <c r="G70" s="87"/>
      <c r="H70" s="87"/>
      <c r="I70" s="83"/>
      <c r="J70" s="83"/>
      <c r="K70" s="83"/>
      <c r="L70" s="83"/>
      <c r="M70" s="84"/>
      <c r="N70" s="85"/>
      <c r="O70" s="85"/>
      <c r="P70" s="84"/>
      <c r="Q70" s="84"/>
      <c r="R70" s="86"/>
      <c r="S70" s="87"/>
      <c r="T70" s="86"/>
      <c r="U70" s="86"/>
      <c r="V70" s="86"/>
      <c r="W70" s="86"/>
      <c r="X70" s="86"/>
      <c r="Y70" s="88"/>
    </row>
    <row r="71" spans="1:25" x14ac:dyDescent="0.25">
      <c r="A71" t="s">
        <v>240</v>
      </c>
      <c r="B71" t="s">
        <v>18</v>
      </c>
      <c r="C71" s="59">
        <v>34.15</v>
      </c>
      <c r="D71" s="60">
        <v>66.095085800000007</v>
      </c>
      <c r="E71" s="60">
        <v>29</v>
      </c>
      <c r="F71" s="61">
        <v>4.2748091603053373E-2</v>
      </c>
      <c r="G71" s="61">
        <v>9.1054313099041551E-2</v>
      </c>
      <c r="H71" s="61">
        <v>-0.28928199791883458</v>
      </c>
      <c r="I71" s="62">
        <v>1.21621819415823</v>
      </c>
      <c r="J71" s="62">
        <v>0.77543919421590302</v>
      </c>
      <c r="K71" s="62">
        <v>0.43419253061002872</v>
      </c>
      <c r="L71" s="62">
        <v>3.0752819466018266E-2</v>
      </c>
      <c r="M71" s="64">
        <v>0.70262120038701403</v>
      </c>
      <c r="N71" s="61">
        <v>8.8779088543033513E-2</v>
      </c>
      <c r="O71" s="65">
        <v>-0.10349376992917281</v>
      </c>
      <c r="P71" s="64">
        <v>18.604448188999999</v>
      </c>
      <c r="Q71" s="64">
        <v>287.17280110899998</v>
      </c>
      <c r="R71" s="66">
        <v>24.025165323266101</v>
      </c>
      <c r="S71" s="61">
        <v>0</v>
      </c>
      <c r="T71" s="66">
        <v>0.47122591289315002</v>
      </c>
      <c r="U71" s="66" t="s">
        <v>235</v>
      </c>
      <c r="V71" s="66" t="s">
        <v>235</v>
      </c>
      <c r="W71" s="66">
        <v>0.432516734079265</v>
      </c>
      <c r="X71" s="66">
        <v>1.1551879995908101</v>
      </c>
      <c r="Y71" s="67" t="s">
        <v>18</v>
      </c>
    </row>
    <row r="72" spans="1:25" x14ac:dyDescent="0.25">
      <c r="A72" t="s">
        <v>241</v>
      </c>
      <c r="B72" t="s">
        <v>68</v>
      </c>
      <c r="C72" s="59">
        <v>145</v>
      </c>
      <c r="D72" s="60">
        <v>250.09838999999999</v>
      </c>
      <c r="E72" s="60">
        <v>145</v>
      </c>
      <c r="F72" s="61">
        <v>-3.3333333333333326E-2</v>
      </c>
      <c r="G72" s="61">
        <v>-3.3011003667889227E-2</v>
      </c>
      <c r="H72" s="61">
        <v>-0.23482849604221634</v>
      </c>
      <c r="I72" s="62">
        <v>0.56313797331959992</v>
      </c>
      <c r="J72" s="62">
        <v>0.43153527443176998</v>
      </c>
      <c r="K72" s="62">
        <v>0.42015290638168118</v>
      </c>
      <c r="L72" s="62">
        <v>0.11945919261804905</v>
      </c>
      <c r="M72" s="64">
        <v>0.30006188515215099</v>
      </c>
      <c r="N72" s="61">
        <v>-3.5286228223897265E-2</v>
      </c>
      <c r="O72" s="65">
        <v>-4.904026805255457E-2</v>
      </c>
      <c r="P72" s="64">
        <v>20.302037250000001</v>
      </c>
      <c r="Q72" s="64">
        <v>34.737579250000003</v>
      </c>
      <c r="R72" s="66">
        <v>7.6033154976392803</v>
      </c>
      <c r="S72" s="61">
        <v>2.98269969868965E-2</v>
      </c>
      <c r="T72" s="66">
        <v>2.1006772405444099</v>
      </c>
      <c r="U72" s="66" t="s">
        <v>235</v>
      </c>
      <c r="V72" s="66" t="s">
        <v>235</v>
      </c>
      <c r="W72" s="66">
        <v>0.38868854917192902</v>
      </c>
      <c r="X72" s="66">
        <v>4.97800258325986</v>
      </c>
      <c r="Y72" s="67" t="s">
        <v>68</v>
      </c>
    </row>
    <row r="73" spans="1:25" x14ac:dyDescent="0.25">
      <c r="A73" t="s">
        <v>242</v>
      </c>
      <c r="B73" t="s">
        <v>22</v>
      </c>
      <c r="C73" s="59">
        <v>38.300000000000004</v>
      </c>
      <c r="D73" s="60">
        <v>58.967614500000003</v>
      </c>
      <c r="E73" s="60">
        <v>30.5</v>
      </c>
      <c r="F73" s="61">
        <v>1.1889035667107084E-2</v>
      </c>
      <c r="G73" s="61">
        <v>7.1328671328671378E-2</v>
      </c>
      <c r="H73" s="61">
        <v>-0.14699331848552322</v>
      </c>
      <c r="I73" s="62">
        <v>1.10228770939479</v>
      </c>
      <c r="J73" s="62">
        <v>0.70509634613924699</v>
      </c>
      <c r="K73" s="62">
        <v>0.42344627277055258</v>
      </c>
      <c r="L73" s="62">
        <v>-2.8841196835043714E-2</v>
      </c>
      <c r="M73" s="64">
        <v>0.65070658383787205</v>
      </c>
      <c r="N73" s="61">
        <v>6.9053446772663341E-2</v>
      </c>
      <c r="O73" s="65">
        <v>3.8794909504138553E-2</v>
      </c>
      <c r="P73" s="64">
        <v>18.1093052244</v>
      </c>
      <c r="Q73" s="64">
        <v>330.50591939320003</v>
      </c>
      <c r="R73" s="66">
        <v>26.8835138598666</v>
      </c>
      <c r="S73" s="61" t="s">
        <v>235</v>
      </c>
      <c r="T73" s="66">
        <v>0.39465356270566698</v>
      </c>
      <c r="U73" s="66" t="s">
        <v>235</v>
      </c>
      <c r="V73" s="66" t="s">
        <v>235</v>
      </c>
      <c r="W73" s="66">
        <v>0.72403642834751503</v>
      </c>
      <c r="X73" s="66">
        <v>3.7133589859296401</v>
      </c>
      <c r="Y73" s="67" t="s">
        <v>22</v>
      </c>
    </row>
    <row r="74" spans="1:25" x14ac:dyDescent="0.25">
      <c r="A74" t="s">
        <v>243</v>
      </c>
      <c r="B74" t="s">
        <v>64</v>
      </c>
      <c r="C74" s="59">
        <v>39.5</v>
      </c>
      <c r="D74" s="60">
        <v>56.4</v>
      </c>
      <c r="E74" s="60">
        <v>33.531239999999997</v>
      </c>
      <c r="F74" s="61">
        <v>-1.2499999999999956E-2</v>
      </c>
      <c r="G74" s="61">
        <v>-1.4962593516209544E-2</v>
      </c>
      <c r="H74" s="61">
        <v>8.9576542559025141E-2</v>
      </c>
      <c r="I74" s="62">
        <v>0.83777555154425298</v>
      </c>
      <c r="J74" s="62">
        <v>0.54672117317278002</v>
      </c>
      <c r="K74" s="62">
        <v>0.45697543471618307</v>
      </c>
      <c r="L74" s="62">
        <v>5.058440726614255E-2</v>
      </c>
      <c r="M74" s="64">
        <v>0.55202025764200802</v>
      </c>
      <c r="N74" s="61">
        <v>-1.7237818072217581E-2</v>
      </c>
      <c r="O74" s="65">
        <v>0.27536477054868691</v>
      </c>
      <c r="P74" s="64">
        <v>15.986362431</v>
      </c>
      <c r="Q74" s="64">
        <v>17.118379795500001</v>
      </c>
      <c r="R74" s="66">
        <v>129.59633428344301</v>
      </c>
      <c r="S74" s="61">
        <v>3.1464437435897399E-2</v>
      </c>
      <c r="T74" s="66">
        <v>6.3897912912130703</v>
      </c>
      <c r="U74" s="66">
        <v>9.15880439344369</v>
      </c>
      <c r="V74" s="66" t="s">
        <v>235</v>
      </c>
      <c r="W74" s="66">
        <v>0.75692176916682197</v>
      </c>
      <c r="X74" s="66">
        <v>10.175186123845601</v>
      </c>
      <c r="Y74" s="67" t="s">
        <v>64</v>
      </c>
    </row>
    <row r="75" spans="1:25" x14ac:dyDescent="0.25">
      <c r="B75" s="69" t="s">
        <v>121</v>
      </c>
      <c r="C75" s="70"/>
      <c r="D75" s="70"/>
      <c r="E75" s="70"/>
      <c r="F75" s="71">
        <v>2.2009484842067939E-3</v>
      </c>
      <c r="G75" s="95">
        <v>2.8602346810903539E-2</v>
      </c>
      <c r="H75" s="95">
        <v>-0.14538181747188725</v>
      </c>
      <c r="I75" s="72">
        <v>0.92985485710421822</v>
      </c>
      <c r="J75" s="72">
        <v>0.614697996989925</v>
      </c>
      <c r="K75" s="72">
        <v>0.43369178611961134</v>
      </c>
      <c r="L75" s="72">
        <v>4.2988805628791538E-2</v>
      </c>
      <c r="M75" s="73">
        <v>0.55135248175476126</v>
      </c>
      <c r="N75" s="71">
        <v>2.6327122254895502E-2</v>
      </c>
      <c r="O75" s="95">
        <v>4.0406410517774521E-2</v>
      </c>
      <c r="P75" s="73">
        <v>18.2505382736</v>
      </c>
      <c r="Q75" s="73">
        <v>167.38366988692502</v>
      </c>
      <c r="R75" s="74">
        <v>47.027082241053748</v>
      </c>
      <c r="S75" s="71">
        <v>2.04304781409313E-2</v>
      </c>
      <c r="T75" s="74">
        <v>2.3390870018390744</v>
      </c>
      <c r="U75" s="74">
        <v>9.15880439344369</v>
      </c>
      <c r="V75" s="74" t="s">
        <v>235</v>
      </c>
      <c r="W75" s="76">
        <v>0.57554087019138278</v>
      </c>
      <c r="X75" s="77">
        <v>5.0054339231564775</v>
      </c>
      <c r="Y75" s="78" t="s">
        <v>122</v>
      </c>
    </row>
    <row r="76" spans="1:25" ht="9" customHeight="1" x14ac:dyDescent="0.25">
      <c r="F76" s="81"/>
      <c r="G76" s="81"/>
      <c r="H76" s="81"/>
      <c r="I76" s="40"/>
      <c r="J76" s="40"/>
      <c r="K76" s="40"/>
      <c r="L76" s="40"/>
      <c r="M76" s="32"/>
      <c r="N76" s="79"/>
      <c r="O76" s="79"/>
      <c r="P76" s="32"/>
      <c r="Q76" s="32"/>
      <c r="R76" s="80"/>
      <c r="S76" s="81"/>
      <c r="T76" s="80"/>
      <c r="U76" s="80"/>
      <c r="V76" s="80"/>
      <c r="W76" s="80"/>
      <c r="X76" s="80"/>
    </row>
    <row r="77" spans="1:25" x14ac:dyDescent="0.25">
      <c r="B77" s="57" t="s">
        <v>128</v>
      </c>
      <c r="C77" s="82"/>
      <c r="D77" s="82"/>
      <c r="E77" s="82"/>
      <c r="F77" s="87"/>
      <c r="G77" s="87"/>
      <c r="H77" s="87"/>
      <c r="I77" s="83"/>
      <c r="J77" s="83"/>
      <c r="K77" s="83"/>
      <c r="L77" s="83"/>
      <c r="M77" s="84"/>
      <c r="N77" s="85"/>
      <c r="O77" s="85"/>
      <c r="P77" s="84"/>
      <c r="Q77" s="84"/>
      <c r="R77" s="86"/>
      <c r="S77" s="87"/>
      <c r="T77" s="86"/>
      <c r="U77" s="86"/>
      <c r="V77" s="86"/>
      <c r="W77" s="86"/>
      <c r="X77" s="86"/>
      <c r="Y77" s="88"/>
    </row>
    <row r="78" spans="1:25" x14ac:dyDescent="0.25">
      <c r="A78" t="s">
        <v>244</v>
      </c>
      <c r="B78" t="s">
        <v>13</v>
      </c>
      <c r="C78" s="59">
        <v>12.15</v>
      </c>
      <c r="D78" s="60">
        <v>16.55587315</v>
      </c>
      <c r="E78" s="60">
        <v>10.45</v>
      </c>
      <c r="F78" s="61">
        <v>4.7413793103448398E-2</v>
      </c>
      <c r="G78" s="61">
        <v>0.1045454545454545</v>
      </c>
      <c r="H78" s="61">
        <v>-3.5394511339195467E-2</v>
      </c>
      <c r="I78" s="62">
        <v>1.08049911749203</v>
      </c>
      <c r="J78" s="62">
        <v>0.71223713479809703</v>
      </c>
      <c r="K78" s="62" t="s">
        <v>235</v>
      </c>
      <c r="L78" s="62" t="s">
        <v>235</v>
      </c>
      <c r="M78" s="64">
        <v>0.64163595562777898</v>
      </c>
      <c r="N78" s="61">
        <v>0.10227022998944646</v>
      </c>
      <c r="O78" s="65">
        <v>0.1503937166504663</v>
      </c>
      <c r="P78" s="64">
        <v>50.139743655300002</v>
      </c>
      <c r="Q78" s="96">
        <v>62.975285379450106</v>
      </c>
      <c r="R78" s="66">
        <v>5.2696447977984402</v>
      </c>
      <c r="S78" s="61">
        <v>6.0616216216216198E-2</v>
      </c>
      <c r="T78" s="66">
        <v>0.61865629281741596</v>
      </c>
      <c r="U78" s="66">
        <v>3.7890009823335902</v>
      </c>
      <c r="V78" s="66">
        <v>5.2826086956521703</v>
      </c>
      <c r="W78" s="66">
        <v>0.47651866174013002</v>
      </c>
      <c r="X78" s="66">
        <v>8.8090490528971408</v>
      </c>
      <c r="Y78" s="67" t="s">
        <v>13</v>
      </c>
    </row>
    <row r="79" spans="1:25" x14ac:dyDescent="0.25">
      <c r="A79" t="s">
        <v>245</v>
      </c>
      <c r="B79" t="s">
        <v>63</v>
      </c>
      <c r="C79" s="59">
        <v>60.2</v>
      </c>
      <c r="D79" s="60">
        <v>116.75</v>
      </c>
      <c r="E79" s="60">
        <v>55</v>
      </c>
      <c r="F79" s="61">
        <v>-7.0987654320987525E-2</v>
      </c>
      <c r="G79" s="61">
        <v>-1.3923013923013872E-2</v>
      </c>
      <c r="H79" s="61">
        <v>-0.25217391304347825</v>
      </c>
      <c r="I79" s="62">
        <v>2.0211322882884399</v>
      </c>
      <c r="J79" s="62">
        <v>1.2448488343289901</v>
      </c>
      <c r="K79" s="62" t="s">
        <v>235</v>
      </c>
      <c r="L79" s="62" t="s">
        <v>235</v>
      </c>
      <c r="M79" s="64">
        <v>1.0943534420488701</v>
      </c>
      <c r="N79" s="61">
        <v>-1.6198238479021909E-2</v>
      </c>
      <c r="O79" s="65">
        <v>-6.6385685053816479E-2</v>
      </c>
      <c r="P79" s="64">
        <v>34.390728473000003</v>
      </c>
      <c r="Q79" s="96">
        <v>44.806083698000002</v>
      </c>
      <c r="R79" s="66">
        <v>5.0694707459912296</v>
      </c>
      <c r="S79" s="61" t="s">
        <v>235</v>
      </c>
      <c r="T79" s="66">
        <v>1.0829978274941101</v>
      </c>
      <c r="U79" s="66">
        <v>10.9738268760322</v>
      </c>
      <c r="V79" s="66" t="s">
        <v>235</v>
      </c>
      <c r="W79" s="66">
        <v>1.74077050836785</v>
      </c>
      <c r="X79" s="66">
        <v>6.0695824557739799</v>
      </c>
      <c r="Y79" s="67" t="s">
        <v>63</v>
      </c>
    </row>
    <row r="80" spans="1:25" x14ac:dyDescent="0.25">
      <c r="A80" t="s">
        <v>246</v>
      </c>
      <c r="B80" t="s">
        <v>45</v>
      </c>
      <c r="C80" s="59">
        <v>21.1</v>
      </c>
      <c r="D80" s="60">
        <v>22.4</v>
      </c>
      <c r="E80" s="60">
        <v>12.9670065</v>
      </c>
      <c r="F80" s="61">
        <v>-4.0909090909090895E-2</v>
      </c>
      <c r="G80" s="61">
        <v>4.761904761904745E-3</v>
      </c>
      <c r="H80" s="61">
        <v>0.26978556090129269</v>
      </c>
      <c r="I80" s="62">
        <v>0.90556514707532199</v>
      </c>
      <c r="J80" s="62">
        <v>0.588088410601047</v>
      </c>
      <c r="K80" s="62">
        <v>0.40591922178964346</v>
      </c>
      <c r="L80" s="62">
        <v>1.0292161707208258E-3</v>
      </c>
      <c r="M80" s="64">
        <v>0.49877071223184199</v>
      </c>
      <c r="N80" s="61">
        <v>2.4866802058967075E-3</v>
      </c>
      <c r="O80" s="65">
        <v>0.45557378889095446</v>
      </c>
      <c r="P80" s="64">
        <v>58.52</v>
      </c>
      <c r="Q80" s="96">
        <v>78.746479910000005</v>
      </c>
      <c r="R80" s="66">
        <v>6.9528990123205201</v>
      </c>
      <c r="S80" s="61">
        <v>7.5789473684210504E-2</v>
      </c>
      <c r="T80" s="66">
        <v>1.45860560926074</v>
      </c>
      <c r="U80" s="66">
        <v>10.048241081590801</v>
      </c>
      <c r="V80" s="66">
        <v>8.9029535864978904</v>
      </c>
      <c r="W80" s="66">
        <v>2.2671893397076501</v>
      </c>
      <c r="X80" s="66" t="s">
        <v>235</v>
      </c>
      <c r="Y80" s="67" t="s">
        <v>45</v>
      </c>
    </row>
    <row r="81" spans="1:25" x14ac:dyDescent="0.25">
      <c r="A81" t="s">
        <v>247</v>
      </c>
      <c r="B81" t="s">
        <v>33</v>
      </c>
      <c r="C81" s="59">
        <v>51.1</v>
      </c>
      <c r="D81" s="60">
        <v>99.9</v>
      </c>
      <c r="E81" s="60">
        <v>43</v>
      </c>
      <c r="F81" s="61">
        <v>-6.2385321100917435E-2</v>
      </c>
      <c r="G81" s="61">
        <v>4.2857142857142927E-2</v>
      </c>
      <c r="H81" s="61">
        <v>-0.12649572649572649</v>
      </c>
      <c r="I81" s="62">
        <v>0.94073424932226002</v>
      </c>
      <c r="J81" s="62">
        <v>0.62525464154774701</v>
      </c>
      <c r="K81" s="62">
        <v>0.49897119943135487</v>
      </c>
      <c r="L81" s="62">
        <v>0.13449422256908217</v>
      </c>
      <c r="M81" s="64">
        <v>0.57112241881308501</v>
      </c>
      <c r="N81" s="61">
        <v>4.0581918301134889E-2</v>
      </c>
      <c r="O81" s="65">
        <v>5.9292501493935279E-2</v>
      </c>
      <c r="P81" s="64">
        <v>17.7788733995</v>
      </c>
      <c r="Q81" s="96">
        <v>18.700511238900003</v>
      </c>
      <c r="R81" s="66">
        <v>7.76708894727604</v>
      </c>
      <c r="S81" s="61">
        <v>2.0990099009900998E-2</v>
      </c>
      <c r="T81" s="66">
        <v>1.2736508217246201</v>
      </c>
      <c r="U81" s="66">
        <v>8.1862819701545106</v>
      </c>
      <c r="V81" s="66" t="s">
        <v>235</v>
      </c>
      <c r="W81" s="66">
        <v>1.92216686975085</v>
      </c>
      <c r="X81" s="66">
        <v>6.2269817357867803</v>
      </c>
      <c r="Y81" s="67" t="s">
        <v>33</v>
      </c>
    </row>
    <row r="82" spans="1:25" x14ac:dyDescent="0.25">
      <c r="A82" t="s">
        <v>248</v>
      </c>
      <c r="B82" t="s">
        <v>66</v>
      </c>
      <c r="C82" s="59">
        <v>16.100000000000001</v>
      </c>
      <c r="D82" s="60">
        <v>23.5</v>
      </c>
      <c r="E82" s="60">
        <v>9</v>
      </c>
      <c r="F82" s="61">
        <v>-3.0120481927710885E-2</v>
      </c>
      <c r="G82" s="61">
        <v>-2.4242424242424176E-2</v>
      </c>
      <c r="H82" s="61">
        <v>-1.2269938650306678E-2</v>
      </c>
      <c r="I82" s="62">
        <v>0.88172196049910301</v>
      </c>
      <c r="J82" s="62">
        <v>0.63148272306068598</v>
      </c>
      <c r="K82" s="62">
        <v>0.19271969549580389</v>
      </c>
      <c r="L82" s="62">
        <v>-0.23295449363381371</v>
      </c>
      <c r="M82" s="64">
        <v>0.36278579901907698</v>
      </c>
      <c r="N82" s="61">
        <v>-2.6517648798432214E-2</v>
      </c>
      <c r="O82" s="65">
        <v>0.17351828933935509</v>
      </c>
      <c r="P82" s="64">
        <v>6.5871026574</v>
      </c>
      <c r="Q82" s="96">
        <v>11.5499762946</v>
      </c>
      <c r="R82" s="66">
        <v>4.7593362688540104</v>
      </c>
      <c r="S82" s="61" t="s">
        <v>235</v>
      </c>
      <c r="T82" s="66">
        <v>0.31564846988352202</v>
      </c>
      <c r="U82" s="66">
        <v>5.9448861055826496</v>
      </c>
      <c r="V82" s="66" t="s">
        <v>235</v>
      </c>
      <c r="W82" s="66">
        <v>0.92359705983980001</v>
      </c>
      <c r="X82" s="66">
        <v>3.1997241094686601</v>
      </c>
      <c r="Y82" s="67" t="s">
        <v>66</v>
      </c>
    </row>
    <row r="83" spans="1:25" x14ac:dyDescent="0.25">
      <c r="A83" t="s">
        <v>249</v>
      </c>
      <c r="B83" t="s">
        <v>77</v>
      </c>
      <c r="C83" s="59">
        <v>23</v>
      </c>
      <c r="D83" s="60">
        <v>47.5</v>
      </c>
      <c r="E83" s="60">
        <v>23</v>
      </c>
      <c r="F83" s="61" t="s">
        <v>235</v>
      </c>
      <c r="G83" s="61">
        <v>-7.999999999999996E-2</v>
      </c>
      <c r="H83" s="61">
        <v>-0.49478308621636458</v>
      </c>
      <c r="I83" s="62">
        <v>0.459666158037286</v>
      </c>
      <c r="J83" s="62">
        <v>0.44890223403669899</v>
      </c>
      <c r="K83" s="62">
        <v>0.19392024730711852</v>
      </c>
      <c r="L83" s="62">
        <v>-0.23363968674316982</v>
      </c>
      <c r="M83" s="64">
        <v>3.9401213073393997E-2</v>
      </c>
      <c r="N83" s="61">
        <v>-8.2275224556007998E-2</v>
      </c>
      <c r="O83" s="65">
        <v>-0.30899485822670281</v>
      </c>
      <c r="P83" s="64">
        <v>3.6266080500000002</v>
      </c>
      <c r="Q83" s="96">
        <v>3.9333835559999999</v>
      </c>
      <c r="R83" s="66">
        <v>8.6259143383519401</v>
      </c>
      <c r="S83" s="61" t="s">
        <v>235</v>
      </c>
      <c r="T83" s="66">
        <v>1.2162683008527899</v>
      </c>
      <c r="U83" s="66" t="s">
        <v>235</v>
      </c>
      <c r="V83" s="66" t="s">
        <v>235</v>
      </c>
      <c r="W83" s="66">
        <v>1.90741303266868</v>
      </c>
      <c r="X83" s="66" t="s">
        <v>235</v>
      </c>
      <c r="Y83" s="67" t="s">
        <v>77</v>
      </c>
    </row>
    <row r="84" spans="1:25" x14ac:dyDescent="0.25">
      <c r="A84" t="s">
        <v>250</v>
      </c>
      <c r="B84" t="s">
        <v>37</v>
      </c>
      <c r="C84" s="59">
        <v>17.400000000000002</v>
      </c>
      <c r="D84" s="60">
        <v>31.5</v>
      </c>
      <c r="E84" s="60">
        <v>10.199999999999999</v>
      </c>
      <c r="F84" s="61">
        <v>2.3529411764706021E-2</v>
      </c>
      <c r="G84" s="61">
        <v>2.3529411764706021E-2</v>
      </c>
      <c r="H84" s="61">
        <v>-4.39560439560438E-2</v>
      </c>
      <c r="I84" s="62">
        <v>0.75034048028836597</v>
      </c>
      <c r="J84" s="62">
        <v>0.51735484810135202</v>
      </c>
      <c r="K84" s="62">
        <v>0.46556641271291838</v>
      </c>
      <c r="L84" s="62">
        <v>-1.0723123598321949E-2</v>
      </c>
      <c r="M84" s="64">
        <v>0.20713655417743199</v>
      </c>
      <c r="N84" s="61">
        <v>2.1254187208697983E-2</v>
      </c>
      <c r="O84" s="65">
        <v>0.14183218403361797</v>
      </c>
      <c r="P84" s="64">
        <v>1.8169525573699998</v>
      </c>
      <c r="Q84" s="96">
        <v>8.1933301459999992</v>
      </c>
      <c r="R84" s="66">
        <v>3.7420787846429802</v>
      </c>
      <c r="S84" s="61" t="s">
        <v>235</v>
      </c>
      <c r="T84" s="66" t="s">
        <v>235</v>
      </c>
      <c r="U84" s="66" t="s">
        <v>235</v>
      </c>
      <c r="V84" s="66" t="s">
        <v>235</v>
      </c>
      <c r="W84" s="66" t="s">
        <v>235</v>
      </c>
      <c r="X84" s="66" t="s">
        <v>235</v>
      </c>
      <c r="Y84" s="67" t="s">
        <v>37</v>
      </c>
    </row>
    <row r="85" spans="1:25" x14ac:dyDescent="0.25">
      <c r="A85" t="s">
        <v>480</v>
      </c>
      <c r="B85" t="s">
        <v>58</v>
      </c>
      <c r="C85" s="59">
        <v>48</v>
      </c>
      <c r="D85" s="60">
        <v>50</v>
      </c>
      <c r="E85" s="60">
        <v>43</v>
      </c>
      <c r="F85" s="61" t="s">
        <v>235</v>
      </c>
      <c r="G85" s="61" t="s">
        <v>235</v>
      </c>
      <c r="H85" s="61" t="s">
        <v>235</v>
      </c>
      <c r="I85" s="62">
        <v>2.9411984042689202E-2</v>
      </c>
      <c r="J85" s="62">
        <v>0.15587183976555599</v>
      </c>
      <c r="K85" s="62" t="s">
        <v>235</v>
      </c>
      <c r="L85" s="62" t="s">
        <v>235</v>
      </c>
      <c r="M85" s="64" t="s">
        <v>235</v>
      </c>
      <c r="N85" s="61" t="s">
        <v>235</v>
      </c>
      <c r="O85" s="65" t="s">
        <v>235</v>
      </c>
      <c r="P85" s="64">
        <v>0.8805608928333909</v>
      </c>
      <c r="Q85" s="96" t="s">
        <v>235</v>
      </c>
      <c r="R85" s="66" t="s">
        <v>235</v>
      </c>
      <c r="S85" s="61" t="s">
        <v>235</v>
      </c>
      <c r="T85" s="66" t="s">
        <v>235</v>
      </c>
      <c r="U85" s="66" t="s">
        <v>235</v>
      </c>
      <c r="V85" s="66" t="s">
        <v>235</v>
      </c>
      <c r="W85" s="66" t="s">
        <v>235</v>
      </c>
      <c r="X85" s="66" t="s">
        <v>235</v>
      </c>
      <c r="Y85" s="67" t="s">
        <v>58</v>
      </c>
    </row>
    <row r="86" spans="1:25" x14ac:dyDescent="0.25">
      <c r="A86" t="s">
        <v>252</v>
      </c>
      <c r="B86" t="s">
        <v>50</v>
      </c>
      <c r="C86" s="59">
        <v>3.5</v>
      </c>
      <c r="D86" s="60">
        <v>5.6376058000000002</v>
      </c>
      <c r="E86" s="60">
        <v>3</v>
      </c>
      <c r="F86" s="61">
        <v>-5.4054054054054057E-2</v>
      </c>
      <c r="G86" s="61">
        <v>0</v>
      </c>
      <c r="H86" s="61" t="s">
        <v>235</v>
      </c>
      <c r="I86" s="62">
        <v>0.37076931064614799</v>
      </c>
      <c r="J86" s="62">
        <v>0.33943211580797195</v>
      </c>
      <c r="K86" s="62">
        <v>0.40478787947055295</v>
      </c>
      <c r="L86" s="62">
        <v>-0.12093410132198679</v>
      </c>
      <c r="M86" s="64">
        <v>0.34800944800142602</v>
      </c>
      <c r="N86" s="61">
        <v>-2.2752245560080375E-3</v>
      </c>
      <c r="O86" s="65" t="s">
        <v>235</v>
      </c>
      <c r="P86" s="64">
        <v>0.25689099999999998</v>
      </c>
      <c r="Q86" s="96">
        <v>0.55875375999999999</v>
      </c>
      <c r="R86" s="66">
        <v>36.591362204569698</v>
      </c>
      <c r="S86" s="61" t="s">
        <v>235</v>
      </c>
      <c r="T86" s="66">
        <v>0.33084052191298202</v>
      </c>
      <c r="U86" s="66" t="s">
        <v>235</v>
      </c>
      <c r="V86" s="66" t="s">
        <v>235</v>
      </c>
      <c r="W86" s="66">
        <v>1.06378003954433</v>
      </c>
      <c r="X86" s="66" t="s">
        <v>235</v>
      </c>
      <c r="Y86" s="67" t="s">
        <v>50</v>
      </c>
    </row>
    <row r="87" spans="1:25" x14ac:dyDescent="0.25">
      <c r="A87" t="s">
        <v>251</v>
      </c>
      <c r="B87" t="s">
        <v>57</v>
      </c>
      <c r="C87" s="59">
        <v>12.55</v>
      </c>
      <c r="D87" s="60">
        <v>15.05</v>
      </c>
      <c r="E87" s="60">
        <v>10</v>
      </c>
      <c r="F87" s="61" t="s">
        <v>235</v>
      </c>
      <c r="G87" s="61" t="s">
        <v>235</v>
      </c>
      <c r="H87" s="61" t="s">
        <v>235</v>
      </c>
      <c r="I87" s="62">
        <v>0</v>
      </c>
      <c r="J87" s="62">
        <v>0.39738840020160604</v>
      </c>
      <c r="K87" s="62">
        <v>0.5441660189332187</v>
      </c>
      <c r="L87" s="62">
        <v>-0.13286115762262452</v>
      </c>
      <c r="M87" s="64" t="s">
        <v>235</v>
      </c>
      <c r="N87" s="61" t="s">
        <v>235</v>
      </c>
      <c r="O87" s="65" t="s">
        <v>235</v>
      </c>
      <c r="P87" s="64">
        <v>0.22764708550000001</v>
      </c>
      <c r="Q87" s="96">
        <v>0.22976302080000002</v>
      </c>
      <c r="R87" s="66">
        <v>5.2956650794016698</v>
      </c>
      <c r="S87" s="61" t="s">
        <v>235</v>
      </c>
      <c r="T87" s="66">
        <v>0.239369363468002</v>
      </c>
      <c r="U87" s="66">
        <v>10.6783064461235</v>
      </c>
      <c r="V87" s="66" t="s">
        <v>235</v>
      </c>
      <c r="W87" s="66">
        <v>0.75698646308039896</v>
      </c>
      <c r="X87" s="66" t="s">
        <v>235</v>
      </c>
      <c r="Y87" s="67" t="s">
        <v>57</v>
      </c>
    </row>
    <row r="88" spans="1:25" x14ac:dyDescent="0.25">
      <c r="B88" s="69" t="s">
        <v>121</v>
      </c>
      <c r="C88" s="70"/>
      <c r="D88" s="70"/>
      <c r="E88" s="70"/>
      <c r="F88" s="71">
        <v>-2.678762820637234E-2</v>
      </c>
      <c r="G88" s="71">
        <v>7.1910594704712727E-3</v>
      </c>
      <c r="H88" s="71">
        <v>-9.9326808399974653E-2</v>
      </c>
      <c r="I88" s="72">
        <v>0.74398406956916441</v>
      </c>
      <c r="J88" s="72">
        <v>0.56608611822497523</v>
      </c>
      <c r="K88" s="72">
        <v>0.38657866787723011</v>
      </c>
      <c r="L88" s="72">
        <v>-8.5084160597159106E-2</v>
      </c>
      <c r="M88" s="73">
        <v>0.47040194287411308</v>
      </c>
      <c r="N88" s="71">
        <v>4.9158349144632352E-3</v>
      </c>
      <c r="O88" s="71">
        <v>8.6461419589687116E-2</v>
      </c>
      <c r="P88" s="73">
        <v>17.422510777090338</v>
      </c>
      <c r="Q88" s="73">
        <v>25.521507444861122</v>
      </c>
      <c r="R88" s="74">
        <v>9.3414955754673912</v>
      </c>
      <c r="S88" s="71">
        <v>5.2465262970109235E-2</v>
      </c>
      <c r="T88" s="74">
        <v>0.81700465092677288</v>
      </c>
      <c r="U88" s="74">
        <v>8.2700905769695421</v>
      </c>
      <c r="V88" s="74">
        <v>7.0927811410750303</v>
      </c>
      <c r="W88" s="76">
        <v>1.3823027468374611</v>
      </c>
      <c r="X88" s="77">
        <v>6.0763343384816402</v>
      </c>
      <c r="Y88" s="78" t="s">
        <v>122</v>
      </c>
    </row>
    <row r="89" spans="1:25" ht="26.25" customHeight="1" x14ac:dyDescent="0.25">
      <c r="B89" s="97"/>
      <c r="C89" s="31"/>
      <c r="D89" s="31"/>
      <c r="E89" s="31"/>
      <c r="F89" s="98"/>
      <c r="G89" s="98"/>
      <c r="H89" s="98"/>
      <c r="I89" s="99"/>
      <c r="J89" s="99"/>
      <c r="K89" s="99"/>
      <c r="L89" s="99"/>
      <c r="M89" s="100"/>
      <c r="N89" s="101"/>
      <c r="O89" s="101"/>
      <c r="P89" s="31"/>
      <c r="Q89" s="100"/>
      <c r="R89" s="100"/>
      <c r="S89" s="98"/>
      <c r="T89" s="102"/>
      <c r="U89" s="102"/>
      <c r="V89" s="102"/>
      <c r="W89" s="102"/>
      <c r="X89" s="102"/>
      <c r="Y89" s="103"/>
    </row>
    <row r="90" spans="1:25" ht="15" customHeight="1" x14ac:dyDescent="0.25">
      <c r="B90" s="104" t="s">
        <v>4</v>
      </c>
      <c r="C90" s="104" t="s">
        <v>95</v>
      </c>
      <c r="D90" s="44" t="s">
        <v>96</v>
      </c>
      <c r="E90" s="46"/>
      <c r="F90" s="44" t="s">
        <v>97</v>
      </c>
      <c r="G90" s="45"/>
      <c r="H90" s="46"/>
      <c r="I90" s="44" t="s">
        <v>98</v>
      </c>
      <c r="J90" s="46"/>
      <c r="K90" s="47" t="s">
        <v>99</v>
      </c>
      <c r="L90" s="47" t="s">
        <v>100</v>
      </c>
      <c r="M90" s="47" t="s">
        <v>101</v>
      </c>
      <c r="N90" s="44" t="s">
        <v>102</v>
      </c>
      <c r="O90" s="46"/>
      <c r="P90" s="44" t="s">
        <v>103</v>
      </c>
      <c r="Q90" s="45"/>
      <c r="R90" s="46"/>
      <c r="S90" s="47" t="s">
        <v>104</v>
      </c>
      <c r="T90" s="44" t="s">
        <v>105</v>
      </c>
      <c r="U90" s="45"/>
      <c r="V90" s="45"/>
      <c r="W90" s="45"/>
      <c r="X90" s="46"/>
      <c r="Y90" s="105" t="s">
        <v>4</v>
      </c>
    </row>
    <row r="91" spans="1:25" ht="25.5" x14ac:dyDescent="0.25">
      <c r="B91" s="106"/>
      <c r="C91" s="106"/>
      <c r="D91" s="51" t="s">
        <v>106</v>
      </c>
      <c r="E91" s="51" t="s">
        <v>107</v>
      </c>
      <c r="F91" s="52" t="s">
        <v>108</v>
      </c>
      <c r="G91" s="52" t="s">
        <v>109</v>
      </c>
      <c r="H91" s="52">
        <v>2019</v>
      </c>
      <c r="I91" s="52" t="s">
        <v>110</v>
      </c>
      <c r="J91" s="52" t="s">
        <v>111</v>
      </c>
      <c r="K91" s="53"/>
      <c r="L91" s="53"/>
      <c r="M91" s="53"/>
      <c r="N91" s="52" t="s">
        <v>109</v>
      </c>
      <c r="O91" s="52">
        <v>2019</v>
      </c>
      <c r="P91" s="54" t="s">
        <v>112</v>
      </c>
      <c r="Q91" s="52" t="s">
        <v>113</v>
      </c>
      <c r="R91" s="52" t="s">
        <v>114</v>
      </c>
      <c r="S91" s="53"/>
      <c r="T91" s="55" t="s">
        <v>115</v>
      </c>
      <c r="U91" s="52" t="s">
        <v>116</v>
      </c>
      <c r="V91" s="52" t="s">
        <v>117</v>
      </c>
      <c r="W91" s="52" t="s">
        <v>118</v>
      </c>
      <c r="X91" s="52" t="s">
        <v>119</v>
      </c>
      <c r="Y91" s="107"/>
    </row>
    <row r="92" spans="1:25" x14ac:dyDescent="0.25">
      <c r="B92" s="57" t="s">
        <v>129</v>
      </c>
      <c r="C92" s="82"/>
      <c r="D92" s="82"/>
      <c r="E92" s="82"/>
      <c r="F92" s="87"/>
      <c r="G92" s="87"/>
      <c r="H92" s="87"/>
      <c r="I92" s="83"/>
      <c r="J92" s="83"/>
      <c r="K92" s="83"/>
      <c r="L92" s="83"/>
      <c r="M92" s="84"/>
      <c r="N92" s="85"/>
      <c r="O92" s="85"/>
      <c r="P92" s="82"/>
      <c r="Q92" s="84"/>
      <c r="R92" s="84"/>
      <c r="S92" s="87"/>
      <c r="T92" s="86"/>
      <c r="U92" s="86"/>
      <c r="V92" s="86"/>
      <c r="W92" s="86"/>
      <c r="X92" s="86"/>
      <c r="Y92" s="88"/>
    </row>
    <row r="93" spans="1:25" x14ac:dyDescent="0.25">
      <c r="A93" t="s">
        <v>253</v>
      </c>
      <c r="B93" t="s">
        <v>7</v>
      </c>
      <c r="C93" s="59">
        <v>51.9</v>
      </c>
      <c r="D93" s="60">
        <v>51.9</v>
      </c>
      <c r="E93" s="60">
        <v>29</v>
      </c>
      <c r="F93" s="61">
        <v>8.1250000000000044E-2</v>
      </c>
      <c r="G93" s="61">
        <v>0.29749999999999988</v>
      </c>
      <c r="H93" s="61">
        <v>0.4297520661157026</v>
      </c>
      <c r="I93" s="62">
        <v>0.742418923644246</v>
      </c>
      <c r="J93" s="62">
        <v>0.50249475790541298</v>
      </c>
      <c r="K93" s="62" t="s">
        <v>235</v>
      </c>
      <c r="L93" s="62" t="s">
        <v>235</v>
      </c>
      <c r="M93" s="64">
        <v>0.27189611014855802</v>
      </c>
      <c r="N93" s="61">
        <v>0.29522477544399184</v>
      </c>
      <c r="O93" s="65">
        <v>0.61554029410536437</v>
      </c>
      <c r="P93" s="64">
        <v>3.8518459299000001</v>
      </c>
      <c r="Q93" s="64">
        <v>0.87174021160000092</v>
      </c>
      <c r="R93" s="66">
        <v>7.5919627283787001</v>
      </c>
      <c r="S93" s="61">
        <v>2.6413260377358499E-3</v>
      </c>
      <c r="T93" s="66">
        <v>0.37013113689798</v>
      </c>
      <c r="U93" s="108" t="s">
        <v>235</v>
      </c>
      <c r="V93" s="66" t="s">
        <v>235</v>
      </c>
      <c r="W93" s="66">
        <v>3.79137502465725</v>
      </c>
      <c r="X93" s="66">
        <v>3067.7395343796302</v>
      </c>
      <c r="Y93" s="67" t="s">
        <v>7</v>
      </c>
    </row>
    <row r="94" spans="1:25" x14ac:dyDescent="0.25">
      <c r="A94" t="s">
        <v>254</v>
      </c>
      <c r="B94" t="s">
        <v>69</v>
      </c>
      <c r="C94" s="59">
        <v>5.8</v>
      </c>
      <c r="D94" s="60">
        <v>8.9</v>
      </c>
      <c r="E94" s="60">
        <v>4.5</v>
      </c>
      <c r="F94" s="61">
        <v>1.9332161687170446E-2</v>
      </c>
      <c r="G94" s="61" t="s">
        <v>235</v>
      </c>
      <c r="H94" s="61">
        <v>-7.9365079365079416E-2</v>
      </c>
      <c r="I94" s="62">
        <v>0.37101411204296297</v>
      </c>
      <c r="J94" s="62">
        <v>0.42481975060764499</v>
      </c>
      <c r="K94" s="62">
        <v>0.43210011171045665</v>
      </c>
      <c r="L94" s="62">
        <v>-9.8834180312302844E-2</v>
      </c>
      <c r="M94" s="64">
        <v>1.6506703883765E-2</v>
      </c>
      <c r="N94" s="61" t="s">
        <v>235</v>
      </c>
      <c r="O94" s="65">
        <v>0.10642314862458235</v>
      </c>
      <c r="P94" s="64">
        <v>0.24488942375</v>
      </c>
      <c r="Q94" s="64">
        <v>0.34176209699999999</v>
      </c>
      <c r="R94" s="66">
        <v>11.2722645153098</v>
      </c>
      <c r="S94" s="61" t="s">
        <v>235</v>
      </c>
      <c r="T94" s="66">
        <v>0.79088096599199897</v>
      </c>
      <c r="U94" s="66" t="s">
        <v>235</v>
      </c>
      <c r="V94" s="66" t="s">
        <v>235</v>
      </c>
      <c r="W94" s="66">
        <v>1.7527783204010901</v>
      </c>
      <c r="X94" s="66" t="s">
        <v>235</v>
      </c>
      <c r="Y94" s="67" t="s">
        <v>69</v>
      </c>
    </row>
    <row r="95" spans="1:25" x14ac:dyDescent="0.25">
      <c r="B95" s="69" t="s">
        <v>121</v>
      </c>
      <c r="C95" s="70"/>
      <c r="D95" s="70"/>
      <c r="E95" s="70"/>
      <c r="F95" s="71">
        <v>5.0291080843585245E-2</v>
      </c>
      <c r="G95" s="71">
        <v>0.29749999999999988</v>
      </c>
      <c r="H95" s="71">
        <v>0.17519349337531159</v>
      </c>
      <c r="I95" s="72">
        <v>0.55671651784360443</v>
      </c>
      <c r="J95" s="72">
        <v>0.46365725425652898</v>
      </c>
      <c r="K95" s="72">
        <v>0.43210011171045665</v>
      </c>
      <c r="L95" s="72">
        <v>-9.8834180312302844E-2</v>
      </c>
      <c r="M95" s="73">
        <v>0.14420140701616152</v>
      </c>
      <c r="N95" s="71">
        <v>0.29522477544399184</v>
      </c>
      <c r="O95" s="71">
        <v>0.36098172136497336</v>
      </c>
      <c r="P95" s="73">
        <v>2.0483676768249999</v>
      </c>
      <c r="Q95" s="73">
        <v>0.60675115430000048</v>
      </c>
      <c r="R95" s="74">
        <v>9.4321136218442501</v>
      </c>
      <c r="S95" s="71">
        <v>2.6413260377358499E-3</v>
      </c>
      <c r="T95" s="74">
        <v>0.58050605144498946</v>
      </c>
      <c r="U95" s="109" t="s">
        <v>235</v>
      </c>
      <c r="V95" s="74" t="s">
        <v>235</v>
      </c>
      <c r="W95" s="76">
        <v>2.7720766725291699</v>
      </c>
      <c r="X95" s="74">
        <v>3067.7395343796302</v>
      </c>
      <c r="Y95" s="78" t="s">
        <v>122</v>
      </c>
    </row>
    <row r="96" spans="1:25" ht="9" customHeight="1" x14ac:dyDescent="0.25">
      <c r="F96" s="81"/>
      <c r="G96" s="81"/>
      <c r="H96" s="81"/>
      <c r="I96" s="40"/>
      <c r="J96" s="40"/>
      <c r="K96" s="40"/>
      <c r="L96" s="40"/>
      <c r="M96" s="32"/>
      <c r="N96" s="79"/>
      <c r="O96" s="79"/>
      <c r="P96" s="32"/>
      <c r="Q96" s="32"/>
      <c r="R96" s="80"/>
      <c r="S96" s="81"/>
      <c r="T96" s="80"/>
      <c r="U96" s="80"/>
      <c r="V96" s="80"/>
      <c r="W96" s="80"/>
      <c r="X96" s="80"/>
    </row>
    <row r="97" spans="1:25" x14ac:dyDescent="0.25">
      <c r="B97" s="57" t="s">
        <v>130</v>
      </c>
      <c r="C97" s="82"/>
      <c r="D97" s="82"/>
      <c r="E97" s="82"/>
      <c r="F97" s="87"/>
      <c r="G97" s="87"/>
      <c r="H97" s="87"/>
      <c r="I97" s="83"/>
      <c r="J97" s="83"/>
      <c r="K97" s="83"/>
      <c r="L97" s="83"/>
      <c r="M97" s="84"/>
      <c r="N97" s="85"/>
      <c r="O97" s="85"/>
      <c r="P97" s="84"/>
      <c r="Q97" s="84"/>
      <c r="R97" s="86"/>
      <c r="S97" s="87"/>
      <c r="T97" s="86"/>
      <c r="U97" s="86"/>
      <c r="V97" s="86"/>
      <c r="W97" s="86"/>
      <c r="X97" s="86"/>
      <c r="Y97" s="88"/>
    </row>
    <row r="98" spans="1:25" x14ac:dyDescent="0.25">
      <c r="A98" t="s">
        <v>259</v>
      </c>
      <c r="B98" t="s">
        <v>79</v>
      </c>
      <c r="C98" s="59">
        <v>27</v>
      </c>
      <c r="D98" s="60">
        <v>49</v>
      </c>
      <c r="E98" s="60">
        <v>27</v>
      </c>
      <c r="F98" s="61">
        <v>-3.2258064516129004E-2</v>
      </c>
      <c r="G98" s="61" t="s">
        <v>235</v>
      </c>
      <c r="H98" s="61">
        <v>-0.29870129870129869</v>
      </c>
      <c r="I98" s="62">
        <v>0.57295797626634604</v>
      </c>
      <c r="J98" s="62">
        <v>0.43200487067384502</v>
      </c>
      <c r="K98" s="62">
        <v>0.45773584691692565</v>
      </c>
      <c r="L98" s="62">
        <v>5.4282835534090745E-2</v>
      </c>
      <c r="M98" s="64">
        <v>0.19689136638794399</v>
      </c>
      <c r="N98" s="61" t="s">
        <v>235</v>
      </c>
      <c r="O98" s="65">
        <v>-0.11291307071163692</v>
      </c>
      <c r="P98" s="64">
        <v>8.9523490649999999</v>
      </c>
      <c r="Q98" s="64">
        <v>4.0676565340000002</v>
      </c>
      <c r="R98" s="66">
        <v>1.64269229858877</v>
      </c>
      <c r="S98" s="61" t="s">
        <v>235</v>
      </c>
      <c r="T98" s="66">
        <v>0.315623362539736</v>
      </c>
      <c r="U98" s="66">
        <v>5.6798938070224496</v>
      </c>
      <c r="V98" s="66" t="s">
        <v>235</v>
      </c>
      <c r="W98" s="66">
        <v>2.95852911976788</v>
      </c>
      <c r="X98" s="66">
        <v>3.2296934939237198</v>
      </c>
      <c r="Y98" s="67" t="s">
        <v>79</v>
      </c>
    </row>
    <row r="99" spans="1:25" x14ac:dyDescent="0.25">
      <c r="A99" t="s">
        <v>255</v>
      </c>
      <c r="B99" t="s">
        <v>70</v>
      </c>
      <c r="C99" s="59">
        <v>31.5</v>
      </c>
      <c r="D99" s="60">
        <v>64.5</v>
      </c>
      <c r="E99" s="60">
        <v>29.15</v>
      </c>
      <c r="F99" s="61">
        <v>-0.1114245416078985</v>
      </c>
      <c r="G99" s="61">
        <v>-3.3742331288343586E-2</v>
      </c>
      <c r="H99" s="61">
        <v>-0.3262032085561497</v>
      </c>
      <c r="I99" s="62">
        <v>1.8823489340414699</v>
      </c>
      <c r="J99" s="62">
        <v>1.1839650983365899</v>
      </c>
      <c r="K99" s="62">
        <v>0.49578540422622924</v>
      </c>
      <c r="L99" s="62">
        <v>3.0579018426567961E-2</v>
      </c>
      <c r="M99" s="64">
        <v>1.1589083676995999</v>
      </c>
      <c r="N99" s="61">
        <v>-3.6017555844351623E-2</v>
      </c>
      <c r="O99" s="65">
        <v>-0.14041498056648793</v>
      </c>
      <c r="P99" s="64">
        <v>59.023318723949998</v>
      </c>
      <c r="Q99" s="64">
        <v>150.50790034240001</v>
      </c>
      <c r="R99" s="66">
        <v>2.9949436928881301</v>
      </c>
      <c r="S99" s="61" t="s">
        <v>235</v>
      </c>
      <c r="T99" s="66">
        <v>0.447228101477951</v>
      </c>
      <c r="U99" s="66">
        <v>1.82116085172696</v>
      </c>
      <c r="V99" s="66">
        <v>6.6949152542372898</v>
      </c>
      <c r="W99" s="66">
        <v>0.693965838157661</v>
      </c>
      <c r="X99" s="66">
        <v>1.97013422841204</v>
      </c>
      <c r="Y99" s="67" t="s">
        <v>70</v>
      </c>
    </row>
    <row r="100" spans="1:25" x14ac:dyDescent="0.25">
      <c r="A100" t="s">
        <v>256</v>
      </c>
      <c r="B100" t="s">
        <v>49</v>
      </c>
      <c r="C100" s="59">
        <v>17</v>
      </c>
      <c r="D100" s="60">
        <v>58</v>
      </c>
      <c r="E100" s="60">
        <v>14.55</v>
      </c>
      <c r="F100" s="61">
        <v>-9.0909090909090828E-2</v>
      </c>
      <c r="G100" s="61">
        <v>0</v>
      </c>
      <c r="H100" s="61">
        <v>-0.66633954857703626</v>
      </c>
      <c r="I100" s="62">
        <v>2.0796782314022098</v>
      </c>
      <c r="J100" s="62">
        <v>1.2668227001567098</v>
      </c>
      <c r="K100" s="62">
        <v>0.58657109248562445</v>
      </c>
      <c r="L100" s="62">
        <v>-1.5573425042855193E-3</v>
      </c>
      <c r="M100" s="64">
        <v>1.0602172112531001</v>
      </c>
      <c r="N100" s="61">
        <v>-2.2752245560080375E-3</v>
      </c>
      <c r="O100" s="65">
        <v>-0.48055132058737449</v>
      </c>
      <c r="P100" s="64">
        <v>14.911186395</v>
      </c>
      <c r="Q100" s="64">
        <v>12.92285998725</v>
      </c>
      <c r="R100" s="66">
        <v>2.1186513321269098</v>
      </c>
      <c r="S100" s="61" t="s">
        <v>235</v>
      </c>
      <c r="T100" s="66">
        <v>0.105801546413198</v>
      </c>
      <c r="U100" s="66">
        <v>1.0684085848056499</v>
      </c>
      <c r="V100" s="66" t="s">
        <v>235</v>
      </c>
      <c r="W100" s="66">
        <v>0.30549576968668601</v>
      </c>
      <c r="X100" s="66">
        <v>0.94613000819122905</v>
      </c>
      <c r="Y100" s="67" t="s">
        <v>49</v>
      </c>
    </row>
    <row r="101" spans="1:25" x14ac:dyDescent="0.25">
      <c r="A101" t="s">
        <v>257</v>
      </c>
      <c r="B101" t="s">
        <v>78</v>
      </c>
      <c r="C101" s="59">
        <v>15.3</v>
      </c>
      <c r="D101" s="60">
        <v>51.191078400000002</v>
      </c>
      <c r="E101" s="60">
        <v>14.85</v>
      </c>
      <c r="F101" s="61">
        <v>-0.15702479338842967</v>
      </c>
      <c r="G101" s="61">
        <v>-0.10787172011661794</v>
      </c>
      <c r="H101" s="61">
        <v>-0.59596438666377205</v>
      </c>
      <c r="I101" s="62">
        <v>2.0668500618665799</v>
      </c>
      <c r="J101" s="62">
        <v>1.2660973049206901</v>
      </c>
      <c r="K101" s="62">
        <v>0.56266740814072624</v>
      </c>
      <c r="L101" s="62">
        <v>4.147808960658983E-2</v>
      </c>
      <c r="M101" s="64">
        <v>1.05624240502317</v>
      </c>
      <c r="N101" s="61">
        <v>-0.11014694467262598</v>
      </c>
      <c r="O101" s="65">
        <v>-0.41017615867411028</v>
      </c>
      <c r="P101" s="64">
        <v>6.8035090635</v>
      </c>
      <c r="Q101" s="64">
        <v>2.9232837417500002</v>
      </c>
      <c r="R101" s="66">
        <v>0.44255030500912901</v>
      </c>
      <c r="S101" s="61">
        <v>0.21891832003921599</v>
      </c>
      <c r="T101" s="66">
        <v>0.31148896595488801</v>
      </c>
      <c r="U101" s="66">
        <v>2.2555000924385298</v>
      </c>
      <c r="V101" s="66">
        <v>2.0996948902375898</v>
      </c>
      <c r="W101" s="66">
        <v>0.51644911975752195</v>
      </c>
      <c r="X101" s="66">
        <v>1.0677515724700299</v>
      </c>
      <c r="Y101" s="67" t="s">
        <v>78</v>
      </c>
    </row>
    <row r="102" spans="1:25" x14ac:dyDescent="0.25">
      <c r="A102" t="s">
        <v>258</v>
      </c>
      <c r="B102" t="s">
        <v>12</v>
      </c>
      <c r="C102" s="59">
        <v>12.6</v>
      </c>
      <c r="D102" s="60">
        <v>41.55</v>
      </c>
      <c r="E102" s="60">
        <v>10.1</v>
      </c>
      <c r="F102" s="61">
        <v>5.439330543933063E-2</v>
      </c>
      <c r="G102" s="61">
        <v>0.10526315789473673</v>
      </c>
      <c r="H102" s="61">
        <v>-0.52452830188679245</v>
      </c>
      <c r="I102" s="62">
        <v>1.9210009156330901</v>
      </c>
      <c r="J102" s="62">
        <v>1.1995251969859602</v>
      </c>
      <c r="K102" s="62">
        <v>0.64505647336505822</v>
      </c>
      <c r="L102" s="62">
        <v>1.7190653475847473E-2</v>
      </c>
      <c r="M102" s="64">
        <v>0.99850067285202704</v>
      </c>
      <c r="N102" s="61">
        <v>0.10298793333872869</v>
      </c>
      <c r="O102" s="65">
        <v>-0.33874007389713068</v>
      </c>
      <c r="P102" s="64">
        <v>5.8238750191999999</v>
      </c>
      <c r="Q102" s="64">
        <v>12.627018039200001</v>
      </c>
      <c r="R102" s="66">
        <v>2.0339732878010901</v>
      </c>
      <c r="S102" s="61" t="s">
        <v>235</v>
      </c>
      <c r="T102" s="66">
        <v>9.5571414314067002E-2</v>
      </c>
      <c r="U102" s="66">
        <v>43.969849246231099</v>
      </c>
      <c r="V102" s="66" t="s">
        <v>235</v>
      </c>
      <c r="W102" s="66">
        <v>0.48929095141067802</v>
      </c>
      <c r="X102" s="66">
        <v>0.59899513111263603</v>
      </c>
      <c r="Y102" s="67" t="s">
        <v>12</v>
      </c>
    </row>
    <row r="103" spans="1:25" x14ac:dyDescent="0.25">
      <c r="A103" t="s">
        <v>261</v>
      </c>
      <c r="B103" t="s">
        <v>24</v>
      </c>
      <c r="C103" s="59">
        <v>16</v>
      </c>
      <c r="D103" s="60">
        <v>54.5</v>
      </c>
      <c r="E103" s="60">
        <v>13</v>
      </c>
      <c r="F103" s="61">
        <v>4.9180327868852514E-2</v>
      </c>
      <c r="G103" s="61">
        <v>6.6666666666666652E-2</v>
      </c>
      <c r="H103" s="61">
        <v>-0.47281713344316312</v>
      </c>
      <c r="I103" s="62">
        <v>1.8540982859844102</v>
      </c>
      <c r="J103" s="62">
        <v>1.15468055139616</v>
      </c>
      <c r="K103" s="62">
        <v>0.55177775683683605</v>
      </c>
      <c r="L103" s="62">
        <v>-1.7301794905490997E-3</v>
      </c>
      <c r="M103" s="64">
        <v>0.95673605889020896</v>
      </c>
      <c r="N103" s="61">
        <v>6.4391442110658614E-2</v>
      </c>
      <c r="O103" s="65">
        <v>-0.28702890545350135</v>
      </c>
      <c r="P103" s="64">
        <v>5.0992000496999994</v>
      </c>
      <c r="Q103" s="64">
        <v>5.121349844</v>
      </c>
      <c r="R103" s="66">
        <v>0.87321752054473001</v>
      </c>
      <c r="S103" s="61" t="s">
        <v>235</v>
      </c>
      <c r="T103" s="66">
        <v>0.260995512339874</v>
      </c>
      <c r="U103" s="66">
        <v>1.8898947328633799</v>
      </c>
      <c r="V103" s="66" t="s">
        <v>235</v>
      </c>
      <c r="W103" s="66">
        <v>0.89079522392444199</v>
      </c>
      <c r="X103" s="66">
        <v>16.1324611361743</v>
      </c>
      <c r="Y103" s="67" t="s">
        <v>24</v>
      </c>
    </row>
    <row r="104" spans="1:25" x14ac:dyDescent="0.25">
      <c r="A104" t="s">
        <v>260</v>
      </c>
      <c r="B104" t="s">
        <v>23</v>
      </c>
      <c r="C104" s="59">
        <v>46</v>
      </c>
      <c r="D104" s="60">
        <v>79.900000000000006</v>
      </c>
      <c r="E104" s="60">
        <v>42</v>
      </c>
      <c r="F104" s="61">
        <v>-6.4794816414686096E-3</v>
      </c>
      <c r="G104" s="61">
        <v>6.9767441860465018E-2</v>
      </c>
      <c r="H104" s="61">
        <v>-0.25686591276252013</v>
      </c>
      <c r="I104" s="62">
        <v>1.4040708209330601</v>
      </c>
      <c r="J104" s="62">
        <v>0.88990660260677401</v>
      </c>
      <c r="K104" s="62">
        <v>0.53802940874444016</v>
      </c>
      <c r="L104" s="62">
        <v>-3.6548070724591319E-3</v>
      </c>
      <c r="M104" s="64">
        <v>0.78820932043264202</v>
      </c>
      <c r="N104" s="61">
        <v>6.7492217304456981E-2</v>
      </c>
      <c r="O104" s="65">
        <v>-7.1077684772858363E-2</v>
      </c>
      <c r="P104" s="64">
        <v>7.731498126</v>
      </c>
      <c r="Q104" s="64">
        <v>13.370581972</v>
      </c>
      <c r="R104" s="66">
        <v>1.76214850614663</v>
      </c>
      <c r="S104" s="61" t="s">
        <v>235</v>
      </c>
      <c r="T104" s="66">
        <v>0.60319540233070601</v>
      </c>
      <c r="U104" s="66">
        <v>5.9736535904255303</v>
      </c>
      <c r="V104" s="66" t="s">
        <v>235</v>
      </c>
      <c r="W104" s="66">
        <v>0.59764906677945995</v>
      </c>
      <c r="X104" s="66">
        <v>2.4621035232507902</v>
      </c>
      <c r="Y104" s="67" t="s">
        <v>23</v>
      </c>
    </row>
    <row r="105" spans="1:25" x14ac:dyDescent="0.25">
      <c r="A105" t="s">
        <v>262</v>
      </c>
      <c r="B105" t="s">
        <v>32</v>
      </c>
      <c r="C105" s="59">
        <v>12.25</v>
      </c>
      <c r="D105" s="60">
        <v>61.9</v>
      </c>
      <c r="E105" s="60">
        <v>11</v>
      </c>
      <c r="F105" s="61">
        <v>-8.0971659919027994E-3</v>
      </c>
      <c r="G105" s="61">
        <v>4.7008547008547064E-2</v>
      </c>
      <c r="H105" s="61">
        <v>-0.6797385620915033</v>
      </c>
      <c r="I105" s="62">
        <v>1.9888538952553199</v>
      </c>
      <c r="J105" s="62">
        <v>1.24485163415744</v>
      </c>
      <c r="K105" s="62">
        <v>0.52246709952636194</v>
      </c>
      <c r="L105" s="62">
        <v>-3.1756315553629122E-2</v>
      </c>
      <c r="M105" s="64">
        <v>0.98670634267051505</v>
      </c>
      <c r="N105" s="61">
        <v>4.4733322452539026E-2</v>
      </c>
      <c r="O105" s="65">
        <v>-0.49395033410184153</v>
      </c>
      <c r="P105" s="64">
        <v>2.3371573764</v>
      </c>
      <c r="Q105" s="64">
        <v>0.46958727450000204</v>
      </c>
      <c r="R105" s="66">
        <v>0.20509657598234901</v>
      </c>
      <c r="S105" s="61">
        <v>0.26527952557575801</v>
      </c>
      <c r="T105" s="66">
        <v>0.10977834831458499</v>
      </c>
      <c r="U105" s="66">
        <v>2.2307120797156399</v>
      </c>
      <c r="V105" s="66" t="s">
        <v>235</v>
      </c>
      <c r="W105" s="66">
        <v>0.46998053616081498</v>
      </c>
      <c r="X105" s="66">
        <v>0.88922978490707105</v>
      </c>
      <c r="Y105" s="67" t="s">
        <v>32</v>
      </c>
    </row>
    <row r="106" spans="1:25" x14ac:dyDescent="0.25">
      <c r="A106" t="s">
        <v>263</v>
      </c>
      <c r="B106" t="s">
        <v>61</v>
      </c>
      <c r="C106" s="59">
        <v>16.8</v>
      </c>
      <c r="D106" s="60">
        <v>47.5</v>
      </c>
      <c r="E106" s="60">
        <v>15.35</v>
      </c>
      <c r="F106" s="61">
        <v>-4.2735042735042694E-2</v>
      </c>
      <c r="G106" s="61">
        <v>-1.1764705882352899E-2</v>
      </c>
      <c r="H106" s="61">
        <v>-0.49549549549549543</v>
      </c>
      <c r="I106" s="62">
        <v>1.95656217117682</v>
      </c>
      <c r="J106" s="62">
        <v>1.2168881681724601</v>
      </c>
      <c r="K106" s="62">
        <v>0.47794839063523986</v>
      </c>
      <c r="L106" s="62">
        <v>9.0055916859978602E-2</v>
      </c>
      <c r="M106" s="64">
        <v>1.0919416096539201</v>
      </c>
      <c r="N106" s="61">
        <v>-1.4039930438360937E-2</v>
      </c>
      <c r="O106" s="65">
        <v>-0.30970726750583366</v>
      </c>
      <c r="P106" s="64">
        <v>23.636559994577098</v>
      </c>
      <c r="Q106" s="64">
        <v>49.606897239199995</v>
      </c>
      <c r="R106" s="66">
        <v>3.5275175481473</v>
      </c>
      <c r="S106" s="61">
        <v>0</v>
      </c>
      <c r="T106" s="66">
        <v>1.11541746159905</v>
      </c>
      <c r="U106" s="66">
        <v>2.9534865080554402</v>
      </c>
      <c r="V106" s="66">
        <v>2.1840785185891498</v>
      </c>
      <c r="W106" s="66">
        <v>0.60708045269159305</v>
      </c>
      <c r="X106" s="66">
        <v>4.0669659635849698</v>
      </c>
      <c r="Y106" s="67" t="s">
        <v>61</v>
      </c>
    </row>
    <row r="107" spans="1:25" x14ac:dyDescent="0.25">
      <c r="A107" t="s">
        <v>264</v>
      </c>
      <c r="B107" t="s">
        <v>26</v>
      </c>
      <c r="C107" s="59">
        <v>7.97</v>
      </c>
      <c r="D107" s="60">
        <v>11.4</v>
      </c>
      <c r="E107" s="60">
        <v>4.5576404500000001</v>
      </c>
      <c r="F107" s="61">
        <v>0</v>
      </c>
      <c r="G107" s="61">
        <v>6.4085447263017237E-2</v>
      </c>
      <c r="H107" s="61">
        <v>0.28394500075796247</v>
      </c>
      <c r="I107" s="62">
        <v>1.39957613975516</v>
      </c>
      <c r="J107" s="62">
        <v>1.02199633627354</v>
      </c>
      <c r="K107" s="62">
        <v>0.59938953033436626</v>
      </c>
      <c r="L107" s="62">
        <v>-0.10840077679177729</v>
      </c>
      <c r="M107" s="64">
        <v>0.80481774189021604</v>
      </c>
      <c r="N107" s="61">
        <v>6.1810222707009199E-2</v>
      </c>
      <c r="O107" s="65">
        <v>0.46973322874762424</v>
      </c>
      <c r="P107" s="64">
        <v>5.2649128349999996</v>
      </c>
      <c r="Q107" s="64">
        <v>6.0117027326599999</v>
      </c>
      <c r="R107" s="66">
        <v>1.2461601016361401</v>
      </c>
      <c r="S107" s="61">
        <v>0.37987333560000003</v>
      </c>
      <c r="T107" s="66">
        <v>0.565987426807257</v>
      </c>
      <c r="U107" s="66">
        <v>1.16809075053861</v>
      </c>
      <c r="V107" s="66" t="s">
        <v>235</v>
      </c>
      <c r="W107" s="66">
        <v>0.86893362676312502</v>
      </c>
      <c r="X107" s="66">
        <v>1.2807008588833999</v>
      </c>
      <c r="Y107" s="67" t="s">
        <v>26</v>
      </c>
    </row>
    <row r="108" spans="1:25" x14ac:dyDescent="0.25">
      <c r="B108" s="69" t="s">
        <v>121</v>
      </c>
      <c r="C108" s="70"/>
      <c r="D108" s="70"/>
      <c r="E108" s="70"/>
      <c r="F108" s="71">
        <v>-3.4535454748177895E-2</v>
      </c>
      <c r="G108" s="71">
        <v>2.2156944822902029E-2</v>
      </c>
      <c r="H108" s="71">
        <v>-0.40327088474197686</v>
      </c>
      <c r="I108" s="72">
        <v>1.7125997432314466</v>
      </c>
      <c r="J108" s="72">
        <v>1.0876738463680169</v>
      </c>
      <c r="K108" s="72">
        <v>0.54374284112118088</v>
      </c>
      <c r="L108" s="72">
        <v>8.6487092490374444E-3</v>
      </c>
      <c r="M108" s="73">
        <v>0.90991710967533435</v>
      </c>
      <c r="N108" s="71">
        <v>1.9881720266893992E-2</v>
      </c>
      <c r="O108" s="71">
        <v>-0.21748265675231515</v>
      </c>
      <c r="P108" s="73">
        <v>13.95835666483271</v>
      </c>
      <c r="Q108" s="73">
        <v>25.762883770696003</v>
      </c>
      <c r="R108" s="74">
        <v>1.6846951168871176</v>
      </c>
      <c r="S108" s="71">
        <v>0.21601779530374352</v>
      </c>
      <c r="T108" s="74">
        <v>0.39310875420913122</v>
      </c>
      <c r="U108" s="74">
        <v>6.9010650243823282</v>
      </c>
      <c r="V108" s="74">
        <v>3.65956288768801</v>
      </c>
      <c r="W108" s="76">
        <v>0.83981697050998627</v>
      </c>
      <c r="X108" s="74">
        <v>3.2644165700910186</v>
      </c>
      <c r="Y108" s="78" t="s">
        <v>122</v>
      </c>
    </row>
    <row r="109" spans="1:25" ht="7.5" customHeight="1" x14ac:dyDescent="0.25">
      <c r="F109" s="81"/>
      <c r="G109" s="81"/>
      <c r="H109" s="81"/>
      <c r="I109" s="40"/>
      <c r="J109" s="40"/>
      <c r="K109" s="40"/>
      <c r="L109" s="40"/>
      <c r="M109" s="32"/>
      <c r="N109" s="79"/>
      <c r="O109" s="79"/>
      <c r="P109" s="32"/>
      <c r="Q109" s="32"/>
      <c r="R109" s="80"/>
      <c r="S109" s="81"/>
      <c r="T109" s="80"/>
      <c r="U109" s="80"/>
      <c r="V109" s="80"/>
      <c r="W109" s="80"/>
      <c r="X109" s="80"/>
    </row>
    <row r="110" spans="1:25" x14ac:dyDescent="0.25">
      <c r="B110" s="57" t="s">
        <v>131</v>
      </c>
      <c r="C110" s="82"/>
      <c r="D110" s="82"/>
      <c r="E110" s="82"/>
      <c r="F110" s="87"/>
      <c r="G110" s="87"/>
      <c r="H110" s="87"/>
      <c r="I110" s="83"/>
      <c r="J110" s="83"/>
      <c r="K110" s="83"/>
      <c r="L110" s="83"/>
      <c r="M110" s="84"/>
      <c r="N110" s="85"/>
      <c r="O110" s="85"/>
      <c r="P110" s="84"/>
      <c r="Q110" s="84"/>
      <c r="R110" s="86"/>
      <c r="S110" s="87"/>
      <c r="T110" s="86"/>
      <c r="U110" s="86"/>
      <c r="V110" s="86"/>
      <c r="W110" s="86"/>
      <c r="X110" s="86"/>
      <c r="Y110" s="88"/>
    </row>
    <row r="111" spans="1:25" x14ac:dyDescent="0.25">
      <c r="A111" t="s">
        <v>265</v>
      </c>
      <c r="B111" t="s">
        <v>42</v>
      </c>
      <c r="C111" s="59">
        <v>2.44</v>
      </c>
      <c r="D111" s="60">
        <v>4.9000000000000004</v>
      </c>
      <c r="E111" s="60">
        <v>2.25</v>
      </c>
      <c r="F111" s="61">
        <v>-2.0080321285140701E-2</v>
      </c>
      <c r="G111" s="61">
        <v>1.6666666666666607E-2</v>
      </c>
      <c r="H111" s="61">
        <v>-0.17412492782054945</v>
      </c>
      <c r="I111" s="62">
        <v>1.02129906853431</v>
      </c>
      <c r="J111" s="62">
        <v>0.82159900299356803</v>
      </c>
      <c r="K111" s="62">
        <v>0.49574405482539363</v>
      </c>
      <c r="L111" s="62">
        <v>-2.1676537258764728E-2</v>
      </c>
      <c r="M111" s="64">
        <v>0.52395820299462703</v>
      </c>
      <c r="N111" s="61">
        <v>1.439144211065857E-2</v>
      </c>
      <c r="O111" s="65">
        <v>1.1663300169112323E-2</v>
      </c>
      <c r="P111" s="64">
        <v>2.875</v>
      </c>
      <c r="Q111" s="64">
        <v>3.01220397999999</v>
      </c>
      <c r="R111" s="66">
        <v>4.9584793011664496</v>
      </c>
      <c r="S111" s="61">
        <v>1.9181582608695701E-2</v>
      </c>
      <c r="T111" s="66">
        <v>2.0309611905741298</v>
      </c>
      <c r="U111" s="66">
        <v>10.3254199991537</v>
      </c>
      <c r="V111" s="66" t="s">
        <v>235</v>
      </c>
      <c r="W111" s="66">
        <v>1.1525887967081601</v>
      </c>
      <c r="X111" s="66">
        <v>15.291766762364301</v>
      </c>
      <c r="Y111" s="67" t="s">
        <v>42</v>
      </c>
    </row>
    <row r="112" spans="1:25" x14ac:dyDescent="0.25">
      <c r="B112" s="69" t="s">
        <v>121</v>
      </c>
      <c r="C112" s="70"/>
      <c r="D112" s="70"/>
      <c r="E112" s="70"/>
      <c r="F112" s="71">
        <v>-2.0080321285140701E-2</v>
      </c>
      <c r="G112" s="71">
        <v>1.6666666666666607E-2</v>
      </c>
      <c r="H112" s="71">
        <v>-0.17412492782054945</v>
      </c>
      <c r="I112" s="72">
        <v>1.02129906853431</v>
      </c>
      <c r="J112" s="72">
        <v>0.82159900299356803</v>
      </c>
      <c r="K112" s="72">
        <v>0.49574405482539363</v>
      </c>
      <c r="L112" s="72">
        <v>-2.1676537258764728E-2</v>
      </c>
      <c r="M112" s="73">
        <v>0.52395820299462703</v>
      </c>
      <c r="N112" s="71">
        <v>1.439144211065857E-2</v>
      </c>
      <c r="O112" s="71">
        <v>1.1663300169112323E-2</v>
      </c>
      <c r="P112" s="73">
        <v>2.875</v>
      </c>
      <c r="Q112" s="73">
        <v>3.01220397999999</v>
      </c>
      <c r="R112" s="74">
        <v>4.9584793011664496</v>
      </c>
      <c r="S112" s="71">
        <v>1.9181582608695701E-2</v>
      </c>
      <c r="T112" s="74">
        <v>2.0309611905741298</v>
      </c>
      <c r="U112" s="74">
        <v>10.3254199991537</v>
      </c>
      <c r="V112" s="74" t="s">
        <v>235</v>
      </c>
      <c r="W112" s="76">
        <v>1.1525887967081601</v>
      </c>
      <c r="X112" s="74">
        <v>15.291766762364301</v>
      </c>
      <c r="Y112" s="78" t="s">
        <v>122</v>
      </c>
    </row>
    <row r="113" spans="1:25" ht="9" customHeight="1" x14ac:dyDescent="0.25">
      <c r="F113" s="81"/>
      <c r="G113" s="81"/>
      <c r="H113" s="81"/>
      <c r="I113" s="40"/>
      <c r="J113" s="40"/>
      <c r="K113" s="40"/>
      <c r="L113" s="40"/>
      <c r="M113" s="32"/>
      <c r="N113" s="79"/>
      <c r="O113" s="79"/>
      <c r="P113" s="32"/>
      <c r="Q113" s="32"/>
      <c r="R113" s="80"/>
      <c r="S113" s="81"/>
      <c r="T113" s="80"/>
      <c r="U113" s="80"/>
      <c r="V113" s="80"/>
      <c r="W113" s="80"/>
      <c r="X113" s="80"/>
    </row>
    <row r="114" spans="1:25" x14ac:dyDescent="0.25">
      <c r="B114" s="57" t="s">
        <v>132</v>
      </c>
      <c r="C114" s="82"/>
      <c r="D114" s="82"/>
      <c r="E114" s="82"/>
      <c r="F114" s="87"/>
      <c r="G114" s="87"/>
      <c r="H114" s="87"/>
      <c r="I114" s="83"/>
      <c r="J114" s="83"/>
      <c r="K114" s="83"/>
      <c r="L114" s="83"/>
      <c r="M114" s="84"/>
      <c r="N114" s="85"/>
      <c r="O114" s="85"/>
      <c r="P114" s="84"/>
      <c r="Q114" s="84"/>
      <c r="R114" s="86"/>
      <c r="S114" s="87"/>
      <c r="T114" s="86"/>
      <c r="U114" s="86"/>
      <c r="V114" s="86"/>
      <c r="W114" s="86"/>
      <c r="X114" s="86"/>
      <c r="Y114" s="88"/>
    </row>
    <row r="115" spans="1:25" x14ac:dyDescent="0.25">
      <c r="A115" t="s">
        <v>266</v>
      </c>
      <c r="B115" t="s">
        <v>365</v>
      </c>
      <c r="C115" s="59" t="s">
        <v>481</v>
      </c>
      <c r="D115" s="60">
        <v>385</v>
      </c>
      <c r="E115" s="60">
        <v>230</v>
      </c>
      <c r="F115" s="61" t="s">
        <v>235</v>
      </c>
      <c r="G115" s="61" t="s">
        <v>235</v>
      </c>
      <c r="H115" s="61" t="s">
        <v>235</v>
      </c>
      <c r="I115" s="62">
        <v>0.31591258264599203</v>
      </c>
      <c r="J115" s="62">
        <v>0.34103852627881898</v>
      </c>
      <c r="K115" s="62" t="s">
        <v>235</v>
      </c>
      <c r="L115" s="62" t="s">
        <v>235</v>
      </c>
      <c r="M115" s="64">
        <v>8.7141414266572001E-2</v>
      </c>
      <c r="N115" s="61" t="s">
        <v>235</v>
      </c>
      <c r="O115" s="65" t="s">
        <v>235</v>
      </c>
      <c r="P115" s="64">
        <v>1692.0652468997</v>
      </c>
      <c r="Q115" s="64">
        <v>95.398751662782189</v>
      </c>
      <c r="R115" s="66">
        <v>5.74310707740546</v>
      </c>
      <c r="S115" s="61">
        <v>5.2627617759482499E-2</v>
      </c>
      <c r="T115" s="66">
        <v>0.68575726168582296</v>
      </c>
      <c r="U115" s="66">
        <v>10.100740647753</v>
      </c>
      <c r="V115" s="66">
        <v>10.7013776104491</v>
      </c>
      <c r="W115" s="66">
        <v>1.8430645889005299</v>
      </c>
      <c r="X115" s="66">
        <v>2.5112143408807599</v>
      </c>
      <c r="Y115" s="67" t="s">
        <v>365</v>
      </c>
    </row>
    <row r="116" spans="1:25" x14ac:dyDescent="0.25">
      <c r="A116" t="s">
        <v>267</v>
      </c>
      <c r="B116" t="s">
        <v>19</v>
      </c>
      <c r="C116" s="59">
        <v>120</v>
      </c>
      <c r="D116" s="60">
        <v>154.0723275</v>
      </c>
      <c r="E116" s="60">
        <v>97.545000000000002</v>
      </c>
      <c r="F116" s="61">
        <v>2.1276595744680771E-2</v>
      </c>
      <c r="G116" s="61">
        <v>8.4010840108400986E-2</v>
      </c>
      <c r="H116" s="61">
        <v>5.9393567279273585E-2</v>
      </c>
      <c r="I116" s="62">
        <v>1.0530392891218401</v>
      </c>
      <c r="J116" s="62">
        <v>0.69945633897347192</v>
      </c>
      <c r="K116" s="62" t="s">
        <v>235</v>
      </c>
      <c r="L116" s="62" t="s">
        <v>235</v>
      </c>
      <c r="M116" s="64">
        <v>0.66566901207505602</v>
      </c>
      <c r="N116" s="61">
        <v>8.1735615552392948E-2</v>
      </c>
      <c r="O116" s="65">
        <v>0.24518179526893535</v>
      </c>
      <c r="P116" s="64">
        <v>235.86889550999999</v>
      </c>
      <c r="Q116" s="64">
        <v>147.65439614799999</v>
      </c>
      <c r="R116" s="66">
        <v>2.5103607084225898</v>
      </c>
      <c r="S116" s="61">
        <v>5.0254592600459801E-2</v>
      </c>
      <c r="T116" s="66">
        <v>0.45851966811468298</v>
      </c>
      <c r="U116" s="66">
        <v>48.7366309888492</v>
      </c>
      <c r="V116" s="66">
        <v>24.104627766599599</v>
      </c>
      <c r="W116" s="66">
        <v>1.14429527572862</v>
      </c>
      <c r="X116" s="66">
        <v>1.81615981115354</v>
      </c>
      <c r="Y116" s="67" t="s">
        <v>19</v>
      </c>
    </row>
    <row r="117" spans="1:25" x14ac:dyDescent="0.25">
      <c r="A117" t="s">
        <v>268</v>
      </c>
      <c r="B117" t="s">
        <v>71</v>
      </c>
      <c r="C117" s="59">
        <v>142</v>
      </c>
      <c r="D117" s="60">
        <v>370</v>
      </c>
      <c r="E117" s="60">
        <v>128</v>
      </c>
      <c r="F117" s="61">
        <v>-7.7922077922077948E-2</v>
      </c>
      <c r="G117" s="61">
        <v>-3.5653650254668934E-2</v>
      </c>
      <c r="H117" s="61">
        <v>-0.40448731390228554</v>
      </c>
      <c r="I117" s="62">
        <v>1.3650948388572601</v>
      </c>
      <c r="J117" s="62">
        <v>0.91040875420994993</v>
      </c>
      <c r="K117" s="62" t="s">
        <v>235</v>
      </c>
      <c r="L117" s="62" t="s">
        <v>235</v>
      </c>
      <c r="M117" s="64">
        <v>0.85725340744513401</v>
      </c>
      <c r="N117" s="61">
        <v>-3.7928874810676971E-2</v>
      </c>
      <c r="O117" s="65">
        <v>-0.21869908591262377</v>
      </c>
      <c r="P117" s="64">
        <v>25.380282489999999</v>
      </c>
      <c r="Q117" s="64">
        <v>260.82506364400001</v>
      </c>
      <c r="R117" s="66">
        <v>3.8512944250782599</v>
      </c>
      <c r="S117" s="61" t="s">
        <v>235</v>
      </c>
      <c r="T117" s="66">
        <v>8.6581431375017004E-2</v>
      </c>
      <c r="U117" s="66">
        <v>4.8379887049998898</v>
      </c>
      <c r="V117" s="66" t="s">
        <v>235</v>
      </c>
      <c r="W117" s="66">
        <v>0.246606502845722</v>
      </c>
      <c r="X117" s="66">
        <v>0.34237320360747803</v>
      </c>
      <c r="Y117" s="67" t="s">
        <v>71</v>
      </c>
    </row>
    <row r="118" spans="1:25" x14ac:dyDescent="0.25">
      <c r="A118" t="s">
        <v>269</v>
      </c>
      <c r="B118" t="s">
        <v>8</v>
      </c>
      <c r="C118" s="59">
        <v>28</v>
      </c>
      <c r="D118" s="60">
        <v>71.5</v>
      </c>
      <c r="E118" s="60">
        <v>21</v>
      </c>
      <c r="F118" s="61">
        <v>0.16666666666666674</v>
      </c>
      <c r="G118" s="61">
        <v>0.21739130434782616</v>
      </c>
      <c r="H118" s="61">
        <v>-0.43434343434343436</v>
      </c>
      <c r="I118" s="62">
        <v>1.0442317777977599</v>
      </c>
      <c r="J118" s="62">
        <v>0.749841863247656</v>
      </c>
      <c r="K118" s="62">
        <v>0.47948248403443994</v>
      </c>
      <c r="L118" s="62">
        <v>2.1065887251777271E-2</v>
      </c>
      <c r="M118" s="64">
        <v>0.43260482801031602</v>
      </c>
      <c r="N118" s="61">
        <v>0.21511607979181813</v>
      </c>
      <c r="O118" s="65">
        <v>-0.2485552063537726</v>
      </c>
      <c r="P118" s="64">
        <v>2.3864436894000001</v>
      </c>
      <c r="Q118" s="64">
        <v>2.0762545019999998</v>
      </c>
      <c r="R118" s="66">
        <v>1.3108755900095399</v>
      </c>
      <c r="S118" s="61" t="s">
        <v>235</v>
      </c>
      <c r="T118" s="66">
        <v>9.5502926196377999E-2</v>
      </c>
      <c r="U118" s="66" t="s">
        <v>235</v>
      </c>
      <c r="V118" s="66">
        <v>17.6100628930818</v>
      </c>
      <c r="W118" s="66">
        <v>0.35870432359799098</v>
      </c>
      <c r="X118" s="66">
        <v>4.2296030156817404</v>
      </c>
      <c r="Y118" s="67" t="s">
        <v>8</v>
      </c>
    </row>
    <row r="119" spans="1:25" x14ac:dyDescent="0.25">
      <c r="B119" s="110" t="s">
        <v>121</v>
      </c>
      <c r="C119" s="111"/>
      <c r="D119" s="111"/>
      <c r="E119" s="111"/>
      <c r="F119" s="112">
        <v>3.6673728163089857E-2</v>
      </c>
      <c r="G119" s="112">
        <v>8.858283140051941E-2</v>
      </c>
      <c r="H119" s="112">
        <v>-0.25981239365548209</v>
      </c>
      <c r="I119" s="113">
        <v>0.94456962210571305</v>
      </c>
      <c r="J119" s="113">
        <v>0.67518637067747422</v>
      </c>
      <c r="K119" s="113">
        <v>0.47948248403443994</v>
      </c>
      <c r="L119" s="113">
        <v>2.1065887251777271E-2</v>
      </c>
      <c r="M119" s="114">
        <v>0.51066716544926949</v>
      </c>
      <c r="N119" s="113">
        <v>8.6307606844511373E-2</v>
      </c>
      <c r="O119" s="112">
        <v>-7.4024165665820332E-2</v>
      </c>
      <c r="P119" s="114">
        <v>488.92521714727496</v>
      </c>
      <c r="Q119" s="114">
        <v>126.48861648919555</v>
      </c>
      <c r="R119" s="115">
        <v>3.3539094502289624</v>
      </c>
      <c r="S119" s="112">
        <v>5.144110517997115E-2</v>
      </c>
      <c r="T119" s="115">
        <v>0.33159032184297527</v>
      </c>
      <c r="U119" s="115">
        <v>21.225120113867362</v>
      </c>
      <c r="V119" s="115">
        <v>17.472022756710164</v>
      </c>
      <c r="W119" s="116">
        <v>0.89816767276821574</v>
      </c>
      <c r="X119" s="115">
        <v>2.2248375928308795</v>
      </c>
      <c r="Y119" s="117" t="s">
        <v>122</v>
      </c>
    </row>
    <row r="120" spans="1:25" x14ac:dyDescent="0.25">
      <c r="B120" s="118" t="s">
        <v>133</v>
      </c>
      <c r="C120" s="119">
        <v>24664.55</v>
      </c>
      <c r="D120" s="59">
        <v>44470.76</v>
      </c>
      <c r="E120" s="59">
        <v>22484.400000000001</v>
      </c>
      <c r="F120" s="61">
        <v>-5.8440009146640604E-2</v>
      </c>
      <c r="G120" s="61">
        <v>2.2752245560080375E-3</v>
      </c>
      <c r="H120" s="61">
        <v>-0.18578822798966177</v>
      </c>
      <c r="I120" s="62">
        <v>1.5379696614840699</v>
      </c>
      <c r="J120" s="62">
        <v>0.94508607380540699</v>
      </c>
      <c r="Y120" s="120" t="s">
        <v>133</v>
      </c>
    </row>
    <row r="121" spans="1:25" x14ac:dyDescent="0.25">
      <c r="B121" s="118"/>
      <c r="C121" s="121"/>
      <c r="F121" s="81"/>
      <c r="G121" s="81"/>
      <c r="H121" s="81"/>
      <c r="I121" s="40"/>
      <c r="J121" s="40"/>
      <c r="Y121" s="120"/>
    </row>
    <row r="122" spans="1:25" x14ac:dyDescent="0.25">
      <c r="B122" s="122" t="s">
        <v>134</v>
      </c>
    </row>
    <row r="124" spans="1:25" x14ac:dyDescent="0.25">
      <c r="B124" t="s">
        <v>135</v>
      </c>
    </row>
  </sheetData>
  <mergeCells count="39">
    <mergeCell ref="Y90:Y91"/>
    <mergeCell ref="L90:L91"/>
    <mergeCell ref="M90:M91"/>
    <mergeCell ref="N90:O90"/>
    <mergeCell ref="P90:R90"/>
    <mergeCell ref="S90:S91"/>
    <mergeCell ref="T90:X90"/>
    <mergeCell ref="P44:R44"/>
    <mergeCell ref="S44:S45"/>
    <mergeCell ref="T44:X44"/>
    <mergeCell ref="Y44:Y45"/>
    <mergeCell ref="B90:B91"/>
    <mergeCell ref="C90:C91"/>
    <mergeCell ref="D90:E90"/>
    <mergeCell ref="F90:H90"/>
    <mergeCell ref="I90:J90"/>
    <mergeCell ref="K90:K91"/>
    <mergeCell ref="Y6:Y7"/>
    <mergeCell ref="B44:B45"/>
    <mergeCell ref="C44:C45"/>
    <mergeCell ref="D44:E44"/>
    <mergeCell ref="F44:H44"/>
    <mergeCell ref="I44:J44"/>
    <mergeCell ref="K44:K45"/>
    <mergeCell ref="L44:L45"/>
    <mergeCell ref="M44:M45"/>
    <mergeCell ref="N44:O44"/>
    <mergeCell ref="L6:L7"/>
    <mergeCell ref="M6:M7"/>
    <mergeCell ref="N6:O6"/>
    <mergeCell ref="P6:R6"/>
    <mergeCell ref="S6:S7"/>
    <mergeCell ref="T6:X6"/>
    <mergeCell ref="B6:B7"/>
    <mergeCell ref="C6:C7"/>
    <mergeCell ref="D6:E6"/>
    <mergeCell ref="F6:H6"/>
    <mergeCell ref="I6:J6"/>
    <mergeCell ref="K6:K7"/>
  </mergeCells>
  <printOptions horizontalCentered="1" verticalCentered="1"/>
  <pageMargins left="0" right="0" top="0" bottom="0" header="0" footer="0"/>
  <pageSetup paperSize="9" scale="65" orientation="landscape" r:id="rId1"/>
  <headerFooter>
    <oddHeader>&amp;LReporte de Ratios Argentina&amp;R&amp;G</oddHeader>
    <oddFooter>&amp;Cwww.invertironline.com&amp;R&amp;P</oddFooter>
  </headerFooter>
  <rowBreaks count="2" manualBreakCount="2">
    <brk id="42" min="1" max="24" man="1"/>
    <brk id="88" min="1" max="24"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view="pageBreakPreview" zoomScaleNormal="100" zoomScaleSheetLayoutView="100" workbookViewId="0">
      <selection sqref="A1:XFD1048576"/>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7109375" bestFit="1"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23" t="s">
        <v>136</v>
      </c>
    </row>
    <row r="2" spans="1:23" ht="26.25" customHeight="1" x14ac:dyDescent="0.25"/>
    <row r="3" spans="1:23" ht="18" customHeight="1" x14ac:dyDescent="0.25">
      <c r="A3" s="124" t="s">
        <v>4</v>
      </c>
      <c r="B3" s="125" t="s">
        <v>137</v>
      </c>
      <c r="C3" s="126" t="s">
        <v>138</v>
      </c>
      <c r="D3" s="127" t="s">
        <v>139</v>
      </c>
      <c r="E3" s="128"/>
      <c r="F3" s="127" t="s">
        <v>140</v>
      </c>
      <c r="G3" s="128"/>
      <c r="H3" s="127" t="s">
        <v>141</v>
      </c>
      <c r="I3" s="128"/>
      <c r="J3" s="127" t="s">
        <v>142</v>
      </c>
      <c r="K3" s="128"/>
      <c r="L3" s="128"/>
      <c r="M3" s="128"/>
      <c r="N3" s="128"/>
      <c r="O3" s="128"/>
      <c r="P3" s="128"/>
      <c r="Q3" s="128"/>
      <c r="R3" s="128"/>
      <c r="S3" s="128"/>
      <c r="T3" s="128"/>
      <c r="U3" s="128"/>
      <c r="V3" s="129"/>
      <c r="W3" s="124" t="s">
        <v>4</v>
      </c>
    </row>
    <row r="4" spans="1:23" ht="27" customHeight="1" x14ac:dyDescent="0.25">
      <c r="A4" s="130"/>
      <c r="B4" s="131"/>
      <c r="C4" s="132"/>
      <c r="D4" s="133" t="s">
        <v>143</v>
      </c>
      <c r="E4" s="133" t="s">
        <v>144</v>
      </c>
      <c r="F4" s="133" t="s">
        <v>145</v>
      </c>
      <c r="G4" s="133" t="s">
        <v>146</v>
      </c>
      <c r="H4" s="133" t="s">
        <v>147</v>
      </c>
      <c r="I4" s="133" t="s">
        <v>148</v>
      </c>
      <c r="J4" s="133" t="s">
        <v>149</v>
      </c>
      <c r="K4" s="133" t="s">
        <v>150</v>
      </c>
      <c r="L4" s="133" t="s">
        <v>151</v>
      </c>
      <c r="M4" s="133" t="s">
        <v>152</v>
      </c>
      <c r="N4" s="133" t="s">
        <v>153</v>
      </c>
      <c r="O4" s="133" t="s">
        <v>154</v>
      </c>
      <c r="P4" s="133" t="s">
        <v>155</v>
      </c>
      <c r="Q4" s="134" t="s">
        <v>156</v>
      </c>
      <c r="R4" s="135" t="s">
        <v>157</v>
      </c>
      <c r="S4" s="134" t="s">
        <v>158</v>
      </c>
      <c r="T4" s="136" t="s">
        <v>159</v>
      </c>
      <c r="U4" s="135" t="s">
        <v>160</v>
      </c>
      <c r="V4" s="134" t="s">
        <v>161</v>
      </c>
      <c r="W4" s="130"/>
    </row>
    <row r="5" spans="1:23" x14ac:dyDescent="0.25">
      <c r="A5" s="57" t="s">
        <v>120</v>
      </c>
      <c r="B5" s="58"/>
      <c r="C5" s="58"/>
      <c r="D5" s="58"/>
      <c r="E5" s="58"/>
      <c r="F5" s="58"/>
      <c r="G5" s="58"/>
      <c r="H5" s="58"/>
      <c r="I5" s="58"/>
      <c r="J5" s="58"/>
      <c r="K5" s="58"/>
      <c r="L5" s="58"/>
      <c r="M5" s="58"/>
      <c r="N5" s="58"/>
      <c r="O5" s="58"/>
      <c r="P5" s="58"/>
      <c r="Q5" s="58"/>
      <c r="R5" s="58"/>
      <c r="S5" s="58"/>
      <c r="T5" s="58"/>
      <c r="U5" s="58"/>
      <c r="V5" s="58"/>
      <c r="W5" s="58"/>
    </row>
    <row r="6" spans="1:23" x14ac:dyDescent="0.25">
      <c r="A6" t="s">
        <v>35</v>
      </c>
      <c r="B6" s="137">
        <v>0.01</v>
      </c>
      <c r="C6" s="138">
        <v>43555</v>
      </c>
      <c r="D6" s="139">
        <v>79.285662974250002</v>
      </c>
      <c r="E6" s="139">
        <v>2.5162358949028465</v>
      </c>
      <c r="F6" s="139">
        <v>1.3350625</v>
      </c>
      <c r="G6" s="139">
        <v>0.67725250000000004</v>
      </c>
      <c r="H6" s="139">
        <v>2.5838906369485404</v>
      </c>
      <c r="I6" s="139">
        <v>11.553691729987563</v>
      </c>
      <c r="J6" s="139">
        <v>29.215047500000001</v>
      </c>
      <c r="K6" s="139">
        <v>0.51398113025000003</v>
      </c>
      <c r="L6" s="139">
        <v>-0.21712999999999999</v>
      </c>
      <c r="M6" s="139">
        <v>1.2173953639023771E-2</v>
      </c>
      <c r="N6" s="139">
        <v>0.21291953399999999</v>
      </c>
      <c r="O6" s="139">
        <v>7.4838948000000002E-2</v>
      </c>
      <c r="P6" s="139">
        <v>-3.4189999999999998E-2</v>
      </c>
      <c r="Q6" s="140">
        <v>-1.0949453567921401</v>
      </c>
      <c r="R6" s="141">
        <v>229.77860000000001</v>
      </c>
      <c r="S6" s="140">
        <v>-1.9071016286572995</v>
      </c>
      <c r="T6" s="142">
        <v>1.0003421170299718</v>
      </c>
      <c r="U6" s="80">
        <v>22.384090181666668</v>
      </c>
      <c r="V6" s="140">
        <v>0.30361532583605966</v>
      </c>
      <c r="W6" s="67" t="s">
        <v>35</v>
      </c>
    </row>
    <row r="7" spans="1:23" x14ac:dyDescent="0.25">
      <c r="A7" t="s">
        <v>20</v>
      </c>
      <c r="B7">
        <v>1</v>
      </c>
      <c r="C7" s="138">
        <v>43555</v>
      </c>
      <c r="D7" s="139">
        <v>5.9681427134999998</v>
      </c>
      <c r="E7" s="139">
        <v>4.7636722018578288</v>
      </c>
      <c r="F7" s="139">
        <v>0.98109999999999997</v>
      </c>
      <c r="G7" s="139">
        <v>0.60380750000000005</v>
      </c>
      <c r="H7" s="139">
        <v>4.5431065884429209</v>
      </c>
      <c r="I7" s="139">
        <v>15.140448750084362</v>
      </c>
      <c r="J7" s="139">
        <v>4.1778300000000002</v>
      </c>
      <c r="K7" s="139">
        <v>2.18827863425</v>
      </c>
      <c r="L7" s="139">
        <v>2.0714375</v>
      </c>
      <c r="M7" s="139">
        <v>1.4497183687856442E-2</v>
      </c>
      <c r="N7" s="139">
        <v>49.189290847999999</v>
      </c>
      <c r="O7" s="139">
        <v>10.423500662</v>
      </c>
      <c r="P7" s="139">
        <v>31.733170000000001</v>
      </c>
      <c r="Q7" s="140">
        <v>9.591632595335442</v>
      </c>
      <c r="R7" s="141">
        <v>719.39239999999995</v>
      </c>
      <c r="S7" s="140" t="s">
        <v>235</v>
      </c>
      <c r="T7" s="142">
        <v>1.8928849216550324E-2</v>
      </c>
      <c r="U7" s="80">
        <v>49.608756666666665</v>
      </c>
      <c r="V7" s="140" t="s">
        <v>235</v>
      </c>
      <c r="W7" s="67" t="s">
        <v>20</v>
      </c>
    </row>
    <row r="8" spans="1:23" x14ac:dyDescent="0.25">
      <c r="A8" t="s">
        <v>16</v>
      </c>
      <c r="B8">
        <v>1</v>
      </c>
      <c r="C8" s="138">
        <v>43555</v>
      </c>
      <c r="D8" s="139">
        <v>410.82252170250001</v>
      </c>
      <c r="E8" s="139">
        <v>4.1534994028907608</v>
      </c>
      <c r="F8" s="139">
        <v>1.38981</v>
      </c>
      <c r="G8" s="139">
        <v>0.65750249999999999</v>
      </c>
      <c r="H8" s="139">
        <v>1.495939967418108</v>
      </c>
      <c r="I8" s="139">
        <v>3.6576848829279749</v>
      </c>
      <c r="J8" s="139">
        <v>29.8400325</v>
      </c>
      <c r="K8" s="139">
        <v>3.081726862</v>
      </c>
      <c r="L8" s="139">
        <v>-7.1304400000000001</v>
      </c>
      <c r="M8" s="139">
        <v>-5.3222650376898793E-2</v>
      </c>
      <c r="N8" s="139">
        <v>-22.034699642</v>
      </c>
      <c r="O8" s="139">
        <v>-6.7662722960000004</v>
      </c>
      <c r="P8" s="139">
        <v>-5.22715</v>
      </c>
      <c r="Q8" s="140">
        <v>0.80607968762889426</v>
      </c>
      <c r="R8" s="141">
        <v>-286.86200000000002</v>
      </c>
      <c r="S8" s="140">
        <v>0.55078982167890977</v>
      </c>
      <c r="T8" s="142">
        <v>2.6721407781336612</v>
      </c>
      <c r="U8" s="80">
        <v>20.464246666666668</v>
      </c>
      <c r="V8" s="140">
        <v>9.0529693899208397E-3</v>
      </c>
      <c r="W8" s="67" t="s">
        <v>16</v>
      </c>
    </row>
    <row r="9" spans="1:23" x14ac:dyDescent="0.25">
      <c r="A9" t="s">
        <v>55</v>
      </c>
      <c r="B9">
        <v>1</v>
      </c>
      <c r="C9" s="138">
        <v>43555</v>
      </c>
      <c r="D9" s="143">
        <v>2.3830275575000002</v>
      </c>
      <c r="E9" s="143">
        <v>1.8629875778467468</v>
      </c>
      <c r="F9" s="139">
        <v>2.3866624999999999</v>
      </c>
      <c r="G9" s="139">
        <v>1.39191</v>
      </c>
      <c r="H9" s="139">
        <v>1.1284311494203536</v>
      </c>
      <c r="I9" s="139">
        <v>2.4962003314658792</v>
      </c>
      <c r="J9" s="139">
        <v>40.117834999999999</v>
      </c>
      <c r="K9" s="139">
        <v>14.4808474635</v>
      </c>
      <c r="L9" s="139">
        <v>11.624107499999999</v>
      </c>
      <c r="M9" s="139">
        <v>6.8845156594393012E-2</v>
      </c>
      <c r="N9" s="139">
        <v>13.197968595000001</v>
      </c>
      <c r="O9" s="139">
        <v>7.8988977010000001</v>
      </c>
      <c r="P9" s="139">
        <v>7.9399999999999998E-2</v>
      </c>
      <c r="Q9" s="140">
        <v>1.3036260797287027</v>
      </c>
      <c r="R9" s="141">
        <v>171.75867600000001</v>
      </c>
      <c r="S9" s="140">
        <v>0.26301904745359317</v>
      </c>
      <c r="T9" s="142">
        <v>0.45155522936559345</v>
      </c>
      <c r="U9" s="80">
        <v>3.0753935433333335</v>
      </c>
      <c r="V9" s="140">
        <v>0.39683404106222309</v>
      </c>
      <c r="W9" s="67" t="s">
        <v>55</v>
      </c>
    </row>
    <row r="10" spans="1:23" x14ac:dyDescent="0.25">
      <c r="A10" t="s">
        <v>9</v>
      </c>
      <c r="B10">
        <v>1</v>
      </c>
      <c r="C10" s="138">
        <v>43555</v>
      </c>
      <c r="D10" s="143">
        <v>204.83434498874999</v>
      </c>
      <c r="E10" s="143">
        <v>2.8893643912688329</v>
      </c>
      <c r="F10" s="139">
        <v>0.99620500000000001</v>
      </c>
      <c r="G10" s="139">
        <v>0.44111</v>
      </c>
      <c r="H10" s="139">
        <v>0.49966498428883804</v>
      </c>
      <c r="I10" s="139">
        <v>3.2351923212304703</v>
      </c>
      <c r="J10" s="139">
        <v>20.36206</v>
      </c>
      <c r="K10" s="139">
        <v>-15.91164949475</v>
      </c>
      <c r="L10" s="139">
        <v>-34.104525000000002</v>
      </c>
      <c r="M10" s="139">
        <v>-0.13767894949714488</v>
      </c>
      <c r="N10" s="139">
        <v>-11.282304886</v>
      </c>
      <c r="O10" s="139">
        <v>-4.6601881240000003</v>
      </c>
      <c r="P10" s="139">
        <v>-0.61521999999999999</v>
      </c>
      <c r="Q10" s="140">
        <v>-0.5985554980355674</v>
      </c>
      <c r="R10" s="141">
        <v>59.711737999999997</v>
      </c>
      <c r="S10" s="140">
        <v>-2.637442132188244</v>
      </c>
      <c r="T10" s="142">
        <v>2.7048866080312561</v>
      </c>
      <c r="U10" s="80">
        <v>4.1971204633333334</v>
      </c>
      <c r="V10" s="140">
        <v>0.52590411938680393</v>
      </c>
      <c r="W10" s="67" t="s">
        <v>9</v>
      </c>
    </row>
    <row r="11" spans="1:23" x14ac:dyDescent="0.25">
      <c r="A11" t="s">
        <v>51</v>
      </c>
      <c r="B11">
        <v>1</v>
      </c>
      <c r="C11" s="138">
        <v>43524</v>
      </c>
      <c r="D11" s="143">
        <v>1241.1444207909999</v>
      </c>
      <c r="E11" s="143">
        <v>4.9448739807404758</v>
      </c>
      <c r="F11" s="139">
        <v>1.1781075000000001</v>
      </c>
      <c r="G11" s="139">
        <v>0.5305725</v>
      </c>
      <c r="H11" s="139">
        <v>0.96129900804640389</v>
      </c>
      <c r="I11" s="139">
        <v>1.7602833732603944</v>
      </c>
      <c r="J11" s="139">
        <v>37.994497500000001</v>
      </c>
      <c r="K11" s="139">
        <v>5.2962500027499999</v>
      </c>
      <c r="L11" s="139">
        <v>-28.443042500000001</v>
      </c>
      <c r="M11" s="139">
        <v>-0.13900897079246957</v>
      </c>
      <c r="N11" s="139">
        <v>-66.328697082000005</v>
      </c>
      <c r="O11" s="139">
        <v>-14.857716084</v>
      </c>
      <c r="P11" s="139">
        <v>-4.44292</v>
      </c>
      <c r="Q11" s="140">
        <v>-1.8750589972286429</v>
      </c>
      <c r="R11" s="141">
        <v>-250.2876</v>
      </c>
      <c r="S11" s="140">
        <v>-2.5072780142094508</v>
      </c>
      <c r="T11" s="142">
        <v>2.53166752234445</v>
      </c>
      <c r="U11" s="80">
        <v>7.1813058333333331</v>
      </c>
      <c r="V11" s="140">
        <v>0.20595291866012699</v>
      </c>
      <c r="W11" s="67" t="s">
        <v>51</v>
      </c>
    </row>
    <row r="12" spans="1:23" x14ac:dyDescent="0.25">
      <c r="A12" t="s">
        <v>44</v>
      </c>
      <c r="B12">
        <v>1</v>
      </c>
      <c r="C12" s="138">
        <v>43555</v>
      </c>
      <c r="D12" s="143">
        <v>23.310371379749999</v>
      </c>
      <c r="E12" s="143">
        <v>1.62792291820177</v>
      </c>
      <c r="F12" s="139">
        <v>1.4690325</v>
      </c>
      <c r="G12" s="139">
        <v>0.53371000000000002</v>
      </c>
      <c r="H12" s="139">
        <v>0.34211363006223777</v>
      </c>
      <c r="I12" s="139">
        <v>-7.8090613285378332</v>
      </c>
      <c r="J12" s="139">
        <v>26.564382500000001</v>
      </c>
      <c r="K12" s="139">
        <v>17.043161702799999</v>
      </c>
      <c r="L12" s="139">
        <v>-4.9764699999999999</v>
      </c>
      <c r="M12" s="139">
        <v>-0.14463835926915417</v>
      </c>
      <c r="N12" s="139">
        <v>-3.0261613220000001</v>
      </c>
      <c r="O12" s="139">
        <v>-1.744848416</v>
      </c>
      <c r="P12" s="139">
        <v>-0.33227000000000001</v>
      </c>
      <c r="Q12" s="140">
        <v>0.79600171703900524</v>
      </c>
      <c r="R12" s="141">
        <v>12.411466000000001</v>
      </c>
      <c r="S12" s="140">
        <v>-1.9511103245354455</v>
      </c>
      <c r="T12" s="142">
        <v>3.5807959351722691</v>
      </c>
      <c r="U12" s="80">
        <v>1.5112434349999999</v>
      </c>
      <c r="V12" s="140">
        <v>0.4181750733384384</v>
      </c>
      <c r="W12" s="67" t="s">
        <v>44</v>
      </c>
    </row>
    <row r="13" spans="1:23" x14ac:dyDescent="0.25">
      <c r="A13" t="s">
        <v>43</v>
      </c>
      <c r="B13">
        <v>1</v>
      </c>
      <c r="C13" s="138">
        <v>43555</v>
      </c>
      <c r="D13" s="143">
        <v>121.9577418285</v>
      </c>
      <c r="E13" s="143">
        <v>2.9000056149708473</v>
      </c>
      <c r="F13" s="139">
        <v>0.91044000000000003</v>
      </c>
      <c r="G13" s="139">
        <v>0.64924249999999994</v>
      </c>
      <c r="H13" s="139">
        <v>1.9097402743644287</v>
      </c>
      <c r="I13" s="139">
        <v>12.765577908530581</v>
      </c>
      <c r="J13" s="139">
        <v>11.787072500000001</v>
      </c>
      <c r="K13" s="139">
        <v>3.79754125975</v>
      </c>
      <c r="L13" s="139">
        <v>-2.921065</v>
      </c>
      <c r="M13" s="139">
        <v>4.0911390605372876E-3</v>
      </c>
      <c r="N13" s="139">
        <v>-16.868247935999999</v>
      </c>
      <c r="O13" s="139">
        <v>-5.3157482180000004</v>
      </c>
      <c r="P13" s="139">
        <v>-0.44142999999999999</v>
      </c>
      <c r="Q13" s="140" t="s">
        <v>235</v>
      </c>
      <c r="R13" s="141">
        <v>-359.60160000000002</v>
      </c>
      <c r="S13" s="140">
        <v>0.3950317892293127</v>
      </c>
      <c r="T13" s="142">
        <v>2.2174539454664135</v>
      </c>
      <c r="U13" s="80">
        <v>5.3592595000000003</v>
      </c>
      <c r="V13" s="140">
        <v>0.5662950641667901</v>
      </c>
      <c r="W13" s="67" t="s">
        <v>43</v>
      </c>
    </row>
    <row r="14" spans="1:23" x14ac:dyDescent="0.25">
      <c r="A14" t="s">
        <v>10</v>
      </c>
      <c r="B14">
        <v>1</v>
      </c>
      <c r="C14" s="138">
        <v>43555</v>
      </c>
      <c r="D14" s="143">
        <v>14.838686914249999</v>
      </c>
      <c r="E14" s="143">
        <v>1.5276658880133551</v>
      </c>
      <c r="F14" s="139">
        <v>2.05152</v>
      </c>
      <c r="G14" s="139">
        <v>1.31572</v>
      </c>
      <c r="H14" s="139">
        <v>1.3022510817370936</v>
      </c>
      <c r="I14" s="139">
        <v>2.7933172928507126</v>
      </c>
      <c r="J14" s="139">
        <v>42.617260000000002</v>
      </c>
      <c r="K14" s="139">
        <v>11.174162674</v>
      </c>
      <c r="L14" s="139">
        <v>5.1143524999999999</v>
      </c>
      <c r="M14" s="139">
        <v>8.4219730387124048E-2</v>
      </c>
      <c r="N14" s="139">
        <v>11.616159007</v>
      </c>
      <c r="O14" s="139">
        <v>8.2260613419999995</v>
      </c>
      <c r="P14" s="139">
        <v>0.56962000000000002</v>
      </c>
      <c r="Q14" s="140">
        <v>-0.473040521069236</v>
      </c>
      <c r="R14" s="141">
        <v>56.286644000000003</v>
      </c>
      <c r="S14" s="140">
        <v>0.44787117449142411</v>
      </c>
      <c r="T14" s="142">
        <v>0.30616022121034892</v>
      </c>
      <c r="U14" s="80">
        <v>0.59871150666666662</v>
      </c>
      <c r="V14" s="140">
        <v>0.35840299134133602</v>
      </c>
      <c r="W14" s="67" t="s">
        <v>10</v>
      </c>
    </row>
    <row r="15" spans="1:23" x14ac:dyDescent="0.25">
      <c r="A15" t="s">
        <v>52</v>
      </c>
      <c r="B15">
        <v>0.1</v>
      </c>
      <c r="C15" s="138">
        <v>43616</v>
      </c>
      <c r="D15" s="143">
        <v>72.860648265549997</v>
      </c>
      <c r="E15" s="143">
        <v>2.1358289340716445</v>
      </c>
      <c r="F15" s="139">
        <v>1.4250700000000001</v>
      </c>
      <c r="G15" s="139">
        <v>0.8707975</v>
      </c>
      <c r="H15" s="139">
        <v>2.1466325081951192</v>
      </c>
      <c r="I15" s="139">
        <v>-0.76875660100258081</v>
      </c>
      <c r="J15" s="139">
        <v>15.732745</v>
      </c>
      <c r="K15" s="139">
        <v>8.5971815816500001</v>
      </c>
      <c r="L15" s="139">
        <v>4.1509225000000001</v>
      </c>
      <c r="M15" s="139">
        <v>5.5375415026886747E-2</v>
      </c>
      <c r="N15" s="139">
        <v>9.9174615344999992</v>
      </c>
      <c r="O15" s="139">
        <v>5.2855039522</v>
      </c>
      <c r="P15" s="139">
        <v>0.55484999999999995</v>
      </c>
      <c r="Q15" s="140">
        <v>2.0673930110815184</v>
      </c>
      <c r="R15" s="141">
        <v>19.006831999999999</v>
      </c>
      <c r="S15" s="140">
        <v>0.28528821946359506</v>
      </c>
      <c r="T15" s="142">
        <v>2.7742193708753522</v>
      </c>
      <c r="U15" s="80">
        <v>0.90175486333333332</v>
      </c>
      <c r="V15" s="140">
        <v>0.43794192494546902</v>
      </c>
      <c r="W15" s="67" t="s">
        <v>52</v>
      </c>
    </row>
    <row r="16" spans="1:23" x14ac:dyDescent="0.25">
      <c r="A16" t="s">
        <v>39</v>
      </c>
      <c r="B16">
        <v>1</v>
      </c>
      <c r="C16" s="138">
        <v>43524</v>
      </c>
      <c r="D16" s="143">
        <v>69.16706186175</v>
      </c>
      <c r="E16" s="143">
        <v>3.1211377818306665</v>
      </c>
      <c r="F16" s="139">
        <v>1.5840475000000001</v>
      </c>
      <c r="G16" s="139">
        <v>1.0488900000000001</v>
      </c>
      <c r="H16" s="139">
        <v>1.4615538211641736</v>
      </c>
      <c r="I16" s="139">
        <v>8.8478084420648209</v>
      </c>
      <c r="J16" s="139">
        <v>17.070462500000001</v>
      </c>
      <c r="K16" s="139">
        <v>5.5689108112500003</v>
      </c>
      <c r="L16" s="139">
        <v>-13.334792500000001</v>
      </c>
      <c r="M16" s="139">
        <v>-0.12681479418045313</v>
      </c>
      <c r="N16" s="139">
        <v>-55.692762264999999</v>
      </c>
      <c r="O16" s="139">
        <v>-15.613650069</v>
      </c>
      <c r="P16" s="139">
        <v>-1.12391</v>
      </c>
      <c r="Q16" s="140">
        <v>1.535986168585022</v>
      </c>
      <c r="R16" s="141">
        <v>-43.019176000000002</v>
      </c>
      <c r="S16" s="140">
        <v>0.26305906271285751</v>
      </c>
      <c r="T16" s="142">
        <v>0.38666619061649948</v>
      </c>
      <c r="U16" s="80">
        <v>0.19359271333333333</v>
      </c>
      <c r="V16" s="140">
        <v>0.2106880138194851</v>
      </c>
      <c r="W16" s="67" t="s">
        <v>39</v>
      </c>
    </row>
    <row r="17" spans="1:23" x14ac:dyDescent="0.25">
      <c r="A17" s="69" t="s">
        <v>121</v>
      </c>
      <c r="B17" s="70"/>
      <c r="C17" s="144"/>
      <c r="D17" s="145">
        <v>204.23387554339089</v>
      </c>
      <c r="E17" s="145">
        <v>2.9493813260541613</v>
      </c>
      <c r="F17" s="146">
        <v>1.4279143181818179</v>
      </c>
      <c r="G17" s="146">
        <v>0.79277409090909079</v>
      </c>
      <c r="H17" s="146">
        <v>1.6704203318262016</v>
      </c>
      <c r="I17" s="146">
        <v>4.8793079184420316</v>
      </c>
      <c r="J17" s="146">
        <v>25.043565909090912</v>
      </c>
      <c r="K17" s="146">
        <v>5.0754902388590901</v>
      </c>
      <c r="L17" s="146">
        <v>-6.196967727272729</v>
      </c>
      <c r="M17" s="146">
        <v>-3.2923740520027202E-2</v>
      </c>
      <c r="N17" s="146">
        <v>-8.2817339649545456</v>
      </c>
      <c r="O17" s="146">
        <v>-1.5499655092545455</v>
      </c>
      <c r="P17" s="146">
        <v>1.8836318181818184</v>
      </c>
      <c r="Q17" s="147">
        <v>1.2059118886272999</v>
      </c>
      <c r="R17" s="148">
        <v>29.870543636363632</v>
      </c>
      <c r="S17" s="147">
        <v>-0.67978729845607488</v>
      </c>
      <c r="T17" s="149">
        <v>1.6949833424965783</v>
      </c>
      <c r="U17" s="150">
        <v>10.497770488484846</v>
      </c>
      <c r="V17" s="147">
        <v>0.34328624419466536</v>
      </c>
      <c r="W17" s="78" t="s">
        <v>122</v>
      </c>
    </row>
    <row r="18" spans="1:23" x14ac:dyDescent="0.25">
      <c r="C18" s="67"/>
      <c r="D18" s="143"/>
      <c r="E18" s="143"/>
      <c r="F18" s="139"/>
      <c r="G18" s="139"/>
      <c r="H18" s="139"/>
      <c r="I18" s="139"/>
      <c r="J18" s="139"/>
      <c r="K18" s="139"/>
      <c r="L18" s="139"/>
      <c r="M18" s="139"/>
      <c r="N18" s="139"/>
      <c r="O18" s="139"/>
      <c r="P18" s="139"/>
      <c r="Q18" s="140"/>
      <c r="R18" s="141"/>
      <c r="S18" s="140"/>
      <c r="T18" s="142"/>
      <c r="U18" s="80"/>
      <c r="V18" s="140"/>
      <c r="W18" s="67"/>
    </row>
    <row r="19" spans="1:23" x14ac:dyDescent="0.25">
      <c r="A19" s="57" t="s">
        <v>123</v>
      </c>
      <c r="B19" s="82"/>
      <c r="C19" s="88"/>
      <c r="D19" s="151"/>
      <c r="E19" s="151"/>
      <c r="F19" s="152"/>
      <c r="G19" s="152"/>
      <c r="H19" s="152"/>
      <c r="I19" s="152"/>
      <c r="J19" s="152"/>
      <c r="K19" s="152"/>
      <c r="L19" s="152"/>
      <c r="M19" s="152"/>
      <c r="N19" s="152"/>
      <c r="O19" s="152"/>
      <c r="P19" s="152"/>
      <c r="Q19" s="153"/>
      <c r="R19" s="154"/>
      <c r="S19" s="153"/>
      <c r="T19" s="155"/>
      <c r="U19" s="86"/>
      <c r="V19" s="153"/>
      <c r="W19" s="88"/>
    </row>
    <row r="20" spans="1:23" x14ac:dyDescent="0.25">
      <c r="A20" t="s">
        <v>14</v>
      </c>
      <c r="B20">
        <v>1</v>
      </c>
      <c r="C20" s="138">
        <v>43465</v>
      </c>
      <c r="D20" s="139">
        <v>9.0449605152500006</v>
      </c>
      <c r="E20" s="139">
        <v>5.3201040802204531</v>
      </c>
      <c r="F20" s="139">
        <v>1.08145</v>
      </c>
      <c r="G20" s="139">
        <v>0.4912475</v>
      </c>
      <c r="H20" s="139">
        <v>2.2180538525775639</v>
      </c>
      <c r="I20" s="139">
        <v>7.7379527712457135</v>
      </c>
      <c r="J20" s="139">
        <v>23.532642500000001</v>
      </c>
      <c r="K20" s="139">
        <v>21.148884601999999</v>
      </c>
      <c r="L20" s="139">
        <v>-1.4385399999999999</v>
      </c>
      <c r="M20" s="139">
        <v>-1.0468678455480621E-2</v>
      </c>
      <c r="N20" s="139">
        <v>-1.7384413009999999</v>
      </c>
      <c r="O20" s="139">
        <v>-0.47219106900000002</v>
      </c>
      <c r="P20" s="139">
        <v>-0.44420999999999999</v>
      </c>
      <c r="Q20" s="140">
        <v>1.6902887040360375</v>
      </c>
      <c r="R20" s="141">
        <v>162.64400000000001</v>
      </c>
      <c r="S20" s="140">
        <v>-1.8100957134953717</v>
      </c>
      <c r="T20" s="142">
        <v>1.5133250136209362</v>
      </c>
      <c r="U20" s="80">
        <v>16.664709999999999</v>
      </c>
      <c r="V20" s="140">
        <v>0.47167486335461106</v>
      </c>
      <c r="W20" s="67" t="s">
        <v>14</v>
      </c>
    </row>
    <row r="21" spans="1:23" x14ac:dyDescent="0.25">
      <c r="A21" t="s">
        <v>15</v>
      </c>
      <c r="B21">
        <v>1</v>
      </c>
      <c r="C21" s="138">
        <v>43555</v>
      </c>
      <c r="D21" s="139">
        <v>34.283115686599999</v>
      </c>
      <c r="E21" s="139">
        <v>1.7793456721753629</v>
      </c>
      <c r="F21" s="139">
        <v>1.1575899999999999</v>
      </c>
      <c r="G21" s="139">
        <v>0.7146825</v>
      </c>
      <c r="H21" s="139">
        <v>1.6004307862018152</v>
      </c>
      <c r="I21" s="139">
        <v>7.0814115203729813</v>
      </c>
      <c r="J21" s="139">
        <v>55.989887500000002</v>
      </c>
      <c r="K21" s="139">
        <v>13.172309417525</v>
      </c>
      <c r="L21" s="139">
        <v>4.4700249999999997</v>
      </c>
      <c r="M21" s="139">
        <v>4.9785528293282012E-2</v>
      </c>
      <c r="N21" s="139">
        <v>15.561606748100001</v>
      </c>
      <c r="O21" s="139">
        <v>9.4560803141999994</v>
      </c>
      <c r="P21" s="139">
        <v>2.8895599999999999</v>
      </c>
      <c r="Q21" s="140">
        <v>-0.20673046447884924</v>
      </c>
      <c r="R21" s="141">
        <v>82.334233999999995</v>
      </c>
      <c r="S21" s="140">
        <v>0.38205876973308439</v>
      </c>
      <c r="T21" s="142">
        <v>0.42911737542629297</v>
      </c>
      <c r="U21" s="80">
        <v>1.1981491683333332</v>
      </c>
      <c r="V21" s="140">
        <v>0.35175858503822899</v>
      </c>
      <c r="W21" s="67" t="s">
        <v>15</v>
      </c>
    </row>
    <row r="22" spans="1:23" x14ac:dyDescent="0.25">
      <c r="A22" t="s">
        <v>74</v>
      </c>
      <c r="B22">
        <v>1</v>
      </c>
      <c r="C22" s="138">
        <v>43555</v>
      </c>
      <c r="D22" s="139">
        <v>104.200501875</v>
      </c>
      <c r="E22" s="139">
        <v>3.3880253328891019</v>
      </c>
      <c r="F22" s="139">
        <v>1.370555</v>
      </c>
      <c r="G22" s="139">
        <v>0.73389249999999995</v>
      </c>
      <c r="H22" s="139">
        <v>2.0798525864640376</v>
      </c>
      <c r="I22" s="139">
        <v>6.7348676947357244</v>
      </c>
      <c r="J22" s="139">
        <v>41.905637499999997</v>
      </c>
      <c r="K22" s="139">
        <v>8.2587198097499996</v>
      </c>
      <c r="L22" s="139">
        <v>-7.4681649999999999</v>
      </c>
      <c r="M22" s="139">
        <v>-6.6974787568970906E-2</v>
      </c>
      <c r="N22" s="139">
        <v>-53.389688733</v>
      </c>
      <c r="O22" s="139">
        <v>-17.222170297000002</v>
      </c>
      <c r="P22" s="139">
        <v>-9.7593099999999993</v>
      </c>
      <c r="Q22" s="140">
        <v>0.59324044374796425</v>
      </c>
      <c r="R22" s="141">
        <v>-94.604479999999995</v>
      </c>
      <c r="S22" s="140">
        <v>-2.5541581891895047</v>
      </c>
      <c r="T22" s="142">
        <v>4.0974966345050889</v>
      </c>
      <c r="U22" s="80">
        <v>3.3946711033333337</v>
      </c>
      <c r="V22" s="140">
        <v>0.37622276916221553</v>
      </c>
      <c r="W22" s="67" t="s">
        <v>74</v>
      </c>
    </row>
    <row r="23" spans="1:23" x14ac:dyDescent="0.25">
      <c r="A23" t="s">
        <v>30</v>
      </c>
      <c r="B23">
        <v>0.1</v>
      </c>
      <c r="C23" s="138">
        <v>43555</v>
      </c>
      <c r="D23" s="143" t="s">
        <v>235</v>
      </c>
      <c r="E23" s="143">
        <v>-8.5855227661962701</v>
      </c>
      <c r="F23" s="139">
        <v>0.80273000000000005</v>
      </c>
      <c r="G23" s="139">
        <v>0.50172499999999998</v>
      </c>
      <c r="H23" s="139">
        <v>0.54367433554336786</v>
      </c>
      <c r="I23" s="139">
        <v>-7.4503392025755364</v>
      </c>
      <c r="J23" s="139">
        <v>10.255545</v>
      </c>
      <c r="K23" s="139">
        <v>-42.190503155000002</v>
      </c>
      <c r="L23" s="139">
        <v>-44.091014999999999</v>
      </c>
      <c r="M23" s="139">
        <v>-0.30452873456359719</v>
      </c>
      <c r="N23" s="139" t="s">
        <v>235</v>
      </c>
      <c r="O23" s="139">
        <v>-20.02093335</v>
      </c>
      <c r="P23" s="139">
        <v>-28.05931</v>
      </c>
      <c r="Q23" s="140" t="s">
        <v>235</v>
      </c>
      <c r="R23" s="141">
        <v>-502.18328600000001</v>
      </c>
      <c r="S23" s="140">
        <v>0.95478959753539594</v>
      </c>
      <c r="T23" s="142">
        <v>1.7085457278857219</v>
      </c>
      <c r="U23" s="80">
        <v>1.5905073033333332</v>
      </c>
      <c r="V23" s="140">
        <v>1.0059135484180266</v>
      </c>
      <c r="W23" s="67" t="s">
        <v>30</v>
      </c>
    </row>
    <row r="24" spans="1:23" x14ac:dyDescent="0.25">
      <c r="A24" t="s">
        <v>46</v>
      </c>
      <c r="B24">
        <v>1</v>
      </c>
      <c r="C24" s="138">
        <v>43555</v>
      </c>
      <c r="D24" s="143">
        <v>110.93664766112499</v>
      </c>
      <c r="E24" s="143">
        <v>2.8316545381008518</v>
      </c>
      <c r="F24" s="139">
        <v>1.7215800000000001</v>
      </c>
      <c r="G24" s="139">
        <v>0.89040750000000002</v>
      </c>
      <c r="H24" s="139">
        <v>1.4826517948140294</v>
      </c>
      <c r="I24" s="139">
        <v>-1.3780014215249956</v>
      </c>
      <c r="J24" s="139">
        <v>11.5909675</v>
      </c>
      <c r="K24" s="139">
        <v>-6.0181030298250002</v>
      </c>
      <c r="L24" s="139">
        <v>-8.7128824999999992</v>
      </c>
      <c r="M24" s="139">
        <v>-6.3240253511940903E-2</v>
      </c>
      <c r="N24" s="139">
        <v>-46.4897693813</v>
      </c>
      <c r="O24" s="139">
        <v>-16.432127763800001</v>
      </c>
      <c r="P24" s="139">
        <v>-1.1877599999999999</v>
      </c>
      <c r="Q24" s="140">
        <v>0.78890973856603319</v>
      </c>
      <c r="R24" s="141">
        <v>-74.470296000000005</v>
      </c>
      <c r="S24" s="140">
        <v>-2.5329578578504961</v>
      </c>
      <c r="T24" s="142">
        <v>2.0043764332359251</v>
      </c>
      <c r="U24" s="80">
        <v>1.1247190466666668</v>
      </c>
      <c r="V24" s="140">
        <v>0.27356912330938377</v>
      </c>
      <c r="W24" s="67" t="s">
        <v>46</v>
      </c>
    </row>
    <row r="25" spans="1:23" x14ac:dyDescent="0.25">
      <c r="A25" t="s">
        <v>48</v>
      </c>
      <c r="B25">
        <v>1</v>
      </c>
      <c r="C25" s="138">
        <v>43465</v>
      </c>
      <c r="D25" s="143" t="s">
        <v>235</v>
      </c>
      <c r="E25" s="143">
        <v>-1.4154500995036725</v>
      </c>
      <c r="F25" s="139">
        <v>0.27470749999999999</v>
      </c>
      <c r="G25" s="139">
        <v>0.25330249999999999</v>
      </c>
      <c r="H25" s="139">
        <v>1.3335423615603821</v>
      </c>
      <c r="I25" s="139">
        <v>32.804584479074947</v>
      </c>
      <c r="J25" s="139">
        <v>22.78173</v>
      </c>
      <c r="K25" s="139">
        <v>-93.620789849999994</v>
      </c>
      <c r="L25" s="139">
        <v>-105.8327</v>
      </c>
      <c r="M25" s="139">
        <v>-1.0343928987225053</v>
      </c>
      <c r="N25" s="139" t="s">
        <v>235</v>
      </c>
      <c r="O25" s="156">
        <v>-102.099648221</v>
      </c>
      <c r="P25" s="139">
        <v>-1.95346</v>
      </c>
      <c r="Q25" s="140">
        <v>0.61435835060767141</v>
      </c>
      <c r="R25" s="141">
        <v>-114.973534</v>
      </c>
      <c r="S25" s="140">
        <v>-1.9816166542528046E-2</v>
      </c>
      <c r="T25" s="142">
        <v>0.32135626704043585</v>
      </c>
      <c r="U25" s="80">
        <v>0.77471846499999997</v>
      </c>
      <c r="V25" s="140">
        <v>-0.36175751038650894</v>
      </c>
      <c r="W25" s="67" t="s">
        <v>48</v>
      </c>
    </row>
    <row r="26" spans="1:23" x14ac:dyDescent="0.25">
      <c r="A26" s="38" t="s">
        <v>80</v>
      </c>
      <c r="B26">
        <v>1</v>
      </c>
      <c r="C26" s="138">
        <v>43585</v>
      </c>
      <c r="D26" s="143">
        <v>12.0666442821</v>
      </c>
      <c r="E26" s="143">
        <v>3.6592621950145854</v>
      </c>
      <c r="F26" s="139">
        <v>1.3619275</v>
      </c>
      <c r="G26" s="139">
        <v>0.73965999999999998</v>
      </c>
      <c r="H26" s="139">
        <v>1.7813996143084243</v>
      </c>
      <c r="I26" s="139">
        <v>-0.3563934903467656</v>
      </c>
      <c r="J26" s="139">
        <v>24.665025</v>
      </c>
      <c r="K26" s="139">
        <v>6.5383070499000002</v>
      </c>
      <c r="L26" s="139">
        <v>-11.7097725</v>
      </c>
      <c r="M26" s="139">
        <v>-7.6742782766958867E-2</v>
      </c>
      <c r="N26" s="139">
        <v>-31.629033495200002</v>
      </c>
      <c r="O26" s="139">
        <v>-12.2894894161</v>
      </c>
      <c r="P26" s="139">
        <v>-0.75819999999999999</v>
      </c>
      <c r="Q26" s="140">
        <v>1.2810664478387215</v>
      </c>
      <c r="R26" s="141">
        <v>-12.561</v>
      </c>
      <c r="S26" s="140">
        <v>-2.4811385193626436</v>
      </c>
      <c r="T26" s="142">
        <v>1.1176841149173602</v>
      </c>
      <c r="U26" s="80">
        <v>0.32069945</v>
      </c>
      <c r="V26" s="140">
        <v>0.35114345640917444</v>
      </c>
      <c r="W26" s="67" t="s">
        <v>80</v>
      </c>
    </row>
    <row r="27" spans="1:23" x14ac:dyDescent="0.25">
      <c r="A27" s="69" t="s">
        <v>121</v>
      </c>
      <c r="B27" s="70"/>
      <c r="C27" s="157"/>
      <c r="D27" s="145">
        <v>54.106374004015002</v>
      </c>
      <c r="E27" s="145">
        <v>0.99677413610005872</v>
      </c>
      <c r="F27" s="146">
        <v>1.110077142857143</v>
      </c>
      <c r="G27" s="146">
        <v>0.61784535714285715</v>
      </c>
      <c r="H27" s="146">
        <v>1.5770864759242316</v>
      </c>
      <c r="I27" s="146">
        <v>6.4534403358545802</v>
      </c>
      <c r="J27" s="146">
        <v>27.24591928571429</v>
      </c>
      <c r="K27" s="146">
        <v>-13.244453593664288</v>
      </c>
      <c r="L27" s="146">
        <v>-24.969007142857144</v>
      </c>
      <c r="M27" s="146">
        <v>-0.21522322961373883</v>
      </c>
      <c r="N27" s="146">
        <v>-23.53706523248</v>
      </c>
      <c r="O27" s="146">
        <v>-22.725782828957144</v>
      </c>
      <c r="P27" s="146">
        <v>-5.6103842857142849</v>
      </c>
      <c r="Q27" s="147">
        <v>0.79352220338626311</v>
      </c>
      <c r="R27" s="148">
        <v>-79.116337428571441</v>
      </c>
      <c r="S27" s="147">
        <v>-1.1516168684531518</v>
      </c>
      <c r="T27" s="149">
        <v>1.5988430809473944</v>
      </c>
      <c r="U27" s="150">
        <v>3.5811677909523807</v>
      </c>
      <c r="V27" s="147">
        <v>0.35264640504359018</v>
      </c>
      <c r="W27" s="78" t="s">
        <v>122</v>
      </c>
    </row>
    <row r="28" spans="1:23" x14ac:dyDescent="0.25">
      <c r="C28" s="138"/>
      <c r="D28" s="143"/>
      <c r="E28" s="143"/>
      <c r="F28" s="139"/>
      <c r="G28" s="139"/>
      <c r="H28" s="139"/>
      <c r="I28" s="139"/>
      <c r="J28" s="139"/>
      <c r="K28" s="139"/>
      <c r="L28" s="139"/>
      <c r="M28" s="139"/>
      <c r="N28" s="139"/>
      <c r="O28" s="139"/>
      <c r="P28" s="139"/>
      <c r="Q28" s="140"/>
      <c r="R28" s="141"/>
      <c r="S28" s="140"/>
      <c r="T28" s="142"/>
      <c r="U28" s="80"/>
      <c r="V28" s="140"/>
      <c r="W28" s="67"/>
    </row>
    <row r="29" spans="1:23" x14ac:dyDescent="0.25">
      <c r="A29" s="57" t="s">
        <v>124</v>
      </c>
      <c r="B29" s="82"/>
      <c r="C29" s="158"/>
      <c r="D29" s="151"/>
      <c r="E29" s="151"/>
      <c r="F29" s="152"/>
      <c r="G29" s="152"/>
      <c r="H29" s="152"/>
      <c r="I29" s="152"/>
      <c r="J29" s="152"/>
      <c r="K29" s="152"/>
      <c r="L29" s="152"/>
      <c r="M29" s="152"/>
      <c r="N29" s="152"/>
      <c r="O29" s="152"/>
      <c r="P29" s="152"/>
      <c r="Q29" s="153"/>
      <c r="R29" s="154"/>
      <c r="S29" s="153"/>
      <c r="T29" s="155"/>
      <c r="U29" s="86"/>
      <c r="V29" s="153"/>
      <c r="W29" s="88"/>
    </row>
    <row r="30" spans="1:23" x14ac:dyDescent="0.25">
      <c r="A30" t="s">
        <v>60</v>
      </c>
      <c r="B30">
        <v>1</v>
      </c>
      <c r="C30" s="138">
        <v>43646</v>
      </c>
      <c r="D30" s="139">
        <v>128.26709406482499</v>
      </c>
      <c r="E30" s="139">
        <v>3.155962380445597</v>
      </c>
      <c r="F30" s="139">
        <v>1.3842825000000001</v>
      </c>
      <c r="G30" s="139">
        <v>1.0568649999999999</v>
      </c>
      <c r="H30" s="139">
        <v>3.8254679369831424</v>
      </c>
      <c r="I30" s="139">
        <v>8.5868176436165662</v>
      </c>
      <c r="J30" s="139">
        <v>36.477899999999998</v>
      </c>
      <c r="K30" s="139">
        <v>25.823439656474999</v>
      </c>
      <c r="L30" s="139">
        <v>9.9065949999999994</v>
      </c>
      <c r="M30" s="139">
        <v>0.14545706272882888</v>
      </c>
      <c r="N30" s="139">
        <v>10.5381403242</v>
      </c>
      <c r="O30" s="139">
        <v>3.6017030838999999</v>
      </c>
      <c r="P30" s="139">
        <v>25.453652783486799</v>
      </c>
      <c r="Q30" s="140">
        <v>4.2213432523957239</v>
      </c>
      <c r="R30" s="141">
        <v>83812.004886326322</v>
      </c>
      <c r="S30" s="140">
        <v>0.30896045546024298</v>
      </c>
      <c r="T30" s="142">
        <v>45.25398229997905</v>
      </c>
      <c r="U30" s="80">
        <v>1556.2536453056848</v>
      </c>
      <c r="V30" s="140">
        <v>0.32156793629651204</v>
      </c>
      <c r="W30" s="67" t="s">
        <v>60</v>
      </c>
    </row>
    <row r="31" spans="1:23" x14ac:dyDescent="0.25">
      <c r="A31" t="s">
        <v>72</v>
      </c>
      <c r="B31">
        <v>1</v>
      </c>
      <c r="C31" s="138">
        <v>43646</v>
      </c>
      <c r="D31" s="139">
        <v>6.9557190163250002</v>
      </c>
      <c r="E31" s="139">
        <v>1.2386687472845723</v>
      </c>
      <c r="F31" s="139">
        <v>2.9959449999999999</v>
      </c>
      <c r="G31" s="139">
        <v>1.6521999999999999</v>
      </c>
      <c r="H31" s="139">
        <v>21.794059315291069</v>
      </c>
      <c r="I31" s="139">
        <v>-1.7055648287302319</v>
      </c>
      <c r="J31" s="139">
        <v>31.199877499999999</v>
      </c>
      <c r="K31" s="139">
        <v>12.041405311349999</v>
      </c>
      <c r="L31" s="139">
        <v>12.324652499999999</v>
      </c>
      <c r="M31" s="139">
        <v>0.15307811702492019</v>
      </c>
      <c r="N31" s="139">
        <v>8.1899115276999996</v>
      </c>
      <c r="O31" s="139">
        <v>6.4768507594000004</v>
      </c>
      <c r="P31" s="139">
        <v>33.422559450000001</v>
      </c>
      <c r="Q31" s="140">
        <v>-2.4365911167470666E-2</v>
      </c>
      <c r="R31" s="141">
        <v>12417.762788799999</v>
      </c>
      <c r="S31" s="140">
        <v>0.26658561521599844</v>
      </c>
      <c r="T31" s="142">
        <v>15.830043180285186</v>
      </c>
      <c r="U31" s="80">
        <v>116.58014861008333</v>
      </c>
      <c r="V31" s="140">
        <v>0.33065924222276544</v>
      </c>
      <c r="W31" s="67" t="s">
        <v>72</v>
      </c>
    </row>
    <row r="32" spans="1:23" x14ac:dyDescent="0.25">
      <c r="A32" t="s">
        <v>73</v>
      </c>
      <c r="B32">
        <v>10</v>
      </c>
      <c r="C32" s="138">
        <v>43555</v>
      </c>
      <c r="D32" s="139">
        <v>102.879927162</v>
      </c>
      <c r="E32" s="139">
        <v>2.9064599777068696</v>
      </c>
      <c r="F32" s="139">
        <v>1.17432</v>
      </c>
      <c r="G32" s="139">
        <v>0.86339999999999995</v>
      </c>
      <c r="H32" s="139">
        <v>0.49252218162773792</v>
      </c>
      <c r="I32" s="139">
        <v>8.495404394939218</v>
      </c>
      <c r="J32" s="139">
        <v>17.175274999999999</v>
      </c>
      <c r="K32" s="139">
        <v>4.8145612155000004</v>
      </c>
      <c r="L32" s="139">
        <v>5.5427900000000001</v>
      </c>
      <c r="M32" s="139">
        <v>7.841859100761045E-2</v>
      </c>
      <c r="N32" s="139">
        <v>9.9974594149999998</v>
      </c>
      <c r="O32" s="139">
        <v>3.3856594950000001</v>
      </c>
      <c r="P32" s="139">
        <v>73.792299999999997</v>
      </c>
      <c r="Q32" s="140">
        <v>-1.2088184438040346</v>
      </c>
      <c r="R32" s="141">
        <v>7288.6</v>
      </c>
      <c r="S32" s="140">
        <v>0.49764173827576164</v>
      </c>
      <c r="T32" s="142">
        <v>3.7598996686891848</v>
      </c>
      <c r="U32" s="80">
        <v>214.48733333333334</v>
      </c>
      <c r="V32" s="140">
        <v>0.37057858451099368</v>
      </c>
      <c r="W32" s="67" t="s">
        <v>73</v>
      </c>
    </row>
    <row r="33" spans="1:23" x14ac:dyDescent="0.25">
      <c r="A33" t="s">
        <v>29</v>
      </c>
      <c r="B33">
        <v>0.1</v>
      </c>
      <c r="C33" s="138">
        <v>43646</v>
      </c>
      <c r="D33" s="143">
        <v>176.35999499709999</v>
      </c>
      <c r="E33" s="143">
        <v>2.1790842815986236</v>
      </c>
      <c r="F33" s="139">
        <v>3.4822324999999998</v>
      </c>
      <c r="G33" s="139">
        <v>3.4253075000000002</v>
      </c>
      <c r="H33" s="139">
        <v>0.70008330028944088</v>
      </c>
      <c r="I33" s="139">
        <v>60.168344186752599</v>
      </c>
      <c r="J33" s="139">
        <v>52.1956025</v>
      </c>
      <c r="K33" s="139">
        <v>42.8059825156</v>
      </c>
      <c r="L33" s="139">
        <v>32.346052499999999</v>
      </c>
      <c r="M33" s="139">
        <v>0.14439313170148382</v>
      </c>
      <c r="N33" s="139">
        <v>69.483994130599996</v>
      </c>
      <c r="O33" s="139">
        <v>31.197259349700001</v>
      </c>
      <c r="P33" s="139">
        <v>19.55808</v>
      </c>
      <c r="Q33" s="140">
        <v>0.54447815714299863</v>
      </c>
      <c r="R33" s="141">
        <v>4955.2857999999997</v>
      </c>
      <c r="S33" s="140">
        <v>1.542240241966951</v>
      </c>
      <c r="T33" s="142">
        <v>3.7477552056808463</v>
      </c>
      <c r="U33" s="80">
        <v>12.135605666666667</v>
      </c>
      <c r="V33" s="140">
        <v>0.64070777675608137</v>
      </c>
      <c r="W33" s="67" t="s">
        <v>29</v>
      </c>
    </row>
    <row r="34" spans="1:23" x14ac:dyDescent="0.25">
      <c r="A34" t="s">
        <v>17</v>
      </c>
      <c r="B34">
        <v>1</v>
      </c>
      <c r="C34" s="138">
        <v>43646</v>
      </c>
      <c r="D34" s="143">
        <v>34.679858677475004</v>
      </c>
      <c r="E34" s="143">
        <v>1.6257584289058973</v>
      </c>
      <c r="F34" s="139">
        <v>1.2333425</v>
      </c>
      <c r="G34" s="139">
        <v>1.2185049999999999</v>
      </c>
      <c r="H34" s="139">
        <v>0.31556478496299956</v>
      </c>
      <c r="I34" s="139">
        <v>95.960095749171757</v>
      </c>
      <c r="J34" s="139">
        <v>44.758377500000002</v>
      </c>
      <c r="K34" s="139">
        <v>32.371955277325</v>
      </c>
      <c r="L34" s="139">
        <v>27.966934999999999</v>
      </c>
      <c r="M34" s="139">
        <v>0.51531423323091541</v>
      </c>
      <c r="N34" s="139">
        <v>18.544227829499999</v>
      </c>
      <c r="O34" s="139">
        <v>11.5107724321</v>
      </c>
      <c r="P34" s="139">
        <v>10.41179</v>
      </c>
      <c r="Q34" s="140">
        <v>-0.15837718988016136</v>
      </c>
      <c r="R34" s="141">
        <v>1369.3902</v>
      </c>
      <c r="S34" s="140">
        <v>1.6426919204604173</v>
      </c>
      <c r="T34" s="142">
        <v>6.8352946827612238</v>
      </c>
      <c r="U34" s="80">
        <v>3.6278465</v>
      </c>
      <c r="V34" s="140">
        <v>0.8961800652901184</v>
      </c>
      <c r="W34" s="67" t="s">
        <v>17</v>
      </c>
    </row>
    <row r="35" spans="1:23" x14ac:dyDescent="0.25">
      <c r="A35" t="s">
        <v>34</v>
      </c>
      <c r="B35">
        <v>1</v>
      </c>
      <c r="C35" s="138" t="s">
        <v>235</v>
      </c>
      <c r="D35" s="143">
        <v>48.790264743999998</v>
      </c>
      <c r="E35" s="143">
        <v>2.0068135644822278</v>
      </c>
      <c r="F35" s="139">
        <v>0.65947</v>
      </c>
      <c r="G35" s="139">
        <v>0.48784</v>
      </c>
      <c r="H35" s="139">
        <v>8.5277298006559956</v>
      </c>
      <c r="I35" s="139" t="s">
        <v>235</v>
      </c>
      <c r="J35" s="139">
        <v>12.114945000000001</v>
      </c>
      <c r="K35" s="139">
        <v>-20.199493842999999</v>
      </c>
      <c r="L35" s="141">
        <v>-44.207349999999998</v>
      </c>
      <c r="M35" s="139">
        <v>-0.883570044702228</v>
      </c>
      <c r="N35" s="139">
        <v>-25.317630172000001</v>
      </c>
      <c r="O35" s="139">
        <v>-11.395283020000001</v>
      </c>
      <c r="P35" s="139">
        <v>-0.98465758000000003</v>
      </c>
      <c r="Q35" s="140" t="s">
        <v>235</v>
      </c>
      <c r="R35" s="141">
        <v>-2631.8692369999999</v>
      </c>
      <c r="S35" s="140">
        <v>3.024852076662226</v>
      </c>
      <c r="T35" s="142">
        <v>1.2512604162582297</v>
      </c>
      <c r="U35" s="80">
        <v>2.1295531413833331</v>
      </c>
      <c r="V35" s="140">
        <v>1.1457856521010941</v>
      </c>
      <c r="W35" s="67" t="s">
        <v>34</v>
      </c>
    </row>
    <row r="36" spans="1:23" x14ac:dyDescent="0.25">
      <c r="A36" t="s">
        <v>27</v>
      </c>
      <c r="B36">
        <v>1</v>
      </c>
      <c r="C36" s="138">
        <v>43646</v>
      </c>
      <c r="D36" s="143">
        <v>11.63052885295</v>
      </c>
      <c r="E36" s="143">
        <v>1.5505059346243026</v>
      </c>
      <c r="F36" s="139">
        <v>1.3855975</v>
      </c>
      <c r="G36" s="139">
        <v>1.0952975</v>
      </c>
      <c r="H36" s="139">
        <v>0.74794755129031576</v>
      </c>
      <c r="I36" s="139">
        <v>8.6062082946180922</v>
      </c>
      <c r="J36" s="139">
        <v>4.4261499999999998</v>
      </c>
      <c r="K36" s="139">
        <v>-9.0207324798249999</v>
      </c>
      <c r="L36" s="139">
        <v>31.636755000000001</v>
      </c>
      <c r="M36" s="139">
        <v>0.19840260091011166</v>
      </c>
      <c r="N36" s="139">
        <v>25.544770679700001</v>
      </c>
      <c r="O36" s="139">
        <v>16.9317823465</v>
      </c>
      <c r="P36" s="139">
        <v>0.77536000000000005</v>
      </c>
      <c r="Q36" s="140">
        <v>4.1934232231227142</v>
      </c>
      <c r="R36" s="141">
        <v>386.84620000000001</v>
      </c>
      <c r="S36" s="140">
        <v>0.70954615217214334</v>
      </c>
      <c r="T36" s="142">
        <v>2.1082411355882154</v>
      </c>
      <c r="U36" s="80">
        <v>2.4297095</v>
      </c>
      <c r="V36" s="140">
        <v>0.39917006409096389</v>
      </c>
      <c r="W36" s="67" t="s">
        <v>27</v>
      </c>
    </row>
    <row r="37" spans="1:23" x14ac:dyDescent="0.25">
      <c r="A37" t="s">
        <v>28</v>
      </c>
      <c r="B37">
        <v>10</v>
      </c>
      <c r="C37" s="138">
        <v>43646</v>
      </c>
      <c r="D37" s="143" t="s">
        <v>235</v>
      </c>
      <c r="E37" s="143">
        <v>2.7035092383826429</v>
      </c>
      <c r="F37" s="139">
        <v>1.144725</v>
      </c>
      <c r="G37" s="139">
        <v>0.86078750000000004</v>
      </c>
      <c r="H37" s="139">
        <v>0.61097624970625442</v>
      </c>
      <c r="I37" s="139">
        <v>1.774916966026872</v>
      </c>
      <c r="J37" s="139">
        <v>52.384824999999999</v>
      </c>
      <c r="K37" s="139">
        <v>21.139882244799999</v>
      </c>
      <c r="L37" s="139">
        <v>22.2843275</v>
      </c>
      <c r="M37" s="139">
        <v>0.17624855207346396</v>
      </c>
      <c r="N37" s="139">
        <v>94.167856154199995</v>
      </c>
      <c r="O37" s="139">
        <v>12.559272886700001</v>
      </c>
      <c r="P37" s="139">
        <v>8.2129999999999995E-2</v>
      </c>
      <c r="Q37" s="140">
        <v>-0.55625208577596774</v>
      </c>
      <c r="R37" s="141">
        <v>-9.8672579999999996</v>
      </c>
      <c r="S37" s="140">
        <v>-1.9548702388975534</v>
      </c>
      <c r="T37" s="142">
        <v>0.86287880702580622</v>
      </c>
      <c r="U37" s="80">
        <v>0.47453863499999999</v>
      </c>
      <c r="V37" s="140">
        <v>-0.15475094142659773</v>
      </c>
      <c r="W37" s="67" t="s">
        <v>28</v>
      </c>
    </row>
    <row r="38" spans="1:23" x14ac:dyDescent="0.25">
      <c r="A38" s="69" t="s">
        <v>121</v>
      </c>
      <c r="B38" s="70"/>
      <c r="C38" s="70"/>
      <c r="D38" s="145">
        <v>72.794769644953575</v>
      </c>
      <c r="E38" s="145">
        <v>2.1708453191788415</v>
      </c>
      <c r="F38" s="146">
        <v>1.6824893749999998</v>
      </c>
      <c r="G38" s="146">
        <v>1.3325253125000001</v>
      </c>
      <c r="H38" s="146">
        <v>4.6267938901008696</v>
      </c>
      <c r="I38" s="146">
        <v>25.983746058056408</v>
      </c>
      <c r="J38" s="146">
        <v>31.341619062500001</v>
      </c>
      <c r="K38" s="146">
        <v>13.722124987278125</v>
      </c>
      <c r="L38" s="146">
        <v>12.2250946875</v>
      </c>
      <c r="M38" s="146">
        <v>6.5967780496888312E-2</v>
      </c>
      <c r="N38" s="146">
        <v>26.393591236112499</v>
      </c>
      <c r="O38" s="146">
        <v>9.2835021666625011</v>
      </c>
      <c r="P38" s="146">
        <v>20.31390183168585</v>
      </c>
      <c r="Q38" s="147">
        <v>1.0016330002905434</v>
      </c>
      <c r="R38" s="148">
        <v>13448.519172515789</v>
      </c>
      <c r="S38" s="147">
        <v>0.75470599516452341</v>
      </c>
      <c r="T38" s="149">
        <v>9.9561694245334689</v>
      </c>
      <c r="U38" s="150">
        <v>238.51479758651894</v>
      </c>
      <c r="V38" s="147">
        <v>0.49373729748024131</v>
      </c>
      <c r="W38" s="78" t="s">
        <v>122</v>
      </c>
    </row>
    <row r="39" spans="1:23" ht="26.25" customHeight="1" x14ac:dyDescent="0.25">
      <c r="A39" s="97"/>
      <c r="B39" s="31"/>
      <c r="C39" s="31"/>
      <c r="D39" s="159"/>
      <c r="E39" s="159"/>
      <c r="F39" s="31"/>
      <c r="G39" s="31"/>
      <c r="H39" s="31"/>
      <c r="I39" s="31"/>
      <c r="J39" s="31"/>
      <c r="K39" s="31"/>
      <c r="L39" s="31"/>
      <c r="M39" s="31"/>
      <c r="N39" s="31"/>
      <c r="O39" s="31"/>
      <c r="P39" s="31"/>
      <c r="Q39" s="31"/>
      <c r="R39" s="31"/>
      <c r="S39" s="31"/>
      <c r="T39" s="31"/>
      <c r="U39" s="31"/>
      <c r="V39" s="31"/>
      <c r="W39" s="97"/>
    </row>
    <row r="40" spans="1:23" x14ac:dyDescent="0.25">
      <c r="A40" s="124" t="s">
        <v>4</v>
      </c>
      <c r="B40" s="125" t="s">
        <v>137</v>
      </c>
      <c r="C40" s="126" t="s">
        <v>138</v>
      </c>
      <c r="D40" s="160" t="s">
        <v>139</v>
      </c>
      <c r="E40" s="161"/>
      <c r="F40" s="127" t="s">
        <v>140</v>
      </c>
      <c r="G40" s="128"/>
      <c r="H40" s="127" t="s">
        <v>141</v>
      </c>
      <c r="I40" s="128"/>
      <c r="J40" s="124" t="s">
        <v>142</v>
      </c>
      <c r="K40" s="162"/>
      <c r="L40" s="162"/>
      <c r="M40" s="162"/>
      <c r="N40" s="162"/>
      <c r="O40" s="162"/>
      <c r="P40" s="162"/>
      <c r="Q40" s="162"/>
      <c r="R40" s="162"/>
      <c r="S40" s="162"/>
      <c r="T40" s="162"/>
      <c r="U40" s="162"/>
      <c r="V40" s="163"/>
      <c r="W40" s="124" t="s">
        <v>4</v>
      </c>
    </row>
    <row r="41" spans="1:23" ht="24.75" customHeight="1" x14ac:dyDescent="0.25">
      <c r="A41" s="130"/>
      <c r="B41" s="131"/>
      <c r="C41" s="132"/>
      <c r="D41" s="133" t="s">
        <v>143</v>
      </c>
      <c r="E41" s="133" t="s">
        <v>144</v>
      </c>
      <c r="F41" s="133" t="s">
        <v>145</v>
      </c>
      <c r="G41" s="133" t="s">
        <v>146</v>
      </c>
      <c r="H41" s="133" t="s">
        <v>147</v>
      </c>
      <c r="I41" s="133" t="s">
        <v>148</v>
      </c>
      <c r="J41" s="133" t="s">
        <v>149</v>
      </c>
      <c r="K41" s="133" t="s">
        <v>150</v>
      </c>
      <c r="L41" s="133" t="s">
        <v>151</v>
      </c>
      <c r="M41" s="133" t="s">
        <v>152</v>
      </c>
      <c r="N41" s="133" t="s">
        <v>153</v>
      </c>
      <c r="O41" s="133" t="s">
        <v>154</v>
      </c>
      <c r="P41" s="133" t="s">
        <v>155</v>
      </c>
      <c r="Q41" s="164" t="s">
        <v>325</v>
      </c>
      <c r="R41" s="164" t="s">
        <v>157</v>
      </c>
      <c r="S41" s="164" t="s">
        <v>158</v>
      </c>
      <c r="T41" s="164" t="s">
        <v>159</v>
      </c>
      <c r="U41" s="164" t="s">
        <v>160</v>
      </c>
      <c r="V41" s="164" t="s">
        <v>161</v>
      </c>
      <c r="W41" s="130"/>
    </row>
    <row r="42" spans="1:23" x14ac:dyDescent="0.25">
      <c r="A42" s="57" t="s">
        <v>125</v>
      </c>
      <c r="B42" s="82"/>
      <c r="C42" s="82"/>
      <c r="D42" s="82"/>
      <c r="E42" s="82"/>
      <c r="F42" s="82"/>
      <c r="G42" s="82"/>
      <c r="H42" s="82"/>
      <c r="I42" s="82"/>
      <c r="J42" s="82"/>
      <c r="K42" s="82"/>
      <c r="L42" s="82"/>
      <c r="M42" s="82"/>
      <c r="N42" s="82"/>
      <c r="O42" s="82"/>
      <c r="P42" s="82"/>
      <c r="Q42" s="82"/>
      <c r="R42" s="82"/>
      <c r="S42" s="82"/>
      <c r="T42" s="82"/>
      <c r="U42" s="82"/>
      <c r="V42" s="82"/>
      <c r="W42" s="82"/>
    </row>
    <row r="43" spans="1:23" x14ac:dyDescent="0.25">
      <c r="A43" t="s">
        <v>67</v>
      </c>
      <c r="B43">
        <v>1</v>
      </c>
      <c r="C43" s="138">
        <v>43646</v>
      </c>
      <c r="D43" s="139">
        <v>56.640135116549999</v>
      </c>
      <c r="E43" s="139">
        <v>9.703282618635777</v>
      </c>
      <c r="F43" s="67" t="s">
        <v>235</v>
      </c>
      <c r="G43" s="139" t="s">
        <v>235</v>
      </c>
      <c r="H43" s="139" t="s">
        <v>235</v>
      </c>
      <c r="I43" s="139" t="s">
        <v>235</v>
      </c>
      <c r="J43" s="139" t="s">
        <v>235</v>
      </c>
      <c r="K43" s="139">
        <v>50.337881277649998</v>
      </c>
      <c r="L43" s="139">
        <v>33.145947499999998</v>
      </c>
      <c r="M43" s="139" t="s">
        <v>235</v>
      </c>
      <c r="N43" s="139" t="s">
        <v>235</v>
      </c>
      <c r="O43" s="139">
        <v>5.5530499738000003</v>
      </c>
      <c r="P43" s="139">
        <v>20.505769999999998</v>
      </c>
      <c r="Q43" s="140">
        <v>0.28127365527915837</v>
      </c>
      <c r="R43" s="141">
        <v>9965.1957999999995</v>
      </c>
      <c r="S43" s="140">
        <v>0.51124186306085018</v>
      </c>
      <c r="T43" s="142">
        <v>0.21073190100038258</v>
      </c>
      <c r="U43" s="156" t="s">
        <v>235</v>
      </c>
      <c r="V43" s="140" t="s">
        <v>235</v>
      </c>
      <c r="W43" s="67" t="s">
        <v>67</v>
      </c>
    </row>
    <row r="44" spans="1:23" x14ac:dyDescent="0.25">
      <c r="A44" t="s">
        <v>65</v>
      </c>
      <c r="B44">
        <v>1</v>
      </c>
      <c r="C44" s="138">
        <v>43646</v>
      </c>
      <c r="D44" s="139">
        <v>45.670186086175001</v>
      </c>
      <c r="E44" s="139">
        <v>6.2727927079093959</v>
      </c>
      <c r="F44" s="67" t="s">
        <v>235</v>
      </c>
      <c r="G44" s="139" t="s">
        <v>235</v>
      </c>
      <c r="H44" s="139" t="s">
        <v>235</v>
      </c>
      <c r="I44" s="139" t="s">
        <v>235</v>
      </c>
      <c r="J44" s="139" t="s">
        <v>235</v>
      </c>
      <c r="K44" s="139">
        <v>47.512678566524997</v>
      </c>
      <c r="L44" s="139">
        <v>24.334160000000001</v>
      </c>
      <c r="M44" s="139" t="s">
        <v>235</v>
      </c>
      <c r="N44" s="139" t="s">
        <v>235</v>
      </c>
      <c r="O44" s="139">
        <v>6.9717321700000001</v>
      </c>
      <c r="P44" s="139">
        <v>36.416629999999998</v>
      </c>
      <c r="Q44" s="140">
        <v>-4.2367792062349086E-2</v>
      </c>
      <c r="R44" s="141">
        <v>9342.2343999999994</v>
      </c>
      <c r="S44" s="140">
        <v>0.4512319151683164</v>
      </c>
      <c r="T44" s="142">
        <v>0.10265025002437711</v>
      </c>
      <c r="U44" s="156" t="s">
        <v>235</v>
      </c>
      <c r="V44" s="140" t="s">
        <v>235</v>
      </c>
      <c r="W44" s="67" t="s">
        <v>65</v>
      </c>
    </row>
    <row r="45" spans="1:23" x14ac:dyDescent="0.25">
      <c r="A45" t="s">
        <v>47</v>
      </c>
      <c r="B45">
        <v>1</v>
      </c>
      <c r="C45" s="138">
        <v>43646</v>
      </c>
      <c r="D45" s="139">
        <v>14.914549014825001</v>
      </c>
      <c r="E45" s="139">
        <v>8.7766745405615456</v>
      </c>
      <c r="F45" s="67" t="s">
        <v>235</v>
      </c>
      <c r="G45" s="139" t="s">
        <v>235</v>
      </c>
      <c r="H45" s="139" t="s">
        <v>235</v>
      </c>
      <c r="I45" s="139" t="s">
        <v>235</v>
      </c>
      <c r="J45" s="139" t="s">
        <v>235</v>
      </c>
      <c r="K45" s="139">
        <v>39.378324683774999</v>
      </c>
      <c r="L45" s="139">
        <v>25.791170000000001</v>
      </c>
      <c r="M45" s="139" t="s">
        <v>235</v>
      </c>
      <c r="N45" s="139" t="s">
        <v>235</v>
      </c>
      <c r="O45" s="139">
        <v>5.6802317841000001</v>
      </c>
      <c r="P45" s="139">
        <v>30.575230000000001</v>
      </c>
      <c r="Q45" s="140">
        <v>0.12858738212260135</v>
      </c>
      <c r="R45" s="141">
        <v>6104.9787999999999</v>
      </c>
      <c r="S45" s="140">
        <v>0.36560602292222488</v>
      </c>
      <c r="T45" s="142">
        <v>0.46264034725285558</v>
      </c>
      <c r="U45" s="156" t="s">
        <v>235</v>
      </c>
      <c r="V45" s="140" t="s">
        <v>235</v>
      </c>
      <c r="W45" s="67" t="s">
        <v>47</v>
      </c>
    </row>
    <row r="46" spans="1:23" x14ac:dyDescent="0.25">
      <c r="A46" t="s">
        <v>11</v>
      </c>
      <c r="B46">
        <v>1</v>
      </c>
      <c r="C46" s="138">
        <v>43646</v>
      </c>
      <c r="D46" s="139">
        <v>14.387030887550001</v>
      </c>
      <c r="E46" s="139">
        <v>11.511382811281521</v>
      </c>
      <c r="F46" s="67" t="s">
        <v>235</v>
      </c>
      <c r="G46" s="139" t="s">
        <v>235</v>
      </c>
      <c r="H46" s="139" t="s">
        <v>235</v>
      </c>
      <c r="I46" s="139" t="s">
        <v>235</v>
      </c>
      <c r="J46" s="139" t="s">
        <v>235</v>
      </c>
      <c r="K46" s="139">
        <v>51.944862965375002</v>
      </c>
      <c r="L46" s="139">
        <v>19.211414999999999</v>
      </c>
      <c r="M46" s="139" t="s">
        <v>235</v>
      </c>
      <c r="N46" s="139" t="s">
        <v>235</v>
      </c>
      <c r="O46" s="139">
        <v>3.5726619173</v>
      </c>
      <c r="P46" s="139">
        <v>4.1128600000000004</v>
      </c>
      <c r="Q46" s="140">
        <v>-0.13519529129628793</v>
      </c>
      <c r="R46" s="141">
        <v>6657.99</v>
      </c>
      <c r="S46" s="140">
        <v>0.3399545210362187</v>
      </c>
      <c r="T46" s="142">
        <v>0.1367252561183048</v>
      </c>
      <c r="U46" s="156" t="s">
        <v>235</v>
      </c>
      <c r="V46" s="140" t="s">
        <v>235</v>
      </c>
      <c r="W46" s="67" t="s">
        <v>11</v>
      </c>
    </row>
    <row r="47" spans="1:23" x14ac:dyDescent="0.25">
      <c r="A47" t="s">
        <v>38</v>
      </c>
      <c r="B47">
        <v>1</v>
      </c>
      <c r="C47" s="138">
        <v>43555</v>
      </c>
      <c r="D47" s="143">
        <v>64.009759919250001</v>
      </c>
      <c r="E47" s="143">
        <v>8.040692320282826</v>
      </c>
      <c r="F47" s="67" t="s">
        <v>235</v>
      </c>
      <c r="G47" s="139" t="s">
        <v>235</v>
      </c>
      <c r="H47" s="139" t="s">
        <v>235</v>
      </c>
      <c r="I47" s="139" t="s">
        <v>235</v>
      </c>
      <c r="J47" s="139" t="s">
        <v>235</v>
      </c>
      <c r="K47" s="139">
        <v>43.98568854925</v>
      </c>
      <c r="L47" s="139">
        <v>23.806352499999999</v>
      </c>
      <c r="M47" s="139" t="s">
        <v>235</v>
      </c>
      <c r="N47" s="139" t="s">
        <v>235</v>
      </c>
      <c r="O47" s="139">
        <v>5.2688979290000004</v>
      </c>
      <c r="P47" s="139">
        <v>9.9616699999999998</v>
      </c>
      <c r="Q47" s="140">
        <v>1.0709223369253027</v>
      </c>
      <c r="R47" s="141">
        <v>3129.0790000000002</v>
      </c>
      <c r="S47" s="140">
        <v>0.34190835927481822</v>
      </c>
      <c r="T47" s="142">
        <v>0.36132909652469086</v>
      </c>
      <c r="U47" s="156" t="s">
        <v>235</v>
      </c>
      <c r="V47" s="140" t="s">
        <v>235</v>
      </c>
      <c r="W47" s="67" t="s">
        <v>38</v>
      </c>
    </row>
    <row r="48" spans="1:23" x14ac:dyDescent="0.25">
      <c r="A48" t="s">
        <v>21</v>
      </c>
      <c r="B48">
        <v>1</v>
      </c>
      <c r="C48" s="138">
        <v>43555</v>
      </c>
      <c r="D48" s="143">
        <v>61.086373508999998</v>
      </c>
      <c r="E48" s="143">
        <v>3.6602726326497423</v>
      </c>
      <c r="F48" s="67">
        <v>1.228585</v>
      </c>
      <c r="G48" s="139">
        <v>1.228585</v>
      </c>
      <c r="H48" s="139">
        <v>6.24002794081134E-2</v>
      </c>
      <c r="I48" s="139" t="s">
        <v>235</v>
      </c>
      <c r="J48" s="139">
        <v>94.672402500000004</v>
      </c>
      <c r="K48" s="139">
        <v>51.963673579750001</v>
      </c>
      <c r="L48" s="139">
        <v>139.97155000000001</v>
      </c>
      <c r="M48" s="139">
        <v>0.80194613519166136</v>
      </c>
      <c r="N48" s="139">
        <v>19.446960057999998</v>
      </c>
      <c r="O48" s="139">
        <v>5.6865290450000003</v>
      </c>
      <c r="P48" s="139">
        <v>19.977930000000001</v>
      </c>
      <c r="Q48" s="140">
        <v>1.1396401480347622</v>
      </c>
      <c r="R48" s="141">
        <v>444.16532749999999</v>
      </c>
      <c r="S48" s="140" t="s">
        <v>235</v>
      </c>
      <c r="T48" s="142" t="s">
        <v>235</v>
      </c>
      <c r="U48" s="156">
        <v>1.6485172299999999</v>
      </c>
      <c r="V48" s="140" t="s">
        <v>235</v>
      </c>
      <c r="W48" s="67" t="s">
        <v>21</v>
      </c>
    </row>
    <row r="49" spans="1:23" x14ac:dyDescent="0.25">
      <c r="A49" t="s">
        <v>53</v>
      </c>
      <c r="B49">
        <v>1</v>
      </c>
      <c r="C49" s="138">
        <v>43646</v>
      </c>
      <c r="D49" s="143">
        <v>9.5902786133249993</v>
      </c>
      <c r="E49" s="143">
        <v>8.5840007776386678</v>
      </c>
      <c r="F49" s="67" t="s">
        <v>235</v>
      </c>
      <c r="G49" s="139" t="s">
        <v>235</v>
      </c>
      <c r="H49" s="139" t="s">
        <v>235</v>
      </c>
      <c r="I49" s="139" t="s">
        <v>235</v>
      </c>
      <c r="J49" s="139" t="s">
        <v>235</v>
      </c>
      <c r="K49" s="139">
        <v>11.278892407124999</v>
      </c>
      <c r="L49" s="139">
        <v>10.28168</v>
      </c>
      <c r="M49" s="139" t="s">
        <v>235</v>
      </c>
      <c r="N49" s="139" t="s">
        <v>235</v>
      </c>
      <c r="O49" s="139">
        <v>2.0482040710999998</v>
      </c>
      <c r="P49" s="139">
        <v>1.1617900000000001</v>
      </c>
      <c r="Q49" s="140">
        <v>15.840425531914892</v>
      </c>
      <c r="R49" s="141">
        <v>889.91660000000002</v>
      </c>
      <c r="S49" s="140">
        <v>0.37266473231954178</v>
      </c>
      <c r="T49" s="142">
        <v>0.58012156081535793</v>
      </c>
      <c r="U49" s="156" t="s">
        <v>235</v>
      </c>
      <c r="V49" s="140" t="s">
        <v>235</v>
      </c>
      <c r="W49" s="67" t="s">
        <v>53</v>
      </c>
    </row>
    <row r="50" spans="1:23" x14ac:dyDescent="0.25">
      <c r="A50" t="s">
        <v>25</v>
      </c>
      <c r="B50">
        <v>1</v>
      </c>
      <c r="C50" s="138">
        <v>43646</v>
      </c>
      <c r="D50" s="143">
        <v>519.48051089759997</v>
      </c>
      <c r="E50" s="143">
        <v>11.434391641312445</v>
      </c>
      <c r="F50" s="67">
        <v>0.8287525</v>
      </c>
      <c r="G50" s="139">
        <v>0.8287525</v>
      </c>
      <c r="H50" s="139">
        <v>0.13086825213318595</v>
      </c>
      <c r="I50" s="139" t="s">
        <v>235</v>
      </c>
      <c r="J50" s="139">
        <v>98.734264999999994</v>
      </c>
      <c r="K50" s="139">
        <v>64.562156588375004</v>
      </c>
      <c r="L50" s="139">
        <v>45.308037499999998</v>
      </c>
      <c r="M50" s="139">
        <v>0.29478457995781715</v>
      </c>
      <c r="N50" s="139">
        <v>76.626030001000004</v>
      </c>
      <c r="O50" s="139">
        <v>6.3691891196999997</v>
      </c>
      <c r="P50" s="139">
        <v>1.7670699999999999</v>
      </c>
      <c r="Q50" s="140">
        <v>0.38041365390459703</v>
      </c>
      <c r="R50" s="141">
        <v>570.58705799999996</v>
      </c>
      <c r="S50" s="140">
        <v>0.48478031816039358</v>
      </c>
      <c r="T50" s="142">
        <v>0.9277103538412087</v>
      </c>
      <c r="U50" s="156">
        <v>1.1121246849999999</v>
      </c>
      <c r="V50" s="140">
        <v>0.59763892089446946</v>
      </c>
      <c r="W50" s="67" t="s">
        <v>25</v>
      </c>
    </row>
    <row r="51" spans="1:23" x14ac:dyDescent="0.25">
      <c r="A51" s="69" t="s">
        <v>121</v>
      </c>
      <c r="B51" s="70"/>
      <c r="C51" s="157"/>
      <c r="D51" s="145">
        <v>98.222353005534359</v>
      </c>
      <c r="E51" s="145">
        <v>8.4979362562839906</v>
      </c>
      <c r="F51" s="146">
        <v>1.02866875</v>
      </c>
      <c r="G51" s="146">
        <v>1.02866875</v>
      </c>
      <c r="H51" s="146">
        <v>9.663426577064968E-2</v>
      </c>
      <c r="I51" s="146" t="s">
        <v>235</v>
      </c>
      <c r="J51" s="146">
        <v>96.703333749999999</v>
      </c>
      <c r="K51" s="146">
        <v>45.120519827228122</v>
      </c>
      <c r="L51" s="146">
        <v>40.231289062500004</v>
      </c>
      <c r="M51" s="146">
        <v>0.54836535757473925</v>
      </c>
      <c r="N51" s="146">
        <v>48.036495029500003</v>
      </c>
      <c r="O51" s="146">
        <v>5.1438120012499997</v>
      </c>
      <c r="P51" s="146">
        <v>15.55986875</v>
      </c>
      <c r="Q51" s="147">
        <v>2.3329624531028346</v>
      </c>
      <c r="R51" s="148">
        <v>4638.0183731874986</v>
      </c>
      <c r="S51" s="149">
        <v>0.40962681884890906</v>
      </c>
      <c r="T51" s="149">
        <v>0.39741553793959677</v>
      </c>
      <c r="U51" s="165">
        <v>1.3803209574999999</v>
      </c>
      <c r="V51" s="147">
        <v>0.59763892089446946</v>
      </c>
      <c r="W51" s="78" t="s">
        <v>122</v>
      </c>
    </row>
    <row r="52" spans="1:23" ht="6.75" customHeight="1" x14ac:dyDescent="0.25">
      <c r="C52" s="138"/>
      <c r="D52" s="143"/>
      <c r="E52" s="143"/>
      <c r="F52" s="67"/>
      <c r="Q52" s="142"/>
      <c r="R52" s="141"/>
      <c r="S52" s="142"/>
      <c r="T52" s="142"/>
      <c r="U52" s="166"/>
      <c r="V52" s="140"/>
      <c r="W52" s="67"/>
    </row>
    <row r="53" spans="1:23" x14ac:dyDescent="0.25">
      <c r="A53" s="57" t="s">
        <v>126</v>
      </c>
      <c r="B53" s="82"/>
      <c r="C53" s="158"/>
      <c r="D53" s="151"/>
      <c r="E53" s="151"/>
      <c r="F53" s="88"/>
      <c r="G53" s="82"/>
      <c r="H53" s="82"/>
      <c r="I53" s="82"/>
      <c r="J53" s="82"/>
      <c r="K53" s="82"/>
      <c r="L53" s="82"/>
      <c r="M53" s="82"/>
      <c r="N53" s="82"/>
      <c r="O53" s="82"/>
      <c r="P53" s="82"/>
      <c r="Q53" s="155"/>
      <c r="R53" s="154"/>
      <c r="S53" s="155"/>
      <c r="T53" s="155"/>
      <c r="U53" s="167"/>
      <c r="V53" s="153"/>
      <c r="W53" s="88"/>
    </row>
    <row r="54" spans="1:23" x14ac:dyDescent="0.25">
      <c r="A54" t="s">
        <v>41</v>
      </c>
      <c r="B54">
        <v>1</v>
      </c>
      <c r="C54" s="138">
        <v>43555</v>
      </c>
      <c r="D54" s="143">
        <v>0</v>
      </c>
      <c r="E54" s="143">
        <v>1.6936433984936248</v>
      </c>
      <c r="F54" s="67">
        <v>1.3770100000000001</v>
      </c>
      <c r="G54" s="139">
        <v>1.3770100000000001</v>
      </c>
      <c r="H54" s="139">
        <v>0.23804560003174047</v>
      </c>
      <c r="I54" s="139" t="s">
        <v>235</v>
      </c>
      <c r="J54" s="139">
        <v>21.793612499999998</v>
      </c>
      <c r="K54" s="139">
        <v>9.7684648302500001</v>
      </c>
      <c r="L54" s="139">
        <v>241.39428749999999</v>
      </c>
      <c r="M54" s="139">
        <v>-0.62661267569923385</v>
      </c>
      <c r="N54" s="156">
        <v>-37.924195412000003</v>
      </c>
      <c r="O54" s="156">
        <v>-21.056181021</v>
      </c>
      <c r="P54" s="156">
        <v>-24.42089</v>
      </c>
      <c r="Q54" s="140">
        <v>1.0423602306242861</v>
      </c>
      <c r="R54" s="141">
        <v>-4195.1723659999998</v>
      </c>
      <c r="S54" s="140">
        <v>1.7678251406067882</v>
      </c>
      <c r="T54" s="142">
        <v>1.5397499310581759</v>
      </c>
      <c r="U54" s="156">
        <v>2.1270084783333334</v>
      </c>
      <c r="V54" s="140">
        <v>0.32616292645043665</v>
      </c>
      <c r="W54" s="67" t="s">
        <v>41</v>
      </c>
    </row>
    <row r="55" spans="1:23" x14ac:dyDescent="0.25">
      <c r="A55" t="s">
        <v>62</v>
      </c>
      <c r="B55">
        <v>1</v>
      </c>
      <c r="C55" s="138">
        <v>43555</v>
      </c>
      <c r="D55" s="139">
        <v>0</v>
      </c>
      <c r="E55" s="139">
        <v>1.6682682339264963</v>
      </c>
      <c r="F55" s="67">
        <v>1.70339</v>
      </c>
      <c r="G55" s="139">
        <v>1.6803025</v>
      </c>
      <c r="H55" s="139">
        <v>0.28981305715469052</v>
      </c>
      <c r="I55" s="139">
        <v>69.510077512991089</v>
      </c>
      <c r="J55" s="139">
        <v>30.227597500000002</v>
      </c>
      <c r="K55" s="139">
        <v>11.227289301900001</v>
      </c>
      <c r="L55" s="139">
        <v>343.0049525</v>
      </c>
      <c r="M55" s="139">
        <v>1.9912310055374554</v>
      </c>
      <c r="N55" s="156">
        <v>172.39191496250001</v>
      </c>
      <c r="O55" s="156">
        <v>98.835779258000002</v>
      </c>
      <c r="P55" s="139">
        <v>40.489350000000002</v>
      </c>
      <c r="Q55" s="140">
        <v>1.1636137255682892</v>
      </c>
      <c r="R55" s="141">
        <v>892.34944800000005</v>
      </c>
      <c r="S55" s="140">
        <v>1.5029099087136961</v>
      </c>
      <c r="T55" s="142">
        <v>17.949203879560091</v>
      </c>
      <c r="U55" s="156">
        <v>1.511008715</v>
      </c>
      <c r="V55" s="140">
        <v>0.38596927142570348</v>
      </c>
      <c r="W55" s="67" t="s">
        <v>62</v>
      </c>
    </row>
    <row r="56" spans="1:23" x14ac:dyDescent="0.25">
      <c r="A56" t="s">
        <v>56</v>
      </c>
      <c r="B56">
        <v>1</v>
      </c>
      <c r="C56" s="138">
        <v>43373</v>
      </c>
      <c r="D56" s="139">
        <v>8.6555723305000001</v>
      </c>
      <c r="E56" s="139">
        <v>2.4292571789476152</v>
      </c>
      <c r="F56" s="67">
        <v>1.3680425000000001</v>
      </c>
      <c r="G56" s="139">
        <v>1.3652025000000001</v>
      </c>
      <c r="H56" s="139">
        <v>1.6442539658697903</v>
      </c>
      <c r="I56" s="141">
        <v>1683.8744169687168</v>
      </c>
      <c r="J56" s="139">
        <v>14.7960425</v>
      </c>
      <c r="K56" s="139">
        <v>3.9666696699999999</v>
      </c>
      <c r="L56" s="139">
        <v>10.799765000000001</v>
      </c>
      <c r="M56" s="139">
        <v>0.10080054472701099</v>
      </c>
      <c r="N56" s="139">
        <v>44.637354213999998</v>
      </c>
      <c r="O56" s="139">
        <v>16.964490043000001</v>
      </c>
      <c r="P56" s="139">
        <v>1.70584</v>
      </c>
      <c r="Q56" s="140">
        <v>-0.12045653327215633</v>
      </c>
      <c r="R56" s="141">
        <v>124.71554999999999</v>
      </c>
      <c r="S56" s="140">
        <v>0.57240400331137442</v>
      </c>
      <c r="T56" s="142">
        <v>0.64403721214950937</v>
      </c>
      <c r="U56" s="156">
        <v>1.11107114</v>
      </c>
      <c r="V56" s="140">
        <v>0.38923721855072091</v>
      </c>
      <c r="W56" s="67" t="s">
        <v>56</v>
      </c>
    </row>
    <row r="57" spans="1:23" x14ac:dyDescent="0.25">
      <c r="A57" t="s">
        <v>31</v>
      </c>
      <c r="B57">
        <v>1</v>
      </c>
      <c r="C57" s="138">
        <v>43555</v>
      </c>
      <c r="D57" s="139">
        <v>2.7759688E-3</v>
      </c>
      <c r="E57" s="139">
        <v>1.1211799447092088</v>
      </c>
      <c r="F57" s="67">
        <v>2.4931524999999999</v>
      </c>
      <c r="G57" s="139">
        <v>1.5445</v>
      </c>
      <c r="H57" s="139">
        <v>0.28514550359350765</v>
      </c>
      <c r="I57" s="139">
        <v>2.4712218381877848</v>
      </c>
      <c r="J57" s="139">
        <v>49.856704999999998</v>
      </c>
      <c r="K57" s="141">
        <v>67.854514947675</v>
      </c>
      <c r="L57" s="141">
        <v>29.985367499999999</v>
      </c>
      <c r="M57" s="139">
        <v>0.45739426855980253</v>
      </c>
      <c r="N57" s="139">
        <v>11.569439385900001</v>
      </c>
      <c r="O57" s="139">
        <v>9.9747348911000007</v>
      </c>
      <c r="P57" s="139">
        <v>1.2398100000000001</v>
      </c>
      <c r="Q57" s="140">
        <v>1.9849125142425232</v>
      </c>
      <c r="R57" s="141">
        <v>96.673922000000005</v>
      </c>
      <c r="S57" s="140">
        <v>0.47590187047384491</v>
      </c>
      <c r="T57" s="142">
        <v>4.7723423291916758</v>
      </c>
      <c r="U57" s="156">
        <v>0.15221784333333335</v>
      </c>
      <c r="V57" s="140">
        <v>0.62299811363788149</v>
      </c>
      <c r="W57" s="67" t="s">
        <v>31</v>
      </c>
    </row>
    <row r="58" spans="1:23" x14ac:dyDescent="0.25">
      <c r="A58" t="s">
        <v>40</v>
      </c>
      <c r="B58">
        <v>1</v>
      </c>
      <c r="C58" s="138">
        <v>43555</v>
      </c>
      <c r="D58" s="143">
        <v>27.237783379749999</v>
      </c>
      <c r="E58" s="143">
        <v>1.7148680631465363</v>
      </c>
      <c r="F58" s="67">
        <v>1.9921850000000001</v>
      </c>
      <c r="G58" s="139">
        <v>0.86273250000000001</v>
      </c>
      <c r="H58" s="139">
        <v>1.0127402133991077</v>
      </c>
      <c r="I58" s="139">
        <v>1.1204119967066433</v>
      </c>
      <c r="J58" s="139">
        <v>29.624395</v>
      </c>
      <c r="K58" s="139">
        <v>3.8103374792500002</v>
      </c>
      <c r="L58" s="139">
        <v>-3.0720000000000001E-2</v>
      </c>
      <c r="M58" s="139">
        <v>-4.9087236163197108E-3</v>
      </c>
      <c r="N58" s="139">
        <v>-0.56546328599999995</v>
      </c>
      <c r="O58" s="139">
        <v>-0.32331027099999998</v>
      </c>
      <c r="P58" s="139">
        <v>-1.3600000000000001E-3</v>
      </c>
      <c r="Q58" s="140">
        <v>-0.71453321593910646</v>
      </c>
      <c r="R58" s="141">
        <v>90.027386000000007</v>
      </c>
      <c r="S58" s="140">
        <v>0.14463446809458036</v>
      </c>
      <c r="T58" s="142">
        <v>0.58885017619698876</v>
      </c>
      <c r="U58" s="156">
        <v>1.7138172516666668</v>
      </c>
      <c r="V58" s="140">
        <v>0.27145353145101936</v>
      </c>
      <c r="W58" s="67" t="s">
        <v>40</v>
      </c>
    </row>
    <row r="59" spans="1:23" x14ac:dyDescent="0.25">
      <c r="A59" t="s">
        <v>76</v>
      </c>
      <c r="B59">
        <v>0.1</v>
      </c>
      <c r="C59" s="138">
        <v>43555</v>
      </c>
      <c r="D59" s="143">
        <v>18.4636795875</v>
      </c>
      <c r="E59" s="143">
        <v>4.1988987603718648</v>
      </c>
      <c r="F59" s="67">
        <v>1.2941175</v>
      </c>
      <c r="G59" s="139">
        <v>1.2273375</v>
      </c>
      <c r="H59" s="139">
        <v>1.8095617234912726</v>
      </c>
      <c r="I59" s="139">
        <v>38.754161278162321</v>
      </c>
      <c r="J59" s="139">
        <v>12.184207499999999</v>
      </c>
      <c r="K59" s="139">
        <v>3.5477970590000001</v>
      </c>
      <c r="L59" s="139">
        <v>-0.80652999999999997</v>
      </c>
      <c r="M59" s="139">
        <v>-1.1084112661577382E-2</v>
      </c>
      <c r="N59" s="139">
        <v>-10.996942513</v>
      </c>
      <c r="O59" s="139">
        <v>-2.8413251129999999</v>
      </c>
      <c r="P59" s="139">
        <v>-2.0398999999999998</v>
      </c>
      <c r="Q59" s="140">
        <v>1.0517475020621141</v>
      </c>
      <c r="R59" s="141">
        <v>-10.002940000000001</v>
      </c>
      <c r="S59" s="140">
        <v>-2.3153508113959518</v>
      </c>
      <c r="T59" s="142">
        <v>2.949096722330502</v>
      </c>
      <c r="U59" s="156">
        <v>1.9302820683333333</v>
      </c>
      <c r="V59" s="140">
        <v>0.308037737066859</v>
      </c>
      <c r="W59" s="67" t="s">
        <v>76</v>
      </c>
    </row>
    <row r="60" spans="1:23" x14ac:dyDescent="0.25">
      <c r="A60" t="s">
        <v>36</v>
      </c>
      <c r="B60">
        <v>1</v>
      </c>
      <c r="C60" s="138">
        <v>43555</v>
      </c>
      <c r="D60" s="143">
        <v>117.47057205175</v>
      </c>
      <c r="E60" s="143">
        <v>2.6695382892831616</v>
      </c>
      <c r="F60" s="67">
        <v>1.422625</v>
      </c>
      <c r="G60" s="139">
        <v>0.96941500000000003</v>
      </c>
      <c r="H60" s="139">
        <v>1.0481048565028777</v>
      </c>
      <c r="I60" s="139">
        <v>1.1088214266663439</v>
      </c>
      <c r="J60" s="139">
        <v>26.81127</v>
      </c>
      <c r="K60" s="139">
        <v>7.6352496419999998</v>
      </c>
      <c r="L60" s="139">
        <v>-14.03473</v>
      </c>
      <c r="M60" s="139">
        <v>-0.28722031283609201</v>
      </c>
      <c r="N60" s="139">
        <v>-17.308306309999999</v>
      </c>
      <c r="O60" s="139">
        <v>-6.3896273020000001</v>
      </c>
      <c r="P60" s="139">
        <v>-0.57338</v>
      </c>
      <c r="Q60" s="140">
        <v>-0.76931077410750093</v>
      </c>
      <c r="R60" s="141">
        <v>-0.51810999999999996</v>
      </c>
      <c r="S60" s="140">
        <v>-1.92906380085538</v>
      </c>
      <c r="T60" s="142">
        <v>3.4478548864587908</v>
      </c>
      <c r="U60" s="156">
        <v>0.59306579166666662</v>
      </c>
      <c r="V60" s="140">
        <v>0.32066289827758476</v>
      </c>
      <c r="W60" s="67" t="s">
        <v>36</v>
      </c>
    </row>
    <row r="61" spans="1:23" x14ac:dyDescent="0.25">
      <c r="A61" t="s">
        <v>75</v>
      </c>
      <c r="B61">
        <v>0.1</v>
      </c>
      <c r="C61" s="138">
        <v>43555</v>
      </c>
      <c r="D61" s="143">
        <v>36.765035415474998</v>
      </c>
      <c r="E61" s="143">
        <v>4.9314201908767528</v>
      </c>
      <c r="F61" s="67">
        <v>1.0165424999999999</v>
      </c>
      <c r="G61" s="139">
        <v>0.65136499999999997</v>
      </c>
      <c r="H61" s="139" t="s">
        <v>235</v>
      </c>
      <c r="I61" s="139" t="s">
        <v>235</v>
      </c>
      <c r="J61" s="139" t="s">
        <v>235</v>
      </c>
      <c r="K61" s="139">
        <v>6.1245212545500003</v>
      </c>
      <c r="L61" s="139" t="s">
        <v>235</v>
      </c>
      <c r="M61" s="139" t="s">
        <v>235</v>
      </c>
      <c r="N61" s="139">
        <v>-84.556339688899996</v>
      </c>
      <c r="O61" s="139">
        <v>-23.393930550899999</v>
      </c>
      <c r="P61" s="139" t="s">
        <v>235</v>
      </c>
      <c r="Q61" s="140" t="s">
        <v>235</v>
      </c>
      <c r="R61" s="141">
        <v>-8.4809300000000007</v>
      </c>
      <c r="S61" s="140">
        <v>-2.1661063728942223</v>
      </c>
      <c r="T61" s="142">
        <v>2.2024643408684184</v>
      </c>
      <c r="U61" s="156">
        <v>0.83395659833333335</v>
      </c>
      <c r="V61" s="140">
        <v>0.20882387135923763</v>
      </c>
      <c r="W61" s="67" t="s">
        <v>75</v>
      </c>
    </row>
    <row r="62" spans="1:23" x14ac:dyDescent="0.25">
      <c r="A62" t="s">
        <v>54</v>
      </c>
      <c r="B62">
        <v>1</v>
      </c>
      <c r="C62" s="138">
        <v>43555</v>
      </c>
      <c r="D62" s="143">
        <v>9.6099071462500003</v>
      </c>
      <c r="E62" s="143">
        <v>17.985740619976259</v>
      </c>
      <c r="F62" s="67">
        <v>1.3104825</v>
      </c>
      <c r="G62" s="139">
        <v>0.76361749999999995</v>
      </c>
      <c r="H62" s="139">
        <v>0.89749446318166848</v>
      </c>
      <c r="I62" s="139">
        <v>2.3063350001903973</v>
      </c>
      <c r="J62" s="139">
        <v>20.755794999999999</v>
      </c>
      <c r="K62" s="139">
        <v>7.6098398352499999</v>
      </c>
      <c r="L62" s="139">
        <v>1.2579400000000001</v>
      </c>
      <c r="M62" s="139">
        <v>1.2528752075752558E-2</v>
      </c>
      <c r="N62" s="139">
        <v>16.949057527000001</v>
      </c>
      <c r="O62" s="139">
        <v>1.3430577939999999</v>
      </c>
      <c r="P62" s="139">
        <v>0.64866999999999997</v>
      </c>
      <c r="Q62" s="140">
        <v>0.86780244402599371</v>
      </c>
      <c r="R62" s="141">
        <v>9.3304880000000008</v>
      </c>
      <c r="S62" s="140">
        <v>0.19633494989776312</v>
      </c>
      <c r="T62" s="142">
        <v>0.77815718910608056</v>
      </c>
      <c r="U62" s="156">
        <v>0.39797605166666666</v>
      </c>
      <c r="V62" s="140">
        <v>0.40721836309013781</v>
      </c>
      <c r="W62" s="67" t="s">
        <v>54</v>
      </c>
    </row>
    <row r="63" spans="1:23" x14ac:dyDescent="0.25">
      <c r="A63" t="s">
        <v>59</v>
      </c>
      <c r="B63">
        <v>1</v>
      </c>
      <c r="C63" s="138">
        <v>43646</v>
      </c>
      <c r="D63" s="143" t="s">
        <v>235</v>
      </c>
      <c r="E63" s="143">
        <v>-6.3160412349490241E-2</v>
      </c>
      <c r="F63" s="67">
        <v>0.12618499999999999</v>
      </c>
      <c r="G63" s="139">
        <v>0.12618499999999999</v>
      </c>
      <c r="H63" s="139" t="s">
        <v>235</v>
      </c>
      <c r="I63" s="139" t="s">
        <v>235</v>
      </c>
      <c r="J63" s="139" t="s">
        <v>235</v>
      </c>
      <c r="K63" s="139" t="s">
        <v>235</v>
      </c>
      <c r="L63" s="139" t="s">
        <v>235</v>
      </c>
      <c r="M63" s="139" t="s">
        <v>235</v>
      </c>
      <c r="N63" s="139" t="s">
        <v>235</v>
      </c>
      <c r="O63" s="156">
        <v>284.48160836059998</v>
      </c>
      <c r="P63" s="139">
        <v>1.7353400000000001</v>
      </c>
      <c r="Q63" s="140">
        <v>-0.8458645886594135</v>
      </c>
      <c r="R63" s="141">
        <v>-1.726024</v>
      </c>
      <c r="S63" s="140">
        <v>0.21686689895509814</v>
      </c>
      <c r="T63" s="142">
        <v>1.1476367561435548</v>
      </c>
      <c r="U63" s="156">
        <v>0</v>
      </c>
      <c r="V63" s="140" t="s">
        <v>235</v>
      </c>
      <c r="W63" s="67" t="s">
        <v>59</v>
      </c>
    </row>
    <row r="64" spans="1:23" x14ac:dyDescent="0.25">
      <c r="A64" s="69" t="s">
        <v>121</v>
      </c>
      <c r="B64" s="70"/>
      <c r="C64" s="157"/>
      <c r="D64" s="145">
        <v>24.245036208891666</v>
      </c>
      <c r="E64" s="145">
        <v>3.834965426738203</v>
      </c>
      <c r="F64" s="146">
        <v>1.4103732499999999</v>
      </c>
      <c r="G64" s="146">
        <v>1.05676675</v>
      </c>
      <c r="H64" s="146">
        <v>0.9031449229030819</v>
      </c>
      <c r="I64" s="165">
        <v>257.02077800308876</v>
      </c>
      <c r="J64" s="165">
        <v>25.756203124999999</v>
      </c>
      <c r="K64" s="165">
        <v>13.504964891097224</v>
      </c>
      <c r="L64" s="148">
        <v>76.446291562500008</v>
      </c>
      <c r="M64" s="146">
        <v>0.20401609326084985</v>
      </c>
      <c r="N64" s="146">
        <v>10.466279875500001</v>
      </c>
      <c r="O64" s="146">
        <v>35.759529608880001</v>
      </c>
      <c r="P64" s="146">
        <v>2.0870533333333334</v>
      </c>
      <c r="Q64" s="168">
        <v>0.40669681161611432</v>
      </c>
      <c r="R64" s="148">
        <v>-300.2803576</v>
      </c>
      <c r="S64" s="149">
        <v>-0.15336437450924095</v>
      </c>
      <c r="T64" s="149">
        <v>3.601939342306379</v>
      </c>
      <c r="U64" s="165">
        <v>1.0370403938333332</v>
      </c>
      <c r="V64" s="147">
        <v>0.36006265903439794</v>
      </c>
      <c r="W64" s="78" t="s">
        <v>122</v>
      </c>
    </row>
    <row r="65" spans="1:23" ht="7.5" customHeight="1" x14ac:dyDescent="0.25">
      <c r="C65" s="138"/>
      <c r="D65" s="143"/>
      <c r="E65" s="143"/>
      <c r="F65" s="67"/>
      <c r="Q65" s="142"/>
      <c r="R65" s="141"/>
      <c r="S65" s="142"/>
      <c r="T65" s="142"/>
      <c r="U65" s="166"/>
      <c r="V65" s="140"/>
      <c r="W65" s="67"/>
    </row>
    <row r="66" spans="1:23" x14ac:dyDescent="0.25">
      <c r="A66" s="57" t="s">
        <v>127</v>
      </c>
      <c r="B66" s="82"/>
      <c r="C66" s="158"/>
      <c r="D66" s="151"/>
      <c r="E66" s="151"/>
      <c r="F66" s="88"/>
      <c r="G66" s="82"/>
      <c r="H66" s="82"/>
      <c r="I66" s="82"/>
      <c r="J66" s="82"/>
      <c r="K66" s="82"/>
      <c r="L66" s="82"/>
      <c r="M66" s="82"/>
      <c r="N66" s="82"/>
      <c r="O66" s="82"/>
      <c r="P66" s="82"/>
      <c r="Q66" s="155"/>
      <c r="R66" s="154"/>
      <c r="S66" s="155"/>
      <c r="T66" s="155"/>
      <c r="U66" s="167"/>
      <c r="V66" s="153"/>
      <c r="W66" s="88"/>
    </row>
    <row r="67" spans="1:23" x14ac:dyDescent="0.25">
      <c r="A67" t="s">
        <v>18</v>
      </c>
      <c r="B67">
        <v>1</v>
      </c>
      <c r="C67" s="138">
        <v>43555</v>
      </c>
      <c r="D67" s="143" t="s">
        <v>235</v>
      </c>
      <c r="E67" s="143">
        <v>9.7209322657121842</v>
      </c>
      <c r="F67" s="67">
        <v>1.9571225000000001</v>
      </c>
      <c r="G67" s="139">
        <v>1.9442124999999999</v>
      </c>
      <c r="H67" s="139" t="s">
        <v>235</v>
      </c>
      <c r="I67" s="139" t="s">
        <v>235</v>
      </c>
      <c r="J67" s="139" t="s">
        <v>235</v>
      </c>
      <c r="K67" s="139" t="s">
        <v>235</v>
      </c>
      <c r="L67" s="139" t="s">
        <v>235</v>
      </c>
      <c r="M67" s="139" t="s">
        <v>235</v>
      </c>
      <c r="N67" s="139">
        <v>-34.344471654000003</v>
      </c>
      <c r="O67" s="139">
        <v>-2.3580277789999999</v>
      </c>
      <c r="P67" s="139" t="s">
        <v>235</v>
      </c>
      <c r="Q67" s="140">
        <v>0.66197379425703928</v>
      </c>
      <c r="R67" s="141">
        <v>3.6</v>
      </c>
      <c r="S67" s="140">
        <v>0.60263241907821286</v>
      </c>
      <c r="T67" s="142">
        <v>3.5728048934166314</v>
      </c>
      <c r="U67" s="156">
        <v>13.573892666666666</v>
      </c>
      <c r="V67" s="140">
        <v>0.72169888504464708</v>
      </c>
      <c r="W67" s="67" t="s">
        <v>18</v>
      </c>
    </row>
    <row r="68" spans="1:23" x14ac:dyDescent="0.25">
      <c r="A68" t="s">
        <v>68</v>
      </c>
      <c r="B68">
        <v>1</v>
      </c>
      <c r="C68" s="138">
        <v>43555</v>
      </c>
      <c r="D68" s="139" t="s">
        <v>235</v>
      </c>
      <c r="E68" s="139">
        <v>1.9080662485675874</v>
      </c>
      <c r="F68" s="67">
        <v>4.63429</v>
      </c>
      <c r="G68" s="139">
        <v>4.6239299999999997</v>
      </c>
      <c r="H68" s="139">
        <v>9.5606769047661647E-2</v>
      </c>
      <c r="I68" s="139" t="s">
        <v>235</v>
      </c>
      <c r="J68" s="139">
        <v>66.817914999999999</v>
      </c>
      <c r="K68" s="139">
        <v>51.032278606174998</v>
      </c>
      <c r="L68" s="139">
        <v>7.047555</v>
      </c>
      <c r="M68" s="139">
        <v>-0.13515306593266235</v>
      </c>
      <c r="N68" s="139">
        <v>-3.3671436219999999</v>
      </c>
      <c r="O68" s="139">
        <v>-1.3524726479</v>
      </c>
      <c r="P68" s="139">
        <v>-6.7047800000000004</v>
      </c>
      <c r="Q68" s="140">
        <v>1.0515315454786984</v>
      </c>
      <c r="R68" s="141">
        <v>5095.3047999999999</v>
      </c>
      <c r="S68" s="140">
        <v>1.1481590958273875</v>
      </c>
      <c r="T68" s="142">
        <v>2.5766597493384271</v>
      </c>
      <c r="U68" s="156">
        <v>3.5522290000000001</v>
      </c>
      <c r="V68" s="140">
        <v>0.29437543064667171</v>
      </c>
      <c r="W68" s="67" t="s">
        <v>68</v>
      </c>
    </row>
    <row r="69" spans="1:23" x14ac:dyDescent="0.25">
      <c r="A69" t="s">
        <v>22</v>
      </c>
      <c r="B69">
        <v>0.1</v>
      </c>
      <c r="C69" s="138">
        <v>43555</v>
      </c>
      <c r="D69" s="139" t="s">
        <v>235</v>
      </c>
      <c r="E69" s="139">
        <v>17.369960385225511</v>
      </c>
      <c r="F69" s="67">
        <v>1.7341599999999999</v>
      </c>
      <c r="G69" s="139">
        <v>1.6342825000000001</v>
      </c>
      <c r="H69" s="139" t="s">
        <v>235</v>
      </c>
      <c r="I69" s="139" t="s">
        <v>235</v>
      </c>
      <c r="J69" s="139" t="s">
        <v>235</v>
      </c>
      <c r="K69" s="139" t="s">
        <v>235</v>
      </c>
      <c r="L69" s="139" t="s">
        <v>235</v>
      </c>
      <c r="M69" s="139" t="s">
        <v>235</v>
      </c>
      <c r="N69" s="139">
        <v>-72.026535416000002</v>
      </c>
      <c r="O69" s="139">
        <v>-3.2584320409999998</v>
      </c>
      <c r="P69" s="139" t="s">
        <v>235</v>
      </c>
      <c r="Q69" s="140">
        <v>0.54013761467889909</v>
      </c>
      <c r="R69" s="141">
        <v>-2409.6</v>
      </c>
      <c r="S69" s="140">
        <v>2.0487332747657625</v>
      </c>
      <c r="T69" s="142">
        <v>17.409483234409624</v>
      </c>
      <c r="U69" s="156">
        <v>16.523061166666665</v>
      </c>
      <c r="V69" s="140">
        <v>0.61682291561831537</v>
      </c>
      <c r="W69" s="67" t="s">
        <v>22</v>
      </c>
    </row>
    <row r="70" spans="1:23" x14ac:dyDescent="0.25">
      <c r="A70" t="s">
        <v>64</v>
      </c>
      <c r="B70">
        <v>1</v>
      </c>
      <c r="C70" s="138">
        <v>43555</v>
      </c>
      <c r="D70" s="139" t="s">
        <v>235</v>
      </c>
      <c r="E70" s="139">
        <v>1.8391593904071306</v>
      </c>
      <c r="F70" s="67">
        <v>3.1921349999999999</v>
      </c>
      <c r="G70" s="139">
        <v>1.516985</v>
      </c>
      <c r="H70" s="139">
        <v>7.8351538435511389E-2</v>
      </c>
      <c r="I70" s="139">
        <v>1.3353386949908281</v>
      </c>
      <c r="J70" s="139">
        <v>55.59442</v>
      </c>
      <c r="K70" s="139">
        <v>-26.3062960275</v>
      </c>
      <c r="L70" s="139">
        <v>307.62531000000001</v>
      </c>
      <c r="M70" s="139">
        <v>0.64155473601335478</v>
      </c>
      <c r="N70" s="139">
        <v>11.050424984999999</v>
      </c>
      <c r="O70" s="139">
        <v>8.281127262</v>
      </c>
      <c r="P70" s="139">
        <v>4.3127899999999997</v>
      </c>
      <c r="Q70" s="140">
        <v>1.1656036220376251</v>
      </c>
      <c r="R70" s="141">
        <v>732.84199999999998</v>
      </c>
      <c r="S70" s="140">
        <v>0.79341448917564339</v>
      </c>
      <c r="T70" s="142">
        <v>4.2662479307272916</v>
      </c>
      <c r="U70" s="156">
        <v>5.2407336666666673</v>
      </c>
      <c r="V70" s="140">
        <v>1.6172100124711051</v>
      </c>
      <c r="W70" s="67" t="s">
        <v>64</v>
      </c>
    </row>
    <row r="71" spans="1:23" x14ac:dyDescent="0.25">
      <c r="A71" s="69" t="s">
        <v>121</v>
      </c>
      <c r="B71" s="70"/>
      <c r="C71" s="157"/>
      <c r="D71" s="145" t="s">
        <v>235</v>
      </c>
      <c r="E71" s="145">
        <v>7.709529572478103</v>
      </c>
      <c r="F71" s="146">
        <v>2.8794268750000001</v>
      </c>
      <c r="G71" s="146">
        <v>2.4298525</v>
      </c>
      <c r="H71" s="146">
        <v>8.6979153741586518E-2</v>
      </c>
      <c r="I71" s="146">
        <v>1.3353386949908281</v>
      </c>
      <c r="J71" s="146">
        <v>61.206167499999999</v>
      </c>
      <c r="K71" s="146">
        <v>12.362991289337499</v>
      </c>
      <c r="L71" s="146">
        <v>157.3364325</v>
      </c>
      <c r="M71" s="146">
        <v>0.25320083504034618</v>
      </c>
      <c r="N71" s="146">
        <v>-24.67193142675</v>
      </c>
      <c r="O71" s="146">
        <v>0.32804869852499996</v>
      </c>
      <c r="P71" s="146">
        <v>-1.1959950000000004</v>
      </c>
      <c r="Q71" s="147">
        <v>0.85481164411306554</v>
      </c>
      <c r="R71" s="148">
        <v>855.53670000000011</v>
      </c>
      <c r="S71" s="149">
        <v>1.1482348197117516</v>
      </c>
      <c r="T71" s="149">
        <v>6.9562989519729941</v>
      </c>
      <c r="U71" s="165">
        <v>9.7224791249999996</v>
      </c>
      <c r="V71" s="147">
        <v>0.81252681094518486</v>
      </c>
      <c r="W71" s="78" t="s">
        <v>122</v>
      </c>
    </row>
    <row r="72" spans="1:23" ht="5.25" customHeight="1" x14ac:dyDescent="0.25">
      <c r="C72" s="138"/>
      <c r="D72" s="143"/>
      <c r="E72" s="143"/>
      <c r="F72" s="67"/>
      <c r="Q72" s="142"/>
      <c r="R72" s="141"/>
      <c r="S72" s="142"/>
      <c r="T72" s="142"/>
      <c r="U72" s="166"/>
      <c r="V72" s="140"/>
      <c r="W72" s="67"/>
    </row>
    <row r="73" spans="1:23" x14ac:dyDescent="0.25">
      <c r="A73" s="57" t="s">
        <v>128</v>
      </c>
      <c r="B73" s="82"/>
      <c r="C73" s="158"/>
      <c r="D73" s="151"/>
      <c r="E73" s="151"/>
      <c r="F73" s="88"/>
      <c r="G73" s="82"/>
      <c r="H73" s="82"/>
      <c r="I73" s="82"/>
      <c r="J73" s="82"/>
      <c r="K73" s="82"/>
      <c r="L73" s="82"/>
      <c r="M73" s="82"/>
      <c r="N73" s="82"/>
      <c r="O73" s="82"/>
      <c r="P73" s="82"/>
      <c r="Q73" s="155"/>
      <c r="R73" s="154"/>
      <c r="S73" s="155"/>
      <c r="T73" s="155"/>
      <c r="U73" s="167"/>
      <c r="V73" s="153"/>
      <c r="W73" s="88"/>
    </row>
    <row r="74" spans="1:23" x14ac:dyDescent="0.25">
      <c r="A74" t="s">
        <v>13</v>
      </c>
      <c r="B74">
        <v>1</v>
      </c>
      <c r="C74" s="138">
        <v>43646</v>
      </c>
      <c r="D74" s="143">
        <v>12.011244089350001</v>
      </c>
      <c r="E74" s="143">
        <v>1.2455230409257867</v>
      </c>
      <c r="F74" s="67">
        <v>1.895575</v>
      </c>
      <c r="G74" s="139">
        <v>0.4791975</v>
      </c>
      <c r="H74" s="139">
        <v>0.68516101548033836</v>
      </c>
      <c r="I74" s="139">
        <v>9.0437587282138168</v>
      </c>
      <c r="J74" s="139">
        <v>19.7154825</v>
      </c>
      <c r="K74" s="139">
        <v>8.4420663157500009</v>
      </c>
      <c r="L74" s="139">
        <v>15.3574775</v>
      </c>
      <c r="M74" s="139">
        <v>0.21127111895184925</v>
      </c>
      <c r="N74" s="139">
        <v>17.437225526900001</v>
      </c>
      <c r="O74" s="139">
        <v>13.727919761400001</v>
      </c>
      <c r="P74" s="139">
        <v>3.2066499999999998</v>
      </c>
      <c r="Q74" s="140">
        <v>1.5809884421536693</v>
      </c>
      <c r="R74" s="141">
        <v>5989.0266000000001</v>
      </c>
      <c r="S74" s="140">
        <v>0.44492656672514008</v>
      </c>
      <c r="T74" s="142">
        <v>0.67329814695266932</v>
      </c>
      <c r="U74" s="156">
        <v>37.491127166666665</v>
      </c>
      <c r="V74" s="140">
        <v>0.3585982856896488</v>
      </c>
      <c r="W74" s="67" t="s">
        <v>13</v>
      </c>
    </row>
    <row r="75" spans="1:23" x14ac:dyDescent="0.25">
      <c r="A75" t="s">
        <v>63</v>
      </c>
      <c r="B75">
        <v>0.01</v>
      </c>
      <c r="C75" s="138">
        <v>43646</v>
      </c>
      <c r="D75" s="139">
        <v>63.930737017600002</v>
      </c>
      <c r="E75" s="139">
        <v>2.2590588985179658</v>
      </c>
      <c r="F75" s="67">
        <v>0.88614250000000006</v>
      </c>
      <c r="G75" s="139">
        <v>0.49019750000000001</v>
      </c>
      <c r="H75" s="139">
        <v>0.96392422434740233</v>
      </c>
      <c r="I75" s="139">
        <v>6.7595283289194104</v>
      </c>
      <c r="J75" s="139">
        <v>26.3187225</v>
      </c>
      <c r="K75" s="139">
        <v>18.333850095424999</v>
      </c>
      <c r="L75" s="139">
        <v>9.5650875000000006</v>
      </c>
      <c r="M75" s="139">
        <v>-4.788255348869978E-3</v>
      </c>
      <c r="N75" s="139">
        <v>25.725754179900001</v>
      </c>
      <c r="O75" s="139">
        <v>11.9392780268</v>
      </c>
      <c r="P75" s="139">
        <v>5.4857800000000001</v>
      </c>
      <c r="Q75" s="140">
        <v>-4.0695579805956728E-2</v>
      </c>
      <c r="R75" s="141">
        <v>1597.420836</v>
      </c>
      <c r="S75" s="140" t="s">
        <v>235</v>
      </c>
      <c r="T75" s="142">
        <v>2.9534833750160359</v>
      </c>
      <c r="U75" s="156">
        <v>15.07300888</v>
      </c>
      <c r="V75" s="140" t="s">
        <v>235</v>
      </c>
      <c r="W75" s="67" t="s">
        <v>63</v>
      </c>
    </row>
    <row r="76" spans="1:23" x14ac:dyDescent="0.25">
      <c r="A76" t="s">
        <v>45</v>
      </c>
      <c r="B76">
        <v>0</v>
      </c>
      <c r="C76" s="138">
        <v>43555</v>
      </c>
      <c r="D76" s="139">
        <v>69.458127309250003</v>
      </c>
      <c r="E76" s="139">
        <v>2.2815240691572267</v>
      </c>
      <c r="F76" s="67">
        <v>1.3455725000000001</v>
      </c>
      <c r="G76" s="139">
        <v>0.43612499999999998</v>
      </c>
      <c r="H76" s="139">
        <v>0.80034845061015758</v>
      </c>
      <c r="I76" s="139">
        <v>-1.9508794911764138</v>
      </c>
      <c r="J76" s="139">
        <v>29.676942499999999</v>
      </c>
      <c r="K76" s="139">
        <v>23.509570359350001</v>
      </c>
      <c r="L76" s="139">
        <v>15.1358025</v>
      </c>
      <c r="M76" s="139">
        <v>0.10030292508735324</v>
      </c>
      <c r="N76" s="139">
        <v>33.556148696000001</v>
      </c>
      <c r="O76" s="139">
        <v>16.000603581</v>
      </c>
      <c r="P76" s="139">
        <v>1.9819800000000001</v>
      </c>
      <c r="Q76" s="140">
        <v>0.16155500331824491</v>
      </c>
      <c r="R76" s="141">
        <v>2070.8968580000001</v>
      </c>
      <c r="S76" s="140">
        <v>0.74708110226938729</v>
      </c>
      <c r="T76" s="142">
        <v>0.79023479771360172</v>
      </c>
      <c r="U76" s="156">
        <v>12.131490980000001</v>
      </c>
      <c r="V76" s="140">
        <v>0.3256212877635265</v>
      </c>
      <c r="W76" s="67" t="s">
        <v>45</v>
      </c>
    </row>
    <row r="77" spans="1:23" x14ac:dyDescent="0.25">
      <c r="A77" t="s">
        <v>33</v>
      </c>
      <c r="B77">
        <v>1</v>
      </c>
      <c r="C77" s="138">
        <v>43555</v>
      </c>
      <c r="D77" s="139">
        <v>17.7552240855</v>
      </c>
      <c r="E77" s="139">
        <v>2.0405453334272181</v>
      </c>
      <c r="F77" s="67">
        <v>0.70190750000000002</v>
      </c>
      <c r="G77" s="139">
        <v>0.32652249999999999</v>
      </c>
      <c r="H77" s="139">
        <v>1.3677604052928394</v>
      </c>
      <c r="I77" s="139">
        <v>15.085796952526955</v>
      </c>
      <c r="J77" s="139">
        <v>34.618839999999999</v>
      </c>
      <c r="K77" s="139">
        <v>13.1174773265</v>
      </c>
      <c r="L77" s="139">
        <v>15.87491</v>
      </c>
      <c r="M77" s="139">
        <v>-4.1385919579249565E-2</v>
      </c>
      <c r="N77" s="139">
        <v>42.135100536000003</v>
      </c>
      <c r="O77" s="139">
        <v>21.880067261000001</v>
      </c>
      <c r="P77" s="139">
        <v>6.2421499999999996</v>
      </c>
      <c r="Q77" s="140">
        <v>0.40735222242445546</v>
      </c>
      <c r="R77" s="141">
        <v>1081.3047260000001</v>
      </c>
      <c r="S77" s="140">
        <v>1.2037708958785114</v>
      </c>
      <c r="T77" s="142">
        <v>2.3903199037954104</v>
      </c>
      <c r="U77" s="156">
        <v>6.684688968333333</v>
      </c>
      <c r="V77" s="140">
        <v>0.38722460135389603</v>
      </c>
      <c r="W77" s="67" t="s">
        <v>33</v>
      </c>
    </row>
    <row r="78" spans="1:23" x14ac:dyDescent="0.25">
      <c r="A78" t="s">
        <v>66</v>
      </c>
      <c r="B78">
        <v>1</v>
      </c>
      <c r="C78" s="138">
        <v>43555</v>
      </c>
      <c r="D78" s="143">
        <v>171.65677045375</v>
      </c>
      <c r="E78" s="143">
        <v>3.3007028057509293</v>
      </c>
      <c r="F78" s="67">
        <v>1.496515</v>
      </c>
      <c r="G78" s="139">
        <v>1.2204225</v>
      </c>
      <c r="H78" s="139">
        <v>1.2567537478702</v>
      </c>
      <c r="I78" s="139">
        <v>10.723157922391739</v>
      </c>
      <c r="J78" s="139">
        <v>20.781434999999998</v>
      </c>
      <c r="K78" s="139">
        <v>8.0724900789999996</v>
      </c>
      <c r="L78" s="139">
        <v>4.6914600000000002</v>
      </c>
      <c r="M78" s="139">
        <v>3.7810469020995864E-2</v>
      </c>
      <c r="N78" s="139">
        <v>23.749093373000001</v>
      </c>
      <c r="O78" s="139">
        <v>7.6404743670000004</v>
      </c>
      <c r="P78" s="139">
        <v>2.7082099999999998</v>
      </c>
      <c r="Q78" s="140">
        <v>-1.1865033864068442</v>
      </c>
      <c r="R78" s="141">
        <v>380.00279999999998</v>
      </c>
      <c r="S78" s="140">
        <v>-2.7309815934421549</v>
      </c>
      <c r="T78" s="142">
        <v>1.5289440278968773</v>
      </c>
      <c r="U78" s="156">
        <v>10.033262833333334</v>
      </c>
      <c r="V78" s="140">
        <v>0.3418705814069698</v>
      </c>
      <c r="W78" s="67" t="s">
        <v>66</v>
      </c>
    </row>
    <row r="79" spans="1:23" x14ac:dyDescent="0.25">
      <c r="A79" t="s">
        <v>77</v>
      </c>
      <c r="B79">
        <v>1</v>
      </c>
      <c r="C79" s="138">
        <v>43616</v>
      </c>
      <c r="D79" s="143">
        <v>46.306500694900002</v>
      </c>
      <c r="E79" s="143">
        <v>2.4592615201301795</v>
      </c>
      <c r="F79" s="67">
        <v>1.1622699999999999</v>
      </c>
      <c r="G79" s="139">
        <v>0.40947250000000002</v>
      </c>
      <c r="H79" s="139">
        <v>0.76807059564994951</v>
      </c>
      <c r="I79" s="139">
        <v>0.9342580818761439</v>
      </c>
      <c r="J79" s="139">
        <v>21.906295</v>
      </c>
      <c r="K79" s="139">
        <v>12.431888759525</v>
      </c>
      <c r="L79" s="139">
        <v>-0.49009249999999999</v>
      </c>
      <c r="M79" s="139">
        <v>1.2406328074215324E-2</v>
      </c>
      <c r="N79" s="139">
        <v>-2.3733194540999998</v>
      </c>
      <c r="O79" s="139">
        <v>-0.86610516559999995</v>
      </c>
      <c r="P79" s="139">
        <v>-0.19470000000000001</v>
      </c>
      <c r="Q79" s="140">
        <v>-3.7197039613520464</v>
      </c>
      <c r="R79" s="141">
        <v>50.113778000000003</v>
      </c>
      <c r="S79" s="140">
        <v>3.9512697462372071E-2</v>
      </c>
      <c r="T79" s="142">
        <v>0.34749555267198395</v>
      </c>
      <c r="U79" s="156">
        <v>1.5677600183333333</v>
      </c>
      <c r="V79" s="140">
        <v>0.19534784129587868</v>
      </c>
      <c r="W79" s="67" t="s">
        <v>77</v>
      </c>
    </row>
    <row r="80" spans="1:23" x14ac:dyDescent="0.25">
      <c r="A80" t="s">
        <v>37</v>
      </c>
      <c r="B80">
        <v>0.1</v>
      </c>
      <c r="C80" s="138">
        <v>43616</v>
      </c>
      <c r="D80" s="143">
        <v>356.330759137325</v>
      </c>
      <c r="E80" s="143">
        <v>5.2223158942851562</v>
      </c>
      <c r="F80" s="67">
        <v>0.55536750000000001</v>
      </c>
      <c r="G80" s="139">
        <v>0.35903499999999999</v>
      </c>
      <c r="H80" s="139">
        <v>0.90746564025610643</v>
      </c>
      <c r="I80" s="139">
        <v>9.4054854954181142</v>
      </c>
      <c r="J80" s="139">
        <v>23.559335000000001</v>
      </c>
      <c r="K80" s="139">
        <v>13.332001157775</v>
      </c>
      <c r="L80" s="139">
        <v>-13.6731575</v>
      </c>
      <c r="M80" s="139">
        <v>-4.5368588960096844E-2</v>
      </c>
      <c r="N80" s="139">
        <v>-26.9403420979</v>
      </c>
      <c r="O80" s="139">
        <v>-6.9927589074999998</v>
      </c>
      <c r="P80" s="139">
        <v>-0.11166</v>
      </c>
      <c r="Q80" s="140">
        <v>-2.0043913923466552</v>
      </c>
      <c r="R80" s="141">
        <v>-709.94799999999998</v>
      </c>
      <c r="S80" s="140">
        <v>0.4822246714428573</v>
      </c>
      <c r="T80" s="142">
        <v>1.5727870608278605</v>
      </c>
      <c r="U80" s="156">
        <v>5.7952839999999997</v>
      </c>
      <c r="V80" s="140">
        <v>0.36307457923198672</v>
      </c>
      <c r="W80" s="67" t="s">
        <v>37</v>
      </c>
    </row>
    <row r="81" spans="1:23" x14ac:dyDescent="0.25">
      <c r="A81" t="s">
        <v>58</v>
      </c>
      <c r="B81" s="38">
        <v>1</v>
      </c>
      <c r="C81" s="169" t="s">
        <v>235</v>
      </c>
      <c r="D81" s="143" t="s">
        <v>235</v>
      </c>
      <c r="E81" s="143" t="s">
        <v>235</v>
      </c>
      <c r="F81" s="67" t="s">
        <v>235</v>
      </c>
      <c r="G81" s="139" t="s">
        <v>235</v>
      </c>
      <c r="H81" s="139" t="s">
        <v>235</v>
      </c>
      <c r="I81" s="139" t="s">
        <v>235</v>
      </c>
      <c r="J81" s="139" t="s">
        <v>235</v>
      </c>
      <c r="K81" s="139" t="s">
        <v>235</v>
      </c>
      <c r="L81" s="139" t="s">
        <v>235</v>
      </c>
      <c r="M81" s="139" t="s">
        <v>235</v>
      </c>
      <c r="N81" s="139" t="s">
        <v>235</v>
      </c>
      <c r="O81" s="139" t="s">
        <v>235</v>
      </c>
      <c r="P81" s="139" t="s">
        <v>235</v>
      </c>
      <c r="Q81" s="140" t="s">
        <v>235</v>
      </c>
      <c r="R81" s="141" t="s">
        <v>235</v>
      </c>
      <c r="S81" s="140" t="s">
        <v>235</v>
      </c>
      <c r="T81" s="142" t="s">
        <v>235</v>
      </c>
      <c r="U81" s="156" t="s">
        <v>235</v>
      </c>
      <c r="V81" s="140" t="s">
        <v>235</v>
      </c>
      <c r="W81" s="67" t="s">
        <v>58</v>
      </c>
    </row>
    <row r="82" spans="1:23" x14ac:dyDescent="0.25">
      <c r="A82" t="s">
        <v>50</v>
      </c>
      <c r="B82">
        <v>1</v>
      </c>
      <c r="C82" s="138">
        <v>43555</v>
      </c>
      <c r="D82" s="143">
        <v>148.24641882924999</v>
      </c>
      <c r="E82" s="143">
        <v>3.5259380073190694</v>
      </c>
      <c r="F82" s="67">
        <v>0.97475750000000005</v>
      </c>
      <c r="G82" s="139">
        <v>0.58325749999999998</v>
      </c>
      <c r="H82" s="139">
        <v>0.95172526265078594</v>
      </c>
      <c r="I82" s="139">
        <v>4.082164884429079</v>
      </c>
      <c r="J82" s="139">
        <v>8.3060299999999998</v>
      </c>
      <c r="K82" s="139">
        <v>-2.8087016729999998</v>
      </c>
      <c r="L82" s="139">
        <v>-8.8623949999999994</v>
      </c>
      <c r="M82" s="139">
        <v>-7.3418390414076731E-2</v>
      </c>
      <c r="N82" s="139">
        <v>-38.805955261999998</v>
      </c>
      <c r="O82" s="139">
        <v>-10.857575183</v>
      </c>
      <c r="P82" s="139">
        <v>-0.89176</v>
      </c>
      <c r="Q82" s="140">
        <v>0.97174568714181575</v>
      </c>
      <c r="R82" s="141">
        <v>-2.6954340000000001</v>
      </c>
      <c r="S82" s="140">
        <v>-9.2830045693370167E-2</v>
      </c>
      <c r="T82" s="142">
        <v>48.975749972881978</v>
      </c>
      <c r="U82" s="156">
        <v>0.40992541833333329</v>
      </c>
      <c r="V82" s="140">
        <v>0.21209828656348573</v>
      </c>
      <c r="W82" s="67" t="s">
        <v>50</v>
      </c>
    </row>
    <row r="83" spans="1:23" x14ac:dyDescent="0.25">
      <c r="A83" t="s">
        <v>57</v>
      </c>
      <c r="B83">
        <v>1</v>
      </c>
      <c r="C83" s="138">
        <v>43496</v>
      </c>
      <c r="D83" s="143">
        <v>5.3970465857500001</v>
      </c>
      <c r="E83" s="143">
        <v>2.6694432998479658</v>
      </c>
      <c r="F83" s="67">
        <v>1.8896975</v>
      </c>
      <c r="G83" s="139">
        <v>1.2186349999999999</v>
      </c>
      <c r="H83" s="139" t="s">
        <v>235</v>
      </c>
      <c r="I83" s="139" t="s">
        <v>235</v>
      </c>
      <c r="J83" s="139" t="s">
        <v>235</v>
      </c>
      <c r="K83" s="139">
        <v>3.6578333685</v>
      </c>
      <c r="L83" s="139" t="s">
        <v>235</v>
      </c>
      <c r="M83" s="139" t="s">
        <v>235</v>
      </c>
      <c r="N83" s="139">
        <v>13.095156750999999</v>
      </c>
      <c r="O83" s="139">
        <v>3.4323863550000002</v>
      </c>
      <c r="P83" s="139" t="s">
        <v>235</v>
      </c>
      <c r="Q83" s="140">
        <v>1.0865102639296187</v>
      </c>
      <c r="R83" s="141">
        <v>-22.934799999999999</v>
      </c>
      <c r="S83" s="140">
        <v>-1.9513402787750587</v>
      </c>
      <c r="T83" s="142">
        <v>1.5355169662532213</v>
      </c>
      <c r="U83" s="156">
        <v>0.47856816666666668</v>
      </c>
      <c r="V83" s="140">
        <v>2.4124545291415611E-2</v>
      </c>
      <c r="W83" s="67" t="s">
        <v>57</v>
      </c>
    </row>
    <row r="84" spans="1:23" x14ac:dyDescent="0.25">
      <c r="A84" s="69" t="s">
        <v>121</v>
      </c>
      <c r="B84" s="70"/>
      <c r="C84" s="70"/>
      <c r="D84" s="145">
        <v>99.010314244741664</v>
      </c>
      <c r="E84" s="145">
        <v>2.7782569854846111</v>
      </c>
      <c r="F84" s="146">
        <v>1.2119783333333336</v>
      </c>
      <c r="G84" s="146">
        <v>0.61365166666666671</v>
      </c>
      <c r="H84" s="146">
        <v>0.96265116776972248</v>
      </c>
      <c r="I84" s="146">
        <v>6.7604088628248551</v>
      </c>
      <c r="J84" s="146">
        <v>23.110385312499997</v>
      </c>
      <c r="K84" s="146">
        <v>10.898719532091665</v>
      </c>
      <c r="L84" s="146">
        <v>4.6998865624999997</v>
      </c>
      <c r="M84" s="146">
        <v>2.4603710854015075E-2</v>
      </c>
      <c r="N84" s="146">
        <v>9.7309846943111129</v>
      </c>
      <c r="O84" s="146">
        <v>6.2115877884555548</v>
      </c>
      <c r="P84" s="146">
        <v>2.3033312499999998</v>
      </c>
      <c r="Q84" s="147">
        <v>-0.30479363343818866</v>
      </c>
      <c r="R84" s="148">
        <v>1159.2430404444447</v>
      </c>
      <c r="S84" s="149">
        <v>-0.23220449801653942</v>
      </c>
      <c r="T84" s="149">
        <v>6.7519810893344037</v>
      </c>
      <c r="U84" s="165">
        <v>9.9627907146296266</v>
      </c>
      <c r="V84" s="147">
        <v>0.27599500107460101</v>
      </c>
      <c r="W84" s="78" t="s">
        <v>122</v>
      </c>
    </row>
    <row r="85" spans="1:23" ht="26.25" customHeight="1" x14ac:dyDescent="0.25">
      <c r="A85" s="97"/>
      <c r="B85" s="31"/>
      <c r="C85" s="31"/>
      <c r="D85" s="159"/>
      <c r="E85" s="159"/>
      <c r="F85" s="31"/>
      <c r="G85" s="31"/>
      <c r="H85" s="31"/>
      <c r="I85" s="31"/>
      <c r="J85" s="31"/>
      <c r="K85" s="31"/>
      <c r="L85" s="31"/>
      <c r="M85" s="31"/>
      <c r="N85" s="31"/>
      <c r="O85" s="31"/>
      <c r="P85" s="31"/>
      <c r="Q85" s="31"/>
      <c r="R85" s="31"/>
      <c r="S85" s="31"/>
      <c r="T85" s="31"/>
      <c r="U85" s="31"/>
      <c r="V85" s="31"/>
      <c r="W85" s="97"/>
    </row>
    <row r="86" spans="1:23" x14ac:dyDescent="0.25">
      <c r="A86" s="124" t="s">
        <v>4</v>
      </c>
      <c r="B86" s="125" t="s">
        <v>137</v>
      </c>
      <c r="C86" s="126" t="s">
        <v>138</v>
      </c>
      <c r="D86" s="160" t="s">
        <v>139</v>
      </c>
      <c r="E86" s="161"/>
      <c r="F86" s="127" t="s">
        <v>140</v>
      </c>
      <c r="G86" s="128"/>
      <c r="H86" s="127" t="s">
        <v>141</v>
      </c>
      <c r="I86" s="128"/>
      <c r="J86" s="124" t="s">
        <v>142</v>
      </c>
      <c r="K86" s="162"/>
      <c r="L86" s="162"/>
      <c r="M86" s="162"/>
      <c r="N86" s="162"/>
      <c r="O86" s="162"/>
      <c r="P86" s="162"/>
      <c r="Q86" s="162"/>
      <c r="R86" s="162"/>
      <c r="S86" s="162"/>
      <c r="T86" s="162"/>
      <c r="U86" s="162"/>
      <c r="V86" s="163"/>
      <c r="W86" s="124" t="s">
        <v>4</v>
      </c>
    </row>
    <row r="87" spans="1:23" ht="36" x14ac:dyDescent="0.25">
      <c r="A87" s="130"/>
      <c r="B87" s="131"/>
      <c r="C87" s="132"/>
      <c r="D87" s="170" t="s">
        <v>143</v>
      </c>
      <c r="E87" s="170" t="s">
        <v>144</v>
      </c>
      <c r="F87" s="133" t="s">
        <v>145</v>
      </c>
      <c r="G87" s="133" t="s">
        <v>146</v>
      </c>
      <c r="H87" s="133" t="s">
        <v>147</v>
      </c>
      <c r="I87" s="133" t="s">
        <v>148</v>
      </c>
      <c r="J87" s="133" t="s">
        <v>149</v>
      </c>
      <c r="K87" s="133" t="s">
        <v>150</v>
      </c>
      <c r="L87" s="133" t="s">
        <v>151</v>
      </c>
      <c r="M87" s="133" t="s">
        <v>152</v>
      </c>
      <c r="N87" s="133" t="s">
        <v>153</v>
      </c>
      <c r="O87" s="133" t="s">
        <v>154</v>
      </c>
      <c r="P87" s="164" t="s">
        <v>155</v>
      </c>
      <c r="Q87" s="164" t="s">
        <v>325</v>
      </c>
      <c r="R87" s="164" t="s">
        <v>157</v>
      </c>
      <c r="S87" s="164" t="s">
        <v>158</v>
      </c>
      <c r="T87" s="164" t="s">
        <v>159</v>
      </c>
      <c r="U87" s="164" t="s">
        <v>160</v>
      </c>
      <c r="V87" s="164" t="s">
        <v>161</v>
      </c>
      <c r="W87" s="130"/>
    </row>
    <row r="88" spans="1:23" x14ac:dyDescent="0.25">
      <c r="A88" s="57" t="s">
        <v>129</v>
      </c>
      <c r="B88" s="82"/>
      <c r="C88" s="82"/>
      <c r="D88" s="82"/>
      <c r="E88" s="82"/>
      <c r="F88" s="82"/>
      <c r="G88" s="82"/>
      <c r="H88" s="82"/>
      <c r="I88" s="82"/>
      <c r="J88" s="82"/>
      <c r="K88" s="82"/>
      <c r="L88" s="82"/>
      <c r="M88" s="82"/>
      <c r="N88" s="82"/>
      <c r="O88" s="82"/>
      <c r="P88" s="82"/>
      <c r="Q88" s="82"/>
      <c r="R88" s="82"/>
      <c r="S88" s="82"/>
      <c r="T88" s="82"/>
      <c r="U88" s="82"/>
      <c r="V88" s="82"/>
      <c r="W88" s="82"/>
    </row>
    <row r="89" spans="1:23" x14ac:dyDescent="0.25">
      <c r="A89" t="s">
        <v>7</v>
      </c>
      <c r="B89">
        <v>1</v>
      </c>
      <c r="C89" s="138">
        <v>43555</v>
      </c>
      <c r="D89" s="139">
        <v>52.409820107000002</v>
      </c>
      <c r="E89" s="139">
        <v>2.7494027003887647</v>
      </c>
      <c r="F89" s="139">
        <v>1.5489975</v>
      </c>
      <c r="G89" s="139">
        <v>1.17228</v>
      </c>
      <c r="H89" s="139">
        <v>0.79032312727610998</v>
      </c>
      <c r="I89" s="139">
        <v>3.635634485413044</v>
      </c>
      <c r="J89" s="139">
        <v>42.613347500000003</v>
      </c>
      <c r="K89" s="139">
        <v>3.9174429900000001</v>
      </c>
      <c r="L89" s="139">
        <v>-13.863429999999999</v>
      </c>
      <c r="M89" s="139">
        <v>-0.28914297375694986</v>
      </c>
      <c r="N89" s="139">
        <v>-34.640746104999998</v>
      </c>
      <c r="O89" s="139">
        <v>-14.146468663</v>
      </c>
      <c r="P89" s="139">
        <v>-3.8916900000000001</v>
      </c>
      <c r="Q89" s="140">
        <v>0.68046818291518174</v>
      </c>
      <c r="R89" s="141">
        <v>-73.373090000000005</v>
      </c>
      <c r="S89" s="140">
        <v>-5.626012256826046</v>
      </c>
      <c r="T89" s="140">
        <v>26.951731206612418</v>
      </c>
      <c r="U89" s="156">
        <v>0.88627657000000004</v>
      </c>
      <c r="V89" s="140">
        <v>0.47557001259354692</v>
      </c>
      <c r="W89" s="67" t="s">
        <v>7</v>
      </c>
    </row>
    <row r="90" spans="1:23" x14ac:dyDescent="0.25">
      <c r="A90" t="s">
        <v>69</v>
      </c>
      <c r="B90">
        <v>1</v>
      </c>
      <c r="C90" s="138">
        <v>43555</v>
      </c>
      <c r="D90" s="139">
        <v>79.612462826750004</v>
      </c>
      <c r="E90" s="139">
        <v>3.1222768147104842</v>
      </c>
      <c r="F90" s="139">
        <v>1.484445</v>
      </c>
      <c r="G90" s="139">
        <v>0.85672999999999999</v>
      </c>
      <c r="H90" s="139">
        <v>0.86166972209888848</v>
      </c>
      <c r="I90" s="139">
        <v>-1.5802531588680022</v>
      </c>
      <c r="J90" s="139">
        <v>19.728179999999998</v>
      </c>
      <c r="K90" s="139">
        <v>-5.1311811589999996</v>
      </c>
      <c r="L90" s="139">
        <v>-16.9242025</v>
      </c>
      <c r="M90" s="139">
        <v>4.5533626070241313E-2</v>
      </c>
      <c r="N90" s="139">
        <v>-0.52335288199999996</v>
      </c>
      <c r="O90" s="139">
        <v>2.1424224120000002</v>
      </c>
      <c r="P90" s="139">
        <v>-0.72706000000000004</v>
      </c>
      <c r="Q90" s="140">
        <v>0.96664241462331368</v>
      </c>
      <c r="R90" s="141">
        <v>-37.445014</v>
      </c>
      <c r="S90" s="140">
        <v>-1.6143662281921243</v>
      </c>
      <c r="T90" s="140">
        <v>7.761533542829822</v>
      </c>
      <c r="U90" s="156">
        <v>0.17809206</v>
      </c>
      <c r="V90" s="140">
        <v>0.28539792280295084</v>
      </c>
      <c r="W90" s="67" t="s">
        <v>69</v>
      </c>
    </row>
    <row r="91" spans="1:23" x14ac:dyDescent="0.25">
      <c r="A91" s="69" t="s">
        <v>121</v>
      </c>
      <c r="B91" s="70"/>
      <c r="C91" s="157"/>
      <c r="D91" s="146">
        <v>66.011141466875003</v>
      </c>
      <c r="E91" s="146">
        <v>2.9358397575496245</v>
      </c>
      <c r="F91" s="146">
        <v>1.51672125</v>
      </c>
      <c r="G91" s="146">
        <v>1.014505</v>
      </c>
      <c r="H91" s="146">
        <v>0.82599642468749923</v>
      </c>
      <c r="I91" s="146">
        <v>1.0276906632725209</v>
      </c>
      <c r="J91" s="146">
        <v>31.170763749999999</v>
      </c>
      <c r="K91" s="146">
        <v>-0.60686908449999977</v>
      </c>
      <c r="L91" s="146">
        <v>-15.39381625</v>
      </c>
      <c r="M91" s="146">
        <v>-0.12180467384335428</v>
      </c>
      <c r="N91" s="146">
        <v>-17.582049493499998</v>
      </c>
      <c r="O91" s="146">
        <v>-6.0020231255000001</v>
      </c>
      <c r="P91" s="146">
        <v>-2.3093750000000002</v>
      </c>
      <c r="Q91" s="147">
        <v>0.82355529876924771</v>
      </c>
      <c r="R91" s="148">
        <v>-55.409052000000003</v>
      </c>
      <c r="S91" s="147">
        <v>-3.6201892425090851</v>
      </c>
      <c r="T91" s="147">
        <v>17.356632374721119</v>
      </c>
      <c r="U91" s="165">
        <v>0.53218431500000007</v>
      </c>
      <c r="V91" s="147">
        <v>0.38048396769824888</v>
      </c>
      <c r="W91" s="78" t="s">
        <v>122</v>
      </c>
    </row>
    <row r="92" spans="1:23" x14ac:dyDescent="0.25">
      <c r="C92" s="138"/>
      <c r="D92" s="139"/>
      <c r="E92" s="139"/>
      <c r="F92" s="139"/>
      <c r="G92" s="139"/>
      <c r="H92" s="139"/>
      <c r="I92" s="139"/>
      <c r="J92" s="139"/>
      <c r="K92" s="139"/>
      <c r="L92" s="139"/>
      <c r="M92" s="139"/>
      <c r="N92" s="139"/>
      <c r="O92" s="139"/>
      <c r="P92" s="139"/>
      <c r="Q92" s="142"/>
      <c r="R92" s="141"/>
      <c r="S92" s="142"/>
      <c r="T92" s="142"/>
      <c r="U92" s="156"/>
      <c r="V92" s="140"/>
      <c r="W92" s="67"/>
    </row>
    <row r="93" spans="1:23" x14ac:dyDescent="0.25">
      <c r="A93" s="57" t="s">
        <v>130</v>
      </c>
      <c r="B93" s="82"/>
      <c r="C93" s="158"/>
      <c r="D93" s="151"/>
      <c r="E93" s="151"/>
      <c r="F93" s="152"/>
      <c r="G93" s="152"/>
      <c r="H93" s="152"/>
      <c r="I93" s="152"/>
      <c r="J93" s="152"/>
      <c r="K93" s="152"/>
      <c r="L93" s="152"/>
      <c r="M93" s="152"/>
      <c r="N93" s="152"/>
      <c r="O93" s="152"/>
      <c r="P93" s="152"/>
      <c r="Q93" s="155"/>
      <c r="R93" s="154"/>
      <c r="S93" s="155"/>
      <c r="T93" s="155"/>
      <c r="U93" s="167"/>
      <c r="V93" s="153"/>
      <c r="W93" s="88"/>
    </row>
    <row r="94" spans="1:23" x14ac:dyDescent="0.25">
      <c r="A94" t="s">
        <v>79</v>
      </c>
      <c r="B94">
        <v>1</v>
      </c>
      <c r="C94" s="138">
        <v>43373</v>
      </c>
      <c r="D94" s="143">
        <v>30.440767636250001</v>
      </c>
      <c r="E94" s="143">
        <v>3.3817290939515563</v>
      </c>
      <c r="F94" s="139">
        <v>0.96750499999999995</v>
      </c>
      <c r="G94" s="139">
        <v>0.95923499999999995</v>
      </c>
      <c r="H94" s="139">
        <v>1.9433959543689663</v>
      </c>
      <c r="I94" s="139">
        <v>326.54318470462454</v>
      </c>
      <c r="J94" s="139" t="s">
        <v>235</v>
      </c>
      <c r="K94" s="139">
        <v>15.172816256999999</v>
      </c>
      <c r="L94" s="139">
        <v>9.0986925000000003</v>
      </c>
      <c r="M94" s="139">
        <v>3.3463057125917225E-2</v>
      </c>
      <c r="N94" s="139">
        <v>69.301737325000005</v>
      </c>
      <c r="O94" s="139">
        <v>19.756966185</v>
      </c>
      <c r="P94" s="139">
        <v>4.7536100000000001</v>
      </c>
      <c r="Q94" s="140">
        <v>0.40031376782497463</v>
      </c>
      <c r="R94" s="141">
        <v>484.14844799999997</v>
      </c>
      <c r="S94" s="140">
        <v>-3.4349408399826173</v>
      </c>
      <c r="T94" s="142">
        <v>3.6576101405493784</v>
      </c>
      <c r="U94" s="156">
        <v>2.7863415866666665</v>
      </c>
      <c r="V94" s="140">
        <v>0.5024501399348491</v>
      </c>
      <c r="W94" s="67" t="s">
        <v>79</v>
      </c>
    </row>
    <row r="95" spans="1:23" x14ac:dyDescent="0.25">
      <c r="A95" t="s">
        <v>70</v>
      </c>
      <c r="B95">
        <v>1</v>
      </c>
      <c r="C95" s="138">
        <v>43646</v>
      </c>
      <c r="D95" s="139">
        <v>3050.81517379563</v>
      </c>
      <c r="E95" s="139">
        <v>4.2716350868934132</v>
      </c>
      <c r="F95" s="139">
        <v>1.3362700000000001</v>
      </c>
      <c r="G95" s="139">
        <v>1.2125975</v>
      </c>
      <c r="H95" s="139">
        <v>0.6164117799670763</v>
      </c>
      <c r="I95" s="139">
        <v>17.669612966339987</v>
      </c>
      <c r="J95" s="139">
        <v>32.0027075</v>
      </c>
      <c r="K95" s="139">
        <v>29.022384665474998</v>
      </c>
      <c r="L95" s="139">
        <v>19.890417500000002</v>
      </c>
      <c r="M95" s="139">
        <v>0.14423420738974971</v>
      </c>
      <c r="N95" s="139">
        <v>68.723826792699995</v>
      </c>
      <c r="O95" s="139">
        <v>20.669671087899999</v>
      </c>
      <c r="P95" s="139">
        <v>17.351569999999999</v>
      </c>
      <c r="Q95" s="140">
        <v>1.6648113790970935</v>
      </c>
      <c r="R95" s="141">
        <v>8345.7999999999993</v>
      </c>
      <c r="S95" s="140">
        <v>0.67323866795986098</v>
      </c>
      <c r="T95" s="142">
        <v>68.5923960580147</v>
      </c>
      <c r="U95" s="156">
        <v>39.316403415000003</v>
      </c>
      <c r="V95" s="140">
        <v>0.83195543427298846</v>
      </c>
      <c r="W95" s="67" t="s">
        <v>70</v>
      </c>
    </row>
    <row r="96" spans="1:23" x14ac:dyDescent="0.25">
      <c r="A96" t="s">
        <v>49</v>
      </c>
      <c r="B96">
        <v>1</v>
      </c>
      <c r="C96" s="138">
        <v>43646</v>
      </c>
      <c r="D96" s="139">
        <v>119.547150826875</v>
      </c>
      <c r="E96" s="139">
        <v>2.6086829813296886</v>
      </c>
      <c r="F96" s="139">
        <v>0.75084499999999998</v>
      </c>
      <c r="G96" s="139">
        <v>0.68803250000000005</v>
      </c>
      <c r="H96" s="139">
        <v>0.87628057402575843</v>
      </c>
      <c r="I96" s="139">
        <v>38.407005156702823</v>
      </c>
      <c r="J96" s="139" t="s">
        <v>235</v>
      </c>
      <c r="K96" s="139">
        <v>3.605455927925</v>
      </c>
      <c r="L96" s="139">
        <v>19.006852500000001</v>
      </c>
      <c r="M96" s="139">
        <v>0.12400338428711721</v>
      </c>
      <c r="N96" s="139">
        <v>55.712721899500004</v>
      </c>
      <c r="O96" s="139">
        <v>21.369474540100001</v>
      </c>
      <c r="P96" s="139">
        <v>15.77112</v>
      </c>
      <c r="Q96" s="140">
        <v>73.248349525358236</v>
      </c>
      <c r="R96" s="141">
        <v>3803.5079999999998</v>
      </c>
      <c r="S96" s="140">
        <v>0.37738072049836058</v>
      </c>
      <c r="T96" s="142">
        <v>3.1238132486735175</v>
      </c>
      <c r="U96" s="156">
        <v>19.770399000000001</v>
      </c>
      <c r="V96" s="140">
        <v>0.74992203379092692</v>
      </c>
      <c r="W96" s="67" t="s">
        <v>49</v>
      </c>
    </row>
    <row r="97" spans="1:23" x14ac:dyDescent="0.25">
      <c r="A97" t="s">
        <v>78</v>
      </c>
      <c r="B97">
        <v>1</v>
      </c>
      <c r="C97" s="138">
        <v>43555</v>
      </c>
      <c r="D97" s="139">
        <v>52.083622612249997</v>
      </c>
      <c r="E97" s="139">
        <v>1.8633046600803662</v>
      </c>
      <c r="F97" s="139">
        <v>3.5753575</v>
      </c>
      <c r="G97" s="139">
        <v>3.5753575</v>
      </c>
      <c r="H97" s="139">
        <v>0.65140358316022318</v>
      </c>
      <c r="I97" s="141" t="s">
        <v>235</v>
      </c>
      <c r="J97" s="139">
        <v>59.195709999999998</v>
      </c>
      <c r="K97" s="139">
        <v>56.358476930750001</v>
      </c>
      <c r="L97" s="139">
        <v>31.812909999999999</v>
      </c>
      <c r="M97" s="139">
        <v>0.11365531660872148</v>
      </c>
      <c r="N97" s="139">
        <v>35.798521133999998</v>
      </c>
      <c r="O97" s="139">
        <v>20.391058012999999</v>
      </c>
      <c r="P97" s="139">
        <v>6.7612500000000004</v>
      </c>
      <c r="Q97" s="140">
        <v>0.15544532466900307</v>
      </c>
      <c r="R97" s="141">
        <v>1652.6494</v>
      </c>
      <c r="S97" s="140">
        <v>-4.524974425653518</v>
      </c>
      <c r="T97" s="142">
        <v>30.551039876241287</v>
      </c>
      <c r="U97" s="156">
        <v>4.3471535250000004</v>
      </c>
      <c r="V97" s="140">
        <v>0.62295754399227277</v>
      </c>
      <c r="W97" s="67" t="s">
        <v>78</v>
      </c>
    </row>
    <row r="98" spans="1:23" x14ac:dyDescent="0.25">
      <c r="A98" t="s">
        <v>12</v>
      </c>
      <c r="B98">
        <v>1</v>
      </c>
      <c r="C98" s="138">
        <v>43555</v>
      </c>
      <c r="D98" s="143">
        <v>100.80693897625</v>
      </c>
      <c r="E98" s="143">
        <v>3.2184635027889272</v>
      </c>
      <c r="F98" s="139">
        <v>0.8374625</v>
      </c>
      <c r="G98" s="139">
        <v>0.83730000000000004</v>
      </c>
      <c r="H98" s="139">
        <v>0.95105753236704738</v>
      </c>
      <c r="I98" s="141">
        <v>14410.746370374072</v>
      </c>
      <c r="J98" s="139" t="s">
        <v>235</v>
      </c>
      <c r="K98" s="139">
        <v>12.584638804500001</v>
      </c>
      <c r="L98" s="139">
        <v>-2.9409800000000001</v>
      </c>
      <c r="M98" s="139">
        <v>-4.5640497197695536E-2</v>
      </c>
      <c r="N98" s="139">
        <v>1.403641728</v>
      </c>
      <c r="O98" s="139">
        <v>0.56345018800000002</v>
      </c>
      <c r="P98" s="139">
        <v>5.0000000000000001E-9</v>
      </c>
      <c r="Q98" s="140">
        <v>-1.0970910985331996</v>
      </c>
      <c r="R98" s="141">
        <v>993.18299999999999</v>
      </c>
      <c r="S98" s="140">
        <v>-1.4701794460814024</v>
      </c>
      <c r="T98" s="142">
        <v>3.7588682004826102</v>
      </c>
      <c r="U98" s="156">
        <v>10.453952333333334</v>
      </c>
      <c r="V98" s="140">
        <v>0.69057117764301745</v>
      </c>
      <c r="W98" s="67" t="s">
        <v>12</v>
      </c>
    </row>
    <row r="99" spans="1:23" x14ac:dyDescent="0.25">
      <c r="A99" t="s">
        <v>24</v>
      </c>
      <c r="B99">
        <v>1</v>
      </c>
      <c r="C99" s="138">
        <v>43555</v>
      </c>
      <c r="D99" s="143">
        <v>0</v>
      </c>
      <c r="E99" s="143">
        <v>4.0326458271590662</v>
      </c>
      <c r="F99" s="139">
        <v>1.0743324999999999</v>
      </c>
      <c r="G99" s="139">
        <v>1.0594275</v>
      </c>
      <c r="H99" s="139">
        <v>1.3743577606134274</v>
      </c>
      <c r="I99" s="139">
        <v>191.80559066384657</v>
      </c>
      <c r="J99" s="139">
        <v>31.800337500000001</v>
      </c>
      <c r="K99" s="139">
        <v>19.891491532875001</v>
      </c>
      <c r="L99" s="139">
        <v>9.5204125000000008</v>
      </c>
      <c r="M99" s="139">
        <v>0.10542428409019938</v>
      </c>
      <c r="N99" s="139">
        <v>79.476417772999994</v>
      </c>
      <c r="O99" s="139">
        <v>22.889659371</v>
      </c>
      <c r="P99" s="139">
        <v>8.4660799999999998</v>
      </c>
      <c r="Q99" s="140">
        <v>-1.08616517325766</v>
      </c>
      <c r="R99" s="141">
        <v>1243.82014</v>
      </c>
      <c r="S99" s="140">
        <v>1.8364964811430879</v>
      </c>
      <c r="T99" s="142">
        <v>5.4502085323376086</v>
      </c>
      <c r="U99" s="156">
        <v>5.9961262133333326</v>
      </c>
      <c r="V99" s="140">
        <v>0.82697055086440674</v>
      </c>
      <c r="W99" s="67" t="s">
        <v>24</v>
      </c>
    </row>
    <row r="100" spans="1:23" x14ac:dyDescent="0.25">
      <c r="A100" t="s">
        <v>23</v>
      </c>
      <c r="B100">
        <v>1</v>
      </c>
      <c r="C100" s="138">
        <v>43585</v>
      </c>
      <c r="D100" s="143">
        <v>112.396975802725</v>
      </c>
      <c r="E100" s="143">
        <v>2.6999220348637119</v>
      </c>
      <c r="F100" s="139">
        <v>3.4851725</v>
      </c>
      <c r="G100" s="139">
        <v>3.4035424999999999</v>
      </c>
      <c r="H100" s="139">
        <v>0.46094318088095732</v>
      </c>
      <c r="I100" s="156">
        <v>36.381740365729335</v>
      </c>
      <c r="J100" s="139" t="s">
        <v>235</v>
      </c>
      <c r="K100" s="139">
        <v>42.834592898700002</v>
      </c>
      <c r="L100" s="139">
        <v>1.9989425000000001</v>
      </c>
      <c r="M100" s="139">
        <v>-4.1890535761645892E-2</v>
      </c>
      <c r="N100" s="139">
        <v>10.8577468504</v>
      </c>
      <c r="O100" s="139">
        <v>4.4323210416999999</v>
      </c>
      <c r="P100" s="139">
        <v>5.7534700000000001</v>
      </c>
      <c r="Q100" s="140">
        <v>-6.2659667651822071E-2</v>
      </c>
      <c r="R100" s="141">
        <v>1099.2555379999999</v>
      </c>
      <c r="S100" s="140">
        <v>-2.4382637571121961</v>
      </c>
      <c r="T100" s="142">
        <v>1.5724117446842305</v>
      </c>
      <c r="U100" s="156">
        <v>4.6369383866666674</v>
      </c>
      <c r="V100" s="140">
        <v>0.75815991267197935</v>
      </c>
      <c r="W100" s="67" t="s">
        <v>23</v>
      </c>
    </row>
    <row r="101" spans="1:23" x14ac:dyDescent="0.25">
      <c r="A101" t="s">
        <v>32</v>
      </c>
      <c r="B101">
        <v>1</v>
      </c>
      <c r="C101" s="138">
        <v>43555</v>
      </c>
      <c r="D101" s="143">
        <v>0</v>
      </c>
      <c r="E101" s="143">
        <v>1.8851895181989999</v>
      </c>
      <c r="F101" s="139">
        <v>1.1745699999999999</v>
      </c>
      <c r="G101" s="139">
        <v>1.170455</v>
      </c>
      <c r="H101" s="139">
        <v>1.4195682213269507</v>
      </c>
      <c r="I101" s="156">
        <v>726.20208981135056</v>
      </c>
      <c r="J101" s="139">
        <v>33.764082500000001</v>
      </c>
      <c r="K101" s="139">
        <v>21.522116568525</v>
      </c>
      <c r="L101" s="139">
        <v>12.630735</v>
      </c>
      <c r="M101" s="139">
        <v>3.7832425207202765E-2</v>
      </c>
      <c r="N101" s="139">
        <v>36.835565332000002</v>
      </c>
      <c r="O101" s="139">
        <v>20.084092869999999</v>
      </c>
      <c r="P101" s="139">
        <v>5.4915200000000004</v>
      </c>
      <c r="Q101" s="140">
        <v>-0.43236087921136301</v>
      </c>
      <c r="R101" s="141">
        <v>521.81299999999999</v>
      </c>
      <c r="S101" s="140">
        <v>1.062677884386475</v>
      </c>
      <c r="T101" s="142">
        <v>4.1688824820141521</v>
      </c>
      <c r="U101" s="156">
        <v>2.6319888333333337</v>
      </c>
      <c r="V101" s="140">
        <v>0.87927199732347616</v>
      </c>
      <c r="W101" s="67" t="s">
        <v>32</v>
      </c>
    </row>
    <row r="102" spans="1:23" x14ac:dyDescent="0.25">
      <c r="A102" t="s">
        <v>61</v>
      </c>
      <c r="B102">
        <v>1</v>
      </c>
      <c r="C102" s="138">
        <v>43646</v>
      </c>
      <c r="D102" s="143">
        <v>38.4498758059</v>
      </c>
      <c r="E102" s="143">
        <v>1.8550299484587105</v>
      </c>
      <c r="F102" s="139">
        <v>1.1855074999999999</v>
      </c>
      <c r="G102" s="139">
        <v>1.1636575</v>
      </c>
      <c r="H102" s="139">
        <v>0.35579261963486125</v>
      </c>
      <c r="I102" s="139">
        <v>46.30414987769899</v>
      </c>
      <c r="J102" s="139" t="s">
        <v>235</v>
      </c>
      <c r="K102" s="156">
        <v>52.053172485425002</v>
      </c>
      <c r="L102" s="139">
        <v>52.169589999999999</v>
      </c>
      <c r="M102" s="139">
        <v>-0.27210178187387968</v>
      </c>
      <c r="N102" s="139">
        <v>28.925194741199999</v>
      </c>
      <c r="O102" s="139">
        <v>14.761414157100001</v>
      </c>
      <c r="P102" s="139">
        <v>5.7389799999999997</v>
      </c>
      <c r="Q102" s="140">
        <v>-0.16040653871017307</v>
      </c>
      <c r="R102" s="141">
        <v>5122.5446000000002</v>
      </c>
      <c r="S102" s="140">
        <v>1.8589171233875237</v>
      </c>
      <c r="T102" s="142">
        <v>1.2706192475295517</v>
      </c>
      <c r="U102" s="156">
        <v>5.4199331666666666</v>
      </c>
      <c r="V102" s="140">
        <v>0.94030652584140495</v>
      </c>
      <c r="W102" s="67" t="s">
        <v>61</v>
      </c>
    </row>
    <row r="103" spans="1:23" x14ac:dyDescent="0.25">
      <c r="A103" t="s">
        <v>26</v>
      </c>
      <c r="B103">
        <v>1</v>
      </c>
      <c r="C103" s="138">
        <v>43646</v>
      </c>
      <c r="D103" s="143">
        <v>76.638439106575007</v>
      </c>
      <c r="E103" s="143">
        <v>2.8048387097593483</v>
      </c>
      <c r="F103" s="139">
        <v>1.0649900000000001</v>
      </c>
      <c r="G103" s="139">
        <v>1.0118799999999999</v>
      </c>
      <c r="H103" s="139">
        <v>0.63370156268621591</v>
      </c>
      <c r="I103" s="139">
        <v>27.115929142999502</v>
      </c>
      <c r="J103" s="139">
        <v>40.242892500000004</v>
      </c>
      <c r="K103" s="139">
        <v>33.925187375</v>
      </c>
      <c r="L103" s="139">
        <v>38.305669999999999</v>
      </c>
      <c r="M103" s="139">
        <v>0.52939417984805737</v>
      </c>
      <c r="N103" s="139">
        <v>128.06697705939999</v>
      </c>
      <c r="O103" s="139">
        <v>41.393940608500003</v>
      </c>
      <c r="P103" s="139">
        <v>6.8231000000000002</v>
      </c>
      <c r="Q103" s="140">
        <v>-1.0084498816312406</v>
      </c>
      <c r="R103" s="141">
        <v>1121.013672</v>
      </c>
      <c r="S103" s="140">
        <v>-2.707277162348849</v>
      </c>
      <c r="T103" s="142">
        <v>2.2973832810646075</v>
      </c>
      <c r="U103" s="156">
        <v>2.5932683016666664</v>
      </c>
      <c r="V103" s="140">
        <v>0.40981935269475955</v>
      </c>
      <c r="W103" s="67" t="s">
        <v>26</v>
      </c>
    </row>
    <row r="104" spans="1:23" x14ac:dyDescent="0.25">
      <c r="A104" s="69" t="s">
        <v>121</v>
      </c>
      <c r="B104" s="70"/>
      <c r="C104" s="157"/>
      <c r="D104" s="145">
        <v>358.11789445624549</v>
      </c>
      <c r="E104" s="145">
        <v>2.8621441363483786</v>
      </c>
      <c r="F104" s="146">
        <v>1.5452012500000001</v>
      </c>
      <c r="G104" s="146">
        <v>1.5081484999999999</v>
      </c>
      <c r="H104" s="146">
        <v>0.9282912769031485</v>
      </c>
      <c r="I104" s="165">
        <v>1757.9084081181513</v>
      </c>
      <c r="J104" s="146">
        <v>39.401145999999997</v>
      </c>
      <c r="K104" s="146">
        <v>28.697033344617502</v>
      </c>
      <c r="L104" s="146">
        <v>19.149324249999999</v>
      </c>
      <c r="M104" s="146">
        <v>7.2837403972374398E-2</v>
      </c>
      <c r="N104" s="146">
        <v>51.51023506352</v>
      </c>
      <c r="O104" s="146">
        <v>18.631204806230002</v>
      </c>
      <c r="P104" s="146">
        <v>7.6910700004999999</v>
      </c>
      <c r="Q104" s="147">
        <v>7.1621786757953858</v>
      </c>
      <c r="R104" s="148">
        <v>2438.7735798000003</v>
      </c>
      <c r="S104" s="147">
        <v>-0.87669247538032757</v>
      </c>
      <c r="T104" s="149">
        <v>12.444323281159166</v>
      </c>
      <c r="U104" s="165">
        <v>9.7952504761666681</v>
      </c>
      <c r="V104" s="147">
        <v>0.72123846690300819</v>
      </c>
      <c r="W104" s="78" t="s">
        <v>122</v>
      </c>
    </row>
    <row r="105" spans="1:23" x14ac:dyDescent="0.25">
      <c r="C105" s="138"/>
      <c r="D105" s="143"/>
      <c r="E105" s="143"/>
      <c r="F105" s="139"/>
      <c r="G105" s="139"/>
      <c r="H105" s="139"/>
      <c r="I105" s="139"/>
      <c r="J105" s="139"/>
      <c r="K105" s="139"/>
      <c r="L105" s="139"/>
      <c r="M105" s="139"/>
      <c r="N105" s="139"/>
      <c r="O105" s="139"/>
      <c r="P105" s="139"/>
      <c r="Q105" s="142"/>
      <c r="R105" s="141"/>
      <c r="S105" s="142"/>
      <c r="T105" s="142"/>
      <c r="U105" s="156"/>
      <c r="V105" s="140"/>
      <c r="W105" s="67"/>
    </row>
    <row r="106" spans="1:23" x14ac:dyDescent="0.25">
      <c r="A106" s="57" t="s">
        <v>131</v>
      </c>
      <c r="B106" s="82"/>
      <c r="C106" s="158"/>
      <c r="D106" s="151"/>
      <c r="E106" s="151"/>
      <c r="F106" s="152"/>
      <c r="G106" s="152"/>
      <c r="H106" s="152"/>
      <c r="I106" s="152"/>
      <c r="J106" s="152"/>
      <c r="K106" s="152"/>
      <c r="L106" s="152"/>
      <c r="M106" s="152"/>
      <c r="N106" s="152"/>
      <c r="O106" s="152"/>
      <c r="P106" s="152"/>
      <c r="Q106" s="155"/>
      <c r="R106" s="154"/>
      <c r="S106" s="155"/>
      <c r="T106" s="155"/>
      <c r="U106" s="167"/>
      <c r="V106" s="153"/>
      <c r="W106" s="88"/>
    </row>
    <row r="107" spans="1:23" x14ac:dyDescent="0.25">
      <c r="A107" t="s">
        <v>42</v>
      </c>
      <c r="B107">
        <v>1</v>
      </c>
      <c r="C107" s="138">
        <v>43496</v>
      </c>
      <c r="D107" s="143">
        <v>1.24185202525</v>
      </c>
      <c r="E107" s="143">
        <v>1.2284857927571644</v>
      </c>
      <c r="F107" s="139">
        <v>3.4824099999999998</v>
      </c>
      <c r="G107" s="139">
        <v>3.3879800000000002</v>
      </c>
      <c r="H107" s="139">
        <v>0.57687892992390555</v>
      </c>
      <c r="I107" s="139">
        <v>19.902260615196163</v>
      </c>
      <c r="J107" s="139">
        <v>48.732669999999999</v>
      </c>
      <c r="K107" s="139">
        <v>25.17089945575</v>
      </c>
      <c r="L107" s="139">
        <v>20.290054999999999</v>
      </c>
      <c r="M107" s="139">
        <v>0.20853825779076565</v>
      </c>
      <c r="N107" s="139">
        <v>14.391883801000001</v>
      </c>
      <c r="O107" s="139">
        <v>11.455829201</v>
      </c>
      <c r="P107" s="139">
        <v>0.23630999999999999</v>
      </c>
      <c r="Q107" s="140">
        <v>-0.70088713621980625</v>
      </c>
      <c r="R107" s="141">
        <v>286.15612199999998</v>
      </c>
      <c r="S107" s="140">
        <v>0.44930733388877098</v>
      </c>
      <c r="T107" s="142">
        <v>0.88618285913490091</v>
      </c>
      <c r="U107" s="156">
        <v>0.95505934333333342</v>
      </c>
      <c r="V107" s="140">
        <v>0.37320082407059463</v>
      </c>
      <c r="W107" s="67" t="s">
        <v>42</v>
      </c>
    </row>
    <row r="108" spans="1:23" x14ac:dyDescent="0.25">
      <c r="A108" s="69" t="s">
        <v>121</v>
      </c>
      <c r="B108" s="70"/>
      <c r="C108" s="157"/>
      <c r="D108" s="146">
        <v>1.24185202525</v>
      </c>
      <c r="E108" s="146">
        <v>1.2284857927571644</v>
      </c>
      <c r="F108" s="146">
        <v>3.4824099999999998</v>
      </c>
      <c r="G108" s="146">
        <v>3.3879800000000002</v>
      </c>
      <c r="H108" s="146">
        <v>0.57687892992390555</v>
      </c>
      <c r="I108" s="146">
        <v>19.902260615196163</v>
      </c>
      <c r="J108" s="146">
        <v>48.732669999999999</v>
      </c>
      <c r="K108" s="146">
        <v>25.17089945575</v>
      </c>
      <c r="L108" s="146">
        <v>20.290054999999999</v>
      </c>
      <c r="M108" s="146">
        <v>0.20853825779076565</v>
      </c>
      <c r="N108" s="146">
        <v>14.391883801000001</v>
      </c>
      <c r="O108" s="146">
        <v>11.455829201</v>
      </c>
      <c r="P108" s="146">
        <v>0.23630999999999999</v>
      </c>
      <c r="Q108" s="147">
        <v>-0.70088713621980625</v>
      </c>
      <c r="R108" s="148">
        <v>286.15612199999998</v>
      </c>
      <c r="S108" s="149">
        <v>0.44930733388877098</v>
      </c>
      <c r="T108" s="149">
        <v>0.88618285913490091</v>
      </c>
      <c r="U108" s="165">
        <v>0.95505934333333342</v>
      </c>
      <c r="V108" s="147">
        <v>0.37320082407059463</v>
      </c>
      <c r="W108" s="78" t="s">
        <v>122</v>
      </c>
    </row>
    <row r="109" spans="1:23" x14ac:dyDescent="0.25">
      <c r="C109" s="138"/>
      <c r="D109" s="139"/>
      <c r="E109" s="139"/>
      <c r="F109" s="139"/>
      <c r="G109" s="139"/>
      <c r="H109" s="139"/>
      <c r="I109" s="139"/>
      <c r="J109" s="139"/>
      <c r="K109" s="139"/>
      <c r="L109" s="139"/>
      <c r="M109" s="139"/>
      <c r="N109" s="139"/>
      <c r="O109" s="139"/>
      <c r="P109" s="139"/>
      <c r="Q109" s="142"/>
      <c r="R109" s="141"/>
      <c r="S109" s="142"/>
      <c r="T109" s="142"/>
      <c r="U109" s="156"/>
      <c r="V109" s="140"/>
      <c r="W109" s="67"/>
    </row>
    <row r="110" spans="1:23" x14ac:dyDescent="0.25">
      <c r="A110" s="57" t="s">
        <v>132</v>
      </c>
      <c r="B110" s="82"/>
      <c r="C110" s="158"/>
      <c r="D110" s="152"/>
      <c r="E110" s="152"/>
      <c r="F110" s="152"/>
      <c r="G110" s="152"/>
      <c r="H110" s="152"/>
      <c r="I110" s="152"/>
      <c r="J110" s="152"/>
      <c r="K110" s="152"/>
      <c r="L110" s="152"/>
      <c r="M110" s="152"/>
      <c r="N110" s="152"/>
      <c r="O110" s="152"/>
      <c r="P110" s="152"/>
      <c r="Q110" s="155"/>
      <c r="R110" s="154"/>
      <c r="S110" s="155"/>
      <c r="T110" s="155"/>
      <c r="U110" s="167"/>
      <c r="V110" s="153"/>
      <c r="W110" s="88"/>
    </row>
    <row r="111" spans="1:23" x14ac:dyDescent="0.25">
      <c r="A111" t="s">
        <v>365</v>
      </c>
      <c r="B111">
        <v>1</v>
      </c>
      <c r="C111" s="138">
        <v>43646</v>
      </c>
      <c r="D111" s="143">
        <v>334.62236350812498</v>
      </c>
      <c r="E111" s="143">
        <v>6.6211416195067425</v>
      </c>
      <c r="F111" s="139">
        <v>0.81733250000000002</v>
      </c>
      <c r="G111" s="139">
        <v>0.76073999999999997</v>
      </c>
      <c r="H111" s="139">
        <v>19.29484113701529</v>
      </c>
      <c r="I111" s="139">
        <v>11.328818590187266</v>
      </c>
      <c r="J111" s="139">
        <v>73.255705000000006</v>
      </c>
      <c r="K111" s="139">
        <v>13.850652428125001</v>
      </c>
      <c r="L111" s="139">
        <v>7.0627874999999998</v>
      </c>
      <c r="M111" s="139">
        <v>7.6443617613711504E-2</v>
      </c>
      <c r="N111" s="139">
        <v>21.635512589099999</v>
      </c>
      <c r="O111" s="139">
        <v>3.5430796551000001</v>
      </c>
      <c r="P111" s="139">
        <v>30.186729888705099</v>
      </c>
      <c r="Q111" s="140">
        <v>-7.5336653458232816E-2</v>
      </c>
      <c r="R111" s="141">
        <v>67917.309504939054</v>
      </c>
      <c r="S111" s="140">
        <v>0.28423230325362492</v>
      </c>
      <c r="T111" s="142" t="s">
        <v>235</v>
      </c>
      <c r="U111" s="156">
        <v>976.63352155403777</v>
      </c>
      <c r="V111" s="140">
        <v>0.32670199805907196</v>
      </c>
      <c r="W111" s="67" t="s">
        <v>365</v>
      </c>
    </row>
    <row r="112" spans="1:23" x14ac:dyDescent="0.25">
      <c r="A112" t="s">
        <v>19</v>
      </c>
      <c r="B112">
        <v>1</v>
      </c>
      <c r="C112" s="138">
        <v>43465</v>
      </c>
      <c r="D112" s="139">
        <v>50.408055992249999</v>
      </c>
      <c r="E112" s="139">
        <v>1.8528495125403346</v>
      </c>
      <c r="F112" s="139">
        <v>0.50993999999999995</v>
      </c>
      <c r="G112" s="139">
        <v>0.4699275</v>
      </c>
      <c r="H112" s="139">
        <v>0.62466452058970034</v>
      </c>
      <c r="I112" s="139">
        <v>24.659383035903559</v>
      </c>
      <c r="J112" s="139">
        <v>75.960852500000001</v>
      </c>
      <c r="K112" s="139">
        <v>18.3999994745</v>
      </c>
      <c r="L112" s="139">
        <v>-4.4058700000000002</v>
      </c>
      <c r="M112" s="139">
        <v>-0.22644394987086869</v>
      </c>
      <c r="N112" s="139">
        <v>4.2561059930000003</v>
      </c>
      <c r="O112" s="139">
        <v>2.5789260380000001</v>
      </c>
      <c r="P112" s="139">
        <v>2.45811</v>
      </c>
      <c r="Q112" s="140">
        <v>2.7462162754990129</v>
      </c>
      <c r="R112" s="141">
        <v>5421</v>
      </c>
      <c r="S112" s="140">
        <v>0.10578965299419041</v>
      </c>
      <c r="T112" s="142">
        <v>0.46051434800007618</v>
      </c>
      <c r="U112" s="156">
        <v>64.661000000000001</v>
      </c>
      <c r="V112" s="140">
        <v>0.43778573270717458</v>
      </c>
      <c r="W112" s="67" t="s">
        <v>19</v>
      </c>
    </row>
    <row r="113" spans="1:23" x14ac:dyDescent="0.25">
      <c r="A113" t="s">
        <v>71</v>
      </c>
      <c r="B113">
        <v>1</v>
      </c>
      <c r="C113" s="138">
        <v>43646</v>
      </c>
      <c r="D113" s="139">
        <v>146.22736144064999</v>
      </c>
      <c r="E113" s="139">
        <v>4.6697407166279428</v>
      </c>
      <c r="F113" s="139">
        <v>0.60770749999999996</v>
      </c>
      <c r="G113" s="139">
        <v>0.56179500000000004</v>
      </c>
      <c r="H113" s="139">
        <v>0.50810286740460109</v>
      </c>
      <c r="I113" s="139">
        <v>17.673665238095939</v>
      </c>
      <c r="J113" s="139">
        <v>85.118907500000006</v>
      </c>
      <c r="K113" s="139">
        <v>11.432738359175</v>
      </c>
      <c r="L113" s="139">
        <v>-0.36554999999999999</v>
      </c>
      <c r="M113" s="139">
        <v>0.1124240395120404</v>
      </c>
      <c r="N113" s="139">
        <v>7.2526315070000003</v>
      </c>
      <c r="O113" s="139">
        <v>4.6367450301000002</v>
      </c>
      <c r="P113" s="139">
        <v>29.351040000000001</v>
      </c>
      <c r="Q113" s="140">
        <v>13.497354497354497</v>
      </c>
      <c r="R113" s="141">
        <v>965.75</v>
      </c>
      <c r="S113" s="140" t="s">
        <v>235</v>
      </c>
      <c r="T113" s="142" t="s">
        <v>235</v>
      </c>
      <c r="U113" s="156">
        <v>106.34950000000001</v>
      </c>
      <c r="V113" s="140" t="s">
        <v>235</v>
      </c>
      <c r="W113" s="67" t="s">
        <v>71</v>
      </c>
    </row>
    <row r="114" spans="1:23" x14ac:dyDescent="0.25">
      <c r="A114" t="s">
        <v>8</v>
      </c>
      <c r="B114">
        <v>1</v>
      </c>
      <c r="C114" s="138">
        <v>43555</v>
      </c>
      <c r="D114" s="139">
        <v>22.888550850249999</v>
      </c>
      <c r="E114" s="139">
        <v>2.1655588006872319</v>
      </c>
      <c r="F114" s="139">
        <v>1.33473</v>
      </c>
      <c r="G114" s="139">
        <v>1.1531324999999999</v>
      </c>
      <c r="H114" s="139">
        <v>1.4190413198855263</v>
      </c>
      <c r="I114" s="139" t="s">
        <v>235</v>
      </c>
      <c r="J114" s="139">
        <v>35.061979999999998</v>
      </c>
      <c r="K114" s="139">
        <v>5.7277556037500004</v>
      </c>
      <c r="L114" s="139">
        <v>-2.2239724999999999</v>
      </c>
      <c r="M114" s="139">
        <v>-5.8486327661458941E-2</v>
      </c>
      <c r="N114" s="139">
        <v>-17.482215575000001</v>
      </c>
      <c r="O114" s="139">
        <v>-8.6768079040000003</v>
      </c>
      <c r="P114" s="139">
        <v>-10.258010000000001</v>
      </c>
      <c r="Q114" s="140">
        <v>0.84816820805523152</v>
      </c>
      <c r="R114" s="141">
        <v>-1093.8421860000001</v>
      </c>
      <c r="S114" s="140">
        <v>-2.1497353576633342</v>
      </c>
      <c r="T114" s="142">
        <v>1.372277301530606</v>
      </c>
      <c r="U114" s="156">
        <v>15.947032538333334</v>
      </c>
      <c r="V114" s="140">
        <v>6.4288295430916076E-2</v>
      </c>
      <c r="W114" s="67" t="s">
        <v>8</v>
      </c>
    </row>
    <row r="115" spans="1:23" x14ac:dyDescent="0.25">
      <c r="A115" s="110" t="s">
        <v>121</v>
      </c>
      <c r="B115" s="111"/>
      <c r="C115" s="111"/>
      <c r="D115" s="171">
        <v>138.53658294781874</v>
      </c>
      <c r="E115" s="171">
        <v>3.8273226623405634</v>
      </c>
      <c r="F115" s="172">
        <v>0.81742749999999997</v>
      </c>
      <c r="G115" s="172">
        <v>0.73639874999999999</v>
      </c>
      <c r="H115" s="172">
        <v>5.4616624612237796</v>
      </c>
      <c r="I115" s="172">
        <v>17.88728895472892</v>
      </c>
      <c r="J115" s="172">
        <v>67.349361250000001</v>
      </c>
      <c r="K115" s="172">
        <v>12.352786466387499</v>
      </c>
      <c r="L115" s="172">
        <v>1.6848749999999968E-2</v>
      </c>
      <c r="M115" s="172">
        <v>-2.4015655101643933E-2</v>
      </c>
      <c r="N115" s="172">
        <v>3.9155086285249991</v>
      </c>
      <c r="O115" s="172">
        <v>0.5204857048</v>
      </c>
      <c r="P115" s="172">
        <v>12.934467472176276</v>
      </c>
      <c r="Q115" s="173">
        <v>4.2541005818626267</v>
      </c>
      <c r="R115" s="174">
        <v>18302.554329734765</v>
      </c>
      <c r="S115" s="173">
        <v>-0.58657113380517301</v>
      </c>
      <c r="T115" s="175">
        <v>0.91639582476534109</v>
      </c>
      <c r="U115" s="176">
        <v>290.89776352309281</v>
      </c>
      <c r="V115" s="173">
        <v>0.27625867539905419</v>
      </c>
      <c r="W115" s="117" t="s">
        <v>122</v>
      </c>
    </row>
    <row r="116" spans="1:23" x14ac:dyDescent="0.25">
      <c r="A116" s="122"/>
      <c r="D116" s="177"/>
      <c r="E116" s="177"/>
      <c r="W116" s="122"/>
    </row>
    <row r="117" spans="1:23" x14ac:dyDescent="0.25">
      <c r="A117" s="122" t="s">
        <v>134</v>
      </c>
      <c r="D117" s="177"/>
      <c r="E117" s="177"/>
      <c r="W117" s="122"/>
    </row>
    <row r="118" spans="1:23" x14ac:dyDescent="0.25">
      <c r="D118" s="177"/>
      <c r="E118" s="177"/>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verticalCentered="1"/>
  <pageMargins left="0.25" right="0.25" top="0.4" bottom="0.5" header="0.3" footer="0.3"/>
  <pageSetup paperSize="9" scale="75"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AK119"/>
  <sheetViews>
    <sheetView view="pageBreakPreview" zoomScaleNormal="100" zoomScaleSheetLayoutView="100" workbookViewId="0">
      <selection sqref="A1:XFD1048576"/>
    </sheetView>
  </sheetViews>
  <sheetFormatPr baseColWidth="10" defaultRowHeight="15" x14ac:dyDescent="0.25"/>
  <cols>
    <col min="1" max="1" width="9.7109375" customWidth="1"/>
    <col min="2" max="4" width="9.7109375" hidden="1" customWidth="1"/>
    <col min="5" max="5" width="9.7109375" customWidth="1"/>
    <col min="6" max="6" width="1.140625" customWidth="1"/>
    <col min="7" max="7" width="8.28515625" customWidth="1"/>
    <col min="8" max="8" width="8" customWidth="1"/>
    <col min="9" max="9" width="7.140625" customWidth="1"/>
    <col min="10" max="10" width="9.28515625" bestFit="1" customWidth="1"/>
    <col min="11" max="11" width="1.140625" style="38" customWidth="1"/>
    <col min="12" max="12" width="8.28515625" bestFit="1" customWidth="1"/>
    <col min="13" max="13" width="7.42578125" customWidth="1"/>
    <col min="14" max="14" width="7.28515625" customWidth="1"/>
    <col min="15" max="15" width="7.7109375" customWidth="1"/>
    <col min="16" max="16" width="1.5703125" style="38" customWidth="1"/>
    <col min="17" max="17" width="7.85546875" customWidth="1"/>
    <col min="18" max="18" width="8.28515625" bestFit="1" customWidth="1"/>
    <col min="19" max="19" width="7.7109375" bestFit="1" customWidth="1"/>
    <col min="20" max="20" width="8.28515625" bestFit="1" customWidth="1"/>
    <col min="21" max="21" width="1.28515625" style="38" customWidth="1"/>
    <col min="22" max="22" width="9.140625" customWidth="1"/>
    <col min="23" max="25" width="7.7109375" customWidth="1"/>
    <col min="26" max="26" width="1.42578125" style="38" hidden="1" customWidth="1"/>
    <col min="27" max="27" width="9.28515625" hidden="1" customWidth="1"/>
    <col min="28" max="28" width="8.140625" hidden="1" customWidth="1"/>
    <col min="29" max="29" width="7.7109375" hidden="1" customWidth="1"/>
    <col min="30" max="30" width="7.5703125" hidden="1" customWidth="1"/>
    <col min="31" max="31" width="0.42578125" style="38" customWidth="1"/>
    <col min="32" max="32" width="7.85546875" style="67" customWidth="1"/>
    <col min="33" max="33" width="11.85546875" bestFit="1" customWidth="1"/>
  </cols>
  <sheetData>
    <row r="1" spans="1:37" ht="26.25" x14ac:dyDescent="0.4">
      <c r="A1" s="178" t="s">
        <v>162</v>
      </c>
      <c r="B1" s="178"/>
      <c r="C1" s="178"/>
      <c r="D1" s="178"/>
      <c r="E1" s="178"/>
      <c r="F1" s="178"/>
      <c r="G1" s="178"/>
    </row>
    <row r="2" spans="1:37" x14ac:dyDescent="0.25">
      <c r="A2" s="179" t="s">
        <v>163</v>
      </c>
      <c r="B2" s="179"/>
      <c r="C2" s="179"/>
      <c r="D2" s="179"/>
      <c r="E2" s="179"/>
      <c r="F2" s="179"/>
      <c r="G2" s="179"/>
    </row>
    <row r="3" spans="1:37" ht="26.25" customHeight="1" x14ac:dyDescent="0.25">
      <c r="B3" s="180" t="s">
        <v>164</v>
      </c>
      <c r="C3" s="180" t="s">
        <v>165</v>
      </c>
      <c r="D3" s="180" t="s">
        <v>166</v>
      </c>
      <c r="E3" s="180" t="s">
        <v>167</v>
      </c>
      <c r="G3" s="180" t="s">
        <v>168</v>
      </c>
      <c r="H3" s="180" t="s">
        <v>169</v>
      </c>
      <c r="I3" s="180" t="s">
        <v>170</v>
      </c>
      <c r="J3" s="180" t="s">
        <v>171</v>
      </c>
      <c r="K3" s="181"/>
      <c r="L3" s="180" t="s">
        <v>172</v>
      </c>
      <c r="M3" s="181" t="s">
        <v>173</v>
      </c>
      <c r="N3" s="180" t="s">
        <v>174</v>
      </c>
      <c r="O3" s="180" t="s">
        <v>175</v>
      </c>
      <c r="P3" s="181"/>
      <c r="Q3" s="180" t="s">
        <v>176</v>
      </c>
      <c r="R3" s="180" t="s">
        <v>177</v>
      </c>
      <c r="S3" s="181" t="s">
        <v>178</v>
      </c>
      <c r="T3" s="180" t="s">
        <v>179</v>
      </c>
      <c r="U3" s="181"/>
      <c r="V3" s="180" t="s">
        <v>180</v>
      </c>
      <c r="W3" s="180" t="s">
        <v>181</v>
      </c>
      <c r="X3" s="180" t="s">
        <v>182</v>
      </c>
      <c r="Y3" s="181" t="s">
        <v>183</v>
      </c>
      <c r="Z3" s="181"/>
      <c r="AA3" s="180" t="s">
        <v>184</v>
      </c>
      <c r="AB3" s="180" t="s">
        <v>185</v>
      </c>
      <c r="AC3" s="180" t="s">
        <v>186</v>
      </c>
      <c r="AD3" s="180" t="s">
        <v>187</v>
      </c>
      <c r="AE3" s="182"/>
      <c r="AF3" s="183"/>
    </row>
    <row r="4" spans="1:37" ht="15.75" customHeight="1" x14ac:dyDescent="0.25">
      <c r="A4" s="184" t="s">
        <v>4</v>
      </c>
      <c r="B4" s="185">
        <v>2019</v>
      </c>
      <c r="C4" s="185"/>
      <c r="D4" s="185"/>
      <c r="E4" s="185"/>
      <c r="G4" s="185">
        <v>2018</v>
      </c>
      <c r="H4" s="185"/>
      <c r="I4" s="185"/>
      <c r="J4" s="185"/>
      <c r="K4" s="186"/>
      <c r="L4" s="185">
        <v>2017</v>
      </c>
      <c r="M4" s="185"/>
      <c r="N4" s="185"/>
      <c r="O4" s="185"/>
      <c r="P4" s="186"/>
      <c r="Q4" s="185">
        <v>2016</v>
      </c>
      <c r="R4" s="185"/>
      <c r="S4" s="185"/>
      <c r="T4" s="185"/>
      <c r="U4" s="186"/>
      <c r="V4" s="185">
        <v>2015</v>
      </c>
      <c r="W4" s="185"/>
      <c r="X4" s="185"/>
      <c r="Y4" s="185"/>
      <c r="Z4" s="186"/>
      <c r="AA4" s="185">
        <v>2014</v>
      </c>
      <c r="AB4" s="185"/>
      <c r="AC4" s="185"/>
      <c r="AD4" s="185"/>
      <c r="AE4" s="186"/>
      <c r="AF4" s="187" t="s">
        <v>4</v>
      </c>
    </row>
    <row r="5" spans="1:37" ht="17.25" customHeight="1" x14ac:dyDescent="0.25">
      <c r="A5" s="188"/>
      <c r="B5" s="189" t="s">
        <v>188</v>
      </c>
      <c r="C5" s="189" t="s">
        <v>189</v>
      </c>
      <c r="D5" s="189" t="s">
        <v>190</v>
      </c>
      <c r="E5" s="189" t="s">
        <v>191</v>
      </c>
      <c r="G5" s="189" t="s">
        <v>188</v>
      </c>
      <c r="H5" s="189" t="s">
        <v>189</v>
      </c>
      <c r="I5" s="189" t="s">
        <v>190</v>
      </c>
      <c r="J5" s="189" t="s">
        <v>191</v>
      </c>
      <c r="K5" s="190"/>
      <c r="L5" s="189" t="s">
        <v>188</v>
      </c>
      <c r="M5" s="189" t="s">
        <v>189</v>
      </c>
      <c r="N5" s="189" t="s">
        <v>190</v>
      </c>
      <c r="O5" s="189" t="s">
        <v>191</v>
      </c>
      <c r="P5" s="191"/>
      <c r="Q5" s="189" t="s">
        <v>192</v>
      </c>
      <c r="R5" s="189" t="s">
        <v>189</v>
      </c>
      <c r="S5" s="189" t="s">
        <v>190</v>
      </c>
      <c r="T5" s="189" t="s">
        <v>193</v>
      </c>
      <c r="U5" s="191"/>
      <c r="V5" s="189" t="s">
        <v>188</v>
      </c>
      <c r="W5" s="189" t="s">
        <v>189</v>
      </c>
      <c r="X5" s="189" t="s">
        <v>190</v>
      </c>
      <c r="Y5" s="189" t="s">
        <v>191</v>
      </c>
      <c r="Z5" s="191"/>
      <c r="AA5" s="189" t="s">
        <v>188</v>
      </c>
      <c r="AB5" s="189" t="s">
        <v>194</v>
      </c>
      <c r="AC5" s="189" t="s">
        <v>190</v>
      </c>
      <c r="AD5" s="189" t="s">
        <v>191</v>
      </c>
      <c r="AE5" s="191"/>
      <c r="AF5" s="192"/>
    </row>
    <row r="6" spans="1:37" x14ac:dyDescent="0.25">
      <c r="A6" s="193" t="s">
        <v>120</v>
      </c>
      <c r="B6" s="194"/>
      <c r="C6" s="194"/>
      <c r="D6" s="194"/>
      <c r="E6" s="194"/>
      <c r="G6" s="195"/>
      <c r="H6" s="195"/>
      <c r="I6" s="195"/>
      <c r="J6" s="196"/>
      <c r="K6" s="197"/>
      <c r="L6" s="198"/>
      <c r="M6" s="199"/>
      <c r="N6" s="199"/>
      <c r="O6" s="200"/>
      <c r="P6" s="197"/>
      <c r="Q6" s="198"/>
      <c r="R6" s="199"/>
      <c r="S6" s="199"/>
      <c r="T6" s="200"/>
      <c r="U6" s="197"/>
      <c r="V6" s="198"/>
      <c r="W6" s="199"/>
      <c r="X6" s="199"/>
      <c r="Y6" s="200"/>
      <c r="Z6" s="197"/>
      <c r="AA6" s="198"/>
      <c r="AB6" s="199"/>
      <c r="AC6" s="199"/>
      <c r="AD6" s="200"/>
      <c r="AE6" s="197"/>
      <c r="AF6" s="201"/>
    </row>
    <row r="7" spans="1:37" x14ac:dyDescent="0.25">
      <c r="A7" t="s">
        <v>35</v>
      </c>
      <c r="B7" s="202" t="s">
        <v>235</v>
      </c>
      <c r="C7" s="202" t="s">
        <v>235</v>
      </c>
      <c r="D7" s="202" t="s">
        <v>235</v>
      </c>
      <c r="E7" s="202">
        <v>-40.511000000000003</v>
      </c>
      <c r="G7" s="202">
        <v>426.67700000000002</v>
      </c>
      <c r="H7" s="202">
        <v>-102.68899999999999</v>
      </c>
      <c r="I7" s="202">
        <v>-236.22900000000001</v>
      </c>
      <c r="J7" s="202">
        <v>86.673000000000002</v>
      </c>
      <c r="K7" s="203"/>
      <c r="L7" s="202">
        <v>47.640999999999998</v>
      </c>
      <c r="M7" s="202">
        <v>-19.117999999999999</v>
      </c>
      <c r="N7" s="202">
        <v>-36.006999999999998</v>
      </c>
      <c r="O7" s="202">
        <v>129.28899999999999</v>
      </c>
      <c r="P7" s="202"/>
      <c r="Q7" s="202">
        <v>123.002</v>
      </c>
      <c r="R7" s="202">
        <v>81.331999999999994</v>
      </c>
      <c r="S7" s="202">
        <v>28.393000000000001</v>
      </c>
      <c r="T7" s="202">
        <v>221.03899999999999</v>
      </c>
      <c r="U7" s="202"/>
      <c r="V7" s="202">
        <v>215.65899999999999</v>
      </c>
      <c r="W7" s="202">
        <v>121.053</v>
      </c>
      <c r="X7" s="202">
        <v>55.84</v>
      </c>
      <c r="Y7" s="202">
        <v>141.26400000000001</v>
      </c>
      <c r="Z7" s="202"/>
      <c r="AA7" s="202">
        <v>136.84100000000001</v>
      </c>
      <c r="AB7" s="202">
        <v>168.851</v>
      </c>
      <c r="AC7" s="202">
        <v>73.283000000000001</v>
      </c>
      <c r="AD7" s="202">
        <v>160.49600000000001</v>
      </c>
      <c r="AF7" s="67" t="s">
        <v>35</v>
      </c>
      <c r="AG7" t="s">
        <v>195</v>
      </c>
      <c r="AJ7" s="204" t="s">
        <v>35</v>
      </c>
      <c r="AK7" s="205" t="s">
        <v>195</v>
      </c>
    </row>
    <row r="8" spans="1:37" x14ac:dyDescent="0.25">
      <c r="A8" t="s">
        <v>20</v>
      </c>
      <c r="B8" s="202" t="s">
        <v>235</v>
      </c>
      <c r="C8" s="202" t="s">
        <v>235</v>
      </c>
      <c r="D8" s="202" t="s">
        <v>235</v>
      </c>
      <c r="E8" s="202">
        <v>823.79600000000005</v>
      </c>
      <c r="G8" s="202">
        <v>77.778000000000006</v>
      </c>
      <c r="H8" s="202">
        <v>299.404</v>
      </c>
      <c r="I8" s="202">
        <v>356.54899999999998</v>
      </c>
      <c r="J8" s="202">
        <v>189.48400000000001</v>
      </c>
      <c r="K8" s="203"/>
      <c r="L8" s="202">
        <v>62.875999999999998</v>
      </c>
      <c r="M8" s="202">
        <v>54.158999999999999</v>
      </c>
      <c r="N8" s="202">
        <v>137.15600000000001</v>
      </c>
      <c r="O8" s="202">
        <v>-87.914000000000001</v>
      </c>
      <c r="P8" s="203"/>
      <c r="Q8" s="202">
        <v>270.07400000000001</v>
      </c>
      <c r="R8" s="202">
        <v>189.98500000000001</v>
      </c>
      <c r="S8" s="202">
        <v>-0.30099999999999999</v>
      </c>
      <c r="T8" s="202" t="s">
        <v>235</v>
      </c>
      <c r="U8" s="203"/>
      <c r="V8" s="202" t="s">
        <v>235</v>
      </c>
      <c r="W8" s="202" t="s">
        <v>235</v>
      </c>
      <c r="X8" s="202" t="s">
        <v>235</v>
      </c>
      <c r="Y8" s="202" t="s">
        <v>235</v>
      </c>
      <c r="Z8" s="203"/>
      <c r="AA8" s="202" t="s">
        <v>235</v>
      </c>
      <c r="AB8" s="202" t="s">
        <v>235</v>
      </c>
      <c r="AC8" s="202" t="s">
        <v>235</v>
      </c>
      <c r="AD8" s="202" t="s">
        <v>235</v>
      </c>
      <c r="AF8" s="67" t="s">
        <v>20</v>
      </c>
      <c r="AG8" t="s">
        <v>196</v>
      </c>
      <c r="AJ8" s="204" t="s">
        <v>20</v>
      </c>
      <c r="AK8" s="205" t="s">
        <v>196</v>
      </c>
    </row>
    <row r="9" spans="1:37" x14ac:dyDescent="0.25">
      <c r="A9" t="s">
        <v>16</v>
      </c>
      <c r="B9" s="202" t="s">
        <v>235</v>
      </c>
      <c r="C9" s="202" t="s">
        <v>235</v>
      </c>
      <c r="D9" s="202" t="s">
        <v>235</v>
      </c>
      <c r="E9" s="206">
        <v>656.81700000000001</v>
      </c>
      <c r="G9" s="202">
        <v>363.67</v>
      </c>
      <c r="H9" s="202">
        <v>-1107.191</v>
      </c>
      <c r="I9" s="202">
        <v>-966.12099999999998</v>
      </c>
      <c r="J9" s="206">
        <v>6.8680000000000003</v>
      </c>
      <c r="K9" s="207"/>
      <c r="L9" s="202">
        <v>-178.36500000000001</v>
      </c>
      <c r="M9" s="202">
        <v>-8.3239999999999998</v>
      </c>
      <c r="N9" s="202">
        <v>-40.198</v>
      </c>
      <c r="O9" s="202">
        <v>39.457000000000001</v>
      </c>
      <c r="P9" s="203"/>
      <c r="Q9" s="202">
        <v>-10.75</v>
      </c>
      <c r="R9" s="202">
        <v>-7.7510000000000003</v>
      </c>
      <c r="S9" s="202">
        <v>-2.4489999999999998</v>
      </c>
      <c r="T9" s="202">
        <v>23.488</v>
      </c>
      <c r="U9" s="203"/>
      <c r="V9" s="202">
        <v>636.52200000000005</v>
      </c>
      <c r="W9" s="202">
        <v>251.506</v>
      </c>
      <c r="X9" s="202">
        <v>146.93299999999999</v>
      </c>
      <c r="Y9" s="202">
        <v>60.137999999999998</v>
      </c>
      <c r="Z9" s="203"/>
      <c r="AA9" s="202">
        <v>50.539000000000001</v>
      </c>
      <c r="AB9" s="202">
        <v>132.41999999999999</v>
      </c>
      <c r="AC9" s="202">
        <v>278.29399999999998</v>
      </c>
      <c r="AD9" s="202">
        <v>209.881</v>
      </c>
      <c r="AF9" s="67" t="s">
        <v>16</v>
      </c>
      <c r="AG9" t="s">
        <v>197</v>
      </c>
      <c r="AJ9" s="204" t="s">
        <v>16</v>
      </c>
      <c r="AK9" s="205" t="s">
        <v>197</v>
      </c>
    </row>
    <row r="10" spans="1:37" x14ac:dyDescent="0.25">
      <c r="A10" t="s">
        <v>55</v>
      </c>
      <c r="B10" s="202" t="s">
        <v>235</v>
      </c>
      <c r="C10" s="202" t="s">
        <v>235</v>
      </c>
      <c r="D10" s="202" t="s">
        <v>235</v>
      </c>
      <c r="E10" s="206">
        <v>76.615250000000003</v>
      </c>
      <c r="G10" s="202">
        <v>-252.33421999999999</v>
      </c>
      <c r="H10" s="202">
        <v>462.11556000000002</v>
      </c>
      <c r="I10" s="202">
        <v>181.88889</v>
      </c>
      <c r="J10" s="206">
        <v>67.675470000000004</v>
      </c>
      <c r="K10" s="207"/>
      <c r="L10" s="202">
        <v>147.43633</v>
      </c>
      <c r="M10" s="202">
        <v>133.13142999999999</v>
      </c>
      <c r="N10" s="202">
        <v>79.73724</v>
      </c>
      <c r="O10" s="202">
        <v>-21.15429</v>
      </c>
      <c r="P10" s="203"/>
      <c r="Q10" s="202">
        <v>108.50599</v>
      </c>
      <c r="R10" s="202">
        <v>144.86473000000001</v>
      </c>
      <c r="S10" s="202">
        <v>63.787999999999997</v>
      </c>
      <c r="T10" s="202">
        <v>66.914580000000001</v>
      </c>
      <c r="U10" s="203"/>
      <c r="V10" s="202">
        <v>172.15217999999999</v>
      </c>
      <c r="W10" s="202">
        <v>63.35989</v>
      </c>
      <c r="X10" s="202">
        <v>65.481780000000001</v>
      </c>
      <c r="Y10" s="202">
        <v>26.36909</v>
      </c>
      <c r="Z10" s="203"/>
      <c r="AA10" s="202">
        <v>55.121870000000001</v>
      </c>
      <c r="AB10" s="202">
        <v>70.677930000000003</v>
      </c>
      <c r="AC10" s="202">
        <v>55.65043</v>
      </c>
      <c r="AD10" s="202">
        <v>22.957170000000001</v>
      </c>
      <c r="AF10" s="67" t="s">
        <v>55</v>
      </c>
      <c r="AG10" t="s">
        <v>198</v>
      </c>
      <c r="AJ10" s="204" t="s">
        <v>55</v>
      </c>
      <c r="AK10" s="205" t="s">
        <v>198</v>
      </c>
    </row>
    <row r="11" spans="1:37" x14ac:dyDescent="0.25">
      <c r="A11" t="s">
        <v>9</v>
      </c>
      <c r="B11" s="202" t="s">
        <v>235</v>
      </c>
      <c r="C11" s="202" t="s">
        <v>235</v>
      </c>
      <c r="D11" s="202" t="s">
        <v>235</v>
      </c>
      <c r="E11" s="206">
        <v>321.04399999999998</v>
      </c>
      <c r="G11" s="202">
        <v>799.72199999999998</v>
      </c>
      <c r="H11" s="202">
        <v>-963.65</v>
      </c>
      <c r="I11" s="202">
        <v>-1019.953</v>
      </c>
      <c r="J11" s="206">
        <v>81.088999999999999</v>
      </c>
      <c r="K11" s="207"/>
      <c r="L11" s="202">
        <v>38.231000000000002</v>
      </c>
      <c r="M11" s="202">
        <v>240.60900000000001</v>
      </c>
      <c r="N11" s="202">
        <v>-25.324000000000002</v>
      </c>
      <c r="O11" s="202">
        <v>-84.292000000000002</v>
      </c>
      <c r="P11" s="203"/>
      <c r="Q11" s="202">
        <v>11.15035</v>
      </c>
      <c r="R11" s="202">
        <v>171.01219</v>
      </c>
      <c r="S11" s="202">
        <v>142.00602000000001</v>
      </c>
      <c r="T11" s="202">
        <v>-93.426860000000005</v>
      </c>
      <c r="U11" s="203"/>
      <c r="V11" s="202">
        <v>-75.209850000000003</v>
      </c>
      <c r="W11" s="202">
        <v>30.426909999999999</v>
      </c>
      <c r="X11" s="202">
        <v>8.4748900000000003</v>
      </c>
      <c r="Y11" s="202">
        <v>-28.784800000000001</v>
      </c>
      <c r="Z11" s="203"/>
      <c r="AA11" s="202">
        <v>71.178600000000003</v>
      </c>
      <c r="AB11" s="202">
        <v>114.33148</v>
      </c>
      <c r="AC11" s="202">
        <v>20.538910000000001</v>
      </c>
      <c r="AD11" s="202">
        <v>92.829470000000001</v>
      </c>
      <c r="AF11" s="67" t="s">
        <v>9</v>
      </c>
      <c r="AG11" t="s">
        <v>199</v>
      </c>
      <c r="AJ11" s="204" t="s">
        <v>9</v>
      </c>
      <c r="AK11" s="205" t="s">
        <v>199</v>
      </c>
    </row>
    <row r="12" spans="1:37" x14ac:dyDescent="0.25">
      <c r="A12" t="s">
        <v>51</v>
      </c>
      <c r="B12" s="202" t="s">
        <v>235</v>
      </c>
      <c r="C12" s="202" t="s">
        <v>235</v>
      </c>
      <c r="D12" s="202" t="s">
        <v>235</v>
      </c>
      <c r="E12" s="206">
        <v>-289.22800000000001</v>
      </c>
      <c r="G12" s="202">
        <v>330.524</v>
      </c>
      <c r="H12" s="202">
        <v>-1278.6279999999999</v>
      </c>
      <c r="I12" s="202">
        <v>-717.25099999999998</v>
      </c>
      <c r="J12" s="206">
        <v>-341.82100000000003</v>
      </c>
      <c r="K12" s="207"/>
      <c r="L12" s="202">
        <v>164.93199999999999</v>
      </c>
      <c r="M12" s="202">
        <v>-197.78200000000001</v>
      </c>
      <c r="N12" s="202">
        <v>-42.975999999999999</v>
      </c>
      <c r="O12" s="202">
        <v>-25.33</v>
      </c>
      <c r="P12" s="203"/>
      <c r="Q12" s="202">
        <v>-34.238999999999997</v>
      </c>
      <c r="R12" s="202">
        <v>-46.521000000000001</v>
      </c>
      <c r="S12" s="202">
        <v>-136.17099999999999</v>
      </c>
      <c r="T12" s="202">
        <v>54.515000000000001</v>
      </c>
      <c r="U12" s="203"/>
      <c r="V12" s="202">
        <v>7.556</v>
      </c>
      <c r="W12" s="202">
        <v>22.353999999999999</v>
      </c>
      <c r="X12" s="202">
        <v>39.213999999999999</v>
      </c>
      <c r="Y12" s="202">
        <v>-10.617000000000001</v>
      </c>
      <c r="Z12" s="203"/>
      <c r="AA12" s="202">
        <v>13.494999999999999</v>
      </c>
      <c r="AB12" s="202">
        <v>33.337000000000003</v>
      </c>
      <c r="AC12" s="202">
        <v>100.41800000000001</v>
      </c>
      <c r="AD12" s="202">
        <v>60.917000000000002</v>
      </c>
      <c r="AF12" s="67" t="s">
        <v>51</v>
      </c>
      <c r="AG12" t="s">
        <v>200</v>
      </c>
      <c r="AJ12" s="204" t="s">
        <v>51</v>
      </c>
      <c r="AK12" s="205" t="s">
        <v>200</v>
      </c>
    </row>
    <row r="13" spans="1:37" x14ac:dyDescent="0.25">
      <c r="A13" t="s">
        <v>44</v>
      </c>
      <c r="B13" s="202" t="s">
        <v>235</v>
      </c>
      <c r="C13" s="202" t="s">
        <v>235</v>
      </c>
      <c r="D13" s="202" t="s">
        <v>235</v>
      </c>
      <c r="E13" s="206">
        <v>-23.319669999999999</v>
      </c>
      <c r="G13" s="202">
        <v>-102.26779000000001</v>
      </c>
      <c r="H13" s="202">
        <v>20.502960000000002</v>
      </c>
      <c r="I13" s="202">
        <v>-61.718380000000003</v>
      </c>
      <c r="J13" s="206">
        <v>70.872069999999994</v>
      </c>
      <c r="K13" s="207"/>
      <c r="L13" s="202">
        <v>21.76361</v>
      </c>
      <c r="M13" s="202">
        <v>35.43862</v>
      </c>
      <c r="N13" s="202">
        <v>6.9365899999999998</v>
      </c>
      <c r="O13" s="202">
        <v>38.456409999999998</v>
      </c>
      <c r="P13" s="203"/>
      <c r="Q13" s="202">
        <v>15.45801</v>
      </c>
      <c r="R13" s="202">
        <v>7.5793600000000003</v>
      </c>
      <c r="S13" s="202">
        <v>13.27849</v>
      </c>
      <c r="T13" s="202">
        <v>10.62628</v>
      </c>
      <c r="U13" s="203"/>
      <c r="V13" s="202">
        <v>20.49605</v>
      </c>
      <c r="W13" s="202">
        <v>17.591159999999999</v>
      </c>
      <c r="X13" s="202">
        <v>-0.99341000000000002</v>
      </c>
      <c r="Y13" s="202">
        <v>-11.30813</v>
      </c>
      <c r="Z13" s="203"/>
      <c r="AA13" s="202">
        <v>-12.36307</v>
      </c>
      <c r="AB13" s="202">
        <v>1.4978199999999999</v>
      </c>
      <c r="AC13" s="202">
        <v>-19.128399999999999</v>
      </c>
      <c r="AD13" s="202">
        <v>-11.88734</v>
      </c>
      <c r="AF13" s="67" t="s">
        <v>44</v>
      </c>
      <c r="AG13" t="s">
        <v>201</v>
      </c>
      <c r="AJ13" s="204" t="s">
        <v>44</v>
      </c>
      <c r="AK13" s="205" t="s">
        <v>201</v>
      </c>
    </row>
    <row r="14" spans="1:37" x14ac:dyDescent="0.25">
      <c r="A14" t="s">
        <v>43</v>
      </c>
      <c r="B14" s="202" t="s">
        <v>235</v>
      </c>
      <c r="C14" s="202" t="s">
        <v>235</v>
      </c>
      <c r="D14" s="202" t="s">
        <v>235</v>
      </c>
      <c r="E14" s="206">
        <v>-275.012</v>
      </c>
      <c r="G14" s="202">
        <v>-12.343999999999999</v>
      </c>
      <c r="H14" s="202">
        <v>122.563</v>
      </c>
      <c r="I14" s="202">
        <v>-107.38200000000001</v>
      </c>
      <c r="J14" s="206">
        <v>-76.325000000000003</v>
      </c>
      <c r="K14" s="207"/>
      <c r="L14" s="202">
        <v>-476.24599999999998</v>
      </c>
      <c r="M14" s="202">
        <v>-84.46</v>
      </c>
      <c r="N14" s="202">
        <v>-120.789</v>
      </c>
      <c r="O14" s="202">
        <v>-183.864</v>
      </c>
      <c r="P14" s="203"/>
      <c r="Q14" s="202">
        <v>-154.33099999999999</v>
      </c>
      <c r="R14" s="202">
        <v>-74.522999999999996</v>
      </c>
      <c r="S14" s="202">
        <v>-178.41300000000001</v>
      </c>
      <c r="T14" s="202">
        <v>-77.816999999999993</v>
      </c>
      <c r="U14" s="203"/>
      <c r="V14" s="202">
        <v>-102.17100000000001</v>
      </c>
      <c r="W14" s="202">
        <v>-13.497999999999999</v>
      </c>
      <c r="X14" s="202">
        <v>9.3569999999999993</v>
      </c>
      <c r="Y14" s="202">
        <v>-7.4109999999999996</v>
      </c>
      <c r="Z14" s="203"/>
      <c r="AA14" s="202">
        <v>-25.6</v>
      </c>
      <c r="AB14" s="202">
        <v>-0.63800000000000001</v>
      </c>
      <c r="AC14" s="202">
        <v>-46.795000000000002</v>
      </c>
      <c r="AD14" s="202">
        <v>-4.5369999999999999</v>
      </c>
      <c r="AF14" s="67" t="s">
        <v>43</v>
      </c>
      <c r="AG14" t="s">
        <v>202</v>
      </c>
      <c r="AJ14" s="204" t="s">
        <v>43</v>
      </c>
      <c r="AK14" s="205" t="s">
        <v>202</v>
      </c>
    </row>
    <row r="15" spans="1:37" x14ac:dyDescent="0.25">
      <c r="A15" t="s">
        <v>10</v>
      </c>
      <c r="B15" s="202" t="s">
        <v>235</v>
      </c>
      <c r="C15" s="202" t="s">
        <v>235</v>
      </c>
      <c r="D15" s="202" t="s">
        <v>235</v>
      </c>
      <c r="E15" s="206">
        <v>10.477919999999999</v>
      </c>
      <c r="G15" s="202">
        <v>19.88373</v>
      </c>
      <c r="H15" s="202">
        <v>49.696899999999999</v>
      </c>
      <c r="I15" s="202">
        <v>36.966470000000001</v>
      </c>
      <c r="J15" s="206">
        <v>27.73066</v>
      </c>
      <c r="K15" s="207"/>
      <c r="L15" s="202">
        <v>26.24663</v>
      </c>
      <c r="M15" s="202">
        <v>23.64254</v>
      </c>
      <c r="N15" s="202">
        <v>20.70468</v>
      </c>
      <c r="O15" s="202">
        <v>22.670179999999998</v>
      </c>
      <c r="P15" s="203"/>
      <c r="Q15" s="202">
        <v>21.422599999999999</v>
      </c>
      <c r="R15" s="202">
        <v>23.128789999999999</v>
      </c>
      <c r="S15" s="202">
        <v>20.674990000000001</v>
      </c>
      <c r="T15" s="202">
        <v>18.364540000000002</v>
      </c>
      <c r="U15" s="203"/>
      <c r="V15" s="202">
        <v>5.2500900000000001</v>
      </c>
      <c r="W15" s="202">
        <v>4.2694000000000001</v>
      </c>
      <c r="X15" s="202">
        <v>3.6802299999999999</v>
      </c>
      <c r="Y15" s="202">
        <v>8.9833999999999996</v>
      </c>
      <c r="Z15" s="203"/>
      <c r="AA15" s="202">
        <v>5.2039900000000001</v>
      </c>
      <c r="AB15" s="202">
        <v>9.2091399999999997</v>
      </c>
      <c r="AC15" s="202">
        <v>3.4625699999999999</v>
      </c>
      <c r="AD15" s="202">
        <v>6.8643700000000001</v>
      </c>
      <c r="AF15" s="67" t="s">
        <v>10</v>
      </c>
      <c r="AG15" t="s">
        <v>203</v>
      </c>
      <c r="AJ15" s="204" t="s">
        <v>10</v>
      </c>
      <c r="AK15" s="205" t="s">
        <v>203</v>
      </c>
    </row>
    <row r="16" spans="1:37" x14ac:dyDescent="0.25">
      <c r="A16" t="s">
        <v>52</v>
      </c>
      <c r="B16" s="202" t="s">
        <v>235</v>
      </c>
      <c r="C16" s="202" t="s">
        <v>235</v>
      </c>
      <c r="D16" s="202" t="s">
        <v>235</v>
      </c>
      <c r="E16" s="206">
        <v>-38.046230000000001</v>
      </c>
      <c r="G16" s="202">
        <v>29.35521</v>
      </c>
      <c r="H16" s="202">
        <v>35.086669999999998</v>
      </c>
      <c r="I16" s="202">
        <v>20.25554</v>
      </c>
      <c r="J16" s="206">
        <v>8.8888599999999993</v>
      </c>
      <c r="K16" s="207"/>
      <c r="L16" s="202">
        <v>1.24299</v>
      </c>
      <c r="M16" s="202">
        <v>3.25502</v>
      </c>
      <c r="N16" s="202">
        <v>7.0986599999999997</v>
      </c>
      <c r="O16" s="202">
        <v>4.6051000000000002</v>
      </c>
      <c r="P16" s="203"/>
      <c r="Q16" s="202">
        <v>3.0802499999999999</v>
      </c>
      <c r="R16" s="202">
        <v>1.1099000000000001</v>
      </c>
      <c r="S16" s="202">
        <v>0.30985000000000001</v>
      </c>
      <c r="T16" s="202">
        <v>14.327389999999999</v>
      </c>
      <c r="U16" s="203"/>
      <c r="V16" s="202">
        <v>8.0861000000000001</v>
      </c>
      <c r="W16" s="202">
        <v>7.2681699999999996</v>
      </c>
      <c r="X16" s="202">
        <v>3.8726600000000002</v>
      </c>
      <c r="Y16" s="202">
        <v>4.9247199999999998</v>
      </c>
      <c r="Z16" s="203"/>
      <c r="AA16" s="202">
        <v>5.3063500000000001</v>
      </c>
      <c r="AB16" s="202">
        <v>-1.45482</v>
      </c>
      <c r="AC16" s="202">
        <v>2.9600399999999998</v>
      </c>
      <c r="AD16" s="202">
        <v>8.6744900000000005</v>
      </c>
      <c r="AF16" s="67" t="s">
        <v>52</v>
      </c>
      <c r="AG16" t="s">
        <v>204</v>
      </c>
      <c r="AJ16" s="204" t="s">
        <v>52</v>
      </c>
      <c r="AK16" s="205" t="s">
        <v>204</v>
      </c>
    </row>
    <row r="17" spans="1:37" x14ac:dyDescent="0.25">
      <c r="A17" t="s">
        <v>39</v>
      </c>
      <c r="B17" s="202" t="s">
        <v>235</v>
      </c>
      <c r="C17" s="202" t="s">
        <v>235</v>
      </c>
      <c r="D17" s="202" t="s">
        <v>235</v>
      </c>
      <c r="E17" s="206">
        <v>5.1213800000000003</v>
      </c>
      <c r="G17" s="202">
        <v>-9.5550599999999992</v>
      </c>
      <c r="H17" s="202">
        <v>-45.393830000000001</v>
      </c>
      <c r="I17" s="202">
        <v>-49.605789999999999</v>
      </c>
      <c r="J17" s="206">
        <v>-13.03365</v>
      </c>
      <c r="K17" s="207"/>
      <c r="L17" s="202">
        <v>-10.47104</v>
      </c>
      <c r="M17" s="202">
        <v>-19.097660000000001</v>
      </c>
      <c r="N17" s="202">
        <v>-34.04139</v>
      </c>
      <c r="O17" s="202">
        <v>-11.84224</v>
      </c>
      <c r="P17" s="203"/>
      <c r="Q17" s="202">
        <v>-7.4233700000000002</v>
      </c>
      <c r="R17" s="202">
        <v>-9.5234500000000004</v>
      </c>
      <c r="S17" s="202">
        <v>-18.846419999999998</v>
      </c>
      <c r="T17" s="202">
        <v>-17.478059999999999</v>
      </c>
      <c r="U17" s="203"/>
      <c r="V17" s="202">
        <v>-7.3851899999999997</v>
      </c>
      <c r="W17" s="202">
        <v>-11.91394</v>
      </c>
      <c r="X17" s="202">
        <v>-10.61247</v>
      </c>
      <c r="Y17" s="202">
        <v>-14.93309</v>
      </c>
      <c r="Z17" s="203"/>
      <c r="AA17" s="202">
        <v>-3.03301</v>
      </c>
      <c r="AB17" s="202">
        <v>-0.96943999999999997</v>
      </c>
      <c r="AC17" s="202">
        <v>-2.9477099999999998</v>
      </c>
      <c r="AD17" s="202">
        <v>-7.1043000000000003</v>
      </c>
      <c r="AF17" s="67" t="s">
        <v>39</v>
      </c>
      <c r="AG17" t="s">
        <v>205</v>
      </c>
      <c r="AJ17" s="204" t="s">
        <v>39</v>
      </c>
      <c r="AK17" s="205" t="s">
        <v>205</v>
      </c>
    </row>
    <row r="18" spans="1:37" x14ac:dyDescent="0.25">
      <c r="A18" s="69" t="s">
        <v>121</v>
      </c>
      <c r="B18" s="208"/>
      <c r="C18" s="208"/>
      <c r="D18" s="208"/>
      <c r="E18" s="209">
        <v>111.61405909090909</v>
      </c>
      <c r="G18" s="208">
        <v>151.91898818181815</v>
      </c>
      <c r="H18" s="208">
        <v>-228.0166127272727</v>
      </c>
      <c r="I18" s="208">
        <v>-232.96366090909089</v>
      </c>
      <c r="J18" s="209">
        <v>9.8274009090909118</v>
      </c>
      <c r="K18" s="209"/>
      <c r="L18" s="208">
        <v>-14.064770909090914</v>
      </c>
      <c r="M18" s="208">
        <v>14.677631818181823</v>
      </c>
      <c r="N18" s="208">
        <v>-4.3365654545454539</v>
      </c>
      <c r="O18" s="208">
        <v>-16.356258181818188</v>
      </c>
      <c r="P18" s="208"/>
      <c r="Q18" s="208">
        <v>31.449984545454548</v>
      </c>
      <c r="R18" s="208">
        <v>43.699410909090908</v>
      </c>
      <c r="S18" s="208">
        <v>-6.1572790909090891</v>
      </c>
      <c r="T18" s="208">
        <v>22.055287</v>
      </c>
      <c r="U18" s="208"/>
      <c r="V18" s="208">
        <v>88.095538000000005</v>
      </c>
      <c r="W18" s="208">
        <v>49.241658999999999</v>
      </c>
      <c r="X18" s="208">
        <v>32.124768000000003</v>
      </c>
      <c r="Y18" s="208">
        <v>16.862519000000002</v>
      </c>
      <c r="Z18" s="208"/>
      <c r="AA18" s="208">
        <v>29.668973000000001</v>
      </c>
      <c r="AB18" s="208">
        <v>52.726210999999999</v>
      </c>
      <c r="AC18" s="208">
        <v>46.573584000000004</v>
      </c>
      <c r="AD18" s="208">
        <v>53.909086000000002</v>
      </c>
      <c r="AE18" s="210"/>
      <c r="AF18" s="78" t="s">
        <v>122</v>
      </c>
      <c r="AJ18" s="204" t="s">
        <v>14</v>
      </c>
      <c r="AK18" s="205" t="s">
        <v>206</v>
      </c>
    </row>
    <row r="19" spans="1:37" x14ac:dyDescent="0.25">
      <c r="H19" s="202"/>
      <c r="I19" s="202"/>
      <c r="J19" s="206"/>
      <c r="K19" s="207"/>
      <c r="L19" s="202"/>
      <c r="M19" s="202"/>
      <c r="N19" s="202"/>
      <c r="O19" s="202"/>
      <c r="P19" s="203"/>
      <c r="Q19" s="202"/>
      <c r="R19" s="202"/>
      <c r="S19" s="202"/>
      <c r="T19" s="202"/>
      <c r="U19" s="203"/>
      <c r="V19" s="202"/>
      <c r="W19" s="202"/>
      <c r="X19" s="202"/>
      <c r="Y19" s="202"/>
      <c r="Z19" s="203"/>
      <c r="AA19" s="202"/>
      <c r="AB19" s="202"/>
      <c r="AC19" s="202"/>
      <c r="AD19" s="202"/>
      <c r="AJ19" s="204" t="s">
        <v>15</v>
      </c>
      <c r="AK19" s="205" t="s">
        <v>207</v>
      </c>
    </row>
    <row r="20" spans="1:37" x14ac:dyDescent="0.25">
      <c r="A20" s="57" t="s">
        <v>123</v>
      </c>
      <c r="B20" s="57"/>
      <c r="C20" s="57"/>
      <c r="D20" s="57"/>
      <c r="E20" s="57"/>
      <c r="G20" s="57"/>
      <c r="H20" s="211"/>
      <c r="I20" s="211"/>
      <c r="J20" s="211"/>
      <c r="K20" s="212"/>
      <c r="L20" s="211"/>
      <c r="M20" s="211"/>
      <c r="N20" s="211"/>
      <c r="O20" s="211"/>
      <c r="P20" s="212"/>
      <c r="Q20" s="211"/>
      <c r="R20" s="211"/>
      <c r="S20" s="211"/>
      <c r="T20" s="211"/>
      <c r="U20" s="212"/>
      <c r="V20" s="211"/>
      <c r="W20" s="211"/>
      <c r="X20" s="211"/>
      <c r="Y20" s="211"/>
      <c r="Z20" s="212"/>
      <c r="AA20" s="211"/>
      <c r="AB20" s="211"/>
      <c r="AC20" s="211"/>
      <c r="AD20" s="211"/>
      <c r="AE20" s="213"/>
      <c r="AF20" s="88"/>
      <c r="AJ20" s="204" t="s">
        <v>74</v>
      </c>
      <c r="AK20" s="205" t="s">
        <v>208</v>
      </c>
    </row>
    <row r="21" spans="1:37" x14ac:dyDescent="0.25">
      <c r="A21" t="s">
        <v>14</v>
      </c>
      <c r="B21" s="202" t="s">
        <v>235</v>
      </c>
      <c r="C21" s="202" t="s">
        <v>235</v>
      </c>
      <c r="D21" s="202" t="s">
        <v>235</v>
      </c>
      <c r="E21" s="202">
        <v>550.42999999999995</v>
      </c>
      <c r="G21" s="202">
        <v>550.42999999999995</v>
      </c>
      <c r="H21" s="202">
        <v>-797.39099999999996</v>
      </c>
      <c r="I21" s="202">
        <v>-103.44499999999999</v>
      </c>
      <c r="J21" s="202">
        <v>270.44900000000001</v>
      </c>
      <c r="K21" s="203"/>
      <c r="L21" s="202">
        <v>250.66900000000001</v>
      </c>
      <c r="M21" s="202">
        <v>311.322</v>
      </c>
      <c r="N21" s="202">
        <v>209.68600000000001</v>
      </c>
      <c r="O21" s="202">
        <v>115.605</v>
      </c>
      <c r="P21" s="203"/>
      <c r="Q21" s="202">
        <v>75.741</v>
      </c>
      <c r="R21" s="202">
        <v>151.124</v>
      </c>
      <c r="S21" s="202">
        <v>118.90300000000001</v>
      </c>
      <c r="T21" s="202">
        <v>81.715999999999994</v>
      </c>
      <c r="U21" s="203"/>
      <c r="V21" s="202">
        <v>460.28699999999998</v>
      </c>
      <c r="W21" s="202">
        <v>94.893000000000001</v>
      </c>
      <c r="X21" s="202">
        <v>3.6850000000000001</v>
      </c>
      <c r="Y21" s="202">
        <v>-36.591999999999999</v>
      </c>
      <c r="Z21" s="203"/>
      <c r="AA21" s="202">
        <v>88.832999999999998</v>
      </c>
      <c r="AB21" s="202">
        <v>10.071999999999999</v>
      </c>
      <c r="AC21" s="202">
        <v>19.042999999999999</v>
      </c>
      <c r="AD21" s="202">
        <v>18.972000000000001</v>
      </c>
      <c r="AF21" s="67" t="s">
        <v>14</v>
      </c>
      <c r="AG21" t="s">
        <v>206</v>
      </c>
      <c r="AJ21" s="204" t="s">
        <v>30</v>
      </c>
      <c r="AK21" s="205" t="s">
        <v>209</v>
      </c>
    </row>
    <row r="22" spans="1:37" x14ac:dyDescent="0.25">
      <c r="A22" t="s">
        <v>15</v>
      </c>
      <c r="B22" s="202" t="s">
        <v>235</v>
      </c>
      <c r="C22" s="202" t="s">
        <v>235</v>
      </c>
      <c r="D22" s="202" t="s">
        <v>235</v>
      </c>
      <c r="E22" s="202">
        <v>56.189779999999999</v>
      </c>
      <c r="G22" s="202">
        <v>70.833150000000003</v>
      </c>
      <c r="H22" s="202">
        <v>16.8596</v>
      </c>
      <c r="I22" s="202">
        <v>-8.3234999999999992</v>
      </c>
      <c r="J22" s="202">
        <v>62.148699999999998</v>
      </c>
      <c r="K22" s="203"/>
      <c r="L22" s="202">
        <v>37.531210000000002</v>
      </c>
      <c r="M22" s="202">
        <v>11.58013</v>
      </c>
      <c r="N22" s="202">
        <v>7.8194499999999998</v>
      </c>
      <c r="O22" s="202">
        <v>38.13991</v>
      </c>
      <c r="P22" s="203"/>
      <c r="Q22" s="202">
        <v>43.879300000000001</v>
      </c>
      <c r="R22" s="202">
        <v>10.68247</v>
      </c>
      <c r="S22" s="202">
        <v>-12.857530000000001</v>
      </c>
      <c r="T22" s="202">
        <v>32.024459999999998</v>
      </c>
      <c r="U22" s="203"/>
      <c r="V22" s="202">
        <v>36.382959999999997</v>
      </c>
      <c r="W22" s="202">
        <v>-9.0560000000000002E-2</v>
      </c>
      <c r="X22" s="202">
        <v>-9.0117600000000007</v>
      </c>
      <c r="Y22" s="202">
        <v>38.695650000000001</v>
      </c>
      <c r="Z22" s="203"/>
      <c r="AA22" s="202" t="s">
        <v>235</v>
      </c>
      <c r="AB22" s="202" t="s">
        <v>235</v>
      </c>
      <c r="AC22" s="202" t="s">
        <v>235</v>
      </c>
      <c r="AD22" s="202" t="s">
        <v>235</v>
      </c>
      <c r="AF22" s="67" t="s">
        <v>15</v>
      </c>
      <c r="AG22" t="s">
        <v>207</v>
      </c>
      <c r="AJ22" s="204" t="s">
        <v>46</v>
      </c>
      <c r="AK22" s="205" t="s">
        <v>210</v>
      </c>
    </row>
    <row r="23" spans="1:37" x14ac:dyDescent="0.25">
      <c r="A23" t="s">
        <v>74</v>
      </c>
      <c r="B23" s="202" t="s">
        <v>235</v>
      </c>
      <c r="C23" s="202" t="s">
        <v>235</v>
      </c>
      <c r="D23" s="202" t="s">
        <v>235</v>
      </c>
      <c r="E23" s="206">
        <v>-91.486350000000002</v>
      </c>
      <c r="G23" s="202">
        <v>-224.91506000000001</v>
      </c>
      <c r="H23" s="202">
        <v>-47.000830000000001</v>
      </c>
      <c r="I23" s="202">
        <v>-69.008700000000005</v>
      </c>
      <c r="J23" s="206">
        <v>51.095039999999997</v>
      </c>
      <c r="K23" s="207"/>
      <c r="L23" s="202">
        <v>27.665109999999999</v>
      </c>
      <c r="M23" s="202">
        <v>32.380650000000003</v>
      </c>
      <c r="N23" s="202">
        <v>-4.4762700000000004</v>
      </c>
      <c r="O23" s="202">
        <v>17.712129999999998</v>
      </c>
      <c r="P23" s="203"/>
      <c r="Q23" s="202">
        <v>17.778700000000001</v>
      </c>
      <c r="R23" s="202">
        <v>38.018979999999999</v>
      </c>
      <c r="S23" s="202">
        <v>47.596550000000001</v>
      </c>
      <c r="T23" s="202">
        <v>60.259680000000003</v>
      </c>
      <c r="U23" s="203"/>
      <c r="V23" s="202">
        <v>61.296759999999999</v>
      </c>
      <c r="W23" s="202">
        <v>44.310339999999997</v>
      </c>
      <c r="X23" s="202">
        <v>36.494169999999997</v>
      </c>
      <c r="Y23" s="202">
        <v>26.29635</v>
      </c>
      <c r="Z23" s="203"/>
      <c r="AA23" s="202">
        <v>24.36073</v>
      </c>
      <c r="AB23" s="202">
        <v>15.573840000000001</v>
      </c>
      <c r="AC23" s="202">
        <v>19.054410000000001</v>
      </c>
      <c r="AD23" s="202">
        <v>16.31654</v>
      </c>
      <c r="AF23" s="67" t="s">
        <v>74</v>
      </c>
      <c r="AG23" t="s">
        <v>208</v>
      </c>
      <c r="AJ23" s="204" t="s">
        <v>48</v>
      </c>
      <c r="AK23" s="205" t="s">
        <v>211</v>
      </c>
    </row>
    <row r="24" spans="1:37" x14ac:dyDescent="0.25">
      <c r="A24" t="s">
        <v>30</v>
      </c>
      <c r="B24" s="202" t="s">
        <v>235</v>
      </c>
      <c r="C24" s="202" t="s">
        <v>235</v>
      </c>
      <c r="D24" s="202" t="s">
        <v>235</v>
      </c>
      <c r="E24" s="206">
        <v>-504.47899999999998</v>
      </c>
      <c r="G24" s="202">
        <v>38.411000000000001</v>
      </c>
      <c r="H24" s="202">
        <v>-1074.0540000000001</v>
      </c>
      <c r="I24" s="202">
        <v>-479.95100000000002</v>
      </c>
      <c r="J24" s="206">
        <v>-78.557000000000002</v>
      </c>
      <c r="K24" s="207"/>
      <c r="L24" s="202">
        <v>-146.75377</v>
      </c>
      <c r="M24" s="202">
        <v>-158.41900000000001</v>
      </c>
      <c r="N24" s="202">
        <v>-6.5730000000000004</v>
      </c>
      <c r="O24" s="202">
        <v>-40.228999999999999</v>
      </c>
      <c r="P24" s="203"/>
      <c r="Q24" s="202">
        <v>117.69077</v>
      </c>
      <c r="R24" s="202">
        <v>-37.810339999999997</v>
      </c>
      <c r="S24" s="202">
        <v>-51.093029999999999</v>
      </c>
      <c r="T24" s="202">
        <v>-24.010829999999999</v>
      </c>
      <c r="U24" s="203"/>
      <c r="V24" s="202">
        <v>-46.50694</v>
      </c>
      <c r="W24" s="202">
        <v>6.5173500000000004</v>
      </c>
      <c r="X24" s="202">
        <v>0.10542</v>
      </c>
      <c r="Y24" s="202">
        <v>-5.1926600000000001</v>
      </c>
      <c r="Z24" s="203"/>
      <c r="AA24" s="202">
        <v>-19.813269999999999</v>
      </c>
      <c r="AB24" s="202">
        <v>5.3183699999999998</v>
      </c>
      <c r="AC24" s="202">
        <v>4.4263300000000001</v>
      </c>
      <c r="AD24" s="202">
        <v>-8.6443700000000003</v>
      </c>
      <c r="AF24" s="67" t="s">
        <v>30</v>
      </c>
      <c r="AG24" t="s">
        <v>209</v>
      </c>
      <c r="AJ24" s="204" t="s">
        <v>80</v>
      </c>
      <c r="AK24" s="205" t="s">
        <v>212</v>
      </c>
    </row>
    <row r="25" spans="1:37" x14ac:dyDescent="0.25">
      <c r="A25" t="s">
        <v>46</v>
      </c>
      <c r="B25" s="202" t="s">
        <v>235</v>
      </c>
      <c r="C25" s="202" t="s">
        <v>235</v>
      </c>
      <c r="D25" s="202" t="s">
        <v>235</v>
      </c>
      <c r="E25" s="206">
        <v>-31.11675</v>
      </c>
      <c r="G25" s="202">
        <v>-147.40969000000001</v>
      </c>
      <c r="H25" s="202">
        <v>-12.35873</v>
      </c>
      <c r="I25" s="202">
        <v>8.3961400000000008</v>
      </c>
      <c r="J25" s="206">
        <v>-2.3243399999999999</v>
      </c>
      <c r="K25" s="207"/>
      <c r="L25" s="202">
        <v>-15.766249999999999</v>
      </c>
      <c r="M25" s="202">
        <v>-13.05484</v>
      </c>
      <c r="N25" s="202">
        <v>23.1599</v>
      </c>
      <c r="O25" s="202">
        <v>4.6884100000000002</v>
      </c>
      <c r="P25" s="203"/>
      <c r="Q25" s="202">
        <v>-16.585319999999999</v>
      </c>
      <c r="R25" s="202">
        <v>-7.34727</v>
      </c>
      <c r="S25" s="202">
        <v>27.226990000000001</v>
      </c>
      <c r="T25" s="202">
        <v>33.319679999999998</v>
      </c>
      <c r="U25" s="203"/>
      <c r="V25" s="202">
        <v>25.463760000000001</v>
      </c>
      <c r="W25" s="202">
        <v>28.598790000000001</v>
      </c>
      <c r="X25" s="202">
        <v>38.927379999999999</v>
      </c>
      <c r="Y25" s="202">
        <v>12.34252</v>
      </c>
      <c r="Z25" s="203"/>
      <c r="AA25" s="202">
        <v>4.9409900000000002</v>
      </c>
      <c r="AB25" s="202">
        <v>7.3041700000000001</v>
      </c>
      <c r="AC25" s="202">
        <v>10.94145</v>
      </c>
      <c r="AD25" s="202">
        <v>9.3152299999999997</v>
      </c>
      <c r="AF25" s="67" t="s">
        <v>46</v>
      </c>
      <c r="AG25" t="s">
        <v>210</v>
      </c>
      <c r="AJ25" s="204" t="s">
        <v>60</v>
      </c>
      <c r="AK25" s="205" t="s">
        <v>213</v>
      </c>
    </row>
    <row r="26" spans="1:37" x14ac:dyDescent="0.25">
      <c r="A26" t="s">
        <v>48</v>
      </c>
      <c r="B26" s="202" t="s">
        <v>235</v>
      </c>
      <c r="C26" s="202" t="s">
        <v>235</v>
      </c>
      <c r="D26" s="202" t="s">
        <v>235</v>
      </c>
      <c r="E26" s="206">
        <v>-17.85033</v>
      </c>
      <c r="G26" s="202">
        <v>-17.85033</v>
      </c>
      <c r="H26" s="202">
        <v>-46.287350000000004</v>
      </c>
      <c r="I26" s="202">
        <v>-37.778570000000002</v>
      </c>
      <c r="J26" s="206">
        <v>-94.149619999999999</v>
      </c>
      <c r="K26" s="207"/>
      <c r="L26" s="202">
        <v>-79.895790000000005</v>
      </c>
      <c r="M26" s="202">
        <v>-38.994149999999998</v>
      </c>
      <c r="N26" s="202">
        <v>-47.612389999999998</v>
      </c>
      <c r="O26" s="202">
        <v>-11.03715</v>
      </c>
      <c r="P26" s="203"/>
      <c r="Q26" s="202">
        <v>-36.870089999999998</v>
      </c>
      <c r="R26" s="202">
        <v>-21.786300000000001</v>
      </c>
      <c r="S26" s="202">
        <v>-24.564730000000001</v>
      </c>
      <c r="T26" s="202">
        <v>-53.903530000000003</v>
      </c>
      <c r="U26" s="203"/>
      <c r="V26" s="202">
        <v>-124.11233</v>
      </c>
      <c r="W26" s="202">
        <v>-38.235860000000002</v>
      </c>
      <c r="X26" s="202">
        <v>-30.975280000000001</v>
      </c>
      <c r="Y26" s="202">
        <v>-31.401050000000001</v>
      </c>
      <c r="Z26" s="203"/>
      <c r="AA26" s="202">
        <v>-42.047620000000002</v>
      </c>
      <c r="AB26" s="202">
        <v>-94.224000000000004</v>
      </c>
      <c r="AC26" s="202">
        <v>-46.927300000000002</v>
      </c>
      <c r="AD26" s="202">
        <v>-106.94365999999999</v>
      </c>
      <c r="AF26" s="67" t="s">
        <v>48</v>
      </c>
      <c r="AG26" t="s">
        <v>211</v>
      </c>
      <c r="AJ26" s="204" t="s">
        <v>72</v>
      </c>
      <c r="AK26" s="205" t="s">
        <v>214</v>
      </c>
    </row>
    <row r="27" spans="1:37" x14ac:dyDescent="0.25">
      <c r="A27" s="38" t="s">
        <v>80</v>
      </c>
      <c r="B27" s="202" t="s">
        <v>235</v>
      </c>
      <c r="C27" s="202" t="s">
        <v>235</v>
      </c>
      <c r="D27" s="202" t="s">
        <v>235</v>
      </c>
      <c r="E27" s="206">
        <v>6.6447200000000004</v>
      </c>
      <c r="G27" s="202">
        <v>-23.641100000000002</v>
      </c>
      <c r="H27" s="202">
        <v>-7.3767300000000002</v>
      </c>
      <c r="I27" s="202">
        <v>-22.49164</v>
      </c>
      <c r="J27" s="206">
        <v>3.70689</v>
      </c>
      <c r="K27" s="207"/>
      <c r="L27" s="202">
        <v>0.96038000000000001</v>
      </c>
      <c r="M27" s="202">
        <v>6.3529900000000001</v>
      </c>
      <c r="N27" s="202">
        <v>3.0487000000000002</v>
      </c>
      <c r="O27" s="202">
        <v>2.79487</v>
      </c>
      <c r="P27" s="203"/>
      <c r="Q27" s="202">
        <v>-1.93221</v>
      </c>
      <c r="R27" s="202">
        <v>1.4232499999999999</v>
      </c>
      <c r="S27" s="202">
        <v>1.8363700000000001</v>
      </c>
      <c r="T27" s="202">
        <v>3.6273200000000001</v>
      </c>
      <c r="U27" s="203"/>
      <c r="V27" s="202">
        <v>1.43876</v>
      </c>
      <c r="W27" s="202">
        <v>4.7427099999999998</v>
      </c>
      <c r="X27" s="202">
        <v>6.1170499999999999</v>
      </c>
      <c r="Y27" s="202">
        <v>2.9045299999999998</v>
      </c>
      <c r="Z27" s="203"/>
      <c r="AA27" s="202">
        <v>1.47583</v>
      </c>
      <c r="AB27" s="202">
        <v>4.0152900000000002</v>
      </c>
      <c r="AC27" s="202">
        <v>2.19617</v>
      </c>
      <c r="AD27" s="202">
        <v>2.7638699999999998</v>
      </c>
      <c r="AF27" s="67" t="s">
        <v>80</v>
      </c>
      <c r="AG27" t="s">
        <v>212</v>
      </c>
      <c r="AJ27" s="204" t="s">
        <v>73</v>
      </c>
      <c r="AK27" s="205" t="s">
        <v>215</v>
      </c>
    </row>
    <row r="28" spans="1:37" x14ac:dyDescent="0.25">
      <c r="A28" s="69" t="s">
        <v>121</v>
      </c>
      <c r="B28" s="208"/>
      <c r="C28" s="208"/>
      <c r="D28" s="208"/>
      <c r="E28" s="209">
        <v>-4.5239900000000004</v>
      </c>
      <c r="G28" s="208">
        <v>35.122567142857136</v>
      </c>
      <c r="H28" s="208">
        <v>-281.08700571428568</v>
      </c>
      <c r="I28" s="208">
        <v>-101.8003242857143</v>
      </c>
      <c r="J28" s="209">
        <v>30.338381428571427</v>
      </c>
      <c r="K28" s="209"/>
      <c r="L28" s="208">
        <v>10.629984285714286</v>
      </c>
      <c r="M28" s="208">
        <v>21.595397142857141</v>
      </c>
      <c r="N28" s="208">
        <v>26.436055714285711</v>
      </c>
      <c r="O28" s="208">
        <v>18.239167142857148</v>
      </c>
      <c r="P28" s="208"/>
      <c r="Q28" s="208">
        <v>28.528878571428571</v>
      </c>
      <c r="R28" s="208">
        <v>19.186398571428565</v>
      </c>
      <c r="S28" s="208">
        <v>15.292517142857145</v>
      </c>
      <c r="T28" s="208">
        <v>19.004682857142857</v>
      </c>
      <c r="U28" s="208"/>
      <c r="V28" s="208">
        <v>59.178567142857126</v>
      </c>
      <c r="W28" s="208">
        <v>20.105109999999996</v>
      </c>
      <c r="X28" s="208">
        <v>6.4774257142857143</v>
      </c>
      <c r="Y28" s="208">
        <v>1.00762</v>
      </c>
      <c r="Z28" s="208"/>
      <c r="AA28" s="208">
        <v>9.6249433333333325</v>
      </c>
      <c r="AB28" s="208">
        <v>-8.6567216666666678</v>
      </c>
      <c r="AC28" s="208">
        <v>1.4556766666666652</v>
      </c>
      <c r="AD28" s="208">
        <v>-11.370065000000002</v>
      </c>
      <c r="AE28" s="210"/>
      <c r="AF28" s="78" t="s">
        <v>122</v>
      </c>
      <c r="AJ28" s="204" t="s">
        <v>29</v>
      </c>
      <c r="AK28" s="205" t="s">
        <v>216</v>
      </c>
    </row>
    <row r="29" spans="1:37" x14ac:dyDescent="0.25">
      <c r="H29" s="202"/>
      <c r="I29" s="202"/>
      <c r="J29" s="206"/>
      <c r="K29" s="207"/>
      <c r="L29" s="202"/>
      <c r="M29" s="202"/>
      <c r="N29" s="202"/>
      <c r="O29" s="202"/>
      <c r="P29" s="203"/>
      <c r="Q29" s="202"/>
      <c r="R29" s="202"/>
      <c r="S29" s="202"/>
      <c r="T29" s="202"/>
      <c r="U29" s="203"/>
      <c r="V29" s="202"/>
      <c r="W29" s="202"/>
      <c r="X29" s="202"/>
      <c r="Y29" s="202"/>
      <c r="Z29" s="203"/>
      <c r="AA29" s="202"/>
      <c r="AB29" s="202"/>
      <c r="AC29" s="202"/>
      <c r="AD29" s="202"/>
      <c r="AJ29" s="204" t="s">
        <v>17</v>
      </c>
      <c r="AK29" s="205" t="s">
        <v>217</v>
      </c>
    </row>
    <row r="30" spans="1:37" x14ac:dyDescent="0.25">
      <c r="A30" s="57" t="s">
        <v>124</v>
      </c>
      <c r="B30" s="57"/>
      <c r="C30" s="57"/>
      <c r="D30" s="57"/>
      <c r="E30" s="57"/>
      <c r="G30" s="57"/>
      <c r="H30" s="211"/>
      <c r="I30" s="211"/>
      <c r="J30" s="211"/>
      <c r="K30" s="212"/>
      <c r="L30" s="211"/>
      <c r="M30" s="211"/>
      <c r="N30" s="211"/>
      <c r="O30" s="211"/>
      <c r="P30" s="212"/>
      <c r="Q30" s="211"/>
      <c r="R30" s="211"/>
      <c r="S30" s="211"/>
      <c r="T30" s="211"/>
      <c r="U30" s="212"/>
      <c r="V30" s="211"/>
      <c r="W30" s="211"/>
      <c r="X30" s="211"/>
      <c r="Y30" s="211"/>
      <c r="Z30" s="212"/>
      <c r="AA30" s="211"/>
      <c r="AB30" s="211"/>
      <c r="AC30" s="211"/>
      <c r="AD30" s="211"/>
      <c r="AE30" s="213"/>
      <c r="AF30" s="88"/>
      <c r="AJ30" s="204" t="s">
        <v>34</v>
      </c>
      <c r="AK30" s="205" t="s">
        <v>218</v>
      </c>
    </row>
    <row r="31" spans="1:37" x14ac:dyDescent="0.25">
      <c r="A31" t="s">
        <v>60</v>
      </c>
      <c r="B31" s="202" t="s">
        <v>235</v>
      </c>
      <c r="C31" s="202" t="s">
        <v>235</v>
      </c>
      <c r="D31" s="214" t="s">
        <v>235</v>
      </c>
      <c r="E31" s="202">
        <v>18564</v>
      </c>
      <c r="G31" s="202">
        <v>8409</v>
      </c>
      <c r="H31" s="202">
        <v>67758.065073992606</v>
      </c>
      <c r="I31" s="214">
        <v>75039.193086547195</v>
      </c>
      <c r="J31" s="202">
        <v>42360.863644616598</v>
      </c>
      <c r="K31" s="203"/>
      <c r="L31" s="202">
        <v>-30747.664019806201</v>
      </c>
      <c r="M31" s="202">
        <v>1454.6953881191901</v>
      </c>
      <c r="N31" s="202">
        <v>1587.1203460061099</v>
      </c>
      <c r="O31" s="202">
        <v>21891.7012487992</v>
      </c>
      <c r="P31" s="203"/>
      <c r="Q31" s="202">
        <v>12232.122218123701</v>
      </c>
      <c r="R31" s="202">
        <v>-77494.863297431701</v>
      </c>
      <c r="S31" s="202">
        <v>1730.4519703666799</v>
      </c>
      <c r="T31" s="202">
        <v>-5094.6399443284599</v>
      </c>
      <c r="U31" s="203"/>
      <c r="V31" s="202">
        <v>-120684.53368019599</v>
      </c>
      <c r="W31" s="202">
        <v>-8971.1156340240104</v>
      </c>
      <c r="X31" s="202">
        <v>1557.1720502901401</v>
      </c>
      <c r="Y31" s="202">
        <v>14707.6767771622</v>
      </c>
      <c r="Z31" s="203"/>
      <c r="AA31" s="202">
        <v>-112581.49988709101</v>
      </c>
      <c r="AB31" s="202">
        <v>-18408.838807313201</v>
      </c>
      <c r="AC31" s="202">
        <v>18213.465916790901</v>
      </c>
      <c r="AD31" s="202">
        <v>18994.452760412099</v>
      </c>
      <c r="AF31" s="67" t="s">
        <v>60</v>
      </c>
      <c r="AG31" t="s">
        <v>213</v>
      </c>
      <c r="AJ31" s="204" t="s">
        <v>27</v>
      </c>
      <c r="AK31" s="205" t="s">
        <v>219</v>
      </c>
    </row>
    <row r="32" spans="1:37" x14ac:dyDescent="0.25">
      <c r="A32" t="s">
        <v>72</v>
      </c>
      <c r="B32" s="202" t="s">
        <v>235</v>
      </c>
      <c r="C32" s="202" t="s">
        <v>235</v>
      </c>
      <c r="D32" s="202" t="s">
        <v>235</v>
      </c>
      <c r="E32" s="202">
        <v>241.48599999999999</v>
      </c>
      <c r="G32" s="202">
        <v>225.82499999999999</v>
      </c>
      <c r="H32" s="202">
        <v>10193.146559999999</v>
      </c>
      <c r="I32" s="202">
        <v>4861.4809679999998</v>
      </c>
      <c r="J32" s="202">
        <v>4725.5081300000002</v>
      </c>
      <c r="K32" s="203"/>
      <c r="L32" s="202">
        <v>2979.3538079999998</v>
      </c>
      <c r="M32" s="202">
        <v>1812.8208059999999</v>
      </c>
      <c r="N32" s="202">
        <v>1237.5455440000001</v>
      </c>
      <c r="O32" s="202">
        <v>1745.460695</v>
      </c>
      <c r="P32" s="203"/>
      <c r="Q32" s="202">
        <v>-120.664794</v>
      </c>
      <c r="R32" s="202">
        <v>71.231489999999994</v>
      </c>
      <c r="S32" s="202">
        <v>-405.72007500000001</v>
      </c>
      <c r="T32" s="202">
        <v>151.29669999999999</v>
      </c>
      <c r="U32" s="203"/>
      <c r="V32" s="202">
        <v>-850.97524559999999</v>
      </c>
      <c r="W32" s="202">
        <v>-3343.7990168000001</v>
      </c>
      <c r="X32" s="202">
        <v>603.23856379999995</v>
      </c>
      <c r="Y32" s="202">
        <v>2248.6753709999998</v>
      </c>
      <c r="Z32" s="203"/>
      <c r="AA32" s="202">
        <v>2003.7444250000001</v>
      </c>
      <c r="AB32" s="202">
        <v>684.59186999999997</v>
      </c>
      <c r="AC32" s="202">
        <v>3316.3089924999999</v>
      </c>
      <c r="AD32" s="202">
        <v>3380.04</v>
      </c>
      <c r="AF32" s="67" t="s">
        <v>72</v>
      </c>
      <c r="AG32" t="s">
        <v>214</v>
      </c>
      <c r="AJ32" s="204" t="s">
        <v>28</v>
      </c>
      <c r="AK32" s="205" t="s">
        <v>220</v>
      </c>
    </row>
    <row r="33" spans="1:37" x14ac:dyDescent="0.25">
      <c r="A33" t="s">
        <v>73</v>
      </c>
      <c r="B33" s="202" t="s">
        <v>235</v>
      </c>
      <c r="C33" s="202" t="s">
        <v>235</v>
      </c>
      <c r="D33" s="202" t="s">
        <v>235</v>
      </c>
      <c r="E33" s="206">
        <v>-3623</v>
      </c>
      <c r="G33" s="202">
        <v>17350</v>
      </c>
      <c r="H33" s="202">
        <v>13203</v>
      </c>
      <c r="I33" s="202">
        <v>1993</v>
      </c>
      <c r="J33" s="206">
        <v>6067</v>
      </c>
      <c r="K33" s="207"/>
      <c r="L33" s="202">
        <v>12010</v>
      </c>
      <c r="M33" s="202">
        <v>93</v>
      </c>
      <c r="N33" s="202">
        <v>212</v>
      </c>
      <c r="O33" s="202">
        <v>25</v>
      </c>
      <c r="P33" s="203"/>
      <c r="Q33" s="202">
        <v>1721</v>
      </c>
      <c r="R33" s="202">
        <v>-30211</v>
      </c>
      <c r="S33" s="202">
        <v>-743</v>
      </c>
      <c r="T33" s="202">
        <v>996</v>
      </c>
      <c r="U33" s="203"/>
      <c r="V33" s="202">
        <v>-1695</v>
      </c>
      <c r="W33" s="202">
        <v>1850</v>
      </c>
      <c r="X33" s="202">
        <v>2297</v>
      </c>
      <c r="Y33" s="202">
        <v>2127</v>
      </c>
      <c r="Z33" s="203"/>
      <c r="AA33" s="202">
        <v>1383</v>
      </c>
      <c r="AB33" s="202">
        <v>3212</v>
      </c>
      <c r="AC33" s="202">
        <v>1526</v>
      </c>
      <c r="AD33" s="202">
        <v>2881</v>
      </c>
      <c r="AF33" s="67" t="s">
        <v>73</v>
      </c>
      <c r="AG33" t="s">
        <v>215</v>
      </c>
      <c r="AJ33" s="204" t="s">
        <v>67</v>
      </c>
      <c r="AK33" s="205" t="s">
        <v>221</v>
      </c>
    </row>
    <row r="34" spans="1:37" x14ac:dyDescent="0.25">
      <c r="A34" t="s">
        <v>29</v>
      </c>
      <c r="B34" s="202" t="s">
        <v>235</v>
      </c>
      <c r="C34" s="202" t="s">
        <v>235</v>
      </c>
      <c r="D34" s="202" t="s">
        <v>235</v>
      </c>
      <c r="E34" s="206">
        <v>4053.9369999999999</v>
      </c>
      <c r="G34" s="202">
        <v>7796.6220000000003</v>
      </c>
      <c r="H34" s="202">
        <v>784.35699999999997</v>
      </c>
      <c r="I34" s="202">
        <v>1099.9590000000001</v>
      </c>
      <c r="J34" s="206">
        <v>1734.894</v>
      </c>
      <c r="K34" s="207"/>
      <c r="L34" s="202">
        <v>974.70799999999997</v>
      </c>
      <c r="M34" s="202">
        <v>518.10199999999998</v>
      </c>
      <c r="N34" s="202">
        <v>635.64</v>
      </c>
      <c r="O34" s="202">
        <v>664.81500000000005</v>
      </c>
      <c r="P34" s="203"/>
      <c r="Q34" s="202">
        <v>462.00700000000001</v>
      </c>
      <c r="R34" s="202">
        <v>151.23400000000001</v>
      </c>
      <c r="S34" s="202">
        <v>369.52800000000002</v>
      </c>
      <c r="T34" s="202">
        <v>-52.091999999999999</v>
      </c>
      <c r="U34" s="203"/>
      <c r="V34" s="202">
        <v>-160.96100000000001</v>
      </c>
      <c r="W34" s="202">
        <v>-171.16</v>
      </c>
      <c r="X34" s="202">
        <v>114.873</v>
      </c>
      <c r="Y34" s="202">
        <v>45.14</v>
      </c>
      <c r="Z34" s="203"/>
      <c r="AA34" s="202">
        <v>27.132999999999999</v>
      </c>
      <c r="AB34" s="202">
        <v>40.512</v>
      </c>
      <c r="AC34" s="202">
        <v>114.989</v>
      </c>
      <c r="AD34" s="202">
        <v>-77.650000000000006</v>
      </c>
      <c r="AF34" s="67" t="s">
        <v>29</v>
      </c>
      <c r="AG34" t="s">
        <v>216</v>
      </c>
      <c r="AJ34" s="204" t="s">
        <v>65</v>
      </c>
      <c r="AK34" s="205" t="s">
        <v>222</v>
      </c>
    </row>
    <row r="35" spans="1:37" x14ac:dyDescent="0.25">
      <c r="A35" t="s">
        <v>17</v>
      </c>
      <c r="B35" s="202" t="s">
        <v>235</v>
      </c>
      <c r="C35" s="202" t="s">
        <v>235</v>
      </c>
      <c r="D35" s="202" t="s">
        <v>235</v>
      </c>
      <c r="E35" s="206">
        <v>559.23900000000003</v>
      </c>
      <c r="G35" s="202">
        <v>2841.0859999999998</v>
      </c>
      <c r="H35" s="202">
        <v>509.86799999999999</v>
      </c>
      <c r="I35" s="202">
        <v>234.542</v>
      </c>
      <c r="J35" s="206">
        <v>136.447</v>
      </c>
      <c r="K35" s="207"/>
      <c r="L35" s="202">
        <v>238.74600000000001</v>
      </c>
      <c r="M35" s="202">
        <v>300.29000000000002</v>
      </c>
      <c r="N35" s="202">
        <v>100.449</v>
      </c>
      <c r="O35" s="202">
        <v>202.37100000000001</v>
      </c>
      <c r="P35" s="203"/>
      <c r="Q35" s="202">
        <v>17.690999999999999</v>
      </c>
      <c r="R35" s="202">
        <v>-117.157</v>
      </c>
      <c r="S35" s="202">
        <v>129.16800000000001</v>
      </c>
      <c r="T35" s="202">
        <v>-288.52800000000002</v>
      </c>
      <c r="U35" s="203"/>
      <c r="V35" s="202">
        <v>-353.82799999999997</v>
      </c>
      <c r="W35" s="202">
        <v>-72.73</v>
      </c>
      <c r="X35" s="202">
        <v>-59.405999999999999</v>
      </c>
      <c r="Y35" s="202">
        <v>-31.699000000000002</v>
      </c>
      <c r="Z35" s="203"/>
      <c r="AA35" s="202">
        <v>-102.937</v>
      </c>
      <c r="AB35" s="202">
        <v>-44.368000000000002</v>
      </c>
      <c r="AC35" s="202">
        <v>-53.531999999999996</v>
      </c>
      <c r="AD35" s="202">
        <v>-55.787999999999997</v>
      </c>
      <c r="AF35" s="67" t="s">
        <v>17</v>
      </c>
      <c r="AG35" t="s">
        <v>217</v>
      </c>
      <c r="AJ35" s="204" t="s">
        <v>367</v>
      </c>
      <c r="AK35" s="205" t="s">
        <v>223</v>
      </c>
    </row>
    <row r="36" spans="1:37" x14ac:dyDescent="0.25">
      <c r="A36" t="s">
        <v>34</v>
      </c>
      <c r="B36" s="202" t="s">
        <v>235</v>
      </c>
      <c r="C36" s="202" t="s">
        <v>235</v>
      </c>
      <c r="D36" s="202" t="s">
        <v>235</v>
      </c>
      <c r="E36" s="206" t="s">
        <v>235</v>
      </c>
      <c r="G36" s="202" t="s">
        <v>235</v>
      </c>
      <c r="H36" s="202" t="s">
        <v>235</v>
      </c>
      <c r="I36" s="202" t="s">
        <v>235</v>
      </c>
      <c r="J36" s="206" t="s">
        <v>235</v>
      </c>
      <c r="K36" s="207"/>
      <c r="L36" s="202" t="s">
        <v>235</v>
      </c>
      <c r="M36" s="202" t="s">
        <v>235</v>
      </c>
      <c r="N36" s="202" t="s">
        <v>235</v>
      </c>
      <c r="O36" s="202" t="s">
        <v>235</v>
      </c>
      <c r="P36" s="203"/>
      <c r="Q36" s="202" t="s">
        <v>235</v>
      </c>
      <c r="R36" s="202" t="s">
        <v>235</v>
      </c>
      <c r="S36" s="202" t="s">
        <v>235</v>
      </c>
      <c r="T36" s="202" t="s">
        <v>235</v>
      </c>
      <c r="U36" s="203"/>
      <c r="V36" s="202" t="s">
        <v>235</v>
      </c>
      <c r="W36" s="202" t="s">
        <v>235</v>
      </c>
      <c r="X36" s="202" t="s">
        <v>235</v>
      </c>
      <c r="Y36" s="202" t="s">
        <v>235</v>
      </c>
      <c r="Z36" s="203"/>
      <c r="AA36" s="202" t="s">
        <v>235</v>
      </c>
      <c r="AB36" s="202" t="s">
        <v>235</v>
      </c>
      <c r="AC36" s="202" t="s">
        <v>235</v>
      </c>
      <c r="AD36" s="202" t="s">
        <v>235</v>
      </c>
      <c r="AF36" s="67" t="s">
        <v>34</v>
      </c>
      <c r="AG36" t="s">
        <v>218</v>
      </c>
      <c r="AJ36" s="204" t="s">
        <v>11</v>
      </c>
      <c r="AK36" s="205" t="s">
        <v>224</v>
      </c>
    </row>
    <row r="37" spans="1:37" x14ac:dyDescent="0.25">
      <c r="A37" t="s">
        <v>27</v>
      </c>
      <c r="B37" s="202" t="s">
        <v>235</v>
      </c>
      <c r="C37" s="202" t="s">
        <v>235</v>
      </c>
      <c r="D37" s="202" t="s">
        <v>235</v>
      </c>
      <c r="E37" s="206">
        <v>127.47199999999999</v>
      </c>
      <c r="G37" s="202">
        <v>861.16099999999994</v>
      </c>
      <c r="H37" s="202">
        <v>612.24300000000005</v>
      </c>
      <c r="I37" s="202">
        <v>119.53100000000001</v>
      </c>
      <c r="J37" s="206">
        <v>-68.808999999999997</v>
      </c>
      <c r="K37" s="207"/>
      <c r="L37" s="202" t="s">
        <v>235</v>
      </c>
      <c r="M37" s="202">
        <v>-85.909000000000006</v>
      </c>
      <c r="N37" s="202">
        <v>-170.08099999999999</v>
      </c>
      <c r="O37" s="202">
        <v>-52.32</v>
      </c>
      <c r="P37" s="203"/>
      <c r="Q37" s="202">
        <v>73.686000000000007</v>
      </c>
      <c r="R37" s="202">
        <v>-5.7220000000000004</v>
      </c>
      <c r="S37" s="202">
        <v>16.131</v>
      </c>
      <c r="T37" s="202">
        <v>-42.048000000000002</v>
      </c>
      <c r="U37" s="203"/>
      <c r="V37" s="202">
        <v>161.65600000000001</v>
      </c>
      <c r="W37" s="202">
        <v>-1.7609999999999999</v>
      </c>
      <c r="X37" s="202">
        <v>152.27000000000001</v>
      </c>
      <c r="Y37" s="202">
        <v>47.677</v>
      </c>
      <c r="Z37" s="203"/>
      <c r="AA37" s="202">
        <v>141.83099999999999</v>
      </c>
      <c r="AB37" s="202">
        <v>52.389000000000003</v>
      </c>
      <c r="AC37" s="202">
        <v>37.180999999999997</v>
      </c>
      <c r="AD37" s="202">
        <v>27.917000000000002</v>
      </c>
      <c r="AF37" s="67" t="s">
        <v>27</v>
      </c>
      <c r="AG37" t="s">
        <v>219</v>
      </c>
      <c r="AJ37" s="204" t="s">
        <v>21</v>
      </c>
      <c r="AK37" s="205" t="s">
        <v>225</v>
      </c>
    </row>
    <row r="38" spans="1:37" x14ac:dyDescent="0.25">
      <c r="A38" t="s">
        <v>28</v>
      </c>
      <c r="B38" s="202" t="s">
        <v>235</v>
      </c>
      <c r="C38" s="202" t="s">
        <v>235</v>
      </c>
      <c r="D38" s="202" t="s">
        <v>235</v>
      </c>
      <c r="E38" s="206">
        <v>12.020350000000001</v>
      </c>
      <c r="G38" s="202">
        <v>-15.012639999999999</v>
      </c>
      <c r="H38" s="202">
        <v>40.398560000000003</v>
      </c>
      <c r="I38" s="202">
        <v>7.5888799999999996</v>
      </c>
      <c r="J38" s="206">
        <v>-10.4849</v>
      </c>
      <c r="K38" s="207"/>
      <c r="L38" s="202">
        <v>-13.44412</v>
      </c>
      <c r="M38" s="202">
        <v>-32.569020000000002</v>
      </c>
      <c r="N38" s="202">
        <v>4.8068099999999996</v>
      </c>
      <c r="O38" s="202">
        <v>0.75758999999999999</v>
      </c>
      <c r="P38" s="203"/>
      <c r="Q38" s="202">
        <v>-9.1258900000000001</v>
      </c>
      <c r="R38" s="202">
        <v>-12.80939</v>
      </c>
      <c r="S38" s="202">
        <v>-22.38015</v>
      </c>
      <c r="T38" s="202">
        <v>2.5847899999999999</v>
      </c>
      <c r="U38" s="203"/>
      <c r="V38" s="202">
        <v>-36.134869999999999</v>
      </c>
      <c r="W38" s="202">
        <v>-9.0703399999999998</v>
      </c>
      <c r="X38" s="202">
        <v>-10.63109</v>
      </c>
      <c r="Y38" s="202">
        <v>-12.83756</v>
      </c>
      <c r="Z38" s="203"/>
      <c r="AA38" s="202">
        <v>-10.11947</v>
      </c>
      <c r="AB38" s="202">
        <v>-3.4775299999999998</v>
      </c>
      <c r="AC38" s="202">
        <v>-21.182749999999999</v>
      </c>
      <c r="AD38" s="202">
        <v>-11.536479999999999</v>
      </c>
      <c r="AF38" s="67" t="s">
        <v>28</v>
      </c>
      <c r="AG38" t="s">
        <v>220</v>
      </c>
      <c r="AJ38" s="204" t="s">
        <v>38</v>
      </c>
      <c r="AK38" s="205" t="s">
        <v>226</v>
      </c>
    </row>
    <row r="39" spans="1:37" x14ac:dyDescent="0.25">
      <c r="A39" s="69" t="s">
        <v>121</v>
      </c>
      <c r="B39" s="208"/>
      <c r="C39" s="208"/>
      <c r="D39" s="215"/>
      <c r="E39" s="209">
        <v>2847.8791928571436</v>
      </c>
      <c r="G39" s="208">
        <v>5352.6687657142857</v>
      </c>
      <c r="H39" s="208">
        <v>13300.15402771323</v>
      </c>
      <c r="I39" s="215">
        <v>11907.899276363885</v>
      </c>
      <c r="J39" s="209">
        <v>7849.3455535166568</v>
      </c>
      <c r="K39" s="216"/>
      <c r="L39" s="208">
        <v>-2426.3833886343668</v>
      </c>
      <c r="M39" s="208">
        <v>580.06145344559854</v>
      </c>
      <c r="N39" s="208">
        <v>515.35438571515863</v>
      </c>
      <c r="O39" s="208">
        <v>3496.826504828457</v>
      </c>
      <c r="P39" s="217"/>
      <c r="Q39" s="208">
        <v>2053.8165048748147</v>
      </c>
      <c r="R39" s="208">
        <v>-15374.155171061671</v>
      </c>
      <c r="S39" s="208">
        <v>153.45410648095429</v>
      </c>
      <c r="T39" s="208">
        <v>-618.20377918977999</v>
      </c>
      <c r="U39" s="217"/>
      <c r="V39" s="208">
        <v>-17659.96811368514</v>
      </c>
      <c r="W39" s="208">
        <v>-1531.3765701177158</v>
      </c>
      <c r="X39" s="208">
        <v>664.93093201287718</v>
      </c>
      <c r="Y39" s="208">
        <v>2733.090369737457</v>
      </c>
      <c r="Z39" s="217"/>
      <c r="AA39" s="208">
        <v>-15591.263990298716</v>
      </c>
      <c r="AB39" s="208">
        <v>-2066.7416381876001</v>
      </c>
      <c r="AC39" s="208">
        <v>3304.747165612986</v>
      </c>
      <c r="AD39" s="208">
        <v>3591.2050400588714</v>
      </c>
      <c r="AE39" s="210"/>
      <c r="AF39" s="78" t="s">
        <v>122</v>
      </c>
      <c r="AJ39" s="204" t="s">
        <v>53</v>
      </c>
      <c r="AK39" s="205" t="s">
        <v>227</v>
      </c>
    </row>
    <row r="40" spans="1:37" x14ac:dyDescent="0.25">
      <c r="H40" s="202"/>
      <c r="I40" s="202"/>
      <c r="J40" s="206"/>
      <c r="K40" s="207"/>
      <c r="L40" s="202"/>
      <c r="M40" s="202"/>
      <c r="N40" s="202"/>
      <c r="O40" s="202"/>
      <c r="P40" s="203"/>
      <c r="Q40" s="202"/>
      <c r="R40" s="202"/>
      <c r="S40" s="202"/>
      <c r="T40" s="202"/>
      <c r="U40" s="203"/>
      <c r="V40" s="202"/>
      <c r="W40" s="202"/>
      <c r="X40" s="202"/>
      <c r="Y40" s="202"/>
      <c r="Z40" s="203"/>
      <c r="AA40" s="202"/>
      <c r="AB40" s="202"/>
      <c r="AC40" s="202"/>
      <c r="AD40" s="202"/>
      <c r="AJ40" s="204" t="s">
        <v>25</v>
      </c>
      <c r="AK40" s="205" t="s">
        <v>228</v>
      </c>
    </row>
    <row r="41" spans="1:37" ht="26.25" customHeight="1" x14ac:dyDescent="0.25">
      <c r="H41" s="202"/>
      <c r="I41" s="202"/>
      <c r="J41" s="202"/>
      <c r="K41" s="203"/>
      <c r="L41" s="202"/>
      <c r="M41" s="202"/>
      <c r="N41" s="202"/>
      <c r="O41" s="202"/>
      <c r="P41" s="203"/>
      <c r="Q41" s="202"/>
      <c r="R41" s="202"/>
      <c r="S41" s="202"/>
      <c r="T41" s="202"/>
      <c r="U41" s="203"/>
      <c r="V41" s="202"/>
      <c r="W41" s="202"/>
      <c r="X41" s="202"/>
      <c r="Y41" s="202"/>
      <c r="Z41" s="203"/>
      <c r="AA41" s="202"/>
      <c r="AB41" s="202"/>
      <c r="AC41" s="202"/>
      <c r="AD41" s="202"/>
      <c r="AJ41" s="204" t="s">
        <v>41</v>
      </c>
      <c r="AK41" s="205" t="s">
        <v>229</v>
      </c>
    </row>
    <row r="42" spans="1:37" ht="13.5" customHeight="1" x14ac:dyDescent="0.25">
      <c r="A42" s="184" t="s">
        <v>4</v>
      </c>
      <c r="B42" s="185">
        <v>2019</v>
      </c>
      <c r="C42" s="185"/>
      <c r="D42" s="185"/>
      <c r="E42" s="185"/>
      <c r="G42" s="185">
        <v>2018</v>
      </c>
      <c r="H42" s="185"/>
      <c r="I42" s="185"/>
      <c r="J42" s="185"/>
      <c r="K42" s="186"/>
      <c r="L42" s="185">
        <v>2017</v>
      </c>
      <c r="M42" s="185"/>
      <c r="N42" s="185"/>
      <c r="O42" s="185"/>
      <c r="P42" s="186"/>
      <c r="Q42" s="185">
        <v>2016</v>
      </c>
      <c r="R42" s="185"/>
      <c r="S42" s="185"/>
      <c r="T42" s="185"/>
      <c r="U42" s="186"/>
      <c r="V42" s="185">
        <v>2015</v>
      </c>
      <c r="W42" s="185"/>
      <c r="X42" s="185"/>
      <c r="Y42" s="185"/>
      <c r="Z42" s="186"/>
      <c r="AA42" s="185">
        <v>2014</v>
      </c>
      <c r="AB42" s="185"/>
      <c r="AC42" s="185"/>
      <c r="AD42" s="185"/>
      <c r="AE42" s="186"/>
      <c r="AF42" s="187" t="s">
        <v>4</v>
      </c>
      <c r="AJ42" s="204" t="s">
        <v>62</v>
      </c>
      <c r="AK42" s="205" t="s">
        <v>230</v>
      </c>
    </row>
    <row r="43" spans="1:37" x14ac:dyDescent="0.25">
      <c r="A43" s="188"/>
      <c r="B43" s="189" t="s">
        <v>188</v>
      </c>
      <c r="C43" s="189" t="s">
        <v>189</v>
      </c>
      <c r="D43" s="189" t="s">
        <v>190</v>
      </c>
      <c r="E43" s="189" t="s">
        <v>191</v>
      </c>
      <c r="G43" s="189" t="s">
        <v>188</v>
      </c>
      <c r="H43" s="189" t="s">
        <v>189</v>
      </c>
      <c r="I43" s="189" t="s">
        <v>190</v>
      </c>
      <c r="J43" s="189" t="s">
        <v>191</v>
      </c>
      <c r="K43" s="190"/>
      <c r="L43" s="189" t="s">
        <v>188</v>
      </c>
      <c r="M43" s="189" t="s">
        <v>189</v>
      </c>
      <c r="N43" s="189" t="s">
        <v>190</v>
      </c>
      <c r="O43" s="189" t="s">
        <v>191</v>
      </c>
      <c r="P43" s="191"/>
      <c r="Q43" s="189" t="s">
        <v>192</v>
      </c>
      <c r="R43" s="189" t="s">
        <v>189</v>
      </c>
      <c r="S43" s="189" t="s">
        <v>190</v>
      </c>
      <c r="T43" s="189" t="s">
        <v>193</v>
      </c>
      <c r="U43" s="191"/>
      <c r="V43" s="189" t="s">
        <v>188</v>
      </c>
      <c r="W43" s="189" t="s">
        <v>189</v>
      </c>
      <c r="X43" s="189" t="s">
        <v>190</v>
      </c>
      <c r="Y43" s="189" t="s">
        <v>191</v>
      </c>
      <c r="Z43" s="191"/>
      <c r="AA43" s="189" t="s">
        <v>188</v>
      </c>
      <c r="AB43" s="189" t="s">
        <v>194</v>
      </c>
      <c r="AC43" s="189" t="s">
        <v>190</v>
      </c>
      <c r="AD43" s="189" t="s">
        <v>191</v>
      </c>
      <c r="AE43" s="191"/>
      <c r="AF43" s="192"/>
      <c r="AJ43" s="204" t="s">
        <v>56</v>
      </c>
      <c r="AK43" s="205" t="s">
        <v>231</v>
      </c>
    </row>
    <row r="44" spans="1:37" x14ac:dyDescent="0.25">
      <c r="A44" s="57" t="s">
        <v>125</v>
      </c>
      <c r="B44" s="57"/>
      <c r="C44" s="57"/>
      <c r="D44" s="57"/>
      <c r="E44" s="57"/>
      <c r="G44" s="57"/>
      <c r="H44" s="211"/>
      <c r="I44" s="211"/>
      <c r="J44" s="211"/>
      <c r="K44" s="212"/>
      <c r="L44" s="211"/>
      <c r="M44" s="211"/>
      <c r="N44" s="211"/>
      <c r="O44" s="211"/>
      <c r="P44" s="212"/>
      <c r="Q44" s="211"/>
      <c r="R44" s="211"/>
      <c r="S44" s="211"/>
      <c r="T44" s="211"/>
      <c r="U44" s="212"/>
      <c r="V44" s="211"/>
      <c r="W44" s="211"/>
      <c r="X44" s="211"/>
      <c r="Y44" s="211"/>
      <c r="Z44" s="212"/>
      <c r="AA44" s="211"/>
      <c r="AB44" s="211"/>
      <c r="AC44" s="211"/>
      <c r="AD44" s="211"/>
      <c r="AE44" s="213"/>
      <c r="AF44" s="88"/>
      <c r="AJ44" s="204" t="s">
        <v>31</v>
      </c>
      <c r="AK44" s="205" t="s">
        <v>232</v>
      </c>
    </row>
    <row r="45" spans="1:37" x14ac:dyDescent="0.25">
      <c r="A45" t="s">
        <v>67</v>
      </c>
      <c r="B45" s="202" t="s">
        <v>235</v>
      </c>
      <c r="C45" s="202" t="s">
        <v>235</v>
      </c>
      <c r="D45" s="202" t="s">
        <v>235</v>
      </c>
      <c r="E45" s="202">
        <v>9037.3590000000004</v>
      </c>
      <c r="G45" s="202">
        <v>4427.8209999999999</v>
      </c>
      <c r="H45" s="202">
        <v>4212</v>
      </c>
      <c r="I45" s="202">
        <v>2781.636</v>
      </c>
      <c r="J45" s="202">
        <v>2953.277</v>
      </c>
      <c r="K45" s="203"/>
      <c r="L45" s="202">
        <v>2676.05</v>
      </c>
      <c r="M45" s="202">
        <v>2124</v>
      </c>
      <c r="N45" s="202">
        <v>2228.2109999999998</v>
      </c>
      <c r="O45" s="202">
        <v>1612.548</v>
      </c>
      <c r="P45" s="203"/>
      <c r="Q45" s="202">
        <v>1771.9960000000001</v>
      </c>
      <c r="R45" s="202">
        <v>1522.6579999999999</v>
      </c>
      <c r="S45" s="202">
        <v>1375</v>
      </c>
      <c r="T45" s="202">
        <v>1348.223</v>
      </c>
      <c r="U45" s="203"/>
      <c r="V45" s="202">
        <v>1244.732</v>
      </c>
      <c r="W45" s="202">
        <v>1186.8579999999999</v>
      </c>
      <c r="X45" s="202">
        <v>948.40599999999995</v>
      </c>
      <c r="Y45" s="202">
        <v>958.40099999999995</v>
      </c>
      <c r="Z45" s="203"/>
      <c r="AA45" s="202">
        <v>882.59699999999998</v>
      </c>
      <c r="AB45" s="202">
        <v>931.24800000000005</v>
      </c>
      <c r="AC45" s="202">
        <v>693.24400000000003</v>
      </c>
      <c r="AD45" s="202">
        <v>830.70100000000002</v>
      </c>
      <c r="AF45" s="67" t="s">
        <v>67</v>
      </c>
      <c r="AG45" t="s">
        <v>221</v>
      </c>
      <c r="AJ45" s="204" t="s">
        <v>40</v>
      </c>
      <c r="AK45" s="205" t="s">
        <v>233</v>
      </c>
    </row>
    <row r="46" spans="1:37" x14ac:dyDescent="0.25">
      <c r="A46" t="s">
        <v>65</v>
      </c>
      <c r="B46" s="202" t="s">
        <v>235</v>
      </c>
      <c r="C46" s="202" t="s">
        <v>235</v>
      </c>
      <c r="D46" s="202" t="s">
        <v>235</v>
      </c>
      <c r="E46" s="202">
        <v>7032.3069999999998</v>
      </c>
      <c r="G46" s="202">
        <v>5243.2640000000001</v>
      </c>
      <c r="H46" s="202">
        <v>3828.1469999999999</v>
      </c>
      <c r="I46" s="202">
        <v>3115.6489999999999</v>
      </c>
      <c r="J46" s="202">
        <v>3542.183</v>
      </c>
      <c r="K46" s="203"/>
      <c r="L46" s="202">
        <v>3011.65</v>
      </c>
      <c r="M46" s="202">
        <v>2733.6190000000001</v>
      </c>
      <c r="N46" s="202">
        <v>2223.509</v>
      </c>
      <c r="O46" s="202">
        <v>2005.248</v>
      </c>
      <c r="P46" s="203"/>
      <c r="Q46" s="202">
        <v>1695.2529999999999</v>
      </c>
      <c r="R46" s="202">
        <v>1632.692</v>
      </c>
      <c r="S46" s="202">
        <v>1805.258</v>
      </c>
      <c r="T46" s="202">
        <v>1407.6289999999999</v>
      </c>
      <c r="U46" s="203"/>
      <c r="V46" s="202">
        <v>1966.866</v>
      </c>
      <c r="W46" s="202">
        <v>3043.0230000000001</v>
      </c>
      <c r="X46" s="202">
        <v>824.16700000000003</v>
      </c>
      <c r="Y46" s="202">
        <v>1114.2190000000001</v>
      </c>
      <c r="Z46" s="203"/>
      <c r="AA46" s="202">
        <v>574.98199999999997</v>
      </c>
      <c r="AB46" s="202">
        <v>985.60900000000004</v>
      </c>
      <c r="AC46" s="202">
        <v>732.60199999999998</v>
      </c>
      <c r="AD46" s="202">
        <v>1186.338</v>
      </c>
      <c r="AF46" s="67" t="s">
        <v>65</v>
      </c>
      <c r="AG46" t="s">
        <v>222</v>
      </c>
      <c r="AJ46" s="204" t="s">
        <v>76</v>
      </c>
      <c r="AK46" s="205" t="s">
        <v>234</v>
      </c>
    </row>
    <row r="47" spans="1:37" x14ac:dyDescent="0.25">
      <c r="A47" t="s">
        <v>47</v>
      </c>
      <c r="B47" s="202" t="s">
        <v>235</v>
      </c>
      <c r="C47" s="202" t="s">
        <v>235</v>
      </c>
      <c r="D47" s="202" t="s">
        <v>235</v>
      </c>
      <c r="E47" s="206">
        <v>6780.1229999999996</v>
      </c>
      <c r="G47" s="202" t="s">
        <v>235</v>
      </c>
      <c r="H47" s="202">
        <v>3007.8409999999999</v>
      </c>
      <c r="I47" s="202">
        <v>2123.92</v>
      </c>
      <c r="J47" s="206">
        <v>1545.298</v>
      </c>
      <c r="K47" s="207"/>
      <c r="L47" s="202">
        <v>1420.91</v>
      </c>
      <c r="M47" s="202">
        <v>1134.58</v>
      </c>
      <c r="N47" s="202">
        <v>-282.995</v>
      </c>
      <c r="O47" s="202">
        <v>1605.77</v>
      </c>
      <c r="P47" s="203"/>
      <c r="Q47" s="202">
        <v>582.40499999999997</v>
      </c>
      <c r="R47" s="202">
        <v>932.92499999999995</v>
      </c>
      <c r="S47" s="202">
        <v>963.25800000000004</v>
      </c>
      <c r="T47" s="202">
        <v>1165.0840000000001</v>
      </c>
      <c r="U47" s="203"/>
      <c r="V47" s="202">
        <v>1188.261</v>
      </c>
      <c r="W47" s="202">
        <v>998.07</v>
      </c>
      <c r="X47" s="202">
        <v>667.21</v>
      </c>
      <c r="Y47" s="202">
        <v>930.94600000000003</v>
      </c>
      <c r="Z47" s="203"/>
      <c r="AA47" s="202">
        <v>814.35699999999997</v>
      </c>
      <c r="AB47" s="202">
        <v>628.97</v>
      </c>
      <c r="AC47" s="202">
        <v>399.05099999999999</v>
      </c>
      <c r="AD47" s="202">
        <v>1362.1179999999999</v>
      </c>
      <c r="AF47" s="67" t="s">
        <v>47</v>
      </c>
      <c r="AG47" t="e">
        <v>#N/A</v>
      </c>
      <c r="AJ47" s="204" t="s">
        <v>36</v>
      </c>
      <c r="AK47" s="205" t="s">
        <v>236</v>
      </c>
    </row>
    <row r="48" spans="1:37" x14ac:dyDescent="0.25">
      <c r="A48" t="s">
        <v>11</v>
      </c>
      <c r="B48" s="202" t="s">
        <v>235</v>
      </c>
      <c r="C48" s="202" t="s">
        <v>235</v>
      </c>
      <c r="D48" s="202" t="s">
        <v>235</v>
      </c>
      <c r="E48" s="206">
        <v>6346.5450000000001</v>
      </c>
      <c r="G48" s="202">
        <v>2913.2629999999999</v>
      </c>
      <c r="H48" s="202">
        <v>3000.701</v>
      </c>
      <c r="I48" s="202">
        <v>2281.2649999999999</v>
      </c>
      <c r="J48" s="206">
        <v>1695.742</v>
      </c>
      <c r="K48" s="207"/>
      <c r="L48" s="202">
        <v>1579.4680000000001</v>
      </c>
      <c r="M48" s="202">
        <v>930.83699999999999</v>
      </c>
      <c r="N48" s="202">
        <v>1165.037</v>
      </c>
      <c r="O48" s="202">
        <v>1530.663</v>
      </c>
      <c r="P48" s="203"/>
      <c r="Q48" s="202">
        <v>1657.962</v>
      </c>
      <c r="R48" s="202">
        <v>1324.6579999999999</v>
      </c>
      <c r="S48" s="202">
        <v>1364.0609999999999</v>
      </c>
      <c r="T48" s="202">
        <v>839.899</v>
      </c>
      <c r="U48" s="203"/>
      <c r="V48" s="202">
        <v>1436.856</v>
      </c>
      <c r="W48" s="202">
        <v>1006.088</v>
      </c>
      <c r="X48" s="202">
        <v>905.08500000000004</v>
      </c>
      <c r="Y48" s="202">
        <v>860.50900000000001</v>
      </c>
      <c r="Z48" s="203"/>
      <c r="AA48" s="202">
        <v>807.89700000000005</v>
      </c>
      <c r="AB48" s="202">
        <v>821.87900000000002</v>
      </c>
      <c r="AC48" s="202">
        <v>629.00599999999997</v>
      </c>
      <c r="AD48" s="202">
        <v>974.25900000000001</v>
      </c>
      <c r="AF48" s="67" t="s">
        <v>11</v>
      </c>
      <c r="AG48" t="s">
        <v>224</v>
      </c>
      <c r="AJ48" s="204" t="s">
        <v>75</v>
      </c>
      <c r="AK48" s="205" t="s">
        <v>237</v>
      </c>
    </row>
    <row r="49" spans="1:37" x14ac:dyDescent="0.25">
      <c r="A49" t="s">
        <v>38</v>
      </c>
      <c r="B49" s="202" t="s">
        <v>235</v>
      </c>
      <c r="C49" s="202" t="s">
        <v>235</v>
      </c>
      <c r="D49" s="202" t="s">
        <v>235</v>
      </c>
      <c r="E49" s="206">
        <v>2635.375</v>
      </c>
      <c r="G49" s="202">
        <v>1272.5609999999999</v>
      </c>
      <c r="H49" s="202">
        <v>1760.7539999999999</v>
      </c>
      <c r="I49" s="202">
        <v>1495.2</v>
      </c>
      <c r="J49" s="206">
        <v>822.15499999999997</v>
      </c>
      <c r="K49" s="207"/>
      <c r="L49" s="202">
        <v>1031.6790000000001</v>
      </c>
      <c r="M49" s="202">
        <v>1639.558</v>
      </c>
      <c r="N49" s="202">
        <v>884.78499999999997</v>
      </c>
      <c r="O49" s="202">
        <v>752.24900000000002</v>
      </c>
      <c r="P49" s="203"/>
      <c r="Q49" s="202">
        <v>851.92399999999998</v>
      </c>
      <c r="R49" s="202">
        <v>841.15599999999995</v>
      </c>
      <c r="S49" s="202">
        <v>822.33500000000004</v>
      </c>
      <c r="T49" s="202">
        <v>753.577</v>
      </c>
      <c r="U49" s="203"/>
      <c r="V49" s="202">
        <v>735.65499999999997</v>
      </c>
      <c r="W49" s="202">
        <v>602.21900000000005</v>
      </c>
      <c r="X49" s="202">
        <v>473.416</v>
      </c>
      <c r="Y49" s="202">
        <v>575.46400000000006</v>
      </c>
      <c r="Z49" s="203"/>
      <c r="AA49" s="202">
        <v>453.61700000000002</v>
      </c>
      <c r="AB49" s="202">
        <v>454.42500000000001</v>
      </c>
      <c r="AC49" s="202">
        <v>393.60300000000001</v>
      </c>
      <c r="AD49" s="202">
        <v>874.33199999999999</v>
      </c>
      <c r="AF49" s="67" t="s">
        <v>38</v>
      </c>
      <c r="AG49" t="s">
        <v>226</v>
      </c>
      <c r="AJ49" s="204" t="s">
        <v>54</v>
      </c>
      <c r="AK49" s="205" t="s">
        <v>238</v>
      </c>
    </row>
    <row r="50" spans="1:37" x14ac:dyDescent="0.25">
      <c r="A50" t="s">
        <v>21</v>
      </c>
      <c r="B50" s="202" t="s">
        <v>235</v>
      </c>
      <c r="C50" s="202" t="s">
        <v>235</v>
      </c>
      <c r="D50" s="202" t="s">
        <v>235</v>
      </c>
      <c r="E50" s="206">
        <v>147.94983999999999</v>
      </c>
      <c r="G50" s="202">
        <v>-1059.5079000000001</v>
      </c>
      <c r="H50" s="202">
        <v>1509.7485300000001</v>
      </c>
      <c r="I50" s="202">
        <v>925.12660000000005</v>
      </c>
      <c r="J50" s="206">
        <v>475.56831</v>
      </c>
      <c r="K50" s="207"/>
      <c r="L50" s="202">
        <v>416.35762999999997</v>
      </c>
      <c r="M50" s="202">
        <v>302.29617000000002</v>
      </c>
      <c r="N50" s="202">
        <v>262.25869999999998</v>
      </c>
      <c r="O50" s="202">
        <v>135.98909</v>
      </c>
      <c r="P50" s="203"/>
      <c r="Q50" s="202" t="s">
        <v>235</v>
      </c>
      <c r="R50" s="202" t="s">
        <v>235</v>
      </c>
      <c r="S50" s="202" t="s">
        <v>235</v>
      </c>
      <c r="T50" s="202" t="s">
        <v>235</v>
      </c>
      <c r="U50" s="203"/>
      <c r="V50" s="202" t="s">
        <v>235</v>
      </c>
      <c r="W50" s="202" t="s">
        <v>235</v>
      </c>
      <c r="X50" s="202" t="s">
        <v>235</v>
      </c>
      <c r="Y50" s="202" t="s">
        <v>235</v>
      </c>
      <c r="Z50" s="203"/>
      <c r="AA50" s="202" t="s">
        <v>235</v>
      </c>
      <c r="AB50" s="202" t="s">
        <v>235</v>
      </c>
      <c r="AC50" s="202" t="s">
        <v>235</v>
      </c>
      <c r="AD50" s="202" t="s">
        <v>235</v>
      </c>
      <c r="AF50" s="67" t="s">
        <v>21</v>
      </c>
      <c r="AG50" t="s">
        <v>225</v>
      </c>
      <c r="AJ50" s="204" t="s">
        <v>59</v>
      </c>
      <c r="AK50" s="205" t="s">
        <v>239</v>
      </c>
    </row>
    <row r="51" spans="1:37" x14ac:dyDescent="0.25">
      <c r="A51" t="s">
        <v>53</v>
      </c>
      <c r="B51" s="202" t="s">
        <v>235</v>
      </c>
      <c r="C51" s="202" t="s">
        <v>235</v>
      </c>
      <c r="D51" s="202" t="s">
        <v>235</v>
      </c>
      <c r="E51" s="206">
        <v>36.566000000000003</v>
      </c>
      <c r="G51" s="202">
        <v>509.67099999999999</v>
      </c>
      <c r="H51" s="202">
        <v>541.68899999999996</v>
      </c>
      <c r="I51" s="202">
        <v>468.673</v>
      </c>
      <c r="J51" s="206">
        <v>531.37900000000002</v>
      </c>
      <c r="K51" s="207"/>
      <c r="L51" s="202">
        <v>482.24099999999999</v>
      </c>
      <c r="M51" s="202">
        <v>436.14699999999999</v>
      </c>
      <c r="N51" s="202">
        <v>408.02699999999999</v>
      </c>
      <c r="O51" s="202">
        <v>221.626</v>
      </c>
      <c r="P51" s="203"/>
      <c r="Q51" s="202">
        <v>136.35499999999999</v>
      </c>
      <c r="R51" s="202">
        <v>103.631</v>
      </c>
      <c r="S51" s="202">
        <v>144.96299999999999</v>
      </c>
      <c r="T51" s="202">
        <v>230.37899999999999</v>
      </c>
      <c r="U51" s="203"/>
      <c r="V51" s="202">
        <v>522.71600000000001</v>
      </c>
      <c r="W51" s="202">
        <v>217.47200000000001</v>
      </c>
      <c r="X51" s="202">
        <v>169.54499999999999</v>
      </c>
      <c r="Y51" s="202">
        <v>176.08099999999999</v>
      </c>
      <c r="Z51" s="203"/>
      <c r="AA51" s="202">
        <v>46.295000000000002</v>
      </c>
      <c r="AB51" s="202">
        <v>145.26900000000001</v>
      </c>
      <c r="AC51" s="202">
        <v>155.98599999999999</v>
      </c>
      <c r="AD51" s="202">
        <v>202.422</v>
      </c>
      <c r="AF51" s="67" t="s">
        <v>53</v>
      </c>
      <c r="AG51" t="s">
        <v>227</v>
      </c>
      <c r="AJ51" s="204" t="s">
        <v>18</v>
      </c>
      <c r="AK51" s="205" t="s">
        <v>240</v>
      </c>
    </row>
    <row r="52" spans="1:37" x14ac:dyDescent="0.25">
      <c r="A52" t="s">
        <v>25</v>
      </c>
      <c r="B52" s="202" t="s">
        <v>235</v>
      </c>
      <c r="C52" s="202" t="s">
        <v>235</v>
      </c>
      <c r="D52" s="202" t="s">
        <v>235</v>
      </c>
      <c r="E52" s="206">
        <v>481.48</v>
      </c>
      <c r="G52" s="202">
        <v>378.16018000000003</v>
      </c>
      <c r="H52" s="202">
        <v>295.13029</v>
      </c>
      <c r="I52" s="202">
        <v>184.61172999999999</v>
      </c>
      <c r="J52" s="206">
        <v>132.62880000000001</v>
      </c>
      <c r="K52" s="207"/>
      <c r="L52" s="202">
        <v>102.95681999999999</v>
      </c>
      <c r="M52" s="202">
        <v>225.96592000000001</v>
      </c>
      <c r="N52" s="202">
        <v>126.50736999999999</v>
      </c>
      <c r="O52" s="202">
        <v>58.993490000000001</v>
      </c>
      <c r="P52" s="203"/>
      <c r="Q52" s="202">
        <v>-273.18453</v>
      </c>
      <c r="R52" s="202">
        <v>132.61247</v>
      </c>
      <c r="S52" s="202">
        <v>141.72747000000001</v>
      </c>
      <c r="T52" s="202">
        <v>120.05844</v>
      </c>
      <c r="U52" s="203"/>
      <c r="V52" s="202">
        <v>-42.072040000000001</v>
      </c>
      <c r="W52" s="202">
        <v>-4.2868899999999996</v>
      </c>
      <c r="X52" s="202">
        <v>117.96357</v>
      </c>
      <c r="Y52" s="202">
        <v>119.62826</v>
      </c>
      <c r="Z52" s="203"/>
      <c r="AA52" s="202">
        <v>40.367629999999998</v>
      </c>
      <c r="AB52" s="202">
        <v>103.36821</v>
      </c>
      <c r="AC52" s="202">
        <v>80.68486</v>
      </c>
      <c r="AD52" s="202">
        <v>121.83654</v>
      </c>
      <c r="AF52" s="67" t="s">
        <v>25</v>
      </c>
      <c r="AG52" t="s">
        <v>228</v>
      </c>
      <c r="AJ52" s="204" t="s">
        <v>68</v>
      </c>
      <c r="AK52" s="205" t="s">
        <v>241</v>
      </c>
    </row>
    <row r="53" spans="1:37" x14ac:dyDescent="0.25">
      <c r="A53" s="69" t="s">
        <v>121</v>
      </c>
      <c r="B53" s="208"/>
      <c r="C53" s="208"/>
      <c r="D53" s="208"/>
      <c r="E53" s="209">
        <v>4062.2131050000003</v>
      </c>
      <c r="G53" s="208">
        <v>1955.0331828571427</v>
      </c>
      <c r="H53" s="208">
        <v>2269.5013524999999</v>
      </c>
      <c r="I53" s="208">
        <v>1672.0101662500001</v>
      </c>
      <c r="J53" s="209">
        <v>1462.2788887500003</v>
      </c>
      <c r="K53" s="209"/>
      <c r="L53" s="208">
        <v>1340.1640562500002</v>
      </c>
      <c r="M53" s="208">
        <v>1190.8753862500002</v>
      </c>
      <c r="N53" s="208">
        <v>876.91750875000002</v>
      </c>
      <c r="O53" s="208">
        <v>990.38582250000013</v>
      </c>
      <c r="P53" s="208"/>
      <c r="Q53" s="208">
        <v>917.53006714285709</v>
      </c>
      <c r="R53" s="208">
        <v>927.19035285714278</v>
      </c>
      <c r="S53" s="208">
        <v>945.22892428571413</v>
      </c>
      <c r="T53" s="208">
        <v>837.83563428571426</v>
      </c>
      <c r="U53" s="208"/>
      <c r="V53" s="208">
        <v>1007.5734228571429</v>
      </c>
      <c r="W53" s="208">
        <v>1007.0633014285713</v>
      </c>
      <c r="X53" s="208">
        <v>586.54179571428574</v>
      </c>
      <c r="Y53" s="208">
        <v>676.46403714285714</v>
      </c>
      <c r="Z53" s="208"/>
      <c r="AA53" s="208">
        <v>517.15894714285719</v>
      </c>
      <c r="AB53" s="208">
        <v>581.53831571428577</v>
      </c>
      <c r="AC53" s="208">
        <v>440.59669428571425</v>
      </c>
      <c r="AD53" s="208">
        <v>793.14379142857149</v>
      </c>
      <c r="AE53" s="210"/>
      <c r="AF53" s="78" t="s">
        <v>122</v>
      </c>
      <c r="AJ53" s="204" t="s">
        <v>22</v>
      </c>
      <c r="AK53" s="205" t="s">
        <v>242</v>
      </c>
    </row>
    <row r="54" spans="1:37" ht="7.5" customHeight="1" x14ac:dyDescent="0.25">
      <c r="H54" s="202"/>
      <c r="I54" s="202"/>
      <c r="J54" s="206"/>
      <c r="K54" s="207"/>
      <c r="L54" s="202"/>
      <c r="M54" s="202"/>
      <c r="N54" s="202"/>
      <c r="O54" s="202"/>
      <c r="P54" s="203"/>
      <c r="Q54" s="202"/>
      <c r="R54" s="202"/>
      <c r="S54" s="202"/>
      <c r="T54" s="202"/>
      <c r="U54" s="203"/>
      <c r="V54" s="202"/>
      <c r="W54" s="202"/>
      <c r="X54" s="202"/>
      <c r="Y54" s="202"/>
      <c r="Z54" s="203"/>
      <c r="AA54" s="202"/>
      <c r="AB54" s="202"/>
      <c r="AC54" s="202"/>
      <c r="AD54" s="202"/>
      <c r="AJ54" s="204" t="s">
        <v>64</v>
      </c>
      <c r="AK54" s="205" t="s">
        <v>243</v>
      </c>
    </row>
    <row r="55" spans="1:37" x14ac:dyDescent="0.25">
      <c r="A55" s="57" t="s">
        <v>126</v>
      </c>
      <c r="B55" s="57"/>
      <c r="C55" s="57"/>
      <c r="D55" s="57"/>
      <c r="E55" s="57"/>
      <c r="G55" s="57"/>
      <c r="H55" s="211"/>
      <c r="I55" s="211"/>
      <c r="J55" s="211"/>
      <c r="K55" s="212"/>
      <c r="L55" s="211"/>
      <c r="M55" s="211"/>
      <c r="N55" s="211"/>
      <c r="O55" s="211"/>
      <c r="P55" s="212"/>
      <c r="Q55" s="211"/>
      <c r="R55" s="211"/>
      <c r="S55" s="211"/>
      <c r="T55" s="211"/>
      <c r="U55" s="212"/>
      <c r="V55" s="211"/>
      <c r="W55" s="211"/>
      <c r="X55" s="211"/>
      <c r="Y55" s="211"/>
      <c r="Z55" s="212"/>
      <c r="AA55" s="211"/>
      <c r="AB55" s="211"/>
      <c r="AC55" s="211"/>
      <c r="AD55" s="211"/>
      <c r="AE55" s="213"/>
      <c r="AF55" s="88"/>
      <c r="AJ55" s="204" t="s">
        <v>13</v>
      </c>
      <c r="AK55" s="205" t="s">
        <v>244</v>
      </c>
    </row>
    <row r="56" spans="1:37" x14ac:dyDescent="0.25">
      <c r="A56" t="s">
        <v>41</v>
      </c>
      <c r="B56" s="202" t="s">
        <v>235</v>
      </c>
      <c r="C56" s="202" t="s">
        <v>235</v>
      </c>
      <c r="D56" s="202" t="s">
        <v>235</v>
      </c>
      <c r="E56" s="202">
        <v>824.49432999999999</v>
      </c>
      <c r="G56" s="202">
        <v>-19463.877270000001</v>
      </c>
      <c r="H56" s="202">
        <v>16265.49876</v>
      </c>
      <c r="I56" s="202">
        <v>215.46609000000001</v>
      </c>
      <c r="J56" s="202">
        <v>134.80141</v>
      </c>
      <c r="K56" s="203"/>
      <c r="L56" s="202">
        <v>217.65065000000001</v>
      </c>
      <c r="M56" s="202">
        <v>100.93375</v>
      </c>
      <c r="N56" s="202">
        <v>74.424319999999994</v>
      </c>
      <c r="O56" s="202">
        <v>74.631479999999996</v>
      </c>
      <c r="P56" s="203"/>
      <c r="Q56" s="202">
        <v>89.189350000000005</v>
      </c>
      <c r="R56" s="202">
        <v>90.307389999999998</v>
      </c>
      <c r="S56" s="218">
        <v>57.349429999999998</v>
      </c>
      <c r="T56" s="218">
        <v>54.455860000000001</v>
      </c>
      <c r="U56" s="203"/>
      <c r="V56" s="202">
        <v>-43.990180000000002</v>
      </c>
      <c r="W56" s="202">
        <v>49.575029999999998</v>
      </c>
      <c r="X56" s="202">
        <v>45.541330000000002</v>
      </c>
      <c r="Y56" s="202">
        <v>24.100539999999999</v>
      </c>
      <c r="Z56" s="203"/>
      <c r="AA56" s="202">
        <v>21.317699999999999</v>
      </c>
      <c r="AB56" s="202">
        <v>23.100850000000001</v>
      </c>
      <c r="AC56" s="202">
        <v>25.547989999999999</v>
      </c>
      <c r="AD56" s="202">
        <v>-51.844769999999997</v>
      </c>
      <c r="AF56" s="67" t="s">
        <v>41</v>
      </c>
      <c r="AG56" t="s">
        <v>229</v>
      </c>
      <c r="AJ56" s="204" t="s">
        <v>63</v>
      </c>
      <c r="AK56" s="205" t="s">
        <v>245</v>
      </c>
    </row>
    <row r="57" spans="1:37" x14ac:dyDescent="0.25">
      <c r="A57" t="s">
        <v>62</v>
      </c>
      <c r="B57" s="202" t="s">
        <v>235</v>
      </c>
      <c r="C57" s="202" t="s">
        <v>235</v>
      </c>
      <c r="D57" s="202" t="s">
        <v>235</v>
      </c>
      <c r="E57" s="202">
        <v>414.50288999999998</v>
      </c>
      <c r="G57" s="202">
        <v>-2533.4236999999998</v>
      </c>
      <c r="H57" s="202">
        <v>8329.2664000000004</v>
      </c>
      <c r="I57" s="202">
        <v>267.95902000000001</v>
      </c>
      <c r="J57" s="202">
        <v>201.85955000000001</v>
      </c>
      <c r="K57" s="203"/>
      <c r="L57" s="202">
        <v>129.00845000000001</v>
      </c>
      <c r="M57" s="202">
        <v>98.566590000000005</v>
      </c>
      <c r="N57" s="202">
        <v>87.49324</v>
      </c>
      <c r="O57" s="202">
        <v>74.819190000000006</v>
      </c>
      <c r="P57" s="203"/>
      <c r="Q57" s="202">
        <v>33.845869999999998</v>
      </c>
      <c r="R57" s="202">
        <v>40.383519999999997</v>
      </c>
      <c r="S57" s="202">
        <v>38.095219999999998</v>
      </c>
      <c r="T57" s="202">
        <v>52.090850000000003</v>
      </c>
      <c r="U57" s="203"/>
      <c r="V57" s="202">
        <v>26.012070000000001</v>
      </c>
      <c r="W57" s="202">
        <v>3.0806</v>
      </c>
      <c r="X57" s="202">
        <v>12.69045</v>
      </c>
      <c r="Y57" s="202">
        <v>24.929549999999999</v>
      </c>
      <c r="Z57" s="203"/>
      <c r="AA57" s="202">
        <v>-4.2421499999999996</v>
      </c>
      <c r="AB57" s="202">
        <v>5.5738599999999998</v>
      </c>
      <c r="AC57" s="202">
        <v>6.2876799999999999</v>
      </c>
      <c r="AD57" s="202">
        <v>22.602730000000001</v>
      </c>
      <c r="AF57" s="67" t="s">
        <v>62</v>
      </c>
      <c r="AG57" t="s">
        <v>230</v>
      </c>
      <c r="AJ57" s="204" t="s">
        <v>45</v>
      </c>
      <c r="AK57" s="205" t="s">
        <v>246</v>
      </c>
    </row>
    <row r="58" spans="1:37" x14ac:dyDescent="0.25">
      <c r="A58" t="s">
        <v>56</v>
      </c>
      <c r="B58" s="202" t="s">
        <v>235</v>
      </c>
      <c r="C58" s="202" t="s">
        <v>235</v>
      </c>
      <c r="D58" s="202" t="s">
        <v>235</v>
      </c>
      <c r="E58" s="206">
        <v>61.341999999999999</v>
      </c>
      <c r="G58" s="202">
        <v>61.341999999999999</v>
      </c>
      <c r="H58" s="202">
        <v>61.341999999999999</v>
      </c>
      <c r="I58" s="202">
        <v>69.742999999999995</v>
      </c>
      <c r="J58" s="206">
        <v>87.24</v>
      </c>
      <c r="K58" s="207"/>
      <c r="L58" s="202">
        <v>68.186999999999998</v>
      </c>
      <c r="M58" s="202">
        <v>42.146999999999998</v>
      </c>
      <c r="N58" s="202">
        <v>102.443</v>
      </c>
      <c r="O58" s="202">
        <v>35.865000000000002</v>
      </c>
      <c r="P58" s="203"/>
      <c r="Q58" s="202">
        <v>59.624000000000002</v>
      </c>
      <c r="R58" s="202">
        <v>44.052</v>
      </c>
      <c r="S58" s="202">
        <v>14.319000000000001</v>
      </c>
      <c r="T58" s="202">
        <v>25.744</v>
      </c>
      <c r="U58" s="203"/>
      <c r="V58" s="202">
        <v>45.916809999999998</v>
      </c>
      <c r="W58" s="202">
        <v>12.076180000000001</v>
      </c>
      <c r="X58" s="202">
        <v>19.488199999999999</v>
      </c>
      <c r="Y58" s="202">
        <v>22.630559999999999</v>
      </c>
      <c r="Z58" s="203"/>
      <c r="AA58" s="202">
        <v>34.849780000000003</v>
      </c>
      <c r="AB58" s="202">
        <v>11.97682</v>
      </c>
      <c r="AC58" s="202">
        <v>9.7357399999999998</v>
      </c>
      <c r="AD58" s="202">
        <v>9.2265899999999998</v>
      </c>
      <c r="AF58" s="67" t="s">
        <v>56</v>
      </c>
      <c r="AG58" t="s">
        <v>231</v>
      </c>
      <c r="AJ58" s="204" t="s">
        <v>33</v>
      </c>
      <c r="AK58" s="205" t="s">
        <v>247</v>
      </c>
    </row>
    <row r="59" spans="1:37" x14ac:dyDescent="0.25">
      <c r="A59" t="s">
        <v>31</v>
      </c>
      <c r="B59" s="202" t="s">
        <v>235</v>
      </c>
      <c r="C59" s="202" t="s">
        <v>235</v>
      </c>
      <c r="D59" s="202" t="s">
        <v>235</v>
      </c>
      <c r="E59" s="206">
        <v>69.844480000000004</v>
      </c>
      <c r="G59" s="202">
        <v>-70.914400000000001</v>
      </c>
      <c r="H59" s="202">
        <v>3.2984100000000001</v>
      </c>
      <c r="I59" s="202">
        <v>150.51616000000001</v>
      </c>
      <c r="J59" s="206">
        <v>305.73761999999999</v>
      </c>
      <c r="K59" s="207"/>
      <c r="L59" s="202">
        <v>30.652059999999999</v>
      </c>
      <c r="M59" s="202">
        <v>0.76742999999999995</v>
      </c>
      <c r="N59" s="202">
        <v>14.430580000000001</v>
      </c>
      <c r="O59" s="202">
        <v>-0.71997999999999995</v>
      </c>
      <c r="P59" s="203"/>
      <c r="Q59" s="202">
        <v>5.0508699999999997</v>
      </c>
      <c r="R59" s="202">
        <v>-0.54352</v>
      </c>
      <c r="S59" s="202">
        <v>14.18685</v>
      </c>
      <c r="T59" s="202">
        <v>43.54768</v>
      </c>
      <c r="U59" s="203"/>
      <c r="V59" s="202">
        <v>57.644590000000001</v>
      </c>
      <c r="W59" s="202">
        <v>-1.22333</v>
      </c>
      <c r="X59" s="202">
        <v>-2.8014299999999999</v>
      </c>
      <c r="Y59" s="202">
        <v>10.349880000000001</v>
      </c>
      <c r="Z59" s="203"/>
      <c r="AA59" s="202">
        <v>-15.223140000000001</v>
      </c>
      <c r="AB59" s="202">
        <v>18.569189999999999</v>
      </c>
      <c r="AC59" s="202">
        <v>-2.5369100000000002</v>
      </c>
      <c r="AD59" s="202">
        <v>73.943150000000003</v>
      </c>
      <c r="AF59" s="67" t="s">
        <v>31</v>
      </c>
      <c r="AG59" t="s">
        <v>232</v>
      </c>
      <c r="AJ59" s="204" t="s">
        <v>66</v>
      </c>
      <c r="AK59" s="205" t="s">
        <v>248</v>
      </c>
    </row>
    <row r="60" spans="1:37" x14ac:dyDescent="0.25">
      <c r="A60" t="s">
        <v>40</v>
      </c>
      <c r="B60" s="202" t="s">
        <v>235</v>
      </c>
      <c r="C60" s="202" t="s">
        <v>235</v>
      </c>
      <c r="D60" s="202" t="s">
        <v>235</v>
      </c>
      <c r="E60" s="206">
        <v>-9.6587200000000006</v>
      </c>
      <c r="G60" s="202">
        <v>-5.6334400000000002</v>
      </c>
      <c r="H60" s="202">
        <v>56.72569</v>
      </c>
      <c r="I60" s="202">
        <v>23.279730000000001</v>
      </c>
      <c r="J60" s="206">
        <v>26.178789999999999</v>
      </c>
      <c r="K60" s="207"/>
      <c r="L60" s="202">
        <v>37.667029999999997</v>
      </c>
      <c r="M60" s="202">
        <v>33.531790000000001</v>
      </c>
      <c r="N60" s="202">
        <v>7.51539</v>
      </c>
      <c r="O60" s="202">
        <v>7.42476</v>
      </c>
      <c r="P60" s="203"/>
      <c r="Q60" s="202">
        <v>33.27337</v>
      </c>
      <c r="R60" s="202">
        <v>46.247869999999999</v>
      </c>
      <c r="S60" s="202">
        <v>14.99508</v>
      </c>
      <c r="T60" s="202">
        <v>73.918970000000002</v>
      </c>
      <c r="U60" s="203"/>
      <c r="V60" s="202">
        <v>93.859300000000005</v>
      </c>
      <c r="W60" s="202">
        <v>67.537030000000001</v>
      </c>
      <c r="X60" s="202">
        <v>39.597920000000002</v>
      </c>
      <c r="Y60" s="202">
        <v>37.57546</v>
      </c>
      <c r="Z60" s="203"/>
      <c r="AA60" s="202">
        <v>39.4208</v>
      </c>
      <c r="AB60" s="202">
        <v>45.087829999999997</v>
      </c>
      <c r="AC60" s="202">
        <v>28.66771</v>
      </c>
      <c r="AD60" s="202">
        <v>39.037509999999997</v>
      </c>
      <c r="AF60" s="67" t="s">
        <v>40</v>
      </c>
      <c r="AG60" t="s">
        <v>233</v>
      </c>
      <c r="AJ60" s="204" t="s">
        <v>77</v>
      </c>
      <c r="AK60" s="205" t="s">
        <v>249</v>
      </c>
    </row>
    <row r="61" spans="1:37" x14ac:dyDescent="0.25">
      <c r="A61" t="s">
        <v>76</v>
      </c>
      <c r="B61" s="202" t="s">
        <v>235</v>
      </c>
      <c r="C61" s="202" t="s">
        <v>235</v>
      </c>
      <c r="D61" s="202" t="s">
        <v>235</v>
      </c>
      <c r="E61" s="206">
        <v>4.5885100000000003</v>
      </c>
      <c r="G61" s="202">
        <v>-88.671139999999994</v>
      </c>
      <c r="H61" s="202">
        <v>10.66722</v>
      </c>
      <c r="I61" s="202">
        <v>12.21838</v>
      </c>
      <c r="J61" s="206">
        <v>18.733650000000001</v>
      </c>
      <c r="K61" s="207"/>
      <c r="L61" s="202">
        <v>48.667020000000001</v>
      </c>
      <c r="M61" s="202">
        <v>3.6675800000000001</v>
      </c>
      <c r="N61" s="202">
        <v>16.72148</v>
      </c>
      <c r="O61" s="202">
        <v>7.43574</v>
      </c>
      <c r="P61" s="203"/>
      <c r="Q61" s="202">
        <v>48.117069999999998</v>
      </c>
      <c r="R61" s="202">
        <v>-12.241289999999999</v>
      </c>
      <c r="S61" s="202">
        <v>12.517849999999999</v>
      </c>
      <c r="T61" s="202">
        <v>-11.8429</v>
      </c>
      <c r="U61" s="203"/>
      <c r="V61" s="202">
        <v>1.88575</v>
      </c>
      <c r="W61" s="202">
        <v>-2.5537100000000001</v>
      </c>
      <c r="X61" s="202">
        <v>3.1218900000000001</v>
      </c>
      <c r="Y61" s="202">
        <v>3.1249899999999999</v>
      </c>
      <c r="Z61" s="203"/>
      <c r="AA61" s="202">
        <v>6.6935700000000002</v>
      </c>
      <c r="AB61" s="202">
        <v>15.66968</v>
      </c>
      <c r="AC61" s="202">
        <v>-0.20041999999999999</v>
      </c>
      <c r="AD61" s="202">
        <v>-20.22064</v>
      </c>
      <c r="AF61" s="67" t="s">
        <v>76</v>
      </c>
      <c r="AG61" t="s">
        <v>234</v>
      </c>
      <c r="AJ61" s="204" t="s">
        <v>37</v>
      </c>
      <c r="AK61" s="205" t="s">
        <v>250</v>
      </c>
    </row>
    <row r="62" spans="1:37" x14ac:dyDescent="0.25">
      <c r="A62" t="s">
        <v>36</v>
      </c>
      <c r="B62" s="202" t="s">
        <v>235</v>
      </c>
      <c r="C62" s="202" t="s">
        <v>235</v>
      </c>
      <c r="D62" s="202" t="s">
        <v>235</v>
      </c>
      <c r="E62" s="206">
        <v>-63.742339999999999</v>
      </c>
      <c r="G62" s="202">
        <v>-36.026649999999997</v>
      </c>
      <c r="H62" s="202">
        <v>36.904220000000002</v>
      </c>
      <c r="I62" s="202">
        <v>5.5265899999999997</v>
      </c>
      <c r="J62" s="206">
        <v>-27.051110000000001</v>
      </c>
      <c r="K62" s="207"/>
      <c r="L62" s="202">
        <v>5.1477599999999999</v>
      </c>
      <c r="M62" s="202">
        <v>43.843609999999998</v>
      </c>
      <c r="N62" s="202">
        <v>28.593679999999999</v>
      </c>
      <c r="O62" s="202">
        <v>-8.7820599999999995</v>
      </c>
      <c r="P62" s="203"/>
      <c r="Q62" s="202">
        <v>24.434100000000001</v>
      </c>
      <c r="R62" s="202">
        <v>21.31326</v>
      </c>
      <c r="S62" s="202">
        <v>17.54617</v>
      </c>
      <c r="T62" s="202">
        <v>-12.682399999999999</v>
      </c>
      <c r="U62" s="203"/>
      <c r="V62" s="202">
        <v>2.70764</v>
      </c>
      <c r="W62" s="202">
        <v>-9.3114899999999992</v>
      </c>
      <c r="X62" s="202">
        <v>-1.9644999999999999</v>
      </c>
      <c r="Y62" s="202">
        <v>-9.7165300000000006</v>
      </c>
      <c r="Z62" s="203"/>
      <c r="AA62" s="202">
        <v>15.55325</v>
      </c>
      <c r="AB62" s="202">
        <v>5.9498899999999999</v>
      </c>
      <c r="AC62" s="202">
        <v>-8.0534499999999998</v>
      </c>
      <c r="AD62" s="202">
        <v>-9.6523500000000002</v>
      </c>
      <c r="AF62" s="67" t="s">
        <v>36</v>
      </c>
      <c r="AG62" t="s">
        <v>236</v>
      </c>
      <c r="AJ62" s="204" t="s">
        <v>57</v>
      </c>
      <c r="AK62" s="205" t="s">
        <v>251</v>
      </c>
    </row>
    <row r="63" spans="1:37" x14ac:dyDescent="0.25">
      <c r="A63" t="s">
        <v>75</v>
      </c>
      <c r="B63" s="202" t="s">
        <v>235</v>
      </c>
      <c r="C63" s="202" t="s">
        <v>235</v>
      </c>
      <c r="D63" s="202" t="s">
        <v>235</v>
      </c>
      <c r="E63" s="206">
        <v>-40.626370000000001</v>
      </c>
      <c r="G63" s="202" t="s">
        <v>235</v>
      </c>
      <c r="H63" s="202">
        <v>-41.851939999999999</v>
      </c>
      <c r="I63" s="202">
        <v>-18.83737</v>
      </c>
      <c r="J63" s="206">
        <v>4.4381300000000001</v>
      </c>
      <c r="K63" s="207"/>
      <c r="L63" s="202">
        <v>-13.049759999999999</v>
      </c>
      <c r="M63" s="202">
        <v>5.2244799999999998</v>
      </c>
      <c r="N63" s="202">
        <v>11.44408</v>
      </c>
      <c r="O63" s="202">
        <v>-13.20166</v>
      </c>
      <c r="P63" s="203"/>
      <c r="Q63" s="202">
        <v>-19.508959999999998</v>
      </c>
      <c r="R63" s="202">
        <v>1.8480099999999999</v>
      </c>
      <c r="S63" s="202">
        <v>0.46537000000000001</v>
      </c>
      <c r="T63" s="202">
        <v>17.508279999999999</v>
      </c>
      <c r="U63" s="203"/>
      <c r="V63" s="202">
        <v>10.631080000000001</v>
      </c>
      <c r="W63" s="202">
        <v>19.740970000000001</v>
      </c>
      <c r="X63" s="202">
        <v>24.062270000000002</v>
      </c>
      <c r="Y63" s="202">
        <v>17.45993</v>
      </c>
      <c r="Z63" s="203"/>
      <c r="AA63" s="202">
        <v>2.8028599999999999</v>
      </c>
      <c r="AB63" s="202">
        <v>1.4856499999999999</v>
      </c>
      <c r="AC63" s="202">
        <v>34.448929999999997</v>
      </c>
      <c r="AD63" s="202">
        <v>16.767710000000001</v>
      </c>
      <c r="AF63" s="67" t="s">
        <v>75</v>
      </c>
      <c r="AG63" t="s">
        <v>237</v>
      </c>
      <c r="AJ63" s="204" t="s">
        <v>50</v>
      </c>
      <c r="AK63" s="205" t="s">
        <v>252</v>
      </c>
    </row>
    <row r="64" spans="1:37" x14ac:dyDescent="0.25">
      <c r="A64" t="s">
        <v>54</v>
      </c>
      <c r="B64" s="202" t="s">
        <v>235</v>
      </c>
      <c r="C64" s="202" t="s">
        <v>235</v>
      </c>
      <c r="D64" s="202" t="s">
        <v>235</v>
      </c>
      <c r="E64" s="206">
        <v>6.6855000000000002</v>
      </c>
      <c r="G64" s="202">
        <v>3.5793400000000002</v>
      </c>
      <c r="H64" s="202">
        <v>-1.8260700000000001</v>
      </c>
      <c r="I64" s="202">
        <v>4.9677600000000002</v>
      </c>
      <c r="J64" s="206">
        <v>5.5297599999999996</v>
      </c>
      <c r="K64" s="207"/>
      <c r="L64" s="202">
        <v>5.5141999999999998</v>
      </c>
      <c r="M64" s="202">
        <v>-2.9081600000000001</v>
      </c>
      <c r="N64" s="202">
        <v>2.94712</v>
      </c>
      <c r="O64" s="202">
        <v>5.41927</v>
      </c>
      <c r="P64" s="203"/>
      <c r="Q64" s="202">
        <v>6.0571799999999998</v>
      </c>
      <c r="R64" s="202">
        <v>-5.4100900000000003</v>
      </c>
      <c r="S64" s="202">
        <v>2.71313</v>
      </c>
      <c r="T64" s="202">
        <v>2.5049399999999999</v>
      </c>
      <c r="U64" s="203"/>
      <c r="V64" s="202">
        <v>-0.50175000000000003</v>
      </c>
      <c r="W64" s="202">
        <v>-1.2654799999999999</v>
      </c>
      <c r="X64" s="202">
        <v>1.6167400000000001</v>
      </c>
      <c r="Y64" s="202">
        <v>1.34531</v>
      </c>
      <c r="Z64" s="203"/>
      <c r="AA64" s="202">
        <v>2.2804899999999999</v>
      </c>
      <c r="AB64" s="202">
        <v>1.70072</v>
      </c>
      <c r="AC64" s="202">
        <v>4.06881</v>
      </c>
      <c r="AD64" s="202">
        <v>0.40638999999999997</v>
      </c>
      <c r="AF64" s="67" t="s">
        <v>54</v>
      </c>
      <c r="AG64" t="s">
        <v>238</v>
      </c>
      <c r="AJ64" s="204" t="s">
        <v>7</v>
      </c>
      <c r="AK64" s="205" t="s">
        <v>253</v>
      </c>
    </row>
    <row r="65" spans="1:37" x14ac:dyDescent="0.25">
      <c r="A65" t="s">
        <v>59</v>
      </c>
      <c r="B65" s="202" t="s">
        <v>235</v>
      </c>
      <c r="C65" s="202" t="s">
        <v>235</v>
      </c>
      <c r="D65" s="202" t="s">
        <v>235</v>
      </c>
      <c r="E65" s="206">
        <v>1.41093</v>
      </c>
      <c r="G65" s="202">
        <v>10.475429999999999</v>
      </c>
      <c r="H65" s="202">
        <v>-1.1170599999999999</v>
      </c>
      <c r="I65" s="202">
        <v>-2.5009999999999999</v>
      </c>
      <c r="J65" s="206">
        <v>-1.3388500000000001</v>
      </c>
      <c r="K65" s="207"/>
      <c r="L65" s="202">
        <v>-3.85745</v>
      </c>
      <c r="M65" s="202">
        <v>-1.1521600000000001</v>
      </c>
      <c r="N65" s="202">
        <v>-1.21644</v>
      </c>
      <c r="O65" s="202">
        <v>-3.52461</v>
      </c>
      <c r="P65" s="203"/>
      <c r="Q65" s="202">
        <v>-3.7904599999999999</v>
      </c>
      <c r="R65" s="202">
        <v>-1.5459400000000001</v>
      </c>
      <c r="S65" s="202">
        <v>-0.72997999999999996</v>
      </c>
      <c r="T65" s="202">
        <v>-1.0503899999999999</v>
      </c>
      <c r="U65" s="203"/>
      <c r="V65" s="202">
        <v>-22.24953</v>
      </c>
      <c r="W65" s="202">
        <v>-0.77768000000000004</v>
      </c>
      <c r="X65" s="202">
        <v>-0.52551000000000003</v>
      </c>
      <c r="Y65" s="202">
        <v>-0.60009000000000001</v>
      </c>
      <c r="Z65" s="203"/>
      <c r="AA65" s="202">
        <v>-0.34059</v>
      </c>
      <c r="AB65" s="202">
        <v>1.2749999999999999E-2</v>
      </c>
      <c r="AC65" s="202">
        <v>0.20721000000000001</v>
      </c>
      <c r="AD65" s="202">
        <v>7.9210000000000003E-2</v>
      </c>
      <c r="AF65" s="67" t="s">
        <v>59</v>
      </c>
      <c r="AG65" t="s">
        <v>239</v>
      </c>
      <c r="AJ65" s="204" t="s">
        <v>69</v>
      </c>
      <c r="AK65" s="205" t="s">
        <v>254</v>
      </c>
    </row>
    <row r="66" spans="1:37" x14ac:dyDescent="0.25">
      <c r="A66" s="69" t="s">
        <v>121</v>
      </c>
      <c r="B66" s="208"/>
      <c r="C66" s="208"/>
      <c r="D66" s="208"/>
      <c r="E66" s="209">
        <v>126.88412100000002</v>
      </c>
      <c r="G66" s="208">
        <v>-2458.1277588888893</v>
      </c>
      <c r="H66" s="208">
        <v>2471.8907630000003</v>
      </c>
      <c r="I66" s="208">
        <v>72.833836000000019</v>
      </c>
      <c r="J66" s="209">
        <v>75.612895000000009</v>
      </c>
      <c r="K66" s="216"/>
      <c r="L66" s="208">
        <v>52.558695999999998</v>
      </c>
      <c r="M66" s="208">
        <v>32.462191000000004</v>
      </c>
      <c r="N66" s="208">
        <v>34.479644999999998</v>
      </c>
      <c r="O66" s="208">
        <v>17.936713000000005</v>
      </c>
      <c r="P66" s="217"/>
      <c r="Q66" s="208">
        <v>27.629239000000002</v>
      </c>
      <c r="R66" s="208">
        <v>22.441120999999999</v>
      </c>
      <c r="S66" s="208">
        <v>17.145811999999999</v>
      </c>
      <c r="T66" s="208">
        <v>24.419489000000002</v>
      </c>
      <c r="U66" s="217"/>
      <c r="V66" s="208">
        <v>17.191578</v>
      </c>
      <c r="W66" s="208">
        <v>13.687812000000003</v>
      </c>
      <c r="X66" s="208">
        <v>14.082736000000001</v>
      </c>
      <c r="Y66" s="208">
        <v>13.119960000000003</v>
      </c>
      <c r="Z66" s="217"/>
      <c r="AA66" s="208">
        <v>10.311256999999999</v>
      </c>
      <c r="AB66" s="208">
        <v>12.912724000000001</v>
      </c>
      <c r="AC66" s="208">
        <v>9.8173290000000026</v>
      </c>
      <c r="AD66" s="208">
        <v>8.0345530000000025</v>
      </c>
      <c r="AE66" s="210"/>
      <c r="AF66" s="78" t="s">
        <v>122</v>
      </c>
      <c r="AJ66" s="204" t="s">
        <v>70</v>
      </c>
      <c r="AK66" s="205" t="s">
        <v>255</v>
      </c>
    </row>
    <row r="67" spans="1:37" ht="8.25" customHeight="1" x14ac:dyDescent="0.25">
      <c r="H67" s="202"/>
      <c r="I67" s="202"/>
      <c r="J67" s="206"/>
      <c r="K67" s="207"/>
      <c r="L67" s="202"/>
      <c r="M67" s="202"/>
      <c r="N67" s="202"/>
      <c r="O67" s="202"/>
      <c r="P67" s="203"/>
      <c r="Q67" s="202"/>
      <c r="R67" s="202"/>
      <c r="S67" s="202"/>
      <c r="T67" s="202"/>
      <c r="U67" s="203"/>
      <c r="V67" s="202"/>
      <c r="W67" s="202"/>
      <c r="X67" s="202"/>
      <c r="Y67" s="202"/>
      <c r="Z67" s="203"/>
      <c r="AA67" s="202"/>
      <c r="AB67" s="202"/>
      <c r="AC67" s="202"/>
      <c r="AD67" s="202"/>
      <c r="AJ67" s="204" t="s">
        <v>49</v>
      </c>
      <c r="AK67" s="205" t="s">
        <v>256</v>
      </c>
    </row>
    <row r="68" spans="1:37" x14ac:dyDescent="0.25">
      <c r="A68" s="57" t="s">
        <v>127</v>
      </c>
      <c r="B68" s="57"/>
      <c r="C68" s="57"/>
      <c r="D68" s="57"/>
      <c r="E68" s="57"/>
      <c r="G68" s="57"/>
      <c r="H68" s="211"/>
      <c r="I68" s="211"/>
      <c r="J68" s="211"/>
      <c r="K68" s="212"/>
      <c r="L68" s="211"/>
      <c r="M68" s="211"/>
      <c r="N68" s="211"/>
      <c r="O68" s="211"/>
      <c r="P68" s="212"/>
      <c r="Q68" s="211"/>
      <c r="R68" s="211"/>
      <c r="S68" s="211"/>
      <c r="T68" s="211"/>
      <c r="U68" s="212"/>
      <c r="V68" s="211"/>
      <c r="W68" s="211"/>
      <c r="X68" s="211"/>
      <c r="Y68" s="211"/>
      <c r="Z68" s="212"/>
      <c r="AA68" s="211"/>
      <c r="AB68" s="211"/>
      <c r="AC68" s="211"/>
      <c r="AD68" s="211"/>
      <c r="AE68" s="213"/>
      <c r="AF68" s="88"/>
      <c r="AJ68" s="204" t="s">
        <v>78</v>
      </c>
      <c r="AK68" s="205" t="s">
        <v>257</v>
      </c>
    </row>
    <row r="69" spans="1:37" x14ac:dyDescent="0.25">
      <c r="A69" t="s">
        <v>18</v>
      </c>
      <c r="B69" s="202" t="s">
        <v>235</v>
      </c>
      <c r="C69" s="202" t="s">
        <v>235</v>
      </c>
      <c r="D69" s="202" t="s">
        <v>235</v>
      </c>
      <c r="E69" s="202">
        <v>-2425</v>
      </c>
      <c r="G69" s="202">
        <v>-7174</v>
      </c>
      <c r="H69" s="202">
        <v>9447</v>
      </c>
      <c r="I69" s="202" t="s">
        <v>235</v>
      </c>
      <c r="J69" s="202">
        <v>507</v>
      </c>
      <c r="K69" s="203"/>
      <c r="L69" s="202">
        <v>8171</v>
      </c>
      <c r="M69" s="202">
        <v>202</v>
      </c>
      <c r="N69" s="202">
        <v>930</v>
      </c>
      <c r="O69" s="202">
        <v>1166</v>
      </c>
      <c r="P69" s="203"/>
      <c r="Q69" s="202">
        <v>-989</v>
      </c>
      <c r="R69" s="202">
        <v>551</v>
      </c>
      <c r="S69" s="202">
        <v>9037</v>
      </c>
      <c r="T69" s="202">
        <v>-21</v>
      </c>
      <c r="U69" s="203"/>
      <c r="V69" s="202">
        <v>-213</v>
      </c>
      <c r="W69" s="202">
        <v>-275.69200000000001</v>
      </c>
      <c r="X69" s="202">
        <v>2703.6959999999999</v>
      </c>
      <c r="Y69" s="202">
        <v>-249.21</v>
      </c>
      <c r="Z69" s="203"/>
      <c r="AA69" s="202">
        <v>2</v>
      </c>
      <c r="AB69" s="202">
        <v>3</v>
      </c>
      <c r="AC69" s="202">
        <v>-422.536</v>
      </c>
      <c r="AD69" s="202">
        <v>-70.352000000000004</v>
      </c>
      <c r="AF69" s="67" t="s">
        <v>18</v>
      </c>
      <c r="AG69" t="s">
        <v>240</v>
      </c>
      <c r="AJ69" s="204" t="s">
        <v>12</v>
      </c>
      <c r="AK69" s="205" t="s">
        <v>258</v>
      </c>
    </row>
    <row r="70" spans="1:37" x14ac:dyDescent="0.25">
      <c r="A70" t="s">
        <v>68</v>
      </c>
      <c r="B70" s="202" t="s">
        <v>235</v>
      </c>
      <c r="C70" s="202" t="s">
        <v>235</v>
      </c>
      <c r="D70" s="202" t="s">
        <v>235</v>
      </c>
      <c r="E70" s="202">
        <v>255.63800000000001</v>
      </c>
      <c r="G70" s="202">
        <v>-4960.8059999999996</v>
      </c>
      <c r="H70" s="202">
        <v>7086.99</v>
      </c>
      <c r="I70" s="202">
        <v>3258.9780000000001</v>
      </c>
      <c r="J70" s="202">
        <v>598.90200000000004</v>
      </c>
      <c r="K70" s="203"/>
      <c r="L70" s="202">
        <v>9360.9140000000007</v>
      </c>
      <c r="M70" s="202">
        <v>1881.1420000000001</v>
      </c>
      <c r="N70" s="202">
        <v>901.93499999999995</v>
      </c>
      <c r="O70" s="202">
        <v>355.61700000000002</v>
      </c>
      <c r="P70" s="203"/>
      <c r="Q70" s="202">
        <v>1250.8340000000001</v>
      </c>
      <c r="R70" s="202">
        <v>752.09</v>
      </c>
      <c r="S70" s="202">
        <v>1150.1310000000001</v>
      </c>
      <c r="T70" s="202">
        <v>6675.884</v>
      </c>
      <c r="U70" s="203"/>
      <c r="V70" s="202">
        <v>276.23700000000002</v>
      </c>
      <c r="W70" s="202">
        <v>103.002</v>
      </c>
      <c r="X70" s="202">
        <v>1839.027</v>
      </c>
      <c r="Y70" s="202">
        <v>99.96</v>
      </c>
      <c r="Z70" s="203"/>
      <c r="AA70" s="202">
        <v>193.732</v>
      </c>
      <c r="AB70" s="202">
        <v>147.672</v>
      </c>
      <c r="AC70" s="202">
        <v>87.557000000000002</v>
      </c>
      <c r="AD70" s="202">
        <v>48.877000000000002</v>
      </c>
      <c r="AF70" s="67" t="s">
        <v>68</v>
      </c>
      <c r="AG70" t="s">
        <v>241</v>
      </c>
      <c r="AJ70" s="204" t="s">
        <v>79</v>
      </c>
      <c r="AK70" s="205" t="s">
        <v>259</v>
      </c>
    </row>
    <row r="71" spans="1:37" x14ac:dyDescent="0.25">
      <c r="A71" t="s">
        <v>22</v>
      </c>
      <c r="B71" s="202" t="s">
        <v>235</v>
      </c>
      <c r="C71" s="202" t="s">
        <v>235</v>
      </c>
      <c r="D71" s="202" t="s">
        <v>235</v>
      </c>
      <c r="E71" s="206">
        <v>-2005</v>
      </c>
      <c r="G71" s="202">
        <v>-4360</v>
      </c>
      <c r="H71" s="202">
        <v>2103</v>
      </c>
      <c r="I71" s="202" t="s">
        <v>235</v>
      </c>
      <c r="J71" s="206">
        <v>203</v>
      </c>
      <c r="K71" s="207"/>
      <c r="L71" s="202">
        <v>4198</v>
      </c>
      <c r="M71" s="202">
        <v>-130</v>
      </c>
      <c r="N71" s="202">
        <v>515</v>
      </c>
      <c r="O71" s="202">
        <v>1262</v>
      </c>
      <c r="P71" s="203"/>
      <c r="Q71" s="202">
        <v>-352</v>
      </c>
      <c r="R71" s="202">
        <v>606</v>
      </c>
      <c r="S71" s="202">
        <v>5127</v>
      </c>
      <c r="T71" s="202">
        <v>4</v>
      </c>
      <c r="U71" s="203"/>
      <c r="V71" s="202">
        <v>-483</v>
      </c>
      <c r="W71" s="202">
        <v>-288</v>
      </c>
      <c r="X71" s="202">
        <v>602.00900000000001</v>
      </c>
      <c r="Y71" s="202">
        <v>288</v>
      </c>
      <c r="Z71" s="203"/>
      <c r="AA71" s="202">
        <v>-94</v>
      </c>
      <c r="AB71" s="202">
        <v>-122.005</v>
      </c>
      <c r="AC71" s="202">
        <v>-394.14400000000001</v>
      </c>
      <c r="AD71" s="202">
        <v>-162.208</v>
      </c>
      <c r="AF71" s="67" t="s">
        <v>22</v>
      </c>
      <c r="AG71" t="s">
        <v>242</v>
      </c>
      <c r="AJ71" s="204" t="s">
        <v>23</v>
      </c>
      <c r="AK71" s="205" t="s">
        <v>260</v>
      </c>
    </row>
    <row r="72" spans="1:37" x14ac:dyDescent="0.25">
      <c r="A72" t="s">
        <v>64</v>
      </c>
      <c r="B72" s="202" t="s">
        <v>235</v>
      </c>
      <c r="C72" s="202" t="s">
        <v>235</v>
      </c>
      <c r="D72" s="202" t="s">
        <v>235</v>
      </c>
      <c r="E72" s="206">
        <v>433.80200000000002</v>
      </c>
      <c r="G72" s="202">
        <v>-2619.52</v>
      </c>
      <c r="H72" s="202">
        <v>2608.96</v>
      </c>
      <c r="I72" s="202">
        <v>1344.6030000000001</v>
      </c>
      <c r="J72" s="206">
        <v>319.41500000000002</v>
      </c>
      <c r="K72" s="207"/>
      <c r="L72" s="202">
        <v>851.09900000000005</v>
      </c>
      <c r="M72" s="202">
        <v>310.11900000000003</v>
      </c>
      <c r="N72" s="202">
        <v>267.52199999999999</v>
      </c>
      <c r="O72" s="202">
        <v>860.48599999999999</v>
      </c>
      <c r="P72" s="203"/>
      <c r="Q72" s="202">
        <v>653.99599999999998</v>
      </c>
      <c r="R72" s="202">
        <v>138.44200000000001</v>
      </c>
      <c r="S72" s="202">
        <v>397.55900000000003</v>
      </c>
      <c r="T72" s="202">
        <v>347.21899999999999</v>
      </c>
      <c r="U72" s="203"/>
      <c r="V72" s="202">
        <v>654.24099999999999</v>
      </c>
      <c r="W72" s="202">
        <v>206.738</v>
      </c>
      <c r="X72" s="202">
        <v>877.17600000000004</v>
      </c>
      <c r="Y72" s="202">
        <v>170.54300000000001</v>
      </c>
      <c r="Z72" s="203"/>
      <c r="AA72" s="202">
        <v>250.506</v>
      </c>
      <c r="AB72" s="202">
        <v>512.43499999999995</v>
      </c>
      <c r="AC72" s="202">
        <v>-2.2029999999999998</v>
      </c>
      <c r="AD72" s="202">
        <v>196.19900000000001</v>
      </c>
      <c r="AF72" s="67" t="s">
        <v>64</v>
      </c>
      <c r="AG72" t="s">
        <v>243</v>
      </c>
      <c r="AJ72" s="204" t="s">
        <v>24</v>
      </c>
      <c r="AK72" s="205" t="s">
        <v>261</v>
      </c>
    </row>
    <row r="73" spans="1:37" x14ac:dyDescent="0.25">
      <c r="A73" s="69" t="s">
        <v>121</v>
      </c>
      <c r="B73" s="208"/>
      <c r="C73" s="208"/>
      <c r="D73" s="208"/>
      <c r="E73" s="209">
        <v>-935.14</v>
      </c>
      <c r="G73" s="208">
        <v>-4778.5815000000002</v>
      </c>
      <c r="H73" s="208">
        <v>5311.4874999999993</v>
      </c>
      <c r="I73" s="208">
        <v>2301.7905000000001</v>
      </c>
      <c r="J73" s="209">
        <v>407.07925</v>
      </c>
      <c r="K73" s="209"/>
      <c r="L73" s="208">
        <v>5645.2532499999998</v>
      </c>
      <c r="M73" s="208">
        <v>565.81524999999999</v>
      </c>
      <c r="N73" s="208">
        <v>653.61424999999997</v>
      </c>
      <c r="O73" s="208">
        <v>911.02575000000002</v>
      </c>
      <c r="P73" s="208"/>
      <c r="Q73" s="208">
        <v>140.95750000000001</v>
      </c>
      <c r="R73" s="208">
        <v>511.88300000000004</v>
      </c>
      <c r="S73" s="208">
        <v>3927.9224999999997</v>
      </c>
      <c r="T73" s="208">
        <v>1751.52575</v>
      </c>
      <c r="U73" s="208"/>
      <c r="V73" s="208">
        <v>58.619500000000002</v>
      </c>
      <c r="W73" s="208">
        <v>-63.488</v>
      </c>
      <c r="X73" s="208">
        <v>1505.4770000000001</v>
      </c>
      <c r="Y73" s="208">
        <v>77.323250000000002</v>
      </c>
      <c r="Z73" s="208"/>
      <c r="AA73" s="208">
        <v>88.0595</v>
      </c>
      <c r="AB73" s="208">
        <v>135.27549999999999</v>
      </c>
      <c r="AC73" s="208">
        <v>-182.83150000000001</v>
      </c>
      <c r="AD73" s="208">
        <v>3.1290000000000049</v>
      </c>
      <c r="AE73" s="210"/>
      <c r="AF73" s="78" t="s">
        <v>122</v>
      </c>
      <c r="AJ73" s="204" t="s">
        <v>32</v>
      </c>
      <c r="AK73" s="205" t="s">
        <v>262</v>
      </c>
    </row>
    <row r="74" spans="1:37" ht="8.25" customHeight="1" x14ac:dyDescent="0.25">
      <c r="H74" s="202"/>
      <c r="I74" s="202"/>
      <c r="J74" s="206"/>
      <c r="K74" s="207"/>
      <c r="L74" s="202"/>
      <c r="M74" s="202"/>
      <c r="N74" s="202"/>
      <c r="O74" s="202"/>
      <c r="P74" s="203"/>
      <c r="Q74" s="202"/>
      <c r="R74" s="202"/>
      <c r="S74" s="202"/>
      <c r="T74" s="202"/>
      <c r="U74" s="203"/>
      <c r="V74" s="202"/>
      <c r="W74" s="202"/>
      <c r="X74" s="202"/>
      <c r="Y74" s="202"/>
      <c r="Z74" s="203"/>
      <c r="AA74" s="202"/>
      <c r="AB74" s="202"/>
      <c r="AC74" s="202"/>
      <c r="AD74" s="202"/>
      <c r="AJ74" s="204" t="s">
        <v>61</v>
      </c>
      <c r="AK74" s="205" t="s">
        <v>263</v>
      </c>
    </row>
    <row r="75" spans="1:37" x14ac:dyDescent="0.25">
      <c r="A75" s="57" t="s">
        <v>128</v>
      </c>
      <c r="B75" s="57"/>
      <c r="C75" s="57"/>
      <c r="D75" s="57"/>
      <c r="E75" s="57"/>
      <c r="G75" s="57"/>
      <c r="H75" s="211"/>
      <c r="I75" s="211"/>
      <c r="J75" s="211"/>
      <c r="K75" s="212"/>
      <c r="L75" s="211"/>
      <c r="M75" s="211"/>
      <c r="N75" s="211"/>
      <c r="O75" s="211"/>
      <c r="P75" s="212"/>
      <c r="Q75" s="211"/>
      <c r="R75" s="211"/>
      <c r="S75" s="211"/>
      <c r="T75" s="211"/>
      <c r="U75" s="212"/>
      <c r="V75" s="211"/>
      <c r="W75" s="211"/>
      <c r="X75" s="211"/>
      <c r="Y75" s="211"/>
      <c r="Z75" s="212"/>
      <c r="AA75" s="211"/>
      <c r="AB75" s="211"/>
      <c r="AC75" s="211"/>
      <c r="AD75" s="211"/>
      <c r="AE75" s="213"/>
      <c r="AF75" s="88"/>
      <c r="AJ75" s="204" t="s">
        <v>26</v>
      </c>
      <c r="AK75" s="205" t="s">
        <v>264</v>
      </c>
    </row>
    <row r="76" spans="1:37" x14ac:dyDescent="0.25">
      <c r="A76" t="s">
        <v>13</v>
      </c>
      <c r="B76" s="202" t="s">
        <v>235</v>
      </c>
      <c r="C76" s="202" t="s">
        <v>235</v>
      </c>
      <c r="D76" s="202" t="s">
        <v>235</v>
      </c>
      <c r="E76" s="202">
        <v>3028.5369999999998</v>
      </c>
      <c r="G76" s="202">
        <v>7248.28</v>
      </c>
      <c r="H76" s="202">
        <v>3034.56</v>
      </c>
      <c r="I76" s="202">
        <v>435.89400000000001</v>
      </c>
      <c r="J76" s="202">
        <v>2554.3530000000001</v>
      </c>
      <c r="K76" s="203"/>
      <c r="L76" s="202">
        <v>848.08199999999999</v>
      </c>
      <c r="M76" s="202">
        <v>1609.1369999999999</v>
      </c>
      <c r="N76" s="202">
        <v>1255.1110000000001</v>
      </c>
      <c r="O76" s="202">
        <v>1857.4259999999999</v>
      </c>
      <c r="P76" s="203"/>
      <c r="Q76" s="202">
        <v>943.64499999999998</v>
      </c>
      <c r="R76" s="202">
        <v>1307.441</v>
      </c>
      <c r="S76" s="202">
        <v>811.99400000000003</v>
      </c>
      <c r="T76" s="202">
        <v>640.19899999999996</v>
      </c>
      <c r="U76" s="203"/>
      <c r="V76" s="202">
        <v>155.042</v>
      </c>
      <c r="W76" s="202">
        <v>499.30399999999997</v>
      </c>
      <c r="X76" s="202">
        <v>361.31599999999997</v>
      </c>
      <c r="Y76" s="202">
        <v>741.26800000000003</v>
      </c>
      <c r="Z76" s="203"/>
      <c r="AA76" s="202">
        <v>624.99300000000005</v>
      </c>
      <c r="AB76" s="202">
        <v>-10.952</v>
      </c>
      <c r="AC76" s="202">
        <v>869.41600000000005</v>
      </c>
      <c r="AD76" s="202">
        <v>888.26599999999996</v>
      </c>
      <c r="AF76" s="67" t="s">
        <v>13</v>
      </c>
      <c r="AG76" t="s">
        <v>244</v>
      </c>
      <c r="AJ76" s="204" t="s">
        <v>42</v>
      </c>
      <c r="AK76" s="205" t="s">
        <v>265</v>
      </c>
    </row>
    <row r="77" spans="1:37" x14ac:dyDescent="0.25">
      <c r="A77" t="s">
        <v>63</v>
      </c>
      <c r="B77" s="202" t="s">
        <v>235</v>
      </c>
      <c r="C77" s="202" t="s">
        <v>235</v>
      </c>
      <c r="D77" s="202" t="s">
        <v>235</v>
      </c>
      <c r="E77" s="202">
        <v>1013.88037</v>
      </c>
      <c r="G77" s="202">
        <v>993.51324</v>
      </c>
      <c r="H77" s="202">
        <v>100.80507</v>
      </c>
      <c r="I77" s="202">
        <v>179.42474000000001</v>
      </c>
      <c r="J77" s="202">
        <v>526.12893999999994</v>
      </c>
      <c r="K77" s="203"/>
      <c r="L77" s="202">
        <v>665.24377000000004</v>
      </c>
      <c r="M77" s="202">
        <v>295.33672999999999</v>
      </c>
      <c r="N77" s="202">
        <v>276.13103000000001</v>
      </c>
      <c r="O77" s="202">
        <v>354.13085000000001</v>
      </c>
      <c r="P77" s="203"/>
      <c r="Q77" s="202">
        <v>218.01402999999999</v>
      </c>
      <c r="R77" s="202">
        <v>120.91001</v>
      </c>
      <c r="S77" s="202">
        <v>35.750489999999999</v>
      </c>
      <c r="T77" s="202">
        <v>127.42547999999999</v>
      </c>
      <c r="U77" s="203"/>
      <c r="V77" s="202" t="s">
        <v>235</v>
      </c>
      <c r="W77" s="202" t="s">
        <v>235</v>
      </c>
      <c r="X77" s="202" t="s">
        <v>235</v>
      </c>
      <c r="Y77" s="202" t="s">
        <v>235</v>
      </c>
      <c r="Z77" s="203"/>
      <c r="AA77" s="202" t="s">
        <v>235</v>
      </c>
      <c r="AB77" s="202" t="s">
        <v>235</v>
      </c>
      <c r="AC77" s="202" t="s">
        <v>235</v>
      </c>
      <c r="AD77" s="202" t="s">
        <v>235</v>
      </c>
      <c r="AF77" s="67" t="s">
        <v>63</v>
      </c>
      <c r="AG77" t="s">
        <v>245</v>
      </c>
      <c r="AJ77" s="204" t="s">
        <v>365</v>
      </c>
      <c r="AK77" s="205" t="s">
        <v>266</v>
      </c>
    </row>
    <row r="78" spans="1:37" x14ac:dyDescent="0.25">
      <c r="A78" t="s">
        <v>45</v>
      </c>
      <c r="B78" s="202" t="s">
        <v>235</v>
      </c>
      <c r="C78" s="202" t="s">
        <v>235</v>
      </c>
      <c r="D78" s="202" t="s">
        <v>235</v>
      </c>
      <c r="E78" s="206">
        <v>1918.68219</v>
      </c>
      <c r="G78" s="202">
        <v>1651.8220699999999</v>
      </c>
      <c r="H78" s="202">
        <v>1667.3850399999999</v>
      </c>
      <c r="I78" s="202">
        <v>828.25053000000003</v>
      </c>
      <c r="J78" s="206">
        <v>1114.40066</v>
      </c>
      <c r="K78" s="207"/>
      <c r="L78" s="202">
        <v>910.77777000000003</v>
      </c>
      <c r="M78" s="202">
        <v>787.63156000000004</v>
      </c>
      <c r="N78" s="202">
        <v>573.65854999999999</v>
      </c>
      <c r="O78" s="202">
        <v>535.10389999999995</v>
      </c>
      <c r="P78" s="203"/>
      <c r="Q78" s="202">
        <v>386.65726999999998</v>
      </c>
      <c r="R78" s="202">
        <v>454.02001999999999</v>
      </c>
      <c r="S78" s="202">
        <v>397.71875999999997</v>
      </c>
      <c r="T78" s="202">
        <v>536.40148999999997</v>
      </c>
      <c r="U78" s="203"/>
      <c r="V78" s="202">
        <v>96.145489999999995</v>
      </c>
      <c r="W78" s="202">
        <v>163.21404000000001</v>
      </c>
      <c r="X78" s="202">
        <v>177.38575</v>
      </c>
      <c r="Y78" s="202">
        <v>299.35773</v>
      </c>
      <c r="Z78" s="203"/>
      <c r="AA78" s="202">
        <v>370.91737000000001</v>
      </c>
      <c r="AB78" s="202">
        <v>429.25727000000001</v>
      </c>
      <c r="AC78" s="202">
        <v>241.16394</v>
      </c>
      <c r="AD78" s="202">
        <v>200.83044000000001</v>
      </c>
      <c r="AF78" s="67" t="s">
        <v>45</v>
      </c>
      <c r="AG78" t="s">
        <v>246</v>
      </c>
      <c r="AJ78" s="204" t="s">
        <v>19</v>
      </c>
      <c r="AK78" s="205" t="s">
        <v>267</v>
      </c>
    </row>
    <row r="79" spans="1:37" x14ac:dyDescent="0.25">
      <c r="A79" t="s">
        <v>33</v>
      </c>
      <c r="B79" s="202" t="s">
        <v>235</v>
      </c>
      <c r="C79" s="202" t="s">
        <v>235</v>
      </c>
      <c r="D79" s="202" t="s">
        <v>235</v>
      </c>
      <c r="E79" s="206">
        <v>896.32608000000005</v>
      </c>
      <c r="G79" s="202">
        <v>636.88824</v>
      </c>
      <c r="H79" s="202">
        <v>304.83645000000001</v>
      </c>
      <c r="I79" s="202">
        <v>359.54099000000002</v>
      </c>
      <c r="J79" s="206">
        <v>238.74958000000001</v>
      </c>
      <c r="K79" s="207"/>
      <c r="L79" s="202">
        <v>337.17189999999999</v>
      </c>
      <c r="M79" s="202">
        <v>331.26825000000002</v>
      </c>
      <c r="N79" s="202">
        <v>194.64167</v>
      </c>
      <c r="O79" s="202">
        <v>200.70214000000001</v>
      </c>
      <c r="P79" s="203"/>
      <c r="Q79" s="202">
        <v>207.67632</v>
      </c>
      <c r="R79" s="202">
        <v>143.61825999999999</v>
      </c>
      <c r="S79" s="202">
        <v>63.983930000000001</v>
      </c>
      <c r="T79" s="202">
        <v>-24.472539999999999</v>
      </c>
      <c r="U79" s="203"/>
      <c r="V79" s="202">
        <v>-79.292180000000002</v>
      </c>
      <c r="W79" s="202">
        <v>30.944669999999999</v>
      </c>
      <c r="X79" s="202">
        <v>60.350090000000002</v>
      </c>
      <c r="Y79" s="202">
        <v>52.355670000000003</v>
      </c>
      <c r="Z79" s="203"/>
      <c r="AA79" s="202">
        <v>36.170569999999998</v>
      </c>
      <c r="AB79" s="202">
        <v>2.5209299999999999</v>
      </c>
      <c r="AC79" s="202">
        <v>32.77178</v>
      </c>
      <c r="AD79" s="202">
        <v>-12.51882</v>
      </c>
      <c r="AF79" s="67" t="s">
        <v>33</v>
      </c>
      <c r="AG79" t="s">
        <v>247</v>
      </c>
      <c r="AJ79" s="204" t="s">
        <v>71</v>
      </c>
      <c r="AK79" s="205" t="s">
        <v>268</v>
      </c>
    </row>
    <row r="80" spans="1:37" x14ac:dyDescent="0.25">
      <c r="A80" t="s">
        <v>66</v>
      </c>
      <c r="B80" s="202" t="s">
        <v>235</v>
      </c>
      <c r="C80" s="202" t="s">
        <v>235</v>
      </c>
      <c r="D80" s="202" t="s">
        <v>235</v>
      </c>
      <c r="E80" s="206">
        <v>-125.569</v>
      </c>
      <c r="G80" s="202">
        <v>673.28</v>
      </c>
      <c r="H80" s="202">
        <v>552.55700000000002</v>
      </c>
      <c r="I80" s="202">
        <v>21.696999999999999</v>
      </c>
      <c r="J80" s="206">
        <v>328.93099999999998</v>
      </c>
      <c r="K80" s="207"/>
      <c r="L80" s="202">
        <v>-37.289000000000001</v>
      </c>
      <c r="M80" s="202">
        <v>267.42599999999999</v>
      </c>
      <c r="N80" s="202">
        <v>82.125</v>
      </c>
      <c r="O80" s="202">
        <v>179.96100000000001</v>
      </c>
      <c r="P80" s="203"/>
      <c r="Q80" s="202">
        <v>-401.37</v>
      </c>
      <c r="R80" s="202">
        <v>-2.0539999999999998</v>
      </c>
      <c r="S80" s="202">
        <v>-182.756</v>
      </c>
      <c r="T80" s="202">
        <v>-188.19300000000001</v>
      </c>
      <c r="U80" s="203"/>
      <c r="V80" s="202">
        <v>-308.28800000000001</v>
      </c>
      <c r="W80" s="202">
        <v>-92.27</v>
      </c>
      <c r="X80" s="202">
        <v>-16.183</v>
      </c>
      <c r="Y80" s="202">
        <v>-43.58</v>
      </c>
      <c r="Z80" s="203"/>
      <c r="AA80" s="202">
        <v>-125.97199999999999</v>
      </c>
      <c r="AB80" s="202">
        <v>-127.35</v>
      </c>
      <c r="AC80" s="202">
        <v>32.262999999999998</v>
      </c>
      <c r="AD80" s="202">
        <v>9.266</v>
      </c>
      <c r="AF80" s="67" t="s">
        <v>66</v>
      </c>
      <c r="AG80" t="s">
        <v>248</v>
      </c>
      <c r="AJ80" s="204" t="s">
        <v>8</v>
      </c>
      <c r="AK80" s="205" t="s">
        <v>269</v>
      </c>
    </row>
    <row r="81" spans="1:33" x14ac:dyDescent="0.25">
      <c r="A81" t="s">
        <v>77</v>
      </c>
      <c r="B81" s="202" t="s">
        <v>235</v>
      </c>
      <c r="C81" s="202" t="s">
        <v>235</v>
      </c>
      <c r="D81" s="202" t="s">
        <v>235</v>
      </c>
      <c r="E81" s="206">
        <v>-68.839950000000002</v>
      </c>
      <c r="G81" s="202">
        <v>7.30844</v>
      </c>
      <c r="H81" s="202">
        <v>7.30844</v>
      </c>
      <c r="I81" s="202">
        <v>53.584060000000001</v>
      </c>
      <c r="J81" s="206">
        <v>17.4345</v>
      </c>
      <c r="K81" s="207"/>
      <c r="L81" s="202">
        <v>19.825050000000001</v>
      </c>
      <c r="M81" s="202">
        <v>29.99222</v>
      </c>
      <c r="N81" s="202">
        <v>11.328569999999999</v>
      </c>
      <c r="O81" s="202">
        <v>9.9432100000000005</v>
      </c>
      <c r="P81" s="203"/>
      <c r="Q81" s="202">
        <v>14.41009</v>
      </c>
      <c r="R81" s="202">
        <v>39.077860000000001</v>
      </c>
      <c r="S81" s="202">
        <v>19.996390000000002</v>
      </c>
      <c r="T81" s="202">
        <v>63.221629999999998</v>
      </c>
      <c r="U81" s="203"/>
      <c r="V81" s="202">
        <v>31.901710000000001</v>
      </c>
      <c r="W81" s="202">
        <v>24.188420000000001</v>
      </c>
      <c r="X81" s="202">
        <v>19.37575</v>
      </c>
      <c r="Y81" s="202">
        <v>18.241009999999999</v>
      </c>
      <c r="Z81" s="203"/>
      <c r="AA81" s="202">
        <v>14.338039999999999</v>
      </c>
      <c r="AB81" s="202">
        <v>17.512029999999999</v>
      </c>
      <c r="AC81" s="202">
        <v>25.636569999999999</v>
      </c>
      <c r="AD81" s="202">
        <v>24.931920000000002</v>
      </c>
      <c r="AF81" s="67" t="s">
        <v>77</v>
      </c>
      <c r="AG81" t="s">
        <v>249</v>
      </c>
    </row>
    <row r="82" spans="1:33" x14ac:dyDescent="0.25">
      <c r="A82" t="s">
        <v>37</v>
      </c>
      <c r="B82" s="202" t="s">
        <v>235</v>
      </c>
      <c r="C82" s="202" t="s">
        <v>235</v>
      </c>
      <c r="D82" s="202" t="s">
        <v>235</v>
      </c>
      <c r="E82" s="206">
        <v>762.85599999999999</v>
      </c>
      <c r="G82" s="202">
        <v>57.241999999999997</v>
      </c>
      <c r="H82" s="202">
        <v>57.241999999999997</v>
      </c>
      <c r="I82" s="202">
        <v>-1180.8810000000001</v>
      </c>
      <c r="J82" s="206">
        <v>-548.12599999999998</v>
      </c>
      <c r="K82" s="207"/>
      <c r="L82" s="202">
        <v>-518.61900000000003</v>
      </c>
      <c r="M82" s="202">
        <v>-49.487000000000002</v>
      </c>
      <c r="N82" s="202">
        <v>-115.904</v>
      </c>
      <c r="O82" s="202">
        <v>-834.52700000000004</v>
      </c>
      <c r="P82" s="203"/>
      <c r="Q82" s="202">
        <v>-81.245000000000005</v>
      </c>
      <c r="R82" s="202">
        <v>-170.066</v>
      </c>
      <c r="S82" s="202">
        <v>-141.297</v>
      </c>
      <c r="T82" s="202">
        <v>166.316</v>
      </c>
      <c r="U82" s="203"/>
      <c r="V82" s="202">
        <v>-264.625</v>
      </c>
      <c r="W82" s="202">
        <v>-0.46700000000000003</v>
      </c>
      <c r="X82" s="202">
        <v>-1.327</v>
      </c>
      <c r="Y82" s="202">
        <v>53.488</v>
      </c>
      <c r="Z82" s="203"/>
      <c r="AA82" s="202">
        <v>22.439</v>
      </c>
      <c r="AB82" s="202">
        <v>35.36</v>
      </c>
      <c r="AC82" s="202">
        <v>-35.125</v>
      </c>
      <c r="AD82" s="202">
        <v>44.146999999999998</v>
      </c>
      <c r="AF82" s="67" t="s">
        <v>37</v>
      </c>
      <c r="AG82" t="s">
        <v>250</v>
      </c>
    </row>
    <row r="83" spans="1:33" hidden="1" x14ac:dyDescent="0.25">
      <c r="A83" t="s">
        <v>58</v>
      </c>
      <c r="B83" s="202" t="s">
        <v>235</v>
      </c>
      <c r="C83" s="203" t="s">
        <v>235</v>
      </c>
      <c r="D83" s="203" t="s">
        <v>235</v>
      </c>
      <c r="E83" s="206" t="s">
        <v>235</v>
      </c>
      <c r="G83" s="202" t="s">
        <v>235</v>
      </c>
      <c r="H83" s="203" t="s">
        <v>235</v>
      </c>
      <c r="I83" s="203" t="s">
        <v>235</v>
      </c>
      <c r="J83" s="206" t="s">
        <v>235</v>
      </c>
      <c r="K83" s="207"/>
      <c r="L83" s="202" t="s">
        <v>235</v>
      </c>
      <c r="M83" s="202" t="s">
        <v>235</v>
      </c>
      <c r="N83" s="202" t="s">
        <v>235</v>
      </c>
      <c r="O83" s="202" t="s">
        <v>235</v>
      </c>
      <c r="P83" s="203"/>
      <c r="Q83" s="202" t="s">
        <v>235</v>
      </c>
      <c r="R83" s="202" t="s">
        <v>235</v>
      </c>
      <c r="S83" s="202" t="s">
        <v>235</v>
      </c>
      <c r="T83" s="202" t="s">
        <v>235</v>
      </c>
      <c r="U83" s="203"/>
      <c r="V83" s="202" t="s">
        <v>235</v>
      </c>
      <c r="W83" s="202" t="s">
        <v>235</v>
      </c>
      <c r="X83" s="202" t="s">
        <v>235</v>
      </c>
      <c r="Y83" s="202" t="s">
        <v>235</v>
      </c>
      <c r="Z83" s="203"/>
      <c r="AA83" s="202" t="s">
        <v>235</v>
      </c>
      <c r="AB83" s="202" t="s">
        <v>235</v>
      </c>
      <c r="AC83" s="202" t="s">
        <v>235</v>
      </c>
      <c r="AD83" s="202" t="s">
        <v>235</v>
      </c>
      <c r="AF83" s="67" t="s">
        <v>58</v>
      </c>
      <c r="AG83" t="e">
        <v>#N/A</v>
      </c>
    </row>
    <row r="84" spans="1:33" x14ac:dyDescent="0.25">
      <c r="A84" t="s">
        <v>50</v>
      </c>
      <c r="B84" s="202" t="s">
        <v>235</v>
      </c>
      <c r="C84" s="202" t="s">
        <v>235</v>
      </c>
      <c r="D84" s="202" t="s">
        <v>235</v>
      </c>
      <c r="E84" s="206">
        <v>-1.02241</v>
      </c>
      <c r="G84" s="202">
        <v>-36.185980000000001</v>
      </c>
      <c r="H84" s="202">
        <v>-26.661570000000001</v>
      </c>
      <c r="I84" s="202">
        <v>-2.5581800000000001</v>
      </c>
      <c r="J84" s="206">
        <v>-0.34200000000000003</v>
      </c>
      <c r="K84" s="207"/>
      <c r="L84" s="202">
        <v>4.5223300000000002</v>
      </c>
      <c r="M84" s="202">
        <v>4.6324899999999998</v>
      </c>
      <c r="N84" s="202">
        <v>-11.005000000000001</v>
      </c>
      <c r="O84" s="202">
        <v>9.9198000000000004</v>
      </c>
      <c r="P84" s="203"/>
      <c r="Q84" s="202">
        <v>2.3709099999999999</v>
      </c>
      <c r="R84" s="202">
        <v>-1.18876</v>
      </c>
      <c r="S84" s="202">
        <v>2.2932800000000002</v>
      </c>
      <c r="T84" s="202">
        <v>10.08705</v>
      </c>
      <c r="U84" s="203"/>
      <c r="V84" s="202">
        <v>3.6339000000000001</v>
      </c>
      <c r="W84" s="202">
        <v>1.36538</v>
      </c>
      <c r="X84" s="202">
        <v>2.6122299999999998</v>
      </c>
      <c r="Y84" s="202">
        <v>-4.4082100000000004</v>
      </c>
      <c r="Z84" s="203"/>
      <c r="AA84" s="202">
        <v>0.95864000000000005</v>
      </c>
      <c r="AB84" s="202">
        <v>0.67083000000000004</v>
      </c>
      <c r="AC84" s="202">
        <v>-3.2575099999999999</v>
      </c>
      <c r="AD84" s="202">
        <v>2.9218000000000002</v>
      </c>
      <c r="AF84" s="67" t="s">
        <v>50</v>
      </c>
      <c r="AG84" t="s">
        <v>252</v>
      </c>
    </row>
    <row r="85" spans="1:33" x14ac:dyDescent="0.25">
      <c r="A85" t="s">
        <v>57</v>
      </c>
      <c r="B85" s="202" t="s">
        <v>235</v>
      </c>
      <c r="C85" s="202" t="s">
        <v>235</v>
      </c>
      <c r="D85" s="202" t="s">
        <v>235</v>
      </c>
      <c r="E85" s="206">
        <v>11.384</v>
      </c>
      <c r="G85" s="202">
        <v>11.384</v>
      </c>
      <c r="H85" s="202">
        <v>-9.5640000000000001</v>
      </c>
      <c r="I85" s="202">
        <v>-11.449</v>
      </c>
      <c r="J85" s="206">
        <v>-2.6579999999999999</v>
      </c>
      <c r="K85" s="207"/>
      <c r="L85" s="202">
        <v>-51.651000000000003</v>
      </c>
      <c r="M85" s="202">
        <v>-21.317</v>
      </c>
      <c r="N85" s="202">
        <v>-17.53</v>
      </c>
      <c r="O85" s="202">
        <v>-14.459</v>
      </c>
      <c r="P85" s="203"/>
      <c r="Q85" s="202">
        <v>-15.241</v>
      </c>
      <c r="R85" s="202">
        <v>-10.343</v>
      </c>
      <c r="S85" s="202">
        <v>-1.5980000000000001</v>
      </c>
      <c r="T85" s="202">
        <v>-5.4589999999999996</v>
      </c>
      <c r="U85" s="203"/>
      <c r="V85" s="202">
        <v>7.7080000000000002</v>
      </c>
      <c r="W85" s="202">
        <v>-2.9000000000000001E-2</v>
      </c>
      <c r="X85" s="202">
        <v>-0.81499999999999995</v>
      </c>
      <c r="Y85" s="202">
        <v>7.4260000000000002</v>
      </c>
      <c r="Z85" s="203"/>
      <c r="AA85" s="202">
        <v>0.154</v>
      </c>
      <c r="AB85" s="202">
        <v>1.5649999999999999</v>
      </c>
      <c r="AC85" s="202">
        <v>-10.085000000000001</v>
      </c>
      <c r="AD85" s="202">
        <v>4.9189999999999996</v>
      </c>
      <c r="AF85" s="67" t="s">
        <v>57</v>
      </c>
      <c r="AG85" t="s">
        <v>251</v>
      </c>
    </row>
    <row r="86" spans="1:33" x14ac:dyDescent="0.25">
      <c r="A86" s="69" t="s">
        <v>121</v>
      </c>
      <c r="B86" s="208"/>
      <c r="C86" s="208"/>
      <c r="D86" s="208"/>
      <c r="E86" s="209">
        <v>826.24825333333331</v>
      </c>
      <c r="G86" s="208">
        <v>1249.2813344444446</v>
      </c>
      <c r="H86" s="208">
        <v>632.05204777777772</v>
      </c>
      <c r="I86" s="208">
        <v>75.944793333333294</v>
      </c>
      <c r="J86" s="209">
        <v>469.87463111111106</v>
      </c>
      <c r="K86" s="209"/>
      <c r="L86" s="208">
        <v>242.00709111111104</v>
      </c>
      <c r="M86" s="208">
        <v>361.62447222222221</v>
      </c>
      <c r="N86" s="208">
        <v>249.83964666666665</v>
      </c>
      <c r="O86" s="208">
        <v>255.35565555555553</v>
      </c>
      <c r="P86" s="208"/>
      <c r="Q86" s="208">
        <v>141.65751333333336</v>
      </c>
      <c r="R86" s="208">
        <v>209.0461544444444</v>
      </c>
      <c r="S86" s="208">
        <v>111.78731666666667</v>
      </c>
      <c r="T86" s="208">
        <v>147.2806788888889</v>
      </c>
      <c r="U86" s="208"/>
      <c r="V86" s="208">
        <v>-44.721760000000003</v>
      </c>
      <c r="W86" s="208">
        <v>78.281313749999981</v>
      </c>
      <c r="X86" s="208">
        <v>75.33935249999999</v>
      </c>
      <c r="Y86" s="208">
        <v>140.51852499999998</v>
      </c>
      <c r="Z86" s="208"/>
      <c r="AA86" s="208">
        <v>117.99982749999999</v>
      </c>
      <c r="AB86" s="208">
        <v>43.57300750000001</v>
      </c>
      <c r="AC86" s="208">
        <v>144.0979725</v>
      </c>
      <c r="AD86" s="208">
        <v>145.34541750000002</v>
      </c>
      <c r="AE86" s="210"/>
      <c r="AF86" s="78" t="s">
        <v>122</v>
      </c>
    </row>
    <row r="87" spans="1:33" ht="26.25" customHeight="1" x14ac:dyDescent="0.25">
      <c r="A87" s="97"/>
      <c r="B87" s="97"/>
      <c r="C87" s="97"/>
      <c r="D87" s="97"/>
      <c r="E87" s="97"/>
      <c r="G87" s="97"/>
      <c r="H87" s="219"/>
      <c r="I87" s="219"/>
      <c r="J87" s="220"/>
      <c r="K87" s="221"/>
      <c r="L87" s="219"/>
      <c r="M87" s="219"/>
      <c r="N87" s="219"/>
      <c r="O87" s="219"/>
      <c r="P87" s="222"/>
      <c r="Q87" s="219"/>
      <c r="R87" s="219"/>
      <c r="S87" s="219"/>
      <c r="T87" s="219"/>
      <c r="U87" s="222"/>
      <c r="V87" s="219"/>
      <c r="W87" s="219"/>
      <c r="X87" s="219"/>
      <c r="Y87" s="219"/>
      <c r="Z87" s="222"/>
      <c r="AA87" s="219"/>
      <c r="AB87" s="219"/>
      <c r="AC87" s="219"/>
      <c r="AD87" s="219"/>
      <c r="AE87" s="223"/>
      <c r="AF87" s="103"/>
    </row>
    <row r="88" spans="1:33" x14ac:dyDescent="0.25">
      <c r="A88" s="184" t="s">
        <v>4</v>
      </c>
      <c r="B88" s="185">
        <v>2019</v>
      </c>
      <c r="C88" s="185"/>
      <c r="D88" s="185"/>
      <c r="E88" s="185"/>
      <c r="G88" s="185">
        <v>2018</v>
      </c>
      <c r="H88" s="185"/>
      <c r="I88" s="185"/>
      <c r="J88" s="185"/>
      <c r="K88" s="186"/>
      <c r="L88" s="185">
        <v>2017</v>
      </c>
      <c r="M88" s="185"/>
      <c r="N88" s="185"/>
      <c r="O88" s="185"/>
      <c r="P88" s="186"/>
      <c r="Q88" s="185">
        <v>2016</v>
      </c>
      <c r="R88" s="185"/>
      <c r="S88" s="185"/>
      <c r="T88" s="185"/>
      <c r="U88" s="186"/>
      <c r="V88" s="185">
        <v>2015</v>
      </c>
      <c r="W88" s="185"/>
      <c r="X88" s="185"/>
      <c r="Y88" s="185"/>
      <c r="Z88" s="186"/>
      <c r="AA88" s="185">
        <v>2014</v>
      </c>
      <c r="AB88" s="185"/>
      <c r="AC88" s="185"/>
      <c r="AD88" s="185"/>
      <c r="AE88" s="186"/>
      <c r="AF88" s="187" t="s">
        <v>4</v>
      </c>
    </row>
    <row r="89" spans="1:33" x14ac:dyDescent="0.25">
      <c r="A89" s="188"/>
      <c r="B89" s="189" t="s">
        <v>188</v>
      </c>
      <c r="C89" s="189" t="s">
        <v>189</v>
      </c>
      <c r="D89" s="189" t="s">
        <v>190</v>
      </c>
      <c r="E89" s="189" t="s">
        <v>191</v>
      </c>
      <c r="G89" s="189" t="s">
        <v>188</v>
      </c>
      <c r="H89" s="189" t="s">
        <v>189</v>
      </c>
      <c r="I89" s="189" t="s">
        <v>190</v>
      </c>
      <c r="J89" s="189" t="s">
        <v>191</v>
      </c>
      <c r="K89" s="190"/>
      <c r="L89" s="189" t="s">
        <v>188</v>
      </c>
      <c r="M89" s="189" t="s">
        <v>189</v>
      </c>
      <c r="N89" s="189" t="s">
        <v>190</v>
      </c>
      <c r="O89" s="189" t="s">
        <v>191</v>
      </c>
      <c r="P89" s="191"/>
      <c r="Q89" s="189" t="s">
        <v>192</v>
      </c>
      <c r="R89" s="189" t="s">
        <v>189</v>
      </c>
      <c r="S89" s="189" t="s">
        <v>190</v>
      </c>
      <c r="T89" s="189" t="s">
        <v>193</v>
      </c>
      <c r="U89" s="191"/>
      <c r="V89" s="189" t="s">
        <v>188</v>
      </c>
      <c r="W89" s="189" t="s">
        <v>189</v>
      </c>
      <c r="X89" s="189" t="s">
        <v>190</v>
      </c>
      <c r="Y89" s="189" t="s">
        <v>191</v>
      </c>
      <c r="Z89" s="191"/>
      <c r="AA89" s="189" t="s">
        <v>188</v>
      </c>
      <c r="AB89" s="189" t="s">
        <v>194</v>
      </c>
      <c r="AC89" s="189" t="s">
        <v>190</v>
      </c>
      <c r="AD89" s="189" t="s">
        <v>191</v>
      </c>
      <c r="AE89" s="191"/>
      <c r="AF89" s="192"/>
    </row>
    <row r="90" spans="1:33" x14ac:dyDescent="0.25">
      <c r="A90" s="57" t="s">
        <v>129</v>
      </c>
      <c r="B90" s="57"/>
      <c r="C90" s="57"/>
      <c r="D90" s="57"/>
      <c r="E90" s="57"/>
      <c r="G90" s="57"/>
      <c r="H90" s="211"/>
      <c r="I90" s="211"/>
      <c r="J90" s="211"/>
      <c r="K90" s="212"/>
      <c r="L90" s="211"/>
      <c r="M90" s="211"/>
      <c r="N90" s="211"/>
      <c r="O90" s="211"/>
      <c r="P90" s="212"/>
      <c r="Q90" s="211"/>
      <c r="R90" s="211"/>
      <c r="S90" s="211"/>
      <c r="T90" s="211"/>
      <c r="U90" s="212"/>
      <c r="V90" s="211"/>
      <c r="W90" s="211"/>
      <c r="X90" s="211"/>
      <c r="Y90" s="211"/>
      <c r="Z90" s="212"/>
      <c r="AA90" s="211"/>
      <c r="AB90" s="211"/>
      <c r="AC90" s="211"/>
      <c r="AD90" s="211"/>
      <c r="AE90" s="213"/>
      <c r="AF90" s="88"/>
    </row>
    <row r="91" spans="1:33" x14ac:dyDescent="0.25">
      <c r="A91" t="s">
        <v>7</v>
      </c>
      <c r="B91" s="202" t="s">
        <v>235</v>
      </c>
      <c r="C91" s="202" t="s">
        <v>235</v>
      </c>
      <c r="D91" s="202" t="s">
        <v>235</v>
      </c>
      <c r="E91" s="202">
        <v>-69.138779999999997</v>
      </c>
      <c r="G91" s="202">
        <v>-216.37526</v>
      </c>
      <c r="H91" s="202">
        <v>12.56948</v>
      </c>
      <c r="I91" s="202">
        <v>-41.315750000000001</v>
      </c>
      <c r="J91" s="202">
        <v>20.261119999999998</v>
      </c>
      <c r="K91" s="203"/>
      <c r="L91" s="202">
        <v>10.03572</v>
      </c>
      <c r="M91" s="202">
        <v>17.650919999999999</v>
      </c>
      <c r="N91" s="202">
        <v>2.3791699999999998</v>
      </c>
      <c r="O91" s="202">
        <v>10.63012</v>
      </c>
      <c r="P91" s="203"/>
      <c r="Q91" s="202">
        <v>69.602189999999993</v>
      </c>
      <c r="R91" s="202">
        <v>20.317519999999998</v>
      </c>
      <c r="S91" s="202">
        <v>5.0203100000000003</v>
      </c>
      <c r="T91" s="202">
        <v>-0.14488000000000001</v>
      </c>
      <c r="U91" s="203"/>
      <c r="V91" s="202" t="s">
        <v>235</v>
      </c>
      <c r="W91" s="202" t="s">
        <v>235</v>
      </c>
      <c r="X91" s="202" t="s">
        <v>235</v>
      </c>
      <c r="Y91" s="202" t="s">
        <v>235</v>
      </c>
      <c r="Z91" s="203"/>
      <c r="AA91" s="202" t="s">
        <v>235</v>
      </c>
      <c r="AB91" s="202" t="s">
        <v>235</v>
      </c>
      <c r="AC91" s="202" t="s">
        <v>235</v>
      </c>
      <c r="AD91" s="202" t="s">
        <v>235</v>
      </c>
      <c r="AF91" s="67" t="s">
        <v>7</v>
      </c>
      <c r="AG91" t="s">
        <v>253</v>
      </c>
    </row>
    <row r="92" spans="1:33" x14ac:dyDescent="0.25">
      <c r="A92" t="s">
        <v>69</v>
      </c>
      <c r="B92" s="202" t="s">
        <v>235</v>
      </c>
      <c r="C92" s="202" t="s">
        <v>235</v>
      </c>
      <c r="D92" s="202" t="s">
        <v>235</v>
      </c>
      <c r="E92" s="202">
        <v>-4.7902500000000003</v>
      </c>
      <c r="G92" s="202">
        <v>-143.60301999999999</v>
      </c>
      <c r="H92" s="202">
        <v>20.646730000000002</v>
      </c>
      <c r="I92" s="202">
        <v>3.3237399999999999</v>
      </c>
      <c r="J92" s="202">
        <v>-2.0512199999999998</v>
      </c>
      <c r="K92" s="203"/>
      <c r="L92" s="202">
        <v>-3.2082299999999999</v>
      </c>
      <c r="M92" s="202">
        <v>-0.92839000000000005</v>
      </c>
      <c r="N92" s="202">
        <v>2.0605099999999998</v>
      </c>
      <c r="O92" s="202">
        <v>2.00379</v>
      </c>
      <c r="P92" s="203"/>
      <c r="Q92" s="202">
        <v>7.5257899999999998</v>
      </c>
      <c r="R92" s="202">
        <v>-0.41177000000000002</v>
      </c>
      <c r="S92" s="202">
        <v>1.8685499999999999</v>
      </c>
      <c r="T92" s="202">
        <v>1.1801299999999999</v>
      </c>
      <c r="U92" s="203"/>
      <c r="V92" s="202">
        <v>6.0059100000000001</v>
      </c>
      <c r="W92" s="202">
        <v>-3.0125500000000001</v>
      </c>
      <c r="X92" s="202">
        <v>-3.2687900000000001</v>
      </c>
      <c r="Y92" s="202">
        <v>-0.45202999999999999</v>
      </c>
      <c r="Z92" s="203"/>
      <c r="AA92" s="202">
        <v>-3.3644699999999998</v>
      </c>
      <c r="AB92" s="202">
        <v>5.8523699999999996</v>
      </c>
      <c r="AC92" s="202">
        <v>-5.7577400000000001</v>
      </c>
      <c r="AD92" s="202">
        <v>11.616059999999999</v>
      </c>
      <c r="AF92" s="67" t="s">
        <v>69</v>
      </c>
      <c r="AG92" t="s">
        <v>254</v>
      </c>
    </row>
    <row r="93" spans="1:33" x14ac:dyDescent="0.25">
      <c r="A93" s="69" t="s">
        <v>121</v>
      </c>
      <c r="B93" s="208"/>
      <c r="C93" s="208"/>
      <c r="D93" s="208"/>
      <c r="E93" s="209">
        <v>-36.964514999999999</v>
      </c>
      <c r="G93" s="208">
        <v>-179.98913999999999</v>
      </c>
      <c r="H93" s="208">
        <v>16.608105000000002</v>
      </c>
      <c r="I93" s="208">
        <v>-18.996005</v>
      </c>
      <c r="J93" s="209">
        <v>9.1049499999999988</v>
      </c>
      <c r="K93" s="216"/>
      <c r="L93" s="208">
        <v>3.4137449999999996</v>
      </c>
      <c r="M93" s="208">
        <v>8.3612649999999995</v>
      </c>
      <c r="N93" s="208">
        <v>2.2198399999999996</v>
      </c>
      <c r="O93" s="208">
        <v>6.3169550000000001</v>
      </c>
      <c r="P93" s="217"/>
      <c r="Q93" s="208">
        <v>38.563989999999997</v>
      </c>
      <c r="R93" s="208">
        <v>9.9528749999999988</v>
      </c>
      <c r="S93" s="208">
        <v>3.4444300000000001</v>
      </c>
      <c r="T93" s="208">
        <v>0.517625</v>
      </c>
      <c r="U93" s="217"/>
      <c r="V93" s="208">
        <v>6.0059100000000001</v>
      </c>
      <c r="W93" s="208">
        <v>-3.0125500000000001</v>
      </c>
      <c r="X93" s="208">
        <v>-3.2687900000000001</v>
      </c>
      <c r="Y93" s="208">
        <v>-0.45202999999999999</v>
      </c>
      <c r="Z93" s="217"/>
      <c r="AA93" s="208">
        <v>-3.3644699999999998</v>
      </c>
      <c r="AB93" s="208">
        <v>5.8523699999999996</v>
      </c>
      <c r="AC93" s="208">
        <v>-5.7577400000000001</v>
      </c>
      <c r="AD93" s="208">
        <v>11.616059999999999</v>
      </c>
      <c r="AE93" s="210"/>
      <c r="AF93" s="78" t="s">
        <v>122</v>
      </c>
    </row>
    <row r="94" spans="1:33" x14ac:dyDescent="0.25">
      <c r="H94" s="202"/>
      <c r="I94" s="202"/>
      <c r="J94" s="206"/>
      <c r="K94" s="207"/>
      <c r="L94" s="202"/>
      <c r="M94" s="202"/>
      <c r="N94" s="202"/>
      <c r="O94" s="202"/>
      <c r="P94" s="203"/>
      <c r="Q94" s="202"/>
      <c r="R94" s="202"/>
      <c r="S94" s="202"/>
      <c r="T94" s="202"/>
      <c r="U94" s="203"/>
      <c r="V94" s="202"/>
      <c r="W94" s="202"/>
      <c r="X94" s="202"/>
      <c r="Y94" s="202"/>
      <c r="Z94" s="203"/>
      <c r="AA94" s="202"/>
      <c r="AB94" s="202"/>
      <c r="AC94" s="202"/>
      <c r="AD94" s="202"/>
    </row>
    <row r="95" spans="1:33" x14ac:dyDescent="0.25">
      <c r="A95" s="57" t="s">
        <v>130</v>
      </c>
      <c r="B95" s="57"/>
      <c r="C95" s="57"/>
      <c r="D95" s="57"/>
      <c r="E95" s="57"/>
      <c r="G95" s="57"/>
      <c r="H95" s="211"/>
      <c r="I95" s="211"/>
      <c r="J95" s="211"/>
      <c r="K95" s="212"/>
      <c r="L95" s="211"/>
      <c r="M95" s="211"/>
      <c r="N95" s="211"/>
      <c r="O95" s="211"/>
      <c r="P95" s="212"/>
      <c r="Q95" s="211"/>
      <c r="R95" s="211"/>
      <c r="S95" s="211"/>
      <c r="T95" s="211"/>
      <c r="U95" s="212"/>
      <c r="V95" s="211"/>
      <c r="W95" s="211"/>
      <c r="X95" s="211"/>
      <c r="Y95" s="211"/>
      <c r="Z95" s="212"/>
      <c r="AA95" s="211"/>
      <c r="AB95" s="211"/>
      <c r="AC95" s="211"/>
      <c r="AD95" s="211"/>
      <c r="AE95" s="213"/>
      <c r="AF95" s="88"/>
    </row>
    <row r="96" spans="1:33" x14ac:dyDescent="0.25">
      <c r="A96" t="s">
        <v>79</v>
      </c>
      <c r="B96" s="202" t="s">
        <v>235</v>
      </c>
      <c r="C96" s="202" t="s">
        <v>235</v>
      </c>
      <c r="D96" s="202" t="s">
        <v>235</v>
      </c>
      <c r="E96" s="202">
        <v>829.65272000000004</v>
      </c>
      <c r="G96" s="202">
        <v>829.65272000000004</v>
      </c>
      <c r="H96" s="202">
        <v>829.65272000000004</v>
      </c>
      <c r="I96" s="202">
        <v>592.47630000000004</v>
      </c>
      <c r="J96" s="202">
        <v>-23.90381</v>
      </c>
      <c r="K96" s="203"/>
      <c r="L96" s="202">
        <v>149.26545999999999</v>
      </c>
      <c r="M96" s="202">
        <v>245.37494000000001</v>
      </c>
      <c r="N96" s="202">
        <v>174.26070000000001</v>
      </c>
      <c r="O96" s="202">
        <v>-25.925999999999998</v>
      </c>
      <c r="P96" s="203"/>
      <c r="Q96" s="202">
        <v>365.65839999999997</v>
      </c>
      <c r="R96" s="202">
        <v>-29.433949999999999</v>
      </c>
      <c r="S96" s="202">
        <v>-44.531739999999999</v>
      </c>
      <c r="T96" s="202">
        <v>-49.951390000000004</v>
      </c>
      <c r="U96" s="203"/>
      <c r="V96" s="202">
        <v>76.804839999999999</v>
      </c>
      <c r="W96" s="202">
        <v>56.600029999999997</v>
      </c>
      <c r="X96" s="202">
        <v>125.44410999999999</v>
      </c>
      <c r="Y96" s="202">
        <v>-44.952179999999998</v>
      </c>
      <c r="Z96" s="203"/>
      <c r="AA96" s="202">
        <v>-60.207610000000003</v>
      </c>
      <c r="AB96" s="202">
        <v>-8.3692399999999996</v>
      </c>
      <c r="AC96" s="202">
        <v>18.709409999999998</v>
      </c>
      <c r="AD96" s="202">
        <v>-6.59945</v>
      </c>
      <c r="AF96" s="67" t="s">
        <v>79</v>
      </c>
      <c r="AG96" t="s">
        <v>259</v>
      </c>
    </row>
    <row r="97" spans="1:33" x14ac:dyDescent="0.25">
      <c r="A97" t="s">
        <v>70</v>
      </c>
      <c r="B97" s="202" t="s">
        <v>235</v>
      </c>
      <c r="C97" s="202" t="s">
        <v>235</v>
      </c>
      <c r="D97" s="202" t="s">
        <v>235</v>
      </c>
      <c r="E97" s="202">
        <v>6375</v>
      </c>
      <c r="G97" s="202">
        <v>15245</v>
      </c>
      <c r="H97" s="202">
        <v>-7112</v>
      </c>
      <c r="I97" s="202">
        <v>-5199</v>
      </c>
      <c r="J97" s="202">
        <v>2482</v>
      </c>
      <c r="K97" s="203"/>
      <c r="L97" s="202">
        <v>1418</v>
      </c>
      <c r="M97" s="202">
        <v>1184</v>
      </c>
      <c r="N97" s="202">
        <v>15</v>
      </c>
      <c r="O97" s="202">
        <v>1607</v>
      </c>
      <c r="P97" s="203"/>
      <c r="Q97" s="202">
        <v>910</v>
      </c>
      <c r="R97" s="202">
        <v>-932</v>
      </c>
      <c r="S97" s="202">
        <v>-669</v>
      </c>
      <c r="T97" s="202">
        <v>608</v>
      </c>
      <c r="U97" s="203"/>
      <c r="V97" s="202">
        <v>2061.7992800000002</v>
      </c>
      <c r="W97" s="202">
        <v>40.269410000000001</v>
      </c>
      <c r="X97" s="202">
        <v>61.077309999999997</v>
      </c>
      <c r="Y97" s="202">
        <v>901.94343000000003</v>
      </c>
      <c r="Z97" s="203"/>
      <c r="AA97" s="202">
        <v>727.97691999999995</v>
      </c>
      <c r="AB97" s="202">
        <v>95.597120000000004</v>
      </c>
      <c r="AC97" s="202">
        <v>309.69054</v>
      </c>
      <c r="AD97" s="202">
        <v>-390.10523000000001</v>
      </c>
      <c r="AF97" s="67" t="s">
        <v>70</v>
      </c>
      <c r="AG97" t="s">
        <v>255</v>
      </c>
    </row>
    <row r="98" spans="1:33" x14ac:dyDescent="0.25">
      <c r="A98" t="s">
        <v>49</v>
      </c>
      <c r="B98" s="202" t="s">
        <v>235</v>
      </c>
      <c r="C98" s="202" t="s">
        <v>235</v>
      </c>
      <c r="D98" s="202" t="s">
        <v>235</v>
      </c>
      <c r="E98" s="206">
        <v>131.49799999999999</v>
      </c>
      <c r="G98" s="202">
        <v>2196.8270000000002</v>
      </c>
      <c r="H98" s="202">
        <v>847.40499999999997</v>
      </c>
      <c r="I98" s="202">
        <v>-197.584</v>
      </c>
      <c r="J98" s="206">
        <v>1450.818</v>
      </c>
      <c r="K98" s="207"/>
      <c r="L98" s="202">
        <v>22.24</v>
      </c>
      <c r="M98" s="202">
        <v>291.17599999999999</v>
      </c>
      <c r="N98" s="202">
        <v>-52.609000000000002</v>
      </c>
      <c r="O98" s="202">
        <v>421.38299999999998</v>
      </c>
      <c r="P98" s="203"/>
      <c r="Q98" s="202">
        <v>653.58399999999995</v>
      </c>
      <c r="R98" s="202">
        <v>-656.76700000000005</v>
      </c>
      <c r="S98" s="202">
        <v>-1060.4280000000001</v>
      </c>
      <c r="T98" s="202">
        <v>-125.03700000000001</v>
      </c>
      <c r="U98" s="203"/>
      <c r="V98" s="202" t="s">
        <v>235</v>
      </c>
      <c r="W98" s="202">
        <v>214.13</v>
      </c>
      <c r="X98" s="202">
        <v>254.857</v>
      </c>
      <c r="Y98" s="202">
        <v>469.88600000000002</v>
      </c>
      <c r="Z98" s="203"/>
      <c r="AA98" s="202">
        <v>663.98500000000001</v>
      </c>
      <c r="AB98" s="202">
        <v>-720.9</v>
      </c>
      <c r="AC98" s="202">
        <v>15.762</v>
      </c>
      <c r="AD98" s="202">
        <v>-738.56299999999999</v>
      </c>
      <c r="AF98" s="67" t="s">
        <v>49</v>
      </c>
      <c r="AG98" t="s">
        <v>256</v>
      </c>
    </row>
    <row r="99" spans="1:33" x14ac:dyDescent="0.25">
      <c r="A99" t="s">
        <v>78</v>
      </c>
      <c r="B99" s="202" t="s">
        <v>235</v>
      </c>
      <c r="C99" s="202" t="s">
        <v>235</v>
      </c>
      <c r="D99" s="202" t="s">
        <v>235</v>
      </c>
      <c r="E99" s="206">
        <v>759.59900000000005</v>
      </c>
      <c r="G99" s="202">
        <v>657.40800000000002</v>
      </c>
      <c r="H99" s="202">
        <v>858.30399999999997</v>
      </c>
      <c r="I99" s="202">
        <v>731.23800000000006</v>
      </c>
      <c r="J99" s="206">
        <v>807.98500000000001</v>
      </c>
      <c r="K99" s="207"/>
      <c r="L99" s="202">
        <v>895.96501999999998</v>
      </c>
      <c r="M99" s="202">
        <v>510.19472999999999</v>
      </c>
      <c r="N99" s="202">
        <v>452.71800000000002</v>
      </c>
      <c r="O99" s="202">
        <v>423.21499999999997</v>
      </c>
      <c r="P99" s="203"/>
      <c r="Q99" s="202">
        <v>484.46620000000001</v>
      </c>
      <c r="R99" s="202">
        <v>-269.85557</v>
      </c>
      <c r="S99" s="202">
        <v>-159.19166999999999</v>
      </c>
      <c r="T99" s="202">
        <v>-112.23196</v>
      </c>
      <c r="U99" s="203"/>
      <c r="V99" s="202">
        <v>-98.40258</v>
      </c>
      <c r="W99" s="202">
        <v>33.119840000000003</v>
      </c>
      <c r="X99" s="202">
        <v>117.52892</v>
      </c>
      <c r="Y99" s="202">
        <v>18.207640000000001</v>
      </c>
      <c r="Z99" s="203"/>
      <c r="AA99" s="202">
        <v>104.52914</v>
      </c>
      <c r="AB99" s="202">
        <v>44.682969999999997</v>
      </c>
      <c r="AC99" s="202">
        <v>88.835220000000007</v>
      </c>
      <c r="AD99" s="202">
        <v>-92.847989999999996</v>
      </c>
      <c r="AF99" s="67" t="s">
        <v>78</v>
      </c>
      <c r="AG99" t="s">
        <v>257</v>
      </c>
    </row>
    <row r="100" spans="1:33" x14ac:dyDescent="0.25">
      <c r="A100" t="s">
        <v>12</v>
      </c>
      <c r="B100" s="202" t="s">
        <v>235</v>
      </c>
      <c r="C100" s="202" t="s">
        <v>235</v>
      </c>
      <c r="D100" s="202" t="s">
        <v>235</v>
      </c>
      <c r="E100" s="206">
        <v>-233.89099999999999</v>
      </c>
      <c r="G100" s="202">
        <v>2408.9850000000001</v>
      </c>
      <c r="H100" s="202">
        <v>-214.74799999999999</v>
      </c>
      <c r="I100" s="202">
        <v>-1797.2470000000001</v>
      </c>
      <c r="J100" s="206">
        <v>-402.84800000000001</v>
      </c>
      <c r="K100" s="207"/>
      <c r="L100" s="202">
        <v>-258.178</v>
      </c>
      <c r="M100" s="202">
        <v>312.70499999999998</v>
      </c>
      <c r="N100" s="202">
        <v>201.446</v>
      </c>
      <c r="O100" s="202">
        <v>516.91999999999996</v>
      </c>
      <c r="P100" s="203"/>
      <c r="Q100" s="202">
        <v>282.27600000000001</v>
      </c>
      <c r="R100" s="202">
        <v>-205.20500000000001</v>
      </c>
      <c r="S100" s="202">
        <v>-90.174000000000007</v>
      </c>
      <c r="T100" s="218">
        <v>-586.57899999999995</v>
      </c>
      <c r="U100" s="203"/>
      <c r="V100" s="202">
        <v>-547.69399999999996</v>
      </c>
      <c r="W100" s="202">
        <v>77.031000000000006</v>
      </c>
      <c r="X100" s="202">
        <v>26.398</v>
      </c>
      <c r="Y100" s="224">
        <v>-120.636</v>
      </c>
      <c r="Z100" s="225"/>
      <c r="AA100" s="224">
        <v>-277.10899999999998</v>
      </c>
      <c r="AB100" s="224">
        <v>-21.105</v>
      </c>
      <c r="AC100" s="224">
        <v>7.5780000000000003</v>
      </c>
      <c r="AD100" s="224">
        <v>-340.78300000000002</v>
      </c>
      <c r="AF100" s="67" t="s">
        <v>12</v>
      </c>
      <c r="AG100" t="s">
        <v>258</v>
      </c>
    </row>
    <row r="101" spans="1:33" x14ac:dyDescent="0.25">
      <c r="A101" t="s">
        <v>24</v>
      </c>
      <c r="B101" s="202" t="s">
        <v>235</v>
      </c>
      <c r="C101" s="202" t="s">
        <v>235</v>
      </c>
      <c r="D101" s="202" t="s">
        <v>235</v>
      </c>
      <c r="E101" s="206">
        <v>-210.93483000000001</v>
      </c>
      <c r="G101" s="202">
        <v>2448.0288500000001</v>
      </c>
      <c r="H101" s="202">
        <v>271.65670999999998</v>
      </c>
      <c r="I101" s="202">
        <v>312.83195000000001</v>
      </c>
      <c r="J101" s="206">
        <v>-214.22022000000001</v>
      </c>
      <c r="K101" s="207"/>
      <c r="L101" s="202">
        <v>-77.570059999999998</v>
      </c>
      <c r="M101" s="202">
        <v>379.83377000000002</v>
      </c>
      <c r="N101" s="202">
        <v>263.86640999999997</v>
      </c>
      <c r="O101" s="202">
        <v>258.82616999999999</v>
      </c>
      <c r="P101" s="203"/>
      <c r="Q101" s="202">
        <v>-16.13532</v>
      </c>
      <c r="R101" s="202">
        <v>30.616019999999999</v>
      </c>
      <c r="S101" s="202">
        <v>-125.81035</v>
      </c>
      <c r="T101" s="202">
        <v>-95.954650000000001</v>
      </c>
      <c r="U101" s="203"/>
      <c r="V101" s="202">
        <v>21.969380000000001</v>
      </c>
      <c r="W101" s="202">
        <v>152.80104</v>
      </c>
      <c r="X101" s="202">
        <v>-42.08099</v>
      </c>
      <c r="Y101" s="202">
        <v>-41.882800000000003</v>
      </c>
      <c r="Z101" s="203"/>
      <c r="AA101" s="202">
        <v>-64.86533</v>
      </c>
      <c r="AB101" s="202">
        <v>-21.183420000000002</v>
      </c>
      <c r="AC101" s="202">
        <v>15.37391</v>
      </c>
      <c r="AD101" s="202">
        <v>-16.832909999999998</v>
      </c>
      <c r="AF101" s="67" t="s">
        <v>24</v>
      </c>
      <c r="AG101" t="s">
        <v>261</v>
      </c>
    </row>
    <row r="102" spans="1:33" x14ac:dyDescent="0.25">
      <c r="A102" t="s">
        <v>23</v>
      </c>
      <c r="B102" s="202" t="s">
        <v>235</v>
      </c>
      <c r="C102" s="202" t="s">
        <v>235</v>
      </c>
      <c r="D102" s="202" t="s">
        <v>235</v>
      </c>
      <c r="E102" s="206">
        <v>743.72799999999995</v>
      </c>
      <c r="G102" s="202">
        <v>793.44500000000005</v>
      </c>
      <c r="H102" s="202">
        <v>-361.13400000000001</v>
      </c>
      <c r="I102" s="202">
        <v>-141.55600000000001</v>
      </c>
      <c r="J102" s="206">
        <v>270.08452999999997</v>
      </c>
      <c r="K102" s="207"/>
      <c r="L102" s="202">
        <v>173.68800999999999</v>
      </c>
      <c r="M102" s="202">
        <v>270.58703000000003</v>
      </c>
      <c r="N102" s="202">
        <v>-18.656890000000001</v>
      </c>
      <c r="O102" s="202">
        <v>227.57427000000001</v>
      </c>
      <c r="P102" s="203"/>
      <c r="Q102" s="202">
        <v>94.910049999999998</v>
      </c>
      <c r="R102" s="202">
        <v>171.06032999999999</v>
      </c>
      <c r="S102" s="202">
        <v>69.990030000000004</v>
      </c>
      <c r="T102" s="202">
        <v>88.239590000000007</v>
      </c>
      <c r="U102" s="203"/>
      <c r="V102" s="202">
        <v>-411.21755000000002</v>
      </c>
      <c r="W102" s="202">
        <v>16.87434</v>
      </c>
      <c r="X102" s="202">
        <v>46.547179999999997</v>
      </c>
      <c r="Y102" s="202">
        <v>-77.780090000000001</v>
      </c>
      <c r="Z102" s="203"/>
      <c r="AA102" s="202">
        <v>23.839359999999999</v>
      </c>
      <c r="AB102" s="202">
        <v>19.957439999999998</v>
      </c>
      <c r="AC102" s="202">
        <v>34.514780000000002</v>
      </c>
      <c r="AD102" s="202">
        <v>78.998729999999995</v>
      </c>
      <c r="AF102" s="67" t="s">
        <v>23</v>
      </c>
      <c r="AG102" t="s">
        <v>260</v>
      </c>
    </row>
    <row r="103" spans="1:33" x14ac:dyDescent="0.25">
      <c r="A103" t="s">
        <v>32</v>
      </c>
      <c r="B103" s="202" t="s">
        <v>235</v>
      </c>
      <c r="C103" s="202" t="s">
        <v>235</v>
      </c>
      <c r="D103" s="202" t="s">
        <v>235</v>
      </c>
      <c r="E103" s="206">
        <v>99.271000000000001</v>
      </c>
      <c r="G103" s="202">
        <v>174.88399999999999</v>
      </c>
      <c r="H103" s="202">
        <v>479.101</v>
      </c>
      <c r="I103" s="202">
        <v>357.959</v>
      </c>
      <c r="J103" s="206">
        <v>186.249</v>
      </c>
      <c r="K103" s="207"/>
      <c r="L103" s="202">
        <v>368.96499999999997</v>
      </c>
      <c r="M103" s="202">
        <v>159.74799999999999</v>
      </c>
      <c r="N103" s="202">
        <v>81.995999999999995</v>
      </c>
      <c r="O103" s="202">
        <v>-22.224</v>
      </c>
      <c r="P103" s="203"/>
      <c r="Q103" s="202">
        <v>116.32899999999999</v>
      </c>
      <c r="R103" s="202">
        <v>-13.834</v>
      </c>
      <c r="S103" s="202">
        <v>33.817999999999998</v>
      </c>
      <c r="T103" s="202">
        <v>0.30599999999999999</v>
      </c>
      <c r="U103" s="203"/>
      <c r="V103" s="202">
        <v>27.228000000000002</v>
      </c>
      <c r="W103" s="202">
        <v>20.309999999999999</v>
      </c>
      <c r="X103" s="202">
        <v>-13.182</v>
      </c>
      <c r="Y103" s="202">
        <v>-19.803999999999998</v>
      </c>
      <c r="Z103" s="203"/>
      <c r="AA103" s="202">
        <v>3.6749999999999998</v>
      </c>
      <c r="AB103" s="202">
        <v>12.696</v>
      </c>
      <c r="AC103" s="202">
        <v>10.087999999999999</v>
      </c>
      <c r="AD103" s="202">
        <v>4.2130000000000001</v>
      </c>
      <c r="AF103" s="67" t="s">
        <v>32</v>
      </c>
      <c r="AG103" t="s">
        <v>262</v>
      </c>
    </row>
    <row r="104" spans="1:33" x14ac:dyDescent="0.25">
      <c r="A104" t="s">
        <v>61</v>
      </c>
      <c r="B104" s="202" t="s">
        <v>235</v>
      </c>
      <c r="C104" s="202" t="s">
        <v>235</v>
      </c>
      <c r="D104" s="202" t="s">
        <v>235</v>
      </c>
      <c r="E104" s="206">
        <v>1260.0530000000001</v>
      </c>
      <c r="G104" s="202">
        <v>413.642</v>
      </c>
      <c r="H104" s="202">
        <v>5709.8779999999997</v>
      </c>
      <c r="I104" s="202">
        <v>4126.5379999999996</v>
      </c>
      <c r="J104" s="206">
        <v>6993.3620000000001</v>
      </c>
      <c r="K104" s="207"/>
      <c r="L104" s="202">
        <v>937.10199999999998</v>
      </c>
      <c r="M104" s="202">
        <v>639.26599999999996</v>
      </c>
      <c r="N104" s="202">
        <v>609.87</v>
      </c>
      <c r="O104" s="202">
        <v>410.45400000000001</v>
      </c>
      <c r="P104" s="203"/>
      <c r="Q104" s="202">
        <v>365.63099999999997</v>
      </c>
      <c r="R104" s="202">
        <v>303.12900000000002</v>
      </c>
      <c r="S104" s="202">
        <v>352.81799999999998</v>
      </c>
      <c r="T104" s="202">
        <v>747.26400000000001</v>
      </c>
      <c r="U104" s="203"/>
      <c r="V104" s="202">
        <v>723.48800000000006</v>
      </c>
      <c r="W104" s="202">
        <v>420.41199999999998</v>
      </c>
      <c r="X104" s="202">
        <v>20.451000000000001</v>
      </c>
      <c r="Y104" s="202">
        <v>177.64699999999999</v>
      </c>
      <c r="Z104" s="203"/>
      <c r="AA104" s="202">
        <v>23.62</v>
      </c>
      <c r="AB104" s="202">
        <v>44.527000000000001</v>
      </c>
      <c r="AC104" s="202">
        <v>168.54400000000001</v>
      </c>
      <c r="AD104" s="202">
        <v>81.040000000000006</v>
      </c>
      <c r="AF104" s="67" t="s">
        <v>61</v>
      </c>
      <c r="AG104" t="s">
        <v>263</v>
      </c>
    </row>
    <row r="105" spans="1:33" x14ac:dyDescent="0.25">
      <c r="A105" t="s">
        <v>26</v>
      </c>
      <c r="B105" s="202" t="s">
        <v>235</v>
      </c>
      <c r="C105" s="202" t="s">
        <v>235</v>
      </c>
      <c r="D105" s="202" t="s">
        <v>235</v>
      </c>
      <c r="E105" s="206">
        <v>-16.4758</v>
      </c>
      <c r="G105" s="202">
        <v>2658.6621700000001</v>
      </c>
      <c r="H105" s="202">
        <v>197.72069999999999</v>
      </c>
      <c r="I105" s="202">
        <v>-36.071300000000001</v>
      </c>
      <c r="J105" s="206">
        <v>72.636009999999999</v>
      </c>
      <c r="K105" s="207"/>
      <c r="L105" s="202">
        <v>394.44092999999998</v>
      </c>
      <c r="M105" s="202">
        <v>38.43694</v>
      </c>
      <c r="N105" s="202">
        <v>37.549849999999999</v>
      </c>
      <c r="O105" s="202">
        <v>-100.64673999999999</v>
      </c>
      <c r="P105" s="203"/>
      <c r="Q105" s="202">
        <v>117.30734</v>
      </c>
      <c r="R105" s="202">
        <v>32.793889999999998</v>
      </c>
      <c r="S105" s="202">
        <v>16.36093</v>
      </c>
      <c r="T105" s="202">
        <v>-50.002279999999999</v>
      </c>
      <c r="U105" s="203"/>
      <c r="V105" s="202">
        <v>-81.554289999999995</v>
      </c>
      <c r="W105" s="202">
        <v>50.119190000000003</v>
      </c>
      <c r="X105" s="202">
        <v>-75.293899999999994</v>
      </c>
      <c r="Y105" s="202">
        <v>15.97242</v>
      </c>
      <c r="Z105" s="203"/>
      <c r="AA105" s="202">
        <v>1018.4373900000001</v>
      </c>
      <c r="AB105" s="202">
        <v>-90.97484</v>
      </c>
      <c r="AC105" s="202">
        <v>-12.8179</v>
      </c>
      <c r="AD105" s="202">
        <v>-313.10539999999997</v>
      </c>
      <c r="AF105" s="67" t="s">
        <v>26</v>
      </c>
      <c r="AG105" t="s">
        <v>264</v>
      </c>
    </row>
    <row r="106" spans="1:33" x14ac:dyDescent="0.25">
      <c r="A106" s="69" t="s">
        <v>121</v>
      </c>
      <c r="B106" s="208"/>
      <c r="C106" s="208"/>
      <c r="D106" s="208"/>
      <c r="E106" s="209">
        <v>973.75000899999998</v>
      </c>
      <c r="G106" s="208">
        <v>2782.6534739999997</v>
      </c>
      <c r="H106" s="208">
        <v>150.58361299999999</v>
      </c>
      <c r="I106" s="208">
        <v>-125.041505</v>
      </c>
      <c r="J106" s="209">
        <v>1162.2162510000001</v>
      </c>
      <c r="K106" s="209"/>
      <c r="L106" s="208">
        <v>402.39183599999996</v>
      </c>
      <c r="M106" s="208">
        <v>403.13224100000002</v>
      </c>
      <c r="N106" s="208">
        <v>176.544107</v>
      </c>
      <c r="O106" s="208">
        <v>371.65756999999996</v>
      </c>
      <c r="P106" s="208"/>
      <c r="Q106" s="208">
        <v>337.40266699999995</v>
      </c>
      <c r="R106" s="208">
        <v>-156.94962800000002</v>
      </c>
      <c r="S106" s="208">
        <v>-167.61488000000003</v>
      </c>
      <c r="T106" s="208">
        <v>42.405331000000004</v>
      </c>
      <c r="U106" s="208"/>
      <c r="V106" s="208">
        <v>196.93567555555558</v>
      </c>
      <c r="W106" s="208">
        <v>108.166685</v>
      </c>
      <c r="X106" s="208">
        <v>52.174662999999995</v>
      </c>
      <c r="Y106" s="208">
        <v>127.860142</v>
      </c>
      <c r="Z106" s="208"/>
      <c r="AA106" s="208">
        <v>216.38808699999998</v>
      </c>
      <c r="AB106" s="208">
        <v>-64.507196999999991</v>
      </c>
      <c r="AC106" s="208">
        <v>65.627796000000004</v>
      </c>
      <c r="AD106" s="208">
        <v>-173.45852500000001</v>
      </c>
      <c r="AE106" s="210"/>
      <c r="AF106" s="78" t="s">
        <v>122</v>
      </c>
    </row>
    <row r="107" spans="1:33" x14ac:dyDescent="0.25">
      <c r="H107" s="202"/>
      <c r="I107" s="202"/>
      <c r="J107" s="206"/>
      <c r="K107" s="207"/>
      <c r="L107" s="202"/>
      <c r="M107" s="202"/>
      <c r="N107" s="202"/>
      <c r="O107" s="202"/>
      <c r="P107" s="203"/>
      <c r="Q107" s="202"/>
      <c r="R107" s="202"/>
      <c r="S107" s="202"/>
      <c r="T107" s="202"/>
      <c r="U107" s="203"/>
      <c r="V107" s="202"/>
      <c r="W107" s="202"/>
      <c r="X107" s="202"/>
      <c r="Y107" s="202"/>
      <c r="Z107" s="203"/>
      <c r="AA107" s="202"/>
      <c r="AB107" s="202"/>
      <c r="AC107" s="202"/>
      <c r="AD107" s="202"/>
    </row>
    <row r="108" spans="1:33" x14ac:dyDescent="0.25">
      <c r="A108" s="57" t="s">
        <v>131</v>
      </c>
      <c r="B108" s="57"/>
      <c r="C108" s="57"/>
      <c r="D108" s="57"/>
      <c r="E108" s="57"/>
      <c r="G108" s="57"/>
      <c r="H108" s="211"/>
      <c r="I108" s="211"/>
      <c r="J108" s="211"/>
      <c r="K108" s="211"/>
      <c r="L108" s="211"/>
      <c r="M108" s="211"/>
      <c r="N108" s="211"/>
      <c r="O108" s="211"/>
      <c r="P108" s="212"/>
      <c r="Q108" s="211"/>
      <c r="R108" s="211"/>
      <c r="S108" s="211"/>
      <c r="T108" s="211"/>
      <c r="U108" s="212"/>
      <c r="V108" s="211"/>
      <c r="W108" s="211"/>
      <c r="X108" s="211"/>
      <c r="Y108" s="211"/>
      <c r="Z108" s="212"/>
      <c r="AA108" s="211"/>
      <c r="AB108" s="211"/>
      <c r="AC108" s="211"/>
      <c r="AD108" s="211"/>
      <c r="AE108" s="213"/>
      <c r="AF108" s="88"/>
    </row>
    <row r="109" spans="1:33" x14ac:dyDescent="0.25">
      <c r="A109" t="s">
        <v>42</v>
      </c>
      <c r="B109" s="202" t="s">
        <v>235</v>
      </c>
      <c r="C109" s="202" t="s">
        <v>235</v>
      </c>
      <c r="D109" s="202" t="s">
        <v>235</v>
      </c>
      <c r="E109" s="202">
        <v>45.601469999999999</v>
      </c>
      <c r="G109" s="202">
        <v>45.601469999999999</v>
      </c>
      <c r="H109" s="202">
        <v>152.45572999999999</v>
      </c>
      <c r="I109" s="202">
        <v>59.307360000000003</v>
      </c>
      <c r="J109" s="202">
        <v>144.36427</v>
      </c>
      <c r="K109" s="203"/>
      <c r="L109" s="202">
        <v>204.08196000000001</v>
      </c>
      <c r="M109" s="202">
        <v>66.530969999999996</v>
      </c>
      <c r="N109" s="202">
        <v>99.971299999999999</v>
      </c>
      <c r="O109" s="202">
        <v>81.080590000000001</v>
      </c>
      <c r="P109" s="203"/>
      <c r="Q109" s="202">
        <v>238.80364</v>
      </c>
      <c r="R109" s="202">
        <v>37.386490000000002</v>
      </c>
      <c r="S109" s="202">
        <v>48.302300000000002</v>
      </c>
      <c r="T109" s="202">
        <v>46.260509999999996</v>
      </c>
      <c r="U109" s="203"/>
      <c r="V109" s="202">
        <v>54.1783</v>
      </c>
      <c r="W109" s="202">
        <v>29.343810000000001</v>
      </c>
      <c r="X109" s="202">
        <v>38.190860000000001</v>
      </c>
      <c r="Y109" s="202">
        <v>67.773960000000002</v>
      </c>
      <c r="Z109" s="203"/>
      <c r="AA109" s="202">
        <v>121.02784</v>
      </c>
      <c r="AB109" s="202">
        <v>14.24165</v>
      </c>
      <c r="AC109" s="202">
        <v>23.30545</v>
      </c>
      <c r="AD109" s="202">
        <v>33.518569999999997</v>
      </c>
      <c r="AF109" s="67" t="s">
        <v>42</v>
      </c>
      <c r="AG109" t="s">
        <v>265</v>
      </c>
    </row>
    <row r="110" spans="1:33" x14ac:dyDescent="0.25">
      <c r="A110" s="69" t="s">
        <v>121</v>
      </c>
      <c r="B110" s="69"/>
      <c r="C110" s="208"/>
      <c r="D110" s="208"/>
      <c r="E110" s="208">
        <v>45.601469999999999</v>
      </c>
      <c r="G110" s="69"/>
      <c r="H110" s="208">
        <v>152.45572999999999</v>
      </c>
      <c r="I110" s="208">
        <v>59.307360000000003</v>
      </c>
      <c r="J110" s="208">
        <v>144.36427</v>
      </c>
      <c r="K110" s="208"/>
      <c r="L110" s="208">
        <v>204.08196000000001</v>
      </c>
      <c r="M110" s="208">
        <v>66.530969999999996</v>
      </c>
      <c r="N110" s="208">
        <v>99.971299999999999</v>
      </c>
      <c r="O110" s="208">
        <v>81.080590000000001</v>
      </c>
      <c r="P110" s="208"/>
      <c r="Q110" s="208">
        <v>238.80364</v>
      </c>
      <c r="R110" s="208">
        <v>37.386490000000002</v>
      </c>
      <c r="S110" s="208">
        <v>48.302300000000002</v>
      </c>
      <c r="T110" s="208">
        <v>46.260509999999996</v>
      </c>
      <c r="U110" s="208"/>
      <c r="V110" s="208">
        <v>54.1783</v>
      </c>
      <c r="W110" s="208">
        <v>29.343810000000001</v>
      </c>
      <c r="X110" s="208">
        <v>38.190860000000001</v>
      </c>
      <c r="Y110" s="208">
        <v>67.773960000000002</v>
      </c>
      <c r="Z110" s="208"/>
      <c r="AA110" s="208">
        <v>121.02784</v>
      </c>
      <c r="AB110" s="208">
        <v>14.24165</v>
      </c>
      <c r="AC110" s="208">
        <v>23.30545</v>
      </c>
      <c r="AD110" s="208">
        <v>33.518569999999997</v>
      </c>
      <c r="AE110" s="210"/>
      <c r="AF110" s="78" t="s">
        <v>122</v>
      </c>
    </row>
    <row r="111" spans="1:33" x14ac:dyDescent="0.25">
      <c r="H111" s="202"/>
      <c r="I111" s="202"/>
      <c r="J111" s="206"/>
      <c r="K111" s="207"/>
      <c r="L111" s="202"/>
      <c r="M111" s="202"/>
      <c r="N111" s="202"/>
      <c r="O111" s="202"/>
      <c r="P111" s="203"/>
      <c r="Q111" s="202"/>
      <c r="R111" s="202"/>
      <c r="S111" s="202"/>
      <c r="T111" s="202"/>
      <c r="U111" s="203"/>
      <c r="V111" s="202"/>
      <c r="W111" s="202"/>
      <c r="X111" s="202"/>
      <c r="Y111" s="202"/>
      <c r="Z111" s="203"/>
      <c r="AA111" s="202"/>
      <c r="AB111" s="202"/>
      <c r="AC111" s="202"/>
      <c r="AD111" s="202"/>
    </row>
    <row r="112" spans="1:33" x14ac:dyDescent="0.25">
      <c r="A112" s="57" t="s">
        <v>132</v>
      </c>
      <c r="B112" s="57"/>
      <c r="C112" s="57"/>
      <c r="D112" s="57"/>
      <c r="E112" s="57"/>
      <c r="G112" s="57"/>
      <c r="H112" s="211"/>
      <c r="I112" s="211"/>
      <c r="J112" s="211"/>
      <c r="K112" s="212"/>
      <c r="L112" s="211"/>
      <c r="M112" s="211"/>
      <c r="N112" s="211"/>
      <c r="O112" s="211"/>
      <c r="P112" s="212"/>
      <c r="Q112" s="211"/>
      <c r="R112" s="211"/>
      <c r="S112" s="211"/>
      <c r="T112" s="211"/>
      <c r="U112" s="212"/>
      <c r="V112" s="211"/>
      <c r="W112" s="211"/>
      <c r="X112" s="211"/>
      <c r="Y112" s="211"/>
      <c r="Z112" s="212"/>
      <c r="AA112" s="211"/>
      <c r="AB112" s="211"/>
      <c r="AC112" s="211"/>
      <c r="AD112" s="211"/>
      <c r="AE112" s="213"/>
      <c r="AF112" s="88"/>
    </row>
    <row r="113" spans="1:33" x14ac:dyDescent="0.25">
      <c r="A113" t="s">
        <v>365</v>
      </c>
      <c r="B113" s="202" t="s">
        <v>235</v>
      </c>
      <c r="C113" s="202" t="s">
        <v>235</v>
      </c>
      <c r="D113" s="214" t="s">
        <v>235</v>
      </c>
      <c r="E113" s="202">
        <v>861</v>
      </c>
      <c r="G113" s="202">
        <v>610</v>
      </c>
      <c r="H113" s="202">
        <v>54578.708486656498</v>
      </c>
      <c r="I113" s="214">
        <v>30468.8915110872</v>
      </c>
      <c r="J113" s="202">
        <v>20714.078016805899</v>
      </c>
      <c r="K113" s="203"/>
      <c r="L113" s="202">
        <v>15457.6384640299</v>
      </c>
      <c r="M113" s="226">
        <v>17133.7951807229</v>
      </c>
      <c r="N113" s="226">
        <v>15573.5192990873</v>
      </c>
      <c r="O113" s="202">
        <v>12747.740293485</v>
      </c>
      <c r="P113" s="203"/>
      <c r="Q113" s="202">
        <v>2400.1009251471801</v>
      </c>
      <c r="R113" s="202">
        <v>16951.5137552819</v>
      </c>
      <c r="S113" s="202">
        <v>14047.669279797499</v>
      </c>
      <c r="T113" s="202">
        <v>9158.7934781372005</v>
      </c>
      <c r="U113" s="203"/>
      <c r="V113" s="202">
        <v>-31412.204906549701</v>
      </c>
      <c r="W113" s="202">
        <v>7476.1190026487202</v>
      </c>
      <c r="X113" s="202">
        <v>16652.348703330499</v>
      </c>
      <c r="Y113" s="202">
        <v>4710.5797396911903</v>
      </c>
      <c r="Z113" s="203"/>
      <c r="AA113" s="202">
        <v>2045.55688622755</v>
      </c>
      <c r="AB113" s="202">
        <v>7943.3876468359203</v>
      </c>
      <c r="AC113" s="202">
        <v>12556.2410153202</v>
      </c>
      <c r="AD113" s="202">
        <v>6543.4716752499198</v>
      </c>
      <c r="AF113" s="67" t="s">
        <v>365</v>
      </c>
      <c r="AG113" t="s">
        <v>266</v>
      </c>
    </row>
    <row r="114" spans="1:33" x14ac:dyDescent="0.25">
      <c r="A114" t="s">
        <v>19</v>
      </c>
      <c r="B114" s="202" t="s">
        <v>235</v>
      </c>
      <c r="C114" s="202" t="s">
        <v>235</v>
      </c>
      <c r="D114" s="202" t="s">
        <v>235</v>
      </c>
      <c r="E114" s="202">
        <v>23883</v>
      </c>
      <c r="G114" s="202">
        <v>23883</v>
      </c>
      <c r="H114" s="202">
        <v>-13677</v>
      </c>
      <c r="I114" s="202">
        <v>-8372</v>
      </c>
      <c r="J114" s="202">
        <v>3460</v>
      </c>
      <c r="K114" s="203"/>
      <c r="L114" s="202">
        <v>1989</v>
      </c>
      <c r="M114" s="202">
        <v>2026</v>
      </c>
      <c r="N114" s="202">
        <v>1660</v>
      </c>
      <c r="O114" s="202">
        <v>1955</v>
      </c>
      <c r="P114" s="203"/>
      <c r="Q114" s="202">
        <v>1504</v>
      </c>
      <c r="R114" s="202">
        <v>746</v>
      </c>
      <c r="S114" s="202">
        <v>800</v>
      </c>
      <c r="T114" s="202">
        <v>925</v>
      </c>
      <c r="U114" s="203"/>
      <c r="V114" s="202">
        <v>646</v>
      </c>
      <c r="W114" s="202">
        <v>801</v>
      </c>
      <c r="X114" s="202">
        <v>928</v>
      </c>
      <c r="Y114" s="202">
        <v>1028</v>
      </c>
      <c r="Z114" s="203"/>
      <c r="AA114" s="202">
        <v>1029</v>
      </c>
      <c r="AB114" s="202">
        <v>839</v>
      </c>
      <c r="AC114" s="202">
        <v>916</v>
      </c>
      <c r="AD114" s="202">
        <v>889</v>
      </c>
      <c r="AF114" s="67" t="s">
        <v>19</v>
      </c>
      <c r="AG114" t="s">
        <v>267</v>
      </c>
    </row>
    <row r="115" spans="1:33" x14ac:dyDescent="0.25">
      <c r="A115" t="s">
        <v>71</v>
      </c>
      <c r="B115" s="202" t="s">
        <v>235</v>
      </c>
      <c r="C115" s="202" t="s">
        <v>235</v>
      </c>
      <c r="D115" s="202" t="s">
        <v>235</v>
      </c>
      <c r="E115" s="206">
        <v>-174</v>
      </c>
      <c r="G115" s="202">
        <v>10956</v>
      </c>
      <c r="H115" s="202">
        <v>-7827</v>
      </c>
      <c r="I115" s="202">
        <v>-4953</v>
      </c>
      <c r="J115" s="206">
        <v>220</v>
      </c>
      <c r="K115" s="207"/>
      <c r="L115" s="202">
        <v>-365.92329999999998</v>
      </c>
      <c r="M115" s="202">
        <v>717.07866999999999</v>
      </c>
      <c r="N115" s="202" t="s">
        <v>235</v>
      </c>
      <c r="O115" s="202" t="s">
        <v>235</v>
      </c>
      <c r="P115" s="203"/>
      <c r="Q115" s="202" t="s">
        <v>235</v>
      </c>
      <c r="R115" s="202" t="s">
        <v>235</v>
      </c>
      <c r="S115" s="202" t="s">
        <v>235</v>
      </c>
      <c r="T115" s="202" t="s">
        <v>235</v>
      </c>
      <c r="U115" s="203"/>
      <c r="V115" s="202" t="s">
        <v>235</v>
      </c>
      <c r="W115" s="202" t="s">
        <v>235</v>
      </c>
      <c r="X115" s="202" t="s">
        <v>235</v>
      </c>
      <c r="Y115" s="202" t="s">
        <v>235</v>
      </c>
      <c r="Z115" s="203"/>
      <c r="AA115" s="202" t="s">
        <v>235</v>
      </c>
      <c r="AB115" s="202" t="s">
        <v>235</v>
      </c>
      <c r="AC115" s="202" t="s">
        <v>235</v>
      </c>
      <c r="AD115" s="202" t="s">
        <v>235</v>
      </c>
      <c r="AF115" s="67" t="s">
        <v>71</v>
      </c>
      <c r="AG115" t="s">
        <v>268</v>
      </c>
    </row>
    <row r="116" spans="1:33" x14ac:dyDescent="0.25">
      <c r="A116" t="s">
        <v>8</v>
      </c>
      <c r="B116" s="202" t="s">
        <v>235</v>
      </c>
      <c r="C116" s="202" t="s">
        <v>235</v>
      </c>
      <c r="D116" s="202" t="s">
        <v>235</v>
      </c>
      <c r="E116" s="206">
        <v>-221.11780999999999</v>
      </c>
      <c r="G116" s="202">
        <v>-1456.3340599999999</v>
      </c>
      <c r="H116" s="202">
        <v>47.288989999999998</v>
      </c>
      <c r="I116" s="202">
        <v>534.86848999999995</v>
      </c>
      <c r="J116" s="206">
        <v>18.19088</v>
      </c>
      <c r="K116" s="207"/>
      <c r="L116" s="202">
        <v>-22.661740000000002</v>
      </c>
      <c r="M116" s="202">
        <v>214.5795</v>
      </c>
      <c r="N116" s="202">
        <v>-16.969809999999999</v>
      </c>
      <c r="O116" s="202">
        <v>-855.41684999999995</v>
      </c>
      <c r="P116" s="203"/>
      <c r="Q116" s="202">
        <v>-320.02888000000002</v>
      </c>
      <c r="R116" s="202">
        <v>-355.23043000000001</v>
      </c>
      <c r="S116" s="202">
        <v>-240.49304000000001</v>
      </c>
      <c r="T116" s="202">
        <v>-509.7373</v>
      </c>
      <c r="U116" s="203"/>
      <c r="V116" s="202">
        <v>178.4984</v>
      </c>
      <c r="W116" s="202">
        <v>-121.59520000000001</v>
      </c>
      <c r="X116" s="202">
        <v>565.10359000000005</v>
      </c>
      <c r="Y116" s="202">
        <v>469.23970000000003</v>
      </c>
      <c r="Z116" s="203"/>
      <c r="AA116" s="202">
        <v>375.13835</v>
      </c>
      <c r="AB116" s="202">
        <v>249.36904000000001</v>
      </c>
      <c r="AC116" s="202">
        <v>220.62164999999999</v>
      </c>
      <c r="AD116" s="202">
        <v>-41.027349999999998</v>
      </c>
      <c r="AF116" s="67" t="s">
        <v>8</v>
      </c>
      <c r="AG116" t="s">
        <v>269</v>
      </c>
    </row>
    <row r="117" spans="1:33" x14ac:dyDescent="0.25">
      <c r="A117" s="110" t="s">
        <v>121</v>
      </c>
      <c r="B117" s="227"/>
      <c r="C117" s="227"/>
      <c r="D117" s="227"/>
      <c r="E117" s="228">
        <v>6087.2205475000001</v>
      </c>
      <c r="G117" s="227">
        <v>8498.1664849999997</v>
      </c>
      <c r="H117" s="227">
        <v>8280.4993691641248</v>
      </c>
      <c r="I117" s="227">
        <v>4419.6900002718003</v>
      </c>
      <c r="J117" s="228">
        <v>6103.0672242014743</v>
      </c>
      <c r="K117" s="228"/>
      <c r="L117" s="227">
        <v>4264.5133560074755</v>
      </c>
      <c r="M117" s="227">
        <v>5022.8633376807247</v>
      </c>
      <c r="N117" s="227">
        <v>5738.8498296957669</v>
      </c>
      <c r="O117" s="227">
        <v>4615.7744811616667</v>
      </c>
      <c r="P117" s="227"/>
      <c r="Q117" s="227">
        <v>1194.6906817157267</v>
      </c>
      <c r="R117" s="227">
        <v>5780.7611084273003</v>
      </c>
      <c r="S117" s="227">
        <v>4869.0587465991666</v>
      </c>
      <c r="T117" s="227">
        <v>3191.3520593790668</v>
      </c>
      <c r="U117" s="227"/>
      <c r="V117" s="227">
        <v>-10195.9021688499</v>
      </c>
      <c r="W117" s="227">
        <v>2718.5079342162403</v>
      </c>
      <c r="X117" s="227">
        <v>6048.4840977768326</v>
      </c>
      <c r="Y117" s="227">
        <v>2069.2731465637303</v>
      </c>
      <c r="Z117" s="227"/>
      <c r="AA117" s="227">
        <v>1149.89841207585</v>
      </c>
      <c r="AB117" s="227">
        <v>3010.5855622786398</v>
      </c>
      <c r="AC117" s="227">
        <v>4564.2875551067327</v>
      </c>
      <c r="AD117" s="227">
        <v>2463.8147750833064</v>
      </c>
      <c r="AE117" s="229"/>
      <c r="AF117" s="117" t="s">
        <v>122</v>
      </c>
    </row>
    <row r="118" spans="1:33" x14ac:dyDescent="0.25">
      <c r="A118" s="122"/>
      <c r="B118" s="122"/>
      <c r="C118" s="122"/>
      <c r="D118" s="122"/>
      <c r="E118" s="122"/>
      <c r="G118" s="122"/>
      <c r="H118" s="202"/>
      <c r="I118" s="202"/>
      <c r="J118" s="206"/>
      <c r="K118" s="207"/>
      <c r="L118" s="202"/>
      <c r="M118" s="202"/>
      <c r="N118" s="202"/>
      <c r="O118" s="202"/>
      <c r="P118" s="203"/>
      <c r="Q118" s="202"/>
      <c r="R118" s="202"/>
      <c r="S118" s="202"/>
      <c r="T118" s="202"/>
      <c r="U118" s="203"/>
      <c r="V118" s="202"/>
      <c r="W118" s="202"/>
      <c r="X118" s="202"/>
      <c r="Y118" s="202"/>
      <c r="Z118" s="203"/>
      <c r="AA118" s="202"/>
      <c r="AB118" s="202"/>
      <c r="AC118" s="202"/>
      <c r="AD118" s="202"/>
      <c r="AF118" s="120"/>
    </row>
    <row r="119" spans="1:33" x14ac:dyDescent="0.25">
      <c r="A119" s="122" t="s">
        <v>134</v>
      </c>
      <c r="B119" s="122"/>
      <c r="C119" s="122"/>
      <c r="D119" s="122"/>
      <c r="E119" s="122"/>
      <c r="G119" s="122"/>
      <c r="H119" s="202"/>
      <c r="I119" s="202"/>
      <c r="J119" s="202"/>
      <c r="K119" s="203"/>
      <c r="L119" s="202"/>
      <c r="M119" s="202"/>
      <c r="N119" s="202"/>
      <c r="O119" s="202"/>
      <c r="P119" s="203"/>
      <c r="Q119" s="202"/>
      <c r="R119" s="202"/>
      <c r="S119" s="202"/>
      <c r="T119" s="202"/>
      <c r="U119" s="203"/>
      <c r="V119" s="202"/>
      <c r="W119" s="202"/>
      <c r="X119" s="202"/>
      <c r="Y119" s="202"/>
      <c r="Z119" s="203"/>
      <c r="AA119" s="202"/>
      <c r="AB119" s="202"/>
      <c r="AC119" s="202"/>
      <c r="AD119" s="202"/>
      <c r="AF119" s="120"/>
    </row>
  </sheetData>
  <mergeCells count="25">
    <mergeCell ref="AF42:AF43"/>
    <mergeCell ref="A88:A89"/>
    <mergeCell ref="B88:E88"/>
    <mergeCell ref="G88:J88"/>
    <mergeCell ref="L88:O88"/>
    <mergeCell ref="Q88:T88"/>
    <mergeCell ref="V88:Y88"/>
    <mergeCell ref="AA88:AD88"/>
    <mergeCell ref="AF88:AF89"/>
    <mergeCell ref="AA4:AD4"/>
    <mergeCell ref="AF4:AF5"/>
    <mergeCell ref="A6:E6"/>
    <mergeCell ref="A42:A43"/>
    <mergeCell ref="B42:E42"/>
    <mergeCell ref="G42:J42"/>
    <mergeCell ref="L42:O42"/>
    <mergeCell ref="Q42:T42"/>
    <mergeCell ref="V42:Y42"/>
    <mergeCell ref="AA42:AD42"/>
    <mergeCell ref="A4:A5"/>
    <mergeCell ref="B4:E4"/>
    <mergeCell ref="G4:J4"/>
    <mergeCell ref="L4:O4"/>
    <mergeCell ref="Q4:T4"/>
    <mergeCell ref="V4:Y4"/>
  </mergeCells>
  <pageMargins left="0.6" right="0" top="0.65" bottom="0.5" header="0.3" footer="0.3"/>
  <pageSetup paperSize="9" scale="75"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view="pageBreakPreview" topLeftCell="A85" zoomScale="80" zoomScaleNormal="100" zoomScaleSheetLayoutView="80" workbookViewId="0">
      <selection activeCell="V8" sqref="V8"/>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1"/>
  </cols>
  <sheetData>
    <row r="1" spans="1:11" ht="26.25" x14ac:dyDescent="0.4">
      <c r="A1" s="178" t="s">
        <v>270</v>
      </c>
      <c r="B1" s="178"/>
    </row>
    <row r="2" spans="1:11" ht="9.75" customHeight="1" x14ac:dyDescent="0.25"/>
    <row r="3" spans="1:11" x14ac:dyDescent="0.25">
      <c r="A3" s="230" t="s">
        <v>94</v>
      </c>
      <c r="B3" s="230"/>
    </row>
    <row r="4" spans="1:11" ht="7.5" customHeight="1" x14ac:dyDescent="0.25"/>
    <row r="5" spans="1:11" ht="19.5" customHeight="1" x14ac:dyDescent="0.25">
      <c r="A5" s="231" t="s">
        <v>271</v>
      </c>
      <c r="B5" s="231"/>
      <c r="C5" s="232" t="s">
        <v>272</v>
      </c>
      <c r="D5" s="232"/>
      <c r="E5" s="232"/>
      <c r="F5" s="232"/>
      <c r="G5" s="232"/>
      <c r="H5" s="232"/>
      <c r="I5" s="232"/>
      <c r="J5" s="232"/>
      <c r="K5" s="232"/>
    </row>
    <row r="6" spans="1:11" ht="18.75" customHeight="1" x14ac:dyDescent="0.25">
      <c r="A6" s="231" t="s">
        <v>273</v>
      </c>
      <c r="B6" s="231"/>
      <c r="C6" s="232" t="s">
        <v>274</v>
      </c>
      <c r="D6" s="232"/>
      <c r="E6" s="232"/>
      <c r="F6" s="232"/>
      <c r="G6" s="232"/>
      <c r="H6" s="232"/>
      <c r="I6" s="232"/>
      <c r="J6" s="232"/>
      <c r="K6" s="232"/>
    </row>
    <row r="7" spans="1:11" ht="33" customHeight="1" x14ac:dyDescent="0.25">
      <c r="A7" s="231" t="s">
        <v>275</v>
      </c>
      <c r="B7" s="231"/>
      <c r="C7" s="233" t="s">
        <v>276</v>
      </c>
      <c r="D7" s="233"/>
      <c r="E7" s="233"/>
      <c r="F7" s="233"/>
      <c r="G7" s="233"/>
      <c r="H7" s="233"/>
      <c r="I7" s="233"/>
      <c r="J7" s="233"/>
      <c r="K7" s="233"/>
    </row>
    <row r="8" spans="1:11" ht="33.75" customHeight="1" x14ac:dyDescent="0.25">
      <c r="A8" s="231" t="s">
        <v>277</v>
      </c>
      <c r="B8" s="231"/>
      <c r="C8" s="233" t="s">
        <v>278</v>
      </c>
      <c r="D8" s="233"/>
      <c r="E8" s="233"/>
      <c r="F8" s="233"/>
      <c r="G8" s="233"/>
      <c r="H8" s="233"/>
      <c r="I8" s="233"/>
      <c r="J8" s="233"/>
      <c r="K8" s="233"/>
    </row>
    <row r="9" spans="1:11" ht="48" customHeight="1" x14ac:dyDescent="0.25">
      <c r="A9" s="231" t="s">
        <v>279</v>
      </c>
      <c r="B9" s="231"/>
      <c r="C9" s="233" t="s">
        <v>280</v>
      </c>
      <c r="D9" s="234"/>
      <c r="E9" s="234"/>
      <c r="F9" s="233"/>
      <c r="G9" s="233"/>
      <c r="H9" s="233"/>
      <c r="I9" s="233"/>
      <c r="J9" s="233"/>
      <c r="K9" s="233"/>
    </row>
    <row r="10" spans="1:11" ht="63" customHeight="1" x14ac:dyDescent="0.25">
      <c r="A10" s="231" t="s">
        <v>281</v>
      </c>
      <c r="B10" s="231"/>
      <c r="C10" s="233" t="s">
        <v>282</v>
      </c>
      <c r="D10" s="234"/>
      <c r="E10" s="234"/>
      <c r="F10" s="233"/>
      <c r="G10" s="233"/>
      <c r="H10" s="233"/>
      <c r="I10" s="233"/>
      <c r="J10" s="233"/>
      <c r="K10" s="233"/>
    </row>
    <row r="11" spans="1:11" ht="47.25" customHeight="1" x14ac:dyDescent="0.25">
      <c r="A11" s="231" t="s">
        <v>101</v>
      </c>
      <c r="B11" s="231"/>
      <c r="C11" s="233" t="s">
        <v>283</v>
      </c>
      <c r="D11" s="234"/>
      <c r="E11" s="234"/>
      <c r="F11" s="233"/>
      <c r="G11" s="233"/>
      <c r="H11" s="233"/>
      <c r="I11" s="233"/>
      <c r="J11" s="233"/>
      <c r="K11" s="233"/>
    </row>
    <row r="12" spans="1:11" ht="18.75" customHeight="1" x14ac:dyDescent="0.25">
      <c r="A12" s="231" t="s">
        <v>284</v>
      </c>
      <c r="B12" s="231"/>
      <c r="C12" s="232" t="s">
        <v>285</v>
      </c>
      <c r="D12" s="177"/>
      <c r="E12" s="177"/>
      <c r="F12" s="232"/>
      <c r="G12" s="232"/>
      <c r="H12" s="232"/>
      <c r="I12" s="232"/>
      <c r="J12" s="232"/>
      <c r="K12" s="232"/>
    </row>
    <row r="13" spans="1:11" ht="33" customHeight="1" x14ac:dyDescent="0.25">
      <c r="A13" s="231" t="s">
        <v>286</v>
      </c>
      <c r="B13" s="231"/>
      <c r="C13" s="233" t="s">
        <v>287</v>
      </c>
      <c r="D13" s="234"/>
      <c r="E13" s="234"/>
      <c r="F13" s="233"/>
      <c r="G13" s="233"/>
      <c r="H13" s="233"/>
      <c r="I13" s="233"/>
      <c r="J13" s="233"/>
      <c r="K13" s="233"/>
    </row>
    <row r="14" spans="1:11" ht="48" customHeight="1" x14ac:dyDescent="0.25">
      <c r="A14" s="231" t="s">
        <v>288</v>
      </c>
      <c r="B14" s="231"/>
      <c r="C14" s="233" t="s">
        <v>289</v>
      </c>
      <c r="D14" s="234"/>
      <c r="E14" s="234"/>
      <c r="F14" s="233"/>
      <c r="G14" s="233"/>
      <c r="H14" s="233"/>
      <c r="I14" s="233"/>
      <c r="J14" s="233"/>
      <c r="K14" s="233"/>
    </row>
    <row r="15" spans="1:11" ht="47.25" customHeight="1" x14ac:dyDescent="0.25">
      <c r="A15" s="231" t="s">
        <v>114</v>
      </c>
      <c r="B15" s="231"/>
      <c r="C15" s="233" t="s">
        <v>290</v>
      </c>
      <c r="D15" s="234"/>
      <c r="E15" s="234"/>
      <c r="F15" s="233"/>
      <c r="G15" s="233"/>
      <c r="H15" s="233"/>
      <c r="I15" s="233"/>
      <c r="J15" s="233"/>
      <c r="K15" s="233"/>
    </row>
    <row r="16" spans="1:11" ht="33" customHeight="1" x14ac:dyDescent="0.25">
      <c r="A16" s="231" t="s">
        <v>104</v>
      </c>
      <c r="B16" s="231"/>
      <c r="C16" s="233" t="s">
        <v>291</v>
      </c>
      <c r="D16" s="234"/>
      <c r="E16" s="234"/>
      <c r="F16" s="233"/>
      <c r="G16" s="233"/>
      <c r="H16" s="233"/>
      <c r="I16" s="233"/>
      <c r="J16" s="233"/>
      <c r="K16" s="233"/>
    </row>
    <row r="17" spans="1:56" ht="32.25" customHeight="1" x14ac:dyDescent="0.25">
      <c r="A17" s="231" t="s">
        <v>115</v>
      </c>
      <c r="B17" s="231"/>
      <c r="C17" s="235" t="s">
        <v>292</v>
      </c>
      <c r="D17" s="236"/>
      <c r="E17" s="236"/>
      <c r="F17" s="235"/>
      <c r="G17" s="235"/>
      <c r="H17" s="235"/>
      <c r="I17" s="235"/>
      <c r="J17" s="235"/>
      <c r="K17" s="235"/>
    </row>
    <row r="18" spans="1:56" ht="47.25" customHeight="1" x14ac:dyDescent="0.25">
      <c r="A18" s="231" t="s">
        <v>116</v>
      </c>
      <c r="B18" s="231"/>
      <c r="C18" s="233" t="s">
        <v>293</v>
      </c>
      <c r="D18" s="234"/>
      <c r="E18" s="234"/>
      <c r="F18" s="233"/>
      <c r="G18" s="233"/>
      <c r="H18" s="233"/>
      <c r="I18" s="233"/>
      <c r="J18" s="233"/>
      <c r="K18" s="233"/>
    </row>
    <row r="19" spans="1:56" ht="35.25" customHeight="1" x14ac:dyDescent="0.25">
      <c r="A19" s="231" t="s">
        <v>117</v>
      </c>
      <c r="B19" s="231"/>
      <c r="C19" s="233" t="s">
        <v>294</v>
      </c>
      <c r="D19" s="237"/>
      <c r="E19" s="237"/>
      <c r="F19" s="238"/>
      <c r="G19" s="238"/>
      <c r="H19" s="238"/>
      <c r="I19" s="238"/>
      <c r="J19" s="238"/>
      <c r="K19" s="238"/>
    </row>
    <row r="20" spans="1:56" ht="34.5" customHeight="1" x14ac:dyDescent="0.25">
      <c r="A20" s="231" t="s">
        <v>118</v>
      </c>
      <c r="B20" s="231"/>
      <c r="C20" s="233" t="s">
        <v>295</v>
      </c>
      <c r="D20" s="233"/>
      <c r="E20" s="233"/>
      <c r="F20" s="233"/>
      <c r="G20" s="233"/>
      <c r="H20" s="233"/>
      <c r="I20" s="233"/>
      <c r="J20" s="233"/>
      <c r="K20" s="233"/>
    </row>
    <row r="21" spans="1:56" ht="35.25" customHeight="1" x14ac:dyDescent="0.25">
      <c r="A21" s="231" t="s">
        <v>119</v>
      </c>
      <c r="B21" s="231"/>
      <c r="C21" s="233" t="s">
        <v>296</v>
      </c>
      <c r="D21" s="233"/>
      <c r="E21" s="233"/>
      <c r="F21" s="233"/>
      <c r="G21" s="233"/>
      <c r="H21" s="233"/>
      <c r="I21" s="233"/>
      <c r="J21" s="233"/>
      <c r="K21" s="233"/>
    </row>
    <row r="22" spans="1:56" x14ac:dyDescent="0.25">
      <c r="A22" s="230" t="s">
        <v>297</v>
      </c>
      <c r="B22" s="230"/>
    </row>
    <row r="23" spans="1:56" ht="9" customHeight="1" x14ac:dyDescent="0.25">
      <c r="D23" s="177"/>
      <c r="E23" s="177"/>
    </row>
    <row r="24" spans="1:56" ht="21" customHeight="1" x14ac:dyDescent="0.25">
      <c r="A24" s="239" t="s">
        <v>137</v>
      </c>
      <c r="B24" s="239"/>
      <c r="C24" s="232" t="s">
        <v>298</v>
      </c>
      <c r="D24" s="177"/>
      <c r="E24" s="177"/>
      <c r="F24" s="232"/>
      <c r="G24" s="232"/>
      <c r="H24" s="232"/>
      <c r="I24" s="232"/>
      <c r="J24" s="232"/>
      <c r="K24" s="232"/>
    </row>
    <row r="25" spans="1:56" ht="23.25" customHeight="1" x14ac:dyDescent="0.25">
      <c r="A25" s="239" t="s">
        <v>138</v>
      </c>
      <c r="B25" s="239"/>
      <c r="C25" s="232" t="s">
        <v>299</v>
      </c>
      <c r="D25" s="177"/>
      <c r="E25" s="177"/>
      <c r="F25" s="232"/>
      <c r="G25" s="232"/>
      <c r="H25" s="232"/>
      <c r="I25" s="232"/>
      <c r="J25" s="232"/>
      <c r="K25" s="232"/>
    </row>
    <row r="26" spans="1:56" ht="21" customHeight="1" x14ac:dyDescent="0.25">
      <c r="A26" s="231" t="s">
        <v>143</v>
      </c>
      <c r="B26" s="231"/>
      <c r="C26" s="232" t="s">
        <v>300</v>
      </c>
      <c r="D26" s="177"/>
      <c r="E26" s="177"/>
      <c r="F26" s="232"/>
      <c r="G26" s="232"/>
      <c r="H26" s="232"/>
      <c r="I26" s="232"/>
      <c r="J26" s="232"/>
      <c r="K26" s="232"/>
    </row>
    <row r="27" spans="1:56" ht="39" customHeight="1" x14ac:dyDescent="0.25">
      <c r="A27" s="240" t="s">
        <v>301</v>
      </c>
      <c r="B27" s="240"/>
      <c r="C27" s="233" t="s">
        <v>302</v>
      </c>
      <c r="D27" s="234"/>
      <c r="E27" s="234"/>
      <c r="F27" s="233"/>
      <c r="G27" s="233"/>
      <c r="H27" s="233"/>
      <c r="I27" s="233"/>
      <c r="J27" s="233"/>
      <c r="K27" s="233"/>
    </row>
    <row r="28" spans="1:56" ht="38.25" customHeight="1" x14ac:dyDescent="0.25">
      <c r="A28" s="231" t="s">
        <v>303</v>
      </c>
      <c r="B28" s="231"/>
      <c r="C28" s="233" t="s">
        <v>304</v>
      </c>
      <c r="D28" s="234"/>
      <c r="E28" s="234"/>
      <c r="F28" s="233"/>
      <c r="G28" s="233"/>
      <c r="H28" s="233"/>
      <c r="I28" s="233"/>
      <c r="J28" s="233"/>
      <c r="K28" s="233"/>
    </row>
    <row r="29" spans="1:56" ht="38.25" customHeight="1" x14ac:dyDescent="0.25">
      <c r="A29" s="231" t="s">
        <v>305</v>
      </c>
      <c r="B29" s="231"/>
      <c r="C29" s="233" t="s">
        <v>306</v>
      </c>
      <c r="D29" s="234"/>
      <c r="E29" s="234"/>
      <c r="F29" s="233"/>
      <c r="G29" s="233"/>
      <c r="H29" s="233"/>
      <c r="I29" s="233"/>
      <c r="J29" s="233"/>
      <c r="K29" s="233"/>
    </row>
    <row r="30" spans="1:56" ht="37.5" customHeight="1" x14ac:dyDescent="0.25">
      <c r="A30" s="231" t="s">
        <v>307</v>
      </c>
      <c r="B30" s="231"/>
      <c r="C30" s="241" t="s">
        <v>308</v>
      </c>
      <c r="D30" s="241"/>
      <c r="E30" s="241"/>
      <c r="F30" s="241"/>
      <c r="G30" s="241"/>
      <c r="H30" s="241"/>
      <c r="I30" s="241"/>
      <c r="J30" s="241"/>
      <c r="K30" s="241"/>
      <c r="L30" s="242" t="s">
        <v>309</v>
      </c>
      <c r="M30" s="242"/>
      <c r="N30" s="242"/>
      <c r="O30" s="242"/>
      <c r="P30" s="242"/>
      <c r="Q30" s="242"/>
      <c r="R30" s="242"/>
      <c r="S30" s="242"/>
      <c r="T30" s="242"/>
      <c r="U30" s="242"/>
      <c r="V30" s="242"/>
      <c r="W30" s="242"/>
      <c r="X30" s="242"/>
      <c r="Y30" s="242"/>
      <c r="Z30" s="242"/>
      <c r="AA30" s="242"/>
      <c r="AB30" s="242"/>
      <c r="AC30" s="242"/>
      <c r="AD30" s="242"/>
      <c r="AE30" s="242"/>
      <c r="AF30" s="242"/>
      <c r="AG30" s="242"/>
      <c r="AH30" s="242"/>
      <c r="AI30" s="242"/>
      <c r="AJ30" s="242"/>
      <c r="AK30" s="242"/>
      <c r="AL30" s="242"/>
      <c r="AM30" s="242"/>
      <c r="AN30" s="242"/>
      <c r="AO30" s="242"/>
      <c r="AP30" s="242"/>
      <c r="AQ30" s="242"/>
      <c r="AR30" s="242"/>
      <c r="AS30" s="242"/>
      <c r="AT30" s="242"/>
      <c r="AU30" s="242"/>
      <c r="AV30" s="242"/>
      <c r="AW30" s="242"/>
      <c r="AX30" s="242"/>
      <c r="AY30" s="242"/>
      <c r="AZ30" s="242"/>
      <c r="BA30" s="242"/>
      <c r="BB30" s="242"/>
      <c r="BC30" s="242"/>
      <c r="BD30" s="243"/>
    </row>
    <row r="31" spans="1:56" ht="36" customHeight="1" x14ac:dyDescent="0.25">
      <c r="A31" s="240" t="s">
        <v>310</v>
      </c>
      <c r="B31" s="240"/>
      <c r="C31" s="241" t="s">
        <v>311</v>
      </c>
      <c r="D31" s="241"/>
      <c r="E31" s="241"/>
      <c r="F31" s="241"/>
      <c r="G31" s="241"/>
      <c r="H31" s="241"/>
      <c r="I31" s="241"/>
      <c r="J31" s="241"/>
      <c r="K31" s="241"/>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c r="AP31" s="242"/>
      <c r="AQ31" s="242"/>
      <c r="AR31" s="242"/>
      <c r="AS31" s="242"/>
      <c r="AT31" s="242"/>
      <c r="AU31" s="242"/>
      <c r="AV31" s="242"/>
      <c r="AW31" s="242"/>
      <c r="AX31" s="242"/>
      <c r="AY31" s="242"/>
      <c r="AZ31" s="242"/>
      <c r="BA31" s="242"/>
      <c r="BB31" s="242"/>
      <c r="BC31" s="242"/>
      <c r="BD31" s="244"/>
    </row>
    <row r="32" spans="1:56" ht="37.5" customHeight="1" x14ac:dyDescent="0.25">
      <c r="A32" s="231" t="s">
        <v>312</v>
      </c>
      <c r="B32" s="231"/>
      <c r="C32" s="245" t="s">
        <v>313</v>
      </c>
      <c r="D32" s="245"/>
      <c r="E32" s="245"/>
      <c r="F32" s="245"/>
      <c r="G32" s="245"/>
      <c r="H32" s="245"/>
      <c r="I32" s="245"/>
      <c r="J32" s="245"/>
      <c r="K32" s="245"/>
      <c r="L32" s="246"/>
      <c r="M32" s="246"/>
      <c r="N32" s="246"/>
      <c r="O32" s="246"/>
      <c r="P32" s="246"/>
      <c r="Q32" s="246"/>
      <c r="R32" s="246"/>
      <c r="S32" s="246"/>
      <c r="T32" s="246"/>
      <c r="U32" s="246"/>
      <c r="V32" s="246"/>
      <c r="W32" s="246"/>
      <c r="X32" s="246"/>
      <c r="Y32" s="246"/>
      <c r="Z32" s="246"/>
      <c r="AA32" s="247"/>
      <c r="AB32" s="247"/>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4"/>
    </row>
    <row r="33" spans="1:56" ht="37.5" customHeight="1" x14ac:dyDescent="0.25">
      <c r="A33" s="231" t="s">
        <v>314</v>
      </c>
      <c r="B33" s="231"/>
      <c r="C33" s="245" t="s">
        <v>315</v>
      </c>
      <c r="D33" s="234"/>
      <c r="E33" s="234"/>
      <c r="F33" s="245"/>
      <c r="G33" s="245"/>
      <c r="H33" s="245"/>
      <c r="I33" s="245"/>
      <c r="J33" s="245"/>
      <c r="K33" s="245"/>
      <c r="L33" s="246"/>
      <c r="M33" s="246"/>
      <c r="N33" s="246"/>
      <c r="O33" s="246"/>
      <c r="P33" s="246"/>
      <c r="Q33" s="246"/>
      <c r="R33" s="246"/>
      <c r="S33" s="246"/>
      <c r="T33" s="246"/>
      <c r="U33" s="246"/>
      <c r="V33" s="246"/>
      <c r="W33" s="246"/>
      <c r="X33" s="246"/>
      <c r="Y33" s="246"/>
      <c r="Z33" s="246"/>
      <c r="AA33" s="247"/>
      <c r="AB33" s="247"/>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4"/>
    </row>
    <row r="34" spans="1:56" ht="36.75" customHeight="1" x14ac:dyDescent="0.25">
      <c r="A34" s="231" t="s">
        <v>316</v>
      </c>
      <c r="B34" s="231"/>
      <c r="C34" s="245" t="s">
        <v>317</v>
      </c>
      <c r="D34" s="234"/>
      <c r="E34" s="234"/>
      <c r="F34" s="245"/>
      <c r="G34" s="245"/>
      <c r="H34" s="245"/>
      <c r="I34" s="245"/>
      <c r="J34" s="245"/>
      <c r="K34" s="245"/>
      <c r="L34" s="248"/>
      <c r="M34" s="248"/>
      <c r="N34" s="248"/>
      <c r="O34" s="248"/>
      <c r="P34" s="248"/>
      <c r="Q34" s="248"/>
      <c r="R34" s="248"/>
      <c r="S34" s="248"/>
      <c r="T34" s="248"/>
      <c r="U34" s="248"/>
      <c r="V34" s="248"/>
      <c r="W34" s="248"/>
      <c r="X34" s="248"/>
      <c r="Y34" s="248"/>
      <c r="Z34" s="248"/>
      <c r="AA34" s="249"/>
      <c r="AB34" s="249"/>
      <c r="AC34" s="248"/>
      <c r="AD34" s="248"/>
      <c r="AE34" s="248"/>
      <c r="AF34" s="248"/>
      <c r="AG34" s="248"/>
      <c r="AH34" s="248"/>
      <c r="AI34" s="248"/>
      <c r="AJ34" s="248"/>
      <c r="AK34" s="248"/>
      <c r="AL34" s="248"/>
      <c r="AM34" s="248"/>
      <c r="AN34" s="248"/>
      <c r="AO34" s="248"/>
      <c r="AP34" s="248"/>
      <c r="AQ34" s="248"/>
      <c r="AR34" s="248"/>
      <c r="AS34" s="248"/>
      <c r="AT34" s="248"/>
      <c r="AU34" s="248"/>
      <c r="AV34" s="248"/>
      <c r="AW34" s="248"/>
      <c r="AX34" s="248"/>
      <c r="AY34" s="248"/>
      <c r="AZ34" s="248"/>
      <c r="BA34" s="248"/>
      <c r="BB34" s="248"/>
      <c r="BC34" s="248"/>
      <c r="BD34" s="244"/>
    </row>
    <row r="35" spans="1:56" ht="37.5" customHeight="1" x14ac:dyDescent="0.25">
      <c r="A35" s="231" t="s">
        <v>152</v>
      </c>
      <c r="B35" s="231"/>
      <c r="C35" s="245" t="s">
        <v>318</v>
      </c>
      <c r="D35" s="234"/>
      <c r="E35" s="234"/>
      <c r="F35" s="245"/>
      <c r="G35" s="245"/>
      <c r="H35" s="245"/>
      <c r="I35" s="245"/>
      <c r="J35" s="245"/>
      <c r="K35" s="245"/>
      <c r="L35" s="246"/>
      <c r="M35" s="246"/>
      <c r="N35" s="246"/>
      <c r="O35" s="246"/>
      <c r="P35" s="246"/>
      <c r="Q35" s="246"/>
      <c r="R35" s="246"/>
      <c r="S35" s="246"/>
      <c r="T35" s="246"/>
      <c r="U35" s="246"/>
      <c r="V35" s="246"/>
      <c r="W35" s="246"/>
      <c r="X35" s="246"/>
      <c r="Y35" s="246"/>
      <c r="Z35" s="246"/>
      <c r="AA35" s="247"/>
      <c r="AB35" s="247"/>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4"/>
    </row>
    <row r="36" spans="1:56" ht="51" customHeight="1" x14ac:dyDescent="0.25">
      <c r="A36" s="240" t="s">
        <v>319</v>
      </c>
      <c r="B36" s="240"/>
      <c r="C36" s="245" t="s">
        <v>320</v>
      </c>
      <c r="D36" s="234"/>
      <c r="E36" s="234"/>
      <c r="F36" s="245"/>
      <c r="G36" s="245"/>
      <c r="H36" s="245"/>
      <c r="I36" s="245"/>
      <c r="J36" s="245"/>
      <c r="K36" s="245"/>
      <c r="L36" s="246"/>
      <c r="M36" s="246"/>
      <c r="N36" s="246"/>
      <c r="O36" s="246"/>
      <c r="P36" s="246"/>
      <c r="Q36" s="246"/>
      <c r="R36" s="246"/>
      <c r="S36" s="246"/>
      <c r="T36" s="246"/>
      <c r="U36" s="246"/>
      <c r="V36" s="246"/>
      <c r="W36" s="246"/>
      <c r="X36" s="246"/>
      <c r="Y36" s="246"/>
      <c r="Z36" s="246"/>
      <c r="AA36" s="247"/>
      <c r="AB36" s="247"/>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4"/>
    </row>
    <row r="37" spans="1:56" ht="45" customHeight="1" x14ac:dyDescent="0.25">
      <c r="A37" s="231" t="s">
        <v>321</v>
      </c>
      <c r="B37" s="231"/>
      <c r="C37" s="245" t="s">
        <v>322</v>
      </c>
      <c r="D37" s="234"/>
      <c r="E37" s="234"/>
      <c r="F37" s="245"/>
      <c r="G37" s="245"/>
      <c r="H37" s="245"/>
      <c r="I37" s="245"/>
      <c r="J37" s="245"/>
      <c r="K37" s="245"/>
      <c r="L37" s="246"/>
      <c r="M37" s="246"/>
      <c r="N37" s="246"/>
      <c r="O37" s="246"/>
      <c r="P37" s="246"/>
      <c r="Q37" s="246"/>
      <c r="R37" s="246"/>
      <c r="S37" s="246"/>
      <c r="T37" s="246"/>
      <c r="U37" s="246"/>
      <c r="V37" s="246"/>
      <c r="W37" s="246"/>
      <c r="X37" s="246"/>
      <c r="Y37" s="246"/>
      <c r="Z37" s="246"/>
      <c r="AA37" s="247"/>
      <c r="AB37" s="247"/>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4"/>
    </row>
    <row r="38" spans="1:56" ht="36.75" customHeight="1" x14ac:dyDescent="0.25">
      <c r="A38" s="231" t="s">
        <v>323</v>
      </c>
      <c r="B38" s="231"/>
      <c r="C38" s="245" t="s">
        <v>324</v>
      </c>
      <c r="D38" s="234"/>
      <c r="E38" s="234"/>
      <c r="F38" s="245"/>
      <c r="G38" s="245"/>
      <c r="H38" s="245"/>
      <c r="I38" s="245"/>
      <c r="J38" s="245"/>
      <c r="K38" s="245"/>
      <c r="L38" s="248"/>
      <c r="M38" s="248"/>
      <c r="N38" s="248"/>
      <c r="O38" s="248"/>
      <c r="P38" s="248"/>
      <c r="Q38" s="248"/>
      <c r="R38" s="248"/>
      <c r="S38" s="248"/>
      <c r="T38" s="248"/>
      <c r="U38" s="248"/>
      <c r="V38" s="248"/>
      <c r="W38" s="248"/>
      <c r="X38" s="248"/>
      <c r="Y38" s="248"/>
      <c r="Z38" s="248"/>
      <c r="AA38" s="249"/>
      <c r="AB38" s="249"/>
      <c r="AC38" s="248"/>
      <c r="AD38" s="248"/>
      <c r="AE38" s="248"/>
      <c r="AF38" s="248"/>
      <c r="AG38" s="248"/>
      <c r="AH38" s="248"/>
      <c r="AI38" s="248"/>
      <c r="AJ38" s="248"/>
      <c r="AK38" s="248"/>
      <c r="AL38" s="248"/>
      <c r="AM38" s="248"/>
      <c r="AN38" s="248"/>
      <c r="AO38" s="248"/>
      <c r="AP38" s="248"/>
      <c r="AQ38" s="248"/>
      <c r="AR38" s="248"/>
      <c r="AS38" s="248"/>
      <c r="AT38" s="248"/>
      <c r="AU38" s="248"/>
      <c r="AV38" s="248"/>
      <c r="AW38" s="248"/>
      <c r="AX38" s="248"/>
      <c r="AY38" s="248"/>
      <c r="AZ38" s="248"/>
      <c r="BA38" s="248"/>
      <c r="BB38" s="248"/>
      <c r="BC38" s="248"/>
      <c r="BD38" s="244"/>
    </row>
    <row r="39" spans="1:56" ht="36.75" customHeight="1" x14ac:dyDescent="0.25">
      <c r="A39" s="240" t="s">
        <v>325</v>
      </c>
      <c r="B39" s="240"/>
      <c r="C39" s="245" t="s">
        <v>326</v>
      </c>
      <c r="D39" s="234"/>
      <c r="E39" s="234"/>
      <c r="F39" s="245"/>
      <c r="G39" s="245"/>
      <c r="H39" s="245"/>
      <c r="I39" s="245"/>
      <c r="J39" s="245"/>
      <c r="K39" s="245"/>
      <c r="L39" s="250"/>
      <c r="M39" s="250"/>
      <c r="N39" s="250"/>
      <c r="O39" s="250"/>
      <c r="P39" s="250"/>
      <c r="Q39" s="250"/>
      <c r="R39" s="250"/>
      <c r="S39" s="250"/>
      <c r="T39" s="250"/>
      <c r="U39" s="250"/>
      <c r="V39" s="250"/>
      <c r="W39" s="250"/>
      <c r="X39" s="250"/>
      <c r="Y39" s="250"/>
      <c r="Z39" s="250"/>
      <c r="AA39" s="251"/>
      <c r="AB39" s="251"/>
      <c r="AC39" s="250"/>
      <c r="AD39" s="250"/>
      <c r="AE39" s="250"/>
      <c r="AF39" s="250"/>
      <c r="AG39" s="250"/>
      <c r="AH39" s="250"/>
      <c r="AI39" s="250"/>
      <c r="AJ39" s="250"/>
      <c r="AK39" s="250"/>
      <c r="AL39" s="250"/>
      <c r="AM39" s="250"/>
      <c r="AN39" s="250"/>
      <c r="AO39" s="250"/>
      <c r="AP39" s="250"/>
      <c r="AQ39" s="250"/>
      <c r="AR39" s="250"/>
      <c r="AS39" s="250"/>
      <c r="AT39" s="250"/>
      <c r="AU39" s="250"/>
      <c r="AV39" s="250"/>
      <c r="AW39" s="250"/>
      <c r="AX39" s="250"/>
      <c r="AY39" s="250"/>
      <c r="AZ39" s="250"/>
      <c r="BA39" s="250"/>
      <c r="BB39" s="250"/>
      <c r="BC39" s="250"/>
      <c r="BD39" s="244"/>
    </row>
    <row r="40" spans="1:56" ht="20.25" customHeight="1" x14ac:dyDescent="0.25">
      <c r="A40" s="240" t="s">
        <v>157</v>
      </c>
      <c r="B40" s="240"/>
      <c r="C40" s="252" t="s">
        <v>327</v>
      </c>
      <c r="D40" s="236"/>
      <c r="E40" s="236"/>
      <c r="F40" s="252"/>
      <c r="G40" s="252"/>
      <c r="H40" s="252"/>
      <c r="I40" s="252"/>
      <c r="J40" s="252"/>
      <c r="K40" s="252"/>
      <c r="L40" s="253"/>
      <c r="M40" s="253"/>
      <c r="N40" s="253"/>
      <c r="O40" s="253"/>
      <c r="P40" s="253"/>
      <c r="Q40" s="253"/>
      <c r="R40" s="253"/>
      <c r="S40" s="253"/>
      <c r="T40" s="253"/>
      <c r="U40" s="253"/>
      <c r="V40" s="253"/>
      <c r="W40" s="253"/>
      <c r="X40" s="253"/>
      <c r="Y40" s="253"/>
      <c r="Z40" s="253"/>
      <c r="AA40" s="254"/>
      <c r="AB40" s="254"/>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44"/>
    </row>
    <row r="41" spans="1:56" ht="21" customHeight="1" x14ac:dyDescent="0.25">
      <c r="A41" s="231" t="s">
        <v>158</v>
      </c>
      <c r="B41" s="231"/>
      <c r="C41" s="255" t="s">
        <v>328</v>
      </c>
      <c r="D41" s="255"/>
      <c r="E41" s="255"/>
      <c r="F41" s="255"/>
      <c r="G41" s="255"/>
      <c r="H41" s="255"/>
      <c r="I41" s="255"/>
      <c r="J41" s="255"/>
      <c r="K41" s="255"/>
      <c r="L41" s="248"/>
      <c r="M41" s="248"/>
      <c r="N41" s="248"/>
      <c r="O41" s="248"/>
      <c r="P41" s="248"/>
      <c r="Q41" s="248"/>
      <c r="R41" s="248"/>
      <c r="S41" s="248"/>
      <c r="T41" s="248"/>
      <c r="U41" s="248"/>
      <c r="V41" s="248"/>
      <c r="W41" s="248"/>
      <c r="X41" s="248"/>
      <c r="Y41" s="248"/>
      <c r="Z41" s="248"/>
      <c r="AA41" s="249"/>
      <c r="AB41" s="249"/>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4"/>
    </row>
    <row r="42" spans="1:56" ht="19.5" customHeight="1" x14ac:dyDescent="0.25">
      <c r="A42" s="231" t="s">
        <v>159</v>
      </c>
      <c r="B42" s="231"/>
      <c r="C42" s="255" t="s">
        <v>329</v>
      </c>
      <c r="D42" s="255"/>
      <c r="E42" s="255"/>
      <c r="F42" s="255"/>
      <c r="G42" s="255"/>
      <c r="H42" s="255"/>
      <c r="I42" s="255"/>
      <c r="J42" s="255"/>
      <c r="K42" s="255"/>
      <c r="L42" s="246"/>
      <c r="M42" s="246"/>
      <c r="N42" s="246"/>
      <c r="O42" s="246"/>
      <c r="P42" s="246"/>
      <c r="Q42" s="246"/>
      <c r="R42" s="246"/>
      <c r="S42" s="246"/>
      <c r="T42" s="246"/>
      <c r="U42" s="246"/>
      <c r="V42" s="246"/>
      <c r="W42" s="246"/>
      <c r="X42" s="246"/>
      <c r="Y42" s="246"/>
      <c r="Z42" s="246"/>
      <c r="AA42" s="247"/>
      <c r="AB42" s="247"/>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4"/>
    </row>
    <row r="43" spans="1:56" ht="21" customHeight="1" x14ac:dyDescent="0.25">
      <c r="A43" s="231" t="s">
        <v>330</v>
      </c>
      <c r="B43" s="231"/>
      <c r="C43" s="255" t="s">
        <v>331</v>
      </c>
      <c r="D43" s="255"/>
      <c r="E43" s="255"/>
      <c r="F43" s="255"/>
      <c r="G43" s="255"/>
      <c r="H43" s="255"/>
      <c r="I43" s="255"/>
      <c r="J43" s="255"/>
      <c r="K43" s="255"/>
      <c r="L43" s="246"/>
      <c r="M43" s="246"/>
      <c r="N43" s="246"/>
      <c r="O43" s="246"/>
      <c r="P43" s="246"/>
      <c r="Q43" s="246"/>
      <c r="R43" s="246"/>
      <c r="S43" s="246"/>
      <c r="T43" s="246"/>
      <c r="U43" s="246"/>
      <c r="V43" s="246"/>
      <c r="W43" s="246"/>
      <c r="X43" s="246"/>
      <c r="Y43" s="246"/>
      <c r="Z43" s="246"/>
      <c r="AA43" s="247"/>
      <c r="AB43" s="247"/>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4"/>
    </row>
    <row r="44" spans="1:56" ht="18.75" customHeight="1" x14ac:dyDescent="0.25">
      <c r="A44" s="231" t="s">
        <v>161</v>
      </c>
      <c r="B44" s="231"/>
      <c r="C44" s="255" t="s">
        <v>332</v>
      </c>
      <c r="D44" s="255"/>
      <c r="E44" s="255"/>
      <c r="F44" s="255"/>
      <c r="G44" s="255"/>
      <c r="H44" s="255"/>
      <c r="I44" s="255"/>
      <c r="J44" s="255"/>
      <c r="K44" s="255"/>
      <c r="L44" s="246"/>
      <c r="M44" s="246"/>
      <c r="N44" s="246"/>
      <c r="O44" s="246"/>
      <c r="P44" s="246"/>
      <c r="Q44" s="246"/>
      <c r="R44" s="246"/>
      <c r="S44" s="246"/>
      <c r="T44" s="246"/>
      <c r="U44" s="246"/>
      <c r="V44" s="246"/>
      <c r="W44" s="246"/>
      <c r="X44" s="246"/>
      <c r="Y44" s="246"/>
      <c r="Z44" s="246"/>
      <c r="AA44" s="247"/>
      <c r="AB44" s="247"/>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4"/>
    </row>
    <row r="45" spans="1:56" ht="18.75" customHeight="1" x14ac:dyDescent="0.25">
      <c r="A45" s="256"/>
      <c r="B45" s="256"/>
      <c r="C45" s="257"/>
      <c r="D45" s="257"/>
      <c r="E45" s="257"/>
      <c r="F45" s="257"/>
      <c r="G45" s="257"/>
      <c r="H45" s="257"/>
      <c r="I45" s="257"/>
      <c r="J45" s="257"/>
      <c r="K45" s="257"/>
      <c r="L45" s="246"/>
      <c r="M45" s="246"/>
      <c r="N45" s="246"/>
      <c r="O45" s="246"/>
      <c r="P45" s="246"/>
      <c r="Q45" s="246"/>
      <c r="R45" s="246"/>
      <c r="S45" s="246"/>
      <c r="T45" s="246"/>
      <c r="U45" s="246"/>
      <c r="V45" s="246"/>
      <c r="W45" s="246"/>
      <c r="X45" s="246"/>
      <c r="Y45" s="246"/>
      <c r="Z45" s="246"/>
      <c r="AA45" s="247"/>
      <c r="AB45" s="247"/>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4"/>
    </row>
    <row r="46" spans="1:56" ht="15.75" x14ac:dyDescent="0.25">
      <c r="A46" s="258" t="s">
        <v>333</v>
      </c>
      <c r="B46" s="259"/>
      <c r="C46" s="242"/>
      <c r="D46" s="242"/>
      <c r="E46" s="242"/>
      <c r="F46" s="242"/>
      <c r="G46" s="242"/>
      <c r="H46" s="242"/>
      <c r="I46" s="242"/>
      <c r="J46" s="242"/>
      <c r="K46" s="242"/>
      <c r="L46" s="242"/>
      <c r="M46" s="242"/>
      <c r="N46" s="242"/>
      <c r="O46" s="242"/>
      <c r="P46" s="242"/>
      <c r="Q46" s="242"/>
      <c r="R46" s="242"/>
      <c r="S46" s="242"/>
      <c r="T46" s="242"/>
      <c r="U46" s="242"/>
      <c r="V46" s="242"/>
      <c r="W46" s="242"/>
      <c r="X46" s="242"/>
      <c r="Y46" s="242"/>
      <c r="Z46" s="242"/>
      <c r="AA46" s="242"/>
      <c r="AB46" s="242"/>
      <c r="AC46" s="242"/>
      <c r="AD46" s="242"/>
      <c r="AE46" s="242"/>
      <c r="AF46" s="242"/>
      <c r="AG46" s="242"/>
      <c r="AH46" s="242"/>
      <c r="AI46" s="242"/>
      <c r="AJ46" s="242"/>
      <c r="AK46" s="242"/>
      <c r="AL46" s="242"/>
      <c r="AM46" s="242"/>
      <c r="AN46" s="242"/>
      <c r="AO46" s="242"/>
      <c r="AP46" s="242"/>
      <c r="AQ46" s="242"/>
      <c r="AR46" s="242"/>
      <c r="AS46" s="242"/>
      <c r="AT46" s="242"/>
      <c r="AU46" s="242"/>
      <c r="AV46" s="242"/>
      <c r="AW46" s="242"/>
      <c r="AX46" s="242"/>
      <c r="AY46" s="242"/>
      <c r="AZ46" s="242"/>
      <c r="BA46" s="242"/>
      <c r="BB46" s="242"/>
      <c r="BC46" s="242"/>
      <c r="BD46" s="244"/>
    </row>
    <row r="47" spans="1:56" x14ac:dyDescent="0.25">
      <c r="A47" s="260"/>
      <c r="B47" s="260"/>
      <c r="C47" s="260"/>
      <c r="D47" s="261"/>
      <c r="E47" s="261"/>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2"/>
      <c r="AW47" s="262"/>
      <c r="AX47" s="262"/>
      <c r="AY47" s="263"/>
      <c r="AZ47" s="263"/>
      <c r="BA47" s="263"/>
      <c r="BB47" s="263"/>
      <c r="BC47" s="263"/>
      <c r="BD47" s="264"/>
    </row>
    <row r="48" spans="1:56" s="31" customFormat="1" ht="18.75" x14ac:dyDescent="0.25">
      <c r="A48" s="265" t="s">
        <v>4</v>
      </c>
      <c r="B48" s="266" t="s">
        <v>334</v>
      </c>
      <c r="C48" s="37"/>
      <c r="D48" s="267"/>
      <c r="E48" s="268"/>
      <c r="F48" s="265" t="s">
        <v>4</v>
      </c>
      <c r="G48" s="266" t="s">
        <v>334</v>
      </c>
      <c r="H48" s="269"/>
      <c r="I48" s="269"/>
      <c r="J48" s="269"/>
      <c r="K48" s="269"/>
      <c r="L48" s="270"/>
      <c r="M48" s="270"/>
      <c r="N48" s="270"/>
      <c r="O48" s="270"/>
      <c r="P48" s="270"/>
      <c r="Q48" s="270"/>
      <c r="R48" s="270"/>
      <c r="S48" s="270"/>
      <c r="T48" s="270"/>
      <c r="U48" s="270"/>
      <c r="V48" s="271"/>
      <c r="W48" s="271"/>
      <c r="X48" s="271"/>
      <c r="Y48" s="271"/>
      <c r="AA48" s="270"/>
      <c r="AC48" s="270"/>
      <c r="AD48" s="270"/>
      <c r="AE48" s="270"/>
      <c r="AF48" s="270"/>
      <c r="AG48" s="270"/>
      <c r="AH48" s="270"/>
      <c r="AI48" s="270"/>
      <c r="AQ48" s="270"/>
      <c r="AR48" s="270"/>
      <c r="AS48" s="270"/>
      <c r="AT48" s="270"/>
      <c r="AU48" s="270"/>
      <c r="AV48" s="270"/>
      <c r="AW48" s="270"/>
      <c r="AX48" s="270"/>
      <c r="AY48" s="270"/>
      <c r="AZ48" s="272"/>
      <c r="BA48" s="273"/>
      <c r="BB48" s="273"/>
      <c r="BC48" s="273"/>
      <c r="BD48" s="274"/>
    </row>
    <row r="49" spans="1:56" ht="15.75" x14ac:dyDescent="0.25">
      <c r="A49" s="275" t="s">
        <v>36</v>
      </c>
      <c r="B49" s="276" t="s">
        <v>335</v>
      </c>
      <c r="D49" s="177"/>
      <c r="E49" s="277"/>
      <c r="F49" s="278" t="s">
        <v>54</v>
      </c>
      <c r="G49" s="279" t="str">
        <f>VLOOKUP(F49,'[2]Mkt cap'!$G$4:$H$82,2,FALSE)</f>
        <v>INSUMOS AGROQUIMICOS S.A.</v>
      </c>
      <c r="H49" s="280"/>
      <c r="I49" s="280"/>
      <c r="J49" s="280"/>
      <c r="K49" s="280"/>
      <c r="L49" s="280"/>
      <c r="M49" s="280"/>
      <c r="N49" s="280"/>
      <c r="O49" s="280"/>
      <c r="P49" s="280"/>
      <c r="Q49" s="280"/>
      <c r="R49" s="280"/>
      <c r="S49" s="280"/>
      <c r="T49" s="280"/>
      <c r="U49" s="280"/>
      <c r="V49" s="280"/>
      <c r="W49" s="280"/>
      <c r="X49" s="280"/>
      <c r="Y49" s="280"/>
      <c r="AA49" s="281"/>
      <c r="AC49" s="282"/>
      <c r="AD49" s="282"/>
      <c r="AE49" s="282"/>
      <c r="AF49" s="282"/>
      <c r="AG49" s="280"/>
      <c r="AH49" s="280"/>
      <c r="AI49" s="280"/>
      <c r="AQ49" s="280"/>
      <c r="AR49" s="280"/>
      <c r="AS49" s="280"/>
      <c r="AT49" s="280"/>
      <c r="AU49" s="280"/>
      <c r="AV49" s="283"/>
      <c r="AW49" s="283"/>
      <c r="AX49" s="283"/>
      <c r="AY49" s="284"/>
      <c r="AZ49" s="284"/>
      <c r="BA49" s="263"/>
      <c r="BB49" s="263"/>
      <c r="BC49" s="263"/>
      <c r="BD49" s="264"/>
    </row>
    <row r="50" spans="1:56" ht="15.75" x14ac:dyDescent="0.25">
      <c r="A50" s="275" t="s">
        <v>45</v>
      </c>
      <c r="B50" s="285" t="s">
        <v>336</v>
      </c>
      <c r="D50" s="177"/>
      <c r="E50" s="277"/>
      <c r="F50" s="278" t="s">
        <v>66</v>
      </c>
      <c r="G50" s="276" t="str">
        <f>VLOOKUP(F50,'[2]Mkt cap'!$G$4:$H$82,2,FALSE)</f>
        <v>UNIPAR INDUPA SOCIEDAD ANONIMA INDUSTRIAL Y COMERCIAL</v>
      </c>
      <c r="H50" s="280"/>
      <c r="I50" s="280"/>
      <c r="J50" s="280"/>
      <c r="K50" s="280"/>
      <c r="L50" s="280"/>
      <c r="M50" s="280"/>
      <c r="N50" s="280"/>
      <c r="O50" s="280"/>
      <c r="P50" s="280"/>
      <c r="Q50" s="280"/>
      <c r="R50" s="280"/>
      <c r="S50" s="280"/>
      <c r="T50" s="280"/>
      <c r="U50" s="280"/>
      <c r="V50" s="280"/>
      <c r="W50" s="280"/>
      <c r="X50" s="280"/>
      <c r="Y50" s="280"/>
      <c r="AA50" s="281"/>
      <c r="AC50" s="282"/>
      <c r="AD50" s="280"/>
      <c r="AE50" s="280"/>
      <c r="AF50" s="280"/>
      <c r="AG50" s="280"/>
      <c r="AH50" s="280"/>
      <c r="AI50" s="280"/>
      <c r="AQ50" s="280"/>
      <c r="AR50" s="280"/>
      <c r="AS50" s="280"/>
      <c r="AT50" s="280"/>
      <c r="AU50" s="280"/>
      <c r="AV50" s="283"/>
      <c r="AW50" s="283"/>
      <c r="AX50" s="283"/>
      <c r="AY50" s="284"/>
      <c r="AZ50" s="284"/>
      <c r="BA50" s="263"/>
      <c r="BB50" s="263"/>
      <c r="BC50" s="263"/>
      <c r="BD50" s="264"/>
    </row>
    <row r="51" spans="1:56" ht="15.75" x14ac:dyDescent="0.25">
      <c r="A51" s="275" t="s">
        <v>60</v>
      </c>
      <c r="B51" s="285" t="s">
        <v>337</v>
      </c>
      <c r="D51" s="177"/>
      <c r="E51" s="277"/>
      <c r="F51" s="275" t="s">
        <v>10</v>
      </c>
      <c r="G51" s="276" t="str">
        <f>VLOOKUP(F51,'[2]Mkt cap'!$G$4:$H$82,2,FALSE)</f>
        <v>COMPAÑIA INTRODUCTORA DE BUENOS AIRES S.A.</v>
      </c>
      <c r="H51" s="280"/>
      <c r="I51" s="280"/>
      <c r="J51" s="280"/>
      <c r="K51" s="280"/>
      <c r="L51" s="280"/>
      <c r="M51" s="280"/>
      <c r="N51" s="280"/>
      <c r="O51" s="280"/>
      <c r="P51" s="280"/>
      <c r="Q51" s="280"/>
      <c r="R51" s="280"/>
      <c r="S51" s="280"/>
      <c r="T51" s="280"/>
      <c r="U51" s="280"/>
      <c r="V51" s="280"/>
      <c r="W51" s="280"/>
      <c r="X51" s="280"/>
      <c r="Y51" s="280"/>
      <c r="AA51" s="286"/>
      <c r="AC51" s="280"/>
      <c r="AD51" s="280"/>
      <c r="AE51" s="280"/>
      <c r="AF51" s="280"/>
      <c r="AG51" s="280"/>
      <c r="AH51" s="280"/>
      <c r="AI51" s="280"/>
      <c r="AQ51" s="280"/>
      <c r="AR51" s="280"/>
      <c r="AS51" s="280"/>
      <c r="AT51" s="280"/>
      <c r="AU51" s="280"/>
      <c r="AV51" s="283"/>
      <c r="AW51" s="283"/>
      <c r="AX51" s="283"/>
      <c r="AY51" s="284"/>
      <c r="AZ51" s="284"/>
      <c r="BA51" s="263"/>
      <c r="BB51" s="263"/>
      <c r="BC51" s="263"/>
      <c r="BD51" s="264"/>
    </row>
    <row r="52" spans="1:56" ht="15.75" x14ac:dyDescent="0.25">
      <c r="A52" s="275" t="s">
        <v>41</v>
      </c>
      <c r="B52" s="285" t="s">
        <v>338</v>
      </c>
      <c r="D52" s="177"/>
      <c r="E52" s="277"/>
      <c r="F52" s="275" t="s">
        <v>44</v>
      </c>
      <c r="G52" s="276" t="str">
        <f>VLOOKUP(F52,'[2]Mkt cap'!$G$4:$H$82,2,FALSE)</f>
        <v>INVERSORA JURAMENTO S.A.</v>
      </c>
      <c r="H52" s="280"/>
      <c r="I52" s="280"/>
      <c r="J52" s="260"/>
      <c r="K52" s="260"/>
      <c r="L52" s="260"/>
      <c r="M52" s="260"/>
      <c r="N52" s="280"/>
      <c r="O52" s="280"/>
      <c r="P52" s="280"/>
      <c r="Q52" s="280"/>
      <c r="R52" s="280"/>
      <c r="S52" s="280"/>
      <c r="T52" s="280"/>
      <c r="U52" s="280"/>
      <c r="V52" s="280"/>
      <c r="W52" s="280"/>
      <c r="X52" s="280"/>
      <c r="Y52" s="280"/>
      <c r="AA52" s="286"/>
      <c r="AC52" s="280"/>
      <c r="AD52" s="280"/>
      <c r="AE52" s="280"/>
      <c r="AF52" s="280"/>
      <c r="AG52" s="280"/>
      <c r="AH52" s="280"/>
      <c r="AI52" s="280"/>
      <c r="AQ52" s="280"/>
      <c r="AR52" s="280"/>
      <c r="AS52" s="280"/>
      <c r="AT52" s="280"/>
      <c r="AU52" s="280"/>
      <c r="AV52" s="283"/>
      <c r="AW52" s="283"/>
      <c r="AX52" s="283"/>
      <c r="AY52" s="284"/>
      <c r="AZ52" s="284"/>
      <c r="BA52" s="263"/>
      <c r="BB52" s="263"/>
      <c r="BC52" s="263"/>
      <c r="BD52" s="264"/>
    </row>
    <row r="53" spans="1:56" ht="15.75" x14ac:dyDescent="0.25">
      <c r="A53" s="275" t="s">
        <v>53</v>
      </c>
      <c r="B53" s="285" t="s">
        <v>339</v>
      </c>
      <c r="D53" s="177"/>
      <c r="E53" s="277"/>
      <c r="F53" s="275" t="s">
        <v>68</v>
      </c>
      <c r="G53" s="276" t="str">
        <f>VLOOKUP(F53,'[2]Mkt cap'!$G$4:$H$82,2,FALSE)</f>
        <v>IRSA PROPIEDADES COMERCIALES S.A.</v>
      </c>
      <c r="H53" s="280"/>
      <c r="I53" s="280"/>
      <c r="J53" s="280"/>
      <c r="K53" s="280"/>
      <c r="L53" s="280"/>
      <c r="M53" s="280"/>
      <c r="N53" s="280"/>
      <c r="O53" s="280"/>
      <c r="P53" s="280"/>
      <c r="Q53" s="280"/>
      <c r="R53" s="280"/>
      <c r="S53" s="280"/>
      <c r="T53" s="280"/>
      <c r="U53" s="280"/>
      <c r="V53" s="280"/>
      <c r="W53" s="280"/>
      <c r="X53" s="280"/>
      <c r="Y53" s="280"/>
      <c r="AA53" s="286"/>
      <c r="AC53" s="280"/>
      <c r="AD53" s="280"/>
      <c r="AE53" s="280"/>
      <c r="AF53" s="280"/>
      <c r="AG53" s="280"/>
      <c r="AH53" s="280"/>
      <c r="AI53" s="280"/>
      <c r="AQ53" s="280"/>
      <c r="AR53" s="280"/>
      <c r="AS53" s="280"/>
      <c r="AT53" s="280"/>
      <c r="AU53" s="280"/>
      <c r="AV53" s="283"/>
      <c r="AW53" s="283"/>
      <c r="AX53" s="283"/>
      <c r="AY53" s="284"/>
      <c r="AZ53" s="284"/>
      <c r="BA53" s="263"/>
      <c r="BB53" s="263"/>
      <c r="BC53" s="263"/>
      <c r="BD53" s="264"/>
    </row>
    <row r="54" spans="1:56" ht="15.75" x14ac:dyDescent="0.25">
      <c r="A54" s="275" t="s">
        <v>65</v>
      </c>
      <c r="B54" s="285" t="s">
        <v>340</v>
      </c>
      <c r="D54" s="177"/>
      <c r="E54" s="277"/>
      <c r="F54" s="275" t="s">
        <v>18</v>
      </c>
      <c r="G54" s="276" t="str">
        <f>VLOOKUP(F54,'[2]Mkt cap'!$G$4:$H$82,2,FALSE)</f>
        <v>IRSA INVERSIONES Y REPRESENTACIONES S.A.</v>
      </c>
      <c r="H54" s="280"/>
      <c r="I54" s="280"/>
      <c r="J54" s="280"/>
      <c r="K54" s="280"/>
      <c r="L54" s="280"/>
      <c r="M54" s="280"/>
      <c r="N54" s="280"/>
      <c r="O54" s="280"/>
      <c r="P54" s="280"/>
      <c r="Q54" s="280"/>
      <c r="R54" s="280"/>
      <c r="S54" s="280"/>
      <c r="T54" s="280"/>
      <c r="U54" s="280"/>
      <c r="V54" s="280"/>
      <c r="W54" s="280"/>
      <c r="X54" s="280"/>
      <c r="Y54" s="280"/>
      <c r="AA54" s="286"/>
      <c r="AC54" s="280"/>
      <c r="AD54" s="280"/>
      <c r="AE54" s="280"/>
      <c r="AF54" s="280"/>
      <c r="AG54" s="280"/>
      <c r="AH54" s="280"/>
      <c r="AI54" s="280"/>
      <c r="AQ54" s="280"/>
      <c r="AR54" s="280"/>
      <c r="AS54" s="280"/>
      <c r="AT54" s="280"/>
      <c r="AU54" s="280"/>
      <c r="AV54" s="283"/>
      <c r="AW54" s="283"/>
      <c r="AX54" s="283"/>
      <c r="AY54" s="284"/>
      <c r="AZ54" s="284"/>
      <c r="BA54" s="263"/>
      <c r="BB54" s="263"/>
      <c r="BC54" s="263"/>
      <c r="BD54" s="264"/>
    </row>
    <row r="55" spans="1:56" ht="15.75" x14ac:dyDescent="0.25">
      <c r="A55" s="275" t="s">
        <v>42</v>
      </c>
      <c r="B55" s="285" t="s">
        <v>341</v>
      </c>
      <c r="E55" s="280"/>
      <c r="F55" s="275" t="s">
        <v>51</v>
      </c>
      <c r="G55" s="276" t="str">
        <f>VLOOKUP(F55,'[2]Mkt cap'!$G$4:$H$82,2,FALSE)</f>
        <v>LEDESMA S.A.</v>
      </c>
      <c r="H55" s="280"/>
      <c r="I55" s="280"/>
      <c r="J55" s="280"/>
      <c r="K55" s="280"/>
      <c r="L55" s="280"/>
      <c r="M55" s="280"/>
      <c r="N55" s="280"/>
      <c r="O55" s="280"/>
      <c r="P55" s="280"/>
      <c r="Q55" s="280"/>
      <c r="R55" s="280"/>
      <c r="S55" s="280"/>
      <c r="T55" s="280"/>
      <c r="U55" s="280"/>
      <c r="V55" s="280"/>
      <c r="W55" s="280"/>
      <c r="X55" s="280"/>
      <c r="Y55" s="280"/>
      <c r="AA55" s="286"/>
      <c r="AC55" s="280"/>
      <c r="AD55" s="280"/>
      <c r="AE55" s="280"/>
      <c r="AF55" s="280"/>
      <c r="AG55" s="280"/>
      <c r="AH55" s="280"/>
      <c r="AI55" s="280"/>
      <c r="AQ55" s="280"/>
      <c r="AR55" s="280"/>
      <c r="AS55" s="280"/>
      <c r="AT55" s="280"/>
      <c r="AU55" s="280"/>
      <c r="AV55" s="283"/>
      <c r="AW55" s="283"/>
      <c r="AX55" s="283"/>
      <c r="AY55" s="284"/>
      <c r="AZ55" s="284"/>
      <c r="BA55" s="263"/>
      <c r="BB55" s="263"/>
      <c r="BC55" s="263"/>
      <c r="BD55" s="264"/>
    </row>
    <row r="56" spans="1:56" ht="15.75" x14ac:dyDescent="0.25">
      <c r="A56" s="275" t="s">
        <v>38</v>
      </c>
      <c r="B56" s="285" t="s">
        <v>342</v>
      </c>
      <c r="E56" s="280"/>
      <c r="F56" s="275" t="s">
        <v>63</v>
      </c>
      <c r="G56" s="276" t="str">
        <f>VLOOKUP(F56,'[2]Mkt cap'!$G$4:$H$82,2,FALSE)</f>
        <v>LOMA NEGRA COMPAÑIA INDUSTRIAL ARGENTINA SOCIEDAD ANONIMA</v>
      </c>
      <c r="H56" s="280"/>
      <c r="I56" s="280"/>
      <c r="J56" s="280"/>
      <c r="K56" s="280"/>
      <c r="L56" s="280"/>
      <c r="M56" s="280"/>
      <c r="N56" s="280"/>
      <c r="O56" s="280"/>
      <c r="P56" s="280"/>
      <c r="Q56" s="280"/>
      <c r="R56" s="280"/>
      <c r="S56" s="280"/>
      <c r="T56" s="280"/>
      <c r="U56" s="280"/>
      <c r="V56" s="280"/>
      <c r="W56" s="280"/>
      <c r="X56" s="280"/>
      <c r="Y56" s="280"/>
      <c r="AA56" s="286"/>
      <c r="AC56" s="280"/>
      <c r="AD56" s="280"/>
      <c r="AE56" s="280"/>
      <c r="AF56" s="280"/>
      <c r="AG56" s="280"/>
      <c r="AH56" s="280"/>
      <c r="AI56" s="280"/>
      <c r="AQ56" s="280"/>
      <c r="AR56" s="280"/>
      <c r="AS56" s="280"/>
      <c r="AT56" s="280"/>
      <c r="AU56" s="280"/>
      <c r="AV56" s="283"/>
      <c r="AW56" s="283"/>
      <c r="AX56" s="283"/>
      <c r="AY56" s="284"/>
      <c r="AZ56" s="284"/>
      <c r="BA56" s="263"/>
      <c r="BB56" s="263"/>
      <c r="BC56" s="263"/>
      <c r="BD56" s="264"/>
    </row>
    <row r="57" spans="1:56" ht="15.75" x14ac:dyDescent="0.25">
      <c r="A57" s="275" t="s">
        <v>11</v>
      </c>
      <c r="B57" s="285" t="s">
        <v>343</v>
      </c>
      <c r="E57" s="280"/>
      <c r="F57" s="287" t="s">
        <v>46</v>
      </c>
      <c r="G57" s="276" t="str">
        <f>VLOOKUP(F57,'[2]Mkt cap'!$G$4:$H$82,2,FALSE)</f>
        <v>LONGVIE S.A.</v>
      </c>
      <c r="H57" s="280"/>
      <c r="I57" s="280"/>
      <c r="J57" s="280"/>
      <c r="K57" s="280"/>
      <c r="L57" s="280"/>
      <c r="M57" s="280"/>
      <c r="N57" s="280"/>
      <c r="O57" s="280"/>
      <c r="P57" s="280"/>
      <c r="Q57" s="280"/>
      <c r="R57" s="280"/>
      <c r="S57" s="280"/>
      <c r="T57" s="280"/>
      <c r="U57" s="280"/>
      <c r="V57" s="280"/>
      <c r="W57" s="280"/>
      <c r="X57" s="280"/>
      <c r="Y57" s="280"/>
      <c r="AA57" s="288"/>
      <c r="AC57" s="280"/>
      <c r="AD57" s="280"/>
      <c r="AE57" s="280"/>
      <c r="AF57" s="280"/>
      <c r="AG57" s="280"/>
      <c r="AH57" s="280"/>
      <c r="AI57" s="280"/>
      <c r="AQ57" s="280"/>
      <c r="AR57" s="280"/>
      <c r="AS57" s="280"/>
      <c r="AT57" s="280"/>
      <c r="AU57" s="280"/>
      <c r="AV57" s="283"/>
      <c r="AW57" s="283"/>
      <c r="AX57" s="283"/>
      <c r="AY57" s="284"/>
      <c r="AZ57" s="284"/>
      <c r="BA57" s="263"/>
      <c r="BB57" s="263"/>
      <c r="BC57" s="263"/>
      <c r="BD57" s="264"/>
    </row>
    <row r="58" spans="1:56" ht="15.75" x14ac:dyDescent="0.25">
      <c r="A58" s="275" t="s">
        <v>21</v>
      </c>
      <c r="B58" s="276" t="s">
        <v>344</v>
      </c>
      <c r="D58" s="177"/>
      <c r="E58" s="277"/>
      <c r="F58" s="275" t="s">
        <v>58</v>
      </c>
      <c r="G58" s="285" t="s">
        <v>345</v>
      </c>
      <c r="H58" s="280"/>
      <c r="I58" s="280"/>
      <c r="J58" s="280"/>
      <c r="K58" s="280"/>
      <c r="L58" s="280"/>
      <c r="M58" s="280"/>
      <c r="N58" s="280"/>
      <c r="O58" s="280"/>
      <c r="P58" s="280"/>
      <c r="Q58" s="280"/>
      <c r="R58" s="280"/>
      <c r="S58" s="280"/>
      <c r="T58" s="280"/>
      <c r="U58" s="280"/>
      <c r="V58" s="280"/>
      <c r="W58" s="280"/>
      <c r="X58" s="280"/>
      <c r="Y58" s="280"/>
      <c r="AA58" s="288"/>
      <c r="AC58" s="289"/>
      <c r="AD58" s="280"/>
      <c r="AE58" s="280"/>
      <c r="AF58" s="280"/>
      <c r="AG58" s="280"/>
      <c r="AH58" s="280"/>
      <c r="AI58" s="280"/>
      <c r="AQ58" s="280"/>
      <c r="AR58" s="280"/>
      <c r="AS58" s="280"/>
      <c r="AT58" s="280"/>
      <c r="AU58" s="280"/>
      <c r="AV58" s="283"/>
      <c r="AW58" s="283"/>
      <c r="AX58" s="283"/>
      <c r="AY58" s="284"/>
      <c r="AZ58" s="284"/>
      <c r="BA58" s="263"/>
      <c r="BB58" s="263"/>
      <c r="BC58" s="263"/>
      <c r="BD58" s="264"/>
    </row>
    <row r="59" spans="1:56" ht="15.75" x14ac:dyDescent="0.25">
      <c r="A59" s="275" t="s">
        <v>31</v>
      </c>
      <c r="B59" s="285" t="s">
        <v>346</v>
      </c>
      <c r="D59" s="177"/>
      <c r="E59" s="277"/>
      <c r="F59" s="287" t="s">
        <v>12</v>
      </c>
      <c r="G59" s="276" t="str">
        <f>VLOOKUP(F59,'[2]Mkt cap'!$G$4:$H$82,2,FALSE)</f>
        <v>METROGAS S.A.</v>
      </c>
      <c r="H59" s="280"/>
      <c r="I59" s="280"/>
      <c r="J59" s="280"/>
      <c r="K59" s="280"/>
      <c r="L59" s="280"/>
      <c r="M59" s="280"/>
      <c r="N59" s="280"/>
      <c r="O59" s="280"/>
      <c r="P59" s="280"/>
      <c r="Q59" s="280"/>
      <c r="R59" s="280"/>
      <c r="S59" s="280"/>
      <c r="T59" s="280"/>
      <c r="U59" s="280"/>
      <c r="V59" s="280"/>
      <c r="W59" s="280"/>
      <c r="X59" s="280"/>
      <c r="Y59" s="280"/>
      <c r="AA59" s="288"/>
      <c r="AC59" s="280"/>
      <c r="AD59" s="282"/>
      <c r="AE59" s="280"/>
      <c r="AF59" s="280"/>
      <c r="AG59" s="280"/>
      <c r="AH59" s="280"/>
      <c r="AI59" s="280"/>
      <c r="AQ59" s="280"/>
      <c r="AR59" s="280"/>
      <c r="AS59" s="280"/>
      <c r="AT59" s="280"/>
      <c r="AU59" s="280"/>
      <c r="AV59" s="283"/>
      <c r="AW59" s="283"/>
      <c r="AX59" s="283"/>
      <c r="AY59" s="284"/>
      <c r="AZ59" s="284"/>
      <c r="BA59" s="263"/>
      <c r="BB59" s="263"/>
      <c r="BC59" s="263"/>
      <c r="BD59" s="264"/>
    </row>
    <row r="60" spans="1:56" ht="15.75" x14ac:dyDescent="0.25">
      <c r="A60" s="275" t="s">
        <v>56</v>
      </c>
      <c r="B60" s="285" t="s">
        <v>347</v>
      </c>
      <c r="D60" s="177"/>
      <c r="E60" s="277"/>
      <c r="F60" s="287" t="s">
        <v>14</v>
      </c>
      <c r="G60" s="276" t="str">
        <f>VLOOKUP(F60,'[2]Mkt cap'!$G$4:$H$82,2,FALSE)</f>
        <v>MIRGOR S.A.</v>
      </c>
      <c r="H60" s="280"/>
      <c r="I60" s="280"/>
      <c r="J60" s="280"/>
      <c r="K60" s="280"/>
      <c r="L60" s="280"/>
      <c r="M60" s="280"/>
      <c r="N60" s="280"/>
      <c r="O60" s="280"/>
      <c r="P60" s="280"/>
      <c r="Q60" s="280"/>
      <c r="R60" s="280"/>
      <c r="S60" s="280"/>
      <c r="T60" s="280"/>
      <c r="U60" s="280"/>
      <c r="V60" s="280"/>
      <c r="W60" s="280"/>
      <c r="X60" s="280"/>
      <c r="Y60" s="280"/>
      <c r="AA60" s="288"/>
      <c r="AC60" s="280"/>
      <c r="AD60" s="280"/>
      <c r="AE60" s="280"/>
      <c r="AF60" s="280"/>
      <c r="AG60" s="280"/>
      <c r="AH60" s="280"/>
      <c r="AI60" s="280"/>
      <c r="AQ60" s="280"/>
      <c r="AR60" s="280"/>
      <c r="AS60" s="280"/>
      <c r="AT60" s="280"/>
      <c r="AU60" s="280"/>
      <c r="AV60" s="283"/>
      <c r="AW60" s="283"/>
      <c r="AX60" s="283"/>
      <c r="AY60" s="284"/>
      <c r="AZ60" s="284"/>
      <c r="BA60" s="263"/>
      <c r="BB60" s="263"/>
      <c r="BC60" s="263"/>
      <c r="BD60" s="264"/>
    </row>
    <row r="61" spans="1:56" ht="15.75" x14ac:dyDescent="0.25">
      <c r="A61" s="275" t="s">
        <v>23</v>
      </c>
      <c r="B61" s="285" t="s">
        <v>348</v>
      </c>
      <c r="D61" s="177"/>
      <c r="E61" s="277"/>
      <c r="F61" s="287" t="s">
        <v>20</v>
      </c>
      <c r="G61" s="276" t="str">
        <f>VLOOKUP(F61,'[2]Mkt cap'!$G$4:$H$82,2,FALSE)</f>
        <v>MOLINOS AGRO S.A.</v>
      </c>
      <c r="H61" s="280"/>
      <c r="I61" s="280"/>
      <c r="J61" s="280"/>
      <c r="K61" s="280"/>
      <c r="L61" s="280"/>
      <c r="M61" s="280"/>
      <c r="N61" s="280"/>
      <c r="O61" s="280"/>
      <c r="P61" s="280"/>
      <c r="Q61" s="280"/>
      <c r="R61" s="280"/>
      <c r="S61" s="280"/>
      <c r="T61" s="280"/>
      <c r="U61" s="280"/>
      <c r="V61" s="280"/>
      <c r="W61" s="280"/>
      <c r="X61" s="280"/>
      <c r="Y61" s="280"/>
      <c r="AA61" s="290"/>
      <c r="AC61" s="291"/>
      <c r="AD61" s="280"/>
      <c r="AE61" s="280"/>
      <c r="AF61" s="280"/>
      <c r="AG61" s="280"/>
      <c r="AH61" s="280"/>
      <c r="AI61" s="280"/>
      <c r="AQ61" s="280"/>
      <c r="AR61" s="280"/>
      <c r="AS61" s="280"/>
      <c r="AT61" s="280"/>
      <c r="AU61" s="280"/>
      <c r="AV61" s="283"/>
      <c r="AW61" s="283"/>
      <c r="AX61" s="283"/>
      <c r="AY61" s="284"/>
      <c r="AZ61" s="284"/>
      <c r="BA61" s="263"/>
      <c r="BB61" s="263"/>
      <c r="BC61" s="263"/>
      <c r="BD61" s="264"/>
    </row>
    <row r="62" spans="1:56" ht="15.75" x14ac:dyDescent="0.25">
      <c r="A62" s="275" t="s">
        <v>28</v>
      </c>
      <c r="B62" s="285" t="s">
        <v>349</v>
      </c>
      <c r="D62" s="177"/>
      <c r="E62" s="277"/>
      <c r="F62" s="292" t="s">
        <v>16</v>
      </c>
      <c r="G62" s="276" t="str">
        <f>VLOOKUP(F62,'[2]Mkt cap'!$G$4:$H$82,2,FALSE)</f>
        <v>MOLINOS RIO DE LA PLATA S.A.</v>
      </c>
      <c r="H62" s="280"/>
      <c r="I62" s="280"/>
      <c r="J62" s="280"/>
      <c r="K62" s="280"/>
      <c r="L62" s="280"/>
      <c r="M62" s="280"/>
      <c r="N62" s="280"/>
      <c r="O62" s="280"/>
      <c r="P62" s="280"/>
      <c r="Q62" s="280"/>
      <c r="R62" s="280"/>
      <c r="S62" s="280"/>
      <c r="T62" s="280"/>
      <c r="U62" s="280"/>
      <c r="V62" s="280"/>
      <c r="W62" s="280"/>
      <c r="X62" s="280"/>
      <c r="Y62" s="280"/>
      <c r="AA62" s="288"/>
      <c r="AC62" s="280"/>
      <c r="AD62" s="280"/>
      <c r="AE62" s="280"/>
      <c r="AF62" s="280"/>
      <c r="AG62" s="280"/>
      <c r="AH62" s="280"/>
      <c r="AI62" s="280"/>
      <c r="AQ62" s="280"/>
      <c r="AR62" s="280"/>
      <c r="AS62" s="280"/>
      <c r="AT62" s="280"/>
      <c r="AU62" s="280"/>
      <c r="AV62" s="283"/>
      <c r="AW62" s="283"/>
      <c r="AX62" s="283"/>
      <c r="AY62" s="284"/>
      <c r="AZ62" s="284"/>
      <c r="BA62" s="263"/>
      <c r="BB62" s="263"/>
      <c r="BC62" s="263"/>
      <c r="BD62" s="264"/>
    </row>
    <row r="63" spans="1:56" ht="15.75" x14ac:dyDescent="0.25">
      <c r="A63" s="275" t="s">
        <v>26</v>
      </c>
      <c r="B63" s="285" t="s">
        <v>350</v>
      </c>
      <c r="D63" s="177"/>
      <c r="E63" s="277"/>
      <c r="F63" s="287" t="s">
        <v>39</v>
      </c>
      <c r="G63" s="276" t="str">
        <f>VLOOKUP(F63,'[2]Mkt cap'!$G$4:$H$82,2,FALSE)</f>
        <v>MORIXE HERMANOS S.A.</v>
      </c>
      <c r="H63" s="280"/>
      <c r="I63" s="280"/>
      <c r="J63" s="280"/>
      <c r="K63" s="280"/>
      <c r="L63" s="280"/>
      <c r="M63" s="280"/>
      <c r="N63" s="280"/>
      <c r="O63" s="280"/>
      <c r="P63" s="280"/>
      <c r="Q63" s="280"/>
      <c r="R63" s="280"/>
      <c r="S63" s="280"/>
      <c r="T63" s="280"/>
      <c r="U63" s="280"/>
      <c r="V63" s="280"/>
      <c r="W63" s="280"/>
      <c r="X63" s="280"/>
      <c r="Y63" s="280"/>
      <c r="AA63" s="288"/>
      <c r="AC63" s="280"/>
      <c r="AD63" s="280"/>
      <c r="AE63" s="280"/>
      <c r="AF63" s="280"/>
      <c r="AG63" s="280"/>
      <c r="AH63" s="280"/>
      <c r="AI63" s="280"/>
      <c r="AQ63" s="280"/>
      <c r="AR63" s="280"/>
      <c r="AS63" s="280"/>
      <c r="AT63" s="280"/>
      <c r="AU63" s="280"/>
      <c r="AV63" s="283"/>
      <c r="AW63" s="283"/>
      <c r="AX63" s="283"/>
      <c r="AY63" s="284"/>
      <c r="AZ63" s="284"/>
      <c r="BA63" s="263"/>
      <c r="BB63" s="263"/>
      <c r="BC63" s="263"/>
      <c r="BD63" s="264"/>
    </row>
    <row r="64" spans="1:56" ht="15.75" x14ac:dyDescent="0.25">
      <c r="A64" s="275" t="s">
        <v>37</v>
      </c>
      <c r="B64" s="285" t="s">
        <v>351</v>
      </c>
      <c r="D64" s="177"/>
      <c r="E64" s="277"/>
      <c r="F64" s="287" t="s">
        <v>62</v>
      </c>
      <c r="G64" s="276" t="str">
        <f>VLOOKUP(F64,'[2]Mkt cap'!$G$4:$H$82,2,FALSE)</f>
        <v>GRUPO CONCESIONARIO DEL OESTE S.A.</v>
      </c>
      <c r="H64" s="280"/>
      <c r="I64" s="280"/>
      <c r="J64" s="280"/>
      <c r="K64" s="280"/>
      <c r="L64" s="280"/>
      <c r="M64" s="280"/>
      <c r="N64" s="280"/>
      <c r="O64" s="280"/>
      <c r="P64" s="280"/>
      <c r="Q64" s="280"/>
      <c r="R64" s="280"/>
      <c r="S64" s="280"/>
      <c r="T64" s="280"/>
      <c r="U64" s="280"/>
      <c r="V64" s="280"/>
      <c r="W64" s="280"/>
      <c r="X64" s="280"/>
      <c r="Y64" s="280"/>
      <c r="AA64" s="288"/>
      <c r="AC64" s="280"/>
      <c r="AD64" s="280"/>
      <c r="AE64" s="280"/>
      <c r="AF64" s="280"/>
      <c r="AG64" s="280"/>
      <c r="AH64" s="280"/>
      <c r="AI64" s="280"/>
      <c r="AQ64" s="280"/>
      <c r="AR64" s="280"/>
      <c r="AS64" s="280"/>
      <c r="AT64" s="280"/>
      <c r="AU64" s="280"/>
      <c r="AV64" s="283"/>
      <c r="AW64" s="283"/>
      <c r="AX64" s="283"/>
      <c r="AY64" s="284"/>
      <c r="AZ64" s="284"/>
      <c r="BA64" s="263"/>
      <c r="BB64" s="263"/>
      <c r="BC64" s="263"/>
      <c r="BD64" s="264"/>
    </row>
    <row r="65" spans="1:56" ht="15.75" x14ac:dyDescent="0.25">
      <c r="A65" s="275" t="s">
        <v>61</v>
      </c>
      <c r="B65" s="285" t="s">
        <v>352</v>
      </c>
      <c r="D65" s="177"/>
      <c r="E65" s="277"/>
      <c r="F65" s="287" t="s">
        <v>70</v>
      </c>
      <c r="G65" s="276" t="str">
        <f>VLOOKUP(F65,'[2]Mkt cap'!$G$4:$H$82,2,FALSE)</f>
        <v>PAMPA ENERGIA S.A</v>
      </c>
      <c r="H65" s="280"/>
      <c r="I65" s="280"/>
      <c r="J65" s="280"/>
      <c r="K65" s="280"/>
      <c r="L65" s="280"/>
      <c r="M65" s="280"/>
      <c r="N65" s="280"/>
      <c r="O65" s="280"/>
      <c r="P65" s="280"/>
      <c r="Q65" s="280"/>
      <c r="R65" s="280"/>
      <c r="S65" s="280"/>
      <c r="T65" s="280"/>
      <c r="U65" s="280"/>
      <c r="V65" s="280"/>
      <c r="W65" s="280"/>
      <c r="X65" s="280"/>
      <c r="Y65" s="280"/>
      <c r="AA65" s="288"/>
      <c r="AC65" s="280"/>
      <c r="AD65" s="280"/>
      <c r="AE65" s="280"/>
      <c r="AF65" s="280"/>
      <c r="AG65" s="280"/>
      <c r="AH65" s="280"/>
      <c r="AI65" s="280"/>
      <c r="AQ65" s="280"/>
      <c r="AR65" s="280"/>
      <c r="AS65" s="280"/>
      <c r="AT65" s="280"/>
      <c r="AU65" s="280"/>
      <c r="AV65" s="283"/>
      <c r="AW65" s="283"/>
      <c r="AX65" s="283"/>
      <c r="AY65" s="284"/>
      <c r="AZ65" s="284"/>
      <c r="BA65" s="263"/>
      <c r="BB65" s="263"/>
      <c r="BC65" s="263"/>
      <c r="BD65" s="264"/>
    </row>
    <row r="66" spans="1:56" ht="15.75" x14ac:dyDescent="0.25">
      <c r="A66" s="275" t="s">
        <v>24</v>
      </c>
      <c r="B66" s="285" t="s">
        <v>353</v>
      </c>
      <c r="D66" s="177"/>
      <c r="E66" s="277"/>
      <c r="F66" s="287" t="s">
        <v>35</v>
      </c>
      <c r="G66" s="276" t="str">
        <f>VLOOKUP(F66,'[2]Mkt cap'!$G$4:$H$82,2,FALSE)</f>
        <v>IMPORTADORA Y EXPORTADORA DE LA PATAGONIA S.A.</v>
      </c>
      <c r="H66" s="280"/>
      <c r="I66" s="280"/>
      <c r="J66" s="280"/>
      <c r="K66" s="280"/>
      <c r="L66" s="280"/>
      <c r="M66" s="280"/>
      <c r="N66" s="280"/>
      <c r="O66" s="280"/>
      <c r="P66" s="280"/>
      <c r="Q66" s="280"/>
      <c r="R66" s="280"/>
      <c r="S66" s="280"/>
      <c r="T66" s="280"/>
      <c r="U66" s="280"/>
      <c r="V66" s="280"/>
      <c r="W66" s="280"/>
      <c r="X66" s="280"/>
      <c r="Y66" s="280"/>
      <c r="AA66" s="288"/>
      <c r="AC66" s="280"/>
      <c r="AD66" s="280"/>
      <c r="AE66" s="280"/>
      <c r="AF66" s="280"/>
      <c r="AG66" s="280"/>
      <c r="AH66" s="280"/>
      <c r="AI66" s="280"/>
      <c r="AQ66" s="280"/>
      <c r="AR66" s="280"/>
      <c r="AS66" s="280"/>
      <c r="AT66" s="280"/>
      <c r="AU66" s="280"/>
      <c r="AV66" s="283"/>
      <c r="AW66" s="283"/>
      <c r="AX66" s="283"/>
      <c r="AY66" s="284"/>
      <c r="AZ66" s="284"/>
      <c r="BA66" s="263"/>
      <c r="BB66" s="263"/>
      <c r="BC66" s="263"/>
      <c r="BD66" s="264"/>
    </row>
    <row r="67" spans="1:56" ht="15.75" x14ac:dyDescent="0.25">
      <c r="A67" s="275" t="s">
        <v>57</v>
      </c>
      <c r="B67" s="285" t="s">
        <v>354</v>
      </c>
      <c r="D67" s="177"/>
      <c r="E67" s="277"/>
      <c r="F67" s="287" t="s">
        <v>43</v>
      </c>
      <c r="G67" s="276" t="str">
        <f>VLOOKUP(F67,'[2]Mkt cap'!$G$4:$H$82,2,FALSE)</f>
        <v>QUICKFOOD S.A.</v>
      </c>
      <c r="H67" s="280"/>
      <c r="I67" s="280"/>
      <c r="J67" s="280"/>
      <c r="K67" s="280"/>
      <c r="L67" s="280"/>
      <c r="M67" s="280"/>
      <c r="N67" s="280"/>
      <c r="O67" s="280"/>
      <c r="P67" s="280"/>
      <c r="Q67" s="280"/>
      <c r="R67" s="280"/>
      <c r="S67" s="280"/>
      <c r="T67" s="280"/>
      <c r="U67" s="280"/>
      <c r="V67" s="280"/>
      <c r="W67" s="280"/>
      <c r="X67" s="280"/>
      <c r="Y67" s="280"/>
      <c r="AA67" s="288"/>
      <c r="AC67" s="280"/>
      <c r="AD67" s="280"/>
      <c r="AE67" s="260"/>
      <c r="AF67" s="280"/>
      <c r="AG67" s="280"/>
      <c r="AH67" s="280"/>
      <c r="AI67" s="280"/>
      <c r="AQ67" s="280"/>
      <c r="AR67" s="280"/>
      <c r="AS67" s="280"/>
      <c r="AT67" s="280"/>
      <c r="AU67" s="280"/>
      <c r="AV67" s="283"/>
      <c r="AW67" s="283"/>
      <c r="AX67" s="283"/>
      <c r="AY67" s="284"/>
      <c r="AZ67" s="284"/>
      <c r="BA67" s="263"/>
      <c r="BB67" s="263"/>
      <c r="BC67" s="263"/>
      <c r="BD67" s="264"/>
    </row>
    <row r="68" spans="1:56" ht="15.75" x14ac:dyDescent="0.25">
      <c r="A68" s="275" t="s">
        <v>27</v>
      </c>
      <c r="B68" s="276" t="s">
        <v>355</v>
      </c>
      <c r="E68" s="280"/>
      <c r="F68" s="287" t="s">
        <v>34</v>
      </c>
      <c r="G68" s="276" t="str">
        <f>VLOOKUP(F68,'[2]Mkt cap'!$G$4:$H$82,2,FALSE)</f>
        <v>PHOENIX GLOBAL RESOURCES P.L.C.</v>
      </c>
      <c r="H68" s="280"/>
      <c r="I68" s="280"/>
      <c r="J68" s="280"/>
      <c r="K68" s="280"/>
      <c r="L68" s="280"/>
      <c r="M68" s="280"/>
      <c r="N68" s="280"/>
      <c r="O68" s="280"/>
      <c r="P68" s="280"/>
      <c r="Q68" s="280"/>
      <c r="R68" s="280"/>
      <c r="S68" s="280"/>
      <c r="T68" s="280"/>
      <c r="U68" s="280"/>
      <c r="V68" s="280"/>
      <c r="W68" s="280"/>
      <c r="X68" s="280"/>
      <c r="Y68" s="280"/>
      <c r="AA68" s="288"/>
      <c r="AC68" s="280"/>
      <c r="AD68" s="280"/>
      <c r="AE68" s="280"/>
      <c r="AF68" s="280"/>
      <c r="AG68" s="260"/>
      <c r="AH68" s="260"/>
      <c r="AI68" s="280"/>
      <c r="AQ68" s="280"/>
      <c r="AR68" s="280"/>
      <c r="AS68" s="280"/>
      <c r="AT68" s="280"/>
      <c r="AU68" s="280"/>
      <c r="AV68" s="283"/>
      <c r="AW68" s="283"/>
      <c r="AX68" s="283"/>
      <c r="AY68" s="284"/>
      <c r="AZ68" s="284"/>
      <c r="BA68" s="263"/>
      <c r="BB68" s="263"/>
      <c r="BC68" s="263"/>
      <c r="BD68" s="264"/>
    </row>
    <row r="69" spans="1:56" ht="15.75" x14ac:dyDescent="0.25">
      <c r="A69" s="275" t="s">
        <v>22</v>
      </c>
      <c r="B69" s="276" t="s">
        <v>356</v>
      </c>
      <c r="E69" s="280"/>
      <c r="F69" s="287" t="s">
        <v>59</v>
      </c>
      <c r="G69" s="276" t="str">
        <f>VLOOKUP(F69,'[2]Mkt cap'!$G$4:$H$82,2,FALSE)</f>
        <v>POLLEDO S.A.</v>
      </c>
      <c r="H69" s="280"/>
      <c r="I69" s="280"/>
      <c r="J69" s="280"/>
      <c r="K69" s="280"/>
      <c r="L69" s="280"/>
      <c r="M69" s="280"/>
      <c r="N69" s="280"/>
      <c r="O69" s="280"/>
      <c r="P69" s="280"/>
      <c r="Q69" s="280"/>
      <c r="R69" s="280"/>
      <c r="S69" s="280"/>
      <c r="T69" s="280"/>
      <c r="U69" s="280"/>
      <c r="V69" s="280"/>
      <c r="W69" s="280"/>
      <c r="X69" s="280"/>
      <c r="Y69" s="280"/>
      <c r="AA69" s="288"/>
      <c r="AC69" s="280"/>
      <c r="AD69" s="280"/>
      <c r="AE69" s="280"/>
      <c r="AF69" s="260"/>
      <c r="AG69" s="280"/>
      <c r="AH69" s="280"/>
      <c r="AI69" s="280"/>
      <c r="AQ69" s="280"/>
      <c r="AR69" s="280"/>
      <c r="AS69" s="280"/>
      <c r="AT69" s="280"/>
      <c r="AU69" s="280"/>
      <c r="AV69" s="283"/>
      <c r="AW69" s="283"/>
      <c r="AX69" s="283"/>
      <c r="AY69" s="284"/>
      <c r="AZ69" s="284"/>
      <c r="BA69" s="263"/>
      <c r="BB69" s="263"/>
      <c r="BC69" s="263"/>
      <c r="BD69" s="264"/>
    </row>
    <row r="70" spans="1:56" ht="15.75" x14ac:dyDescent="0.25">
      <c r="A70" s="275" t="s">
        <v>64</v>
      </c>
      <c r="B70" s="276" t="s">
        <v>357</v>
      </c>
      <c r="E70" s="280"/>
      <c r="F70" s="287" t="s">
        <v>48</v>
      </c>
      <c r="G70" s="276" t="str">
        <f>VLOOKUP(F70,'[2]Mkt cap'!$G$4:$H$82,2,FALSE)</f>
        <v>PETROLERA DEL CONOSUR S.A.</v>
      </c>
      <c r="H70" s="280"/>
      <c r="I70" s="280"/>
      <c r="J70" s="280"/>
      <c r="K70" s="280"/>
      <c r="L70" s="280"/>
      <c r="M70" s="280"/>
      <c r="N70" s="280"/>
      <c r="O70" s="280"/>
      <c r="P70" s="280"/>
      <c r="Q70" s="280"/>
      <c r="R70" s="280"/>
      <c r="S70" s="280"/>
      <c r="T70" s="280"/>
      <c r="U70" s="280"/>
      <c r="V70" s="280"/>
      <c r="W70" s="280"/>
      <c r="X70" s="280"/>
      <c r="Y70" s="280"/>
      <c r="AA70" s="288"/>
      <c r="AC70" s="280"/>
      <c r="AD70" s="280"/>
      <c r="AE70" s="280"/>
      <c r="AF70" s="280"/>
      <c r="AG70" s="280"/>
      <c r="AH70" s="280"/>
      <c r="AI70" s="280"/>
      <c r="AQ70" s="280"/>
      <c r="AR70" s="280"/>
      <c r="AS70" s="280"/>
      <c r="AT70" s="280"/>
      <c r="AU70" s="280"/>
      <c r="AV70" s="283"/>
      <c r="AW70" s="283"/>
      <c r="AX70" s="283"/>
      <c r="AY70" s="284"/>
      <c r="AZ70" s="284"/>
      <c r="BA70" s="263"/>
      <c r="BB70" s="263"/>
      <c r="BC70" s="263"/>
      <c r="BD70" s="264"/>
    </row>
    <row r="71" spans="1:56" ht="15.75" x14ac:dyDescent="0.25">
      <c r="A71" s="275" t="s">
        <v>71</v>
      </c>
      <c r="B71" s="276" t="s">
        <v>358</v>
      </c>
      <c r="D71" s="177"/>
      <c r="E71" s="277"/>
      <c r="F71" s="287" t="s">
        <v>7</v>
      </c>
      <c r="G71" s="276" t="str">
        <f>VLOOKUP(F71,'[2]Mkt cap'!$G$4:$H$82,2,FALSE)</f>
        <v>LABORATORIOS RICHMOND S.A.C.I.F.</v>
      </c>
      <c r="H71" s="260"/>
      <c r="I71" s="260"/>
      <c r="J71" s="280"/>
      <c r="K71" s="280"/>
      <c r="L71" s="280"/>
      <c r="M71" s="280"/>
      <c r="N71" s="280"/>
      <c r="O71" s="280"/>
      <c r="P71" s="280"/>
      <c r="Q71" s="280"/>
      <c r="R71" s="280"/>
      <c r="S71" s="280"/>
      <c r="T71" s="280"/>
      <c r="U71" s="280"/>
      <c r="V71" s="280"/>
      <c r="W71" s="280"/>
      <c r="X71" s="280"/>
      <c r="Y71" s="280"/>
      <c r="AA71" s="288"/>
      <c r="AC71" s="280"/>
      <c r="AD71" s="280"/>
      <c r="AE71" s="280"/>
      <c r="AF71" s="280"/>
      <c r="AG71" s="280"/>
      <c r="AH71" s="280"/>
      <c r="AI71" s="280"/>
      <c r="AQ71" s="280"/>
      <c r="AR71" s="280"/>
      <c r="AS71" s="280"/>
      <c r="AT71" s="280"/>
      <c r="AU71" s="280"/>
      <c r="AV71" s="283"/>
      <c r="AW71" s="283"/>
      <c r="AX71" s="283"/>
      <c r="AY71" s="284"/>
      <c r="AZ71" s="284"/>
      <c r="BA71" s="263"/>
      <c r="BB71" s="263"/>
      <c r="BC71" s="263"/>
      <c r="BD71" s="264"/>
    </row>
    <row r="72" spans="1:56" ht="15.75" x14ac:dyDescent="0.25">
      <c r="A72" s="275" t="s">
        <v>32</v>
      </c>
      <c r="B72" s="276" t="s">
        <v>359</v>
      </c>
      <c r="D72" s="177"/>
      <c r="E72" s="277"/>
      <c r="F72" s="287" t="s">
        <v>77</v>
      </c>
      <c r="G72" s="276" t="str">
        <f>VLOOKUP(F72,'[2]Mkt cap'!$G$4:$H$82,2,FALSE)</f>
        <v>RIGOLLEAU S.A.</v>
      </c>
      <c r="H72" s="280"/>
      <c r="I72" s="280"/>
      <c r="J72" s="280"/>
      <c r="K72" s="280"/>
      <c r="L72" s="280"/>
      <c r="M72" s="280"/>
      <c r="N72" s="280"/>
      <c r="O72" s="280"/>
      <c r="P72" s="280"/>
      <c r="Q72" s="280"/>
      <c r="R72" s="280"/>
      <c r="S72" s="280"/>
      <c r="T72" s="280"/>
      <c r="U72" s="280"/>
      <c r="V72" s="280"/>
      <c r="W72" s="280"/>
      <c r="X72" s="280"/>
      <c r="Y72" s="280"/>
      <c r="AA72" s="288"/>
      <c r="AC72" s="280"/>
      <c r="AD72" s="280"/>
      <c r="AE72" s="280"/>
      <c r="AF72" s="280"/>
      <c r="AG72" s="280"/>
      <c r="AH72" s="280"/>
      <c r="AI72" s="280"/>
      <c r="AQ72" s="280"/>
      <c r="AR72" s="280"/>
      <c r="AS72" s="280"/>
      <c r="AT72" s="280"/>
      <c r="AU72" s="280"/>
      <c r="AV72" s="283"/>
      <c r="AW72" s="283"/>
      <c r="AX72" s="283"/>
      <c r="AY72" s="284"/>
      <c r="AZ72" s="284"/>
      <c r="BA72" s="263"/>
      <c r="BB72" s="263"/>
      <c r="BC72" s="263"/>
      <c r="BD72" s="264"/>
    </row>
    <row r="73" spans="1:56" ht="15.75" x14ac:dyDescent="0.25">
      <c r="A73" s="275" t="s">
        <v>80</v>
      </c>
      <c r="B73" s="276" t="s">
        <v>360</v>
      </c>
      <c r="D73" s="177"/>
      <c r="E73" s="277"/>
      <c r="F73" s="292" t="s">
        <v>69</v>
      </c>
      <c r="G73" s="276" t="str">
        <f>VLOOKUP(F73,'[2]Mkt cap'!$G$4:$H$82,2,FALSE)</f>
        <v>INSTITUTO ROSENBUSCH S.A.</v>
      </c>
      <c r="H73" s="280"/>
      <c r="I73" s="280"/>
      <c r="J73" s="280"/>
      <c r="K73" s="280"/>
      <c r="L73" s="280"/>
      <c r="M73" s="280"/>
      <c r="N73" s="280"/>
      <c r="O73" s="280"/>
      <c r="P73" s="280"/>
      <c r="Q73" s="280"/>
      <c r="R73" s="280"/>
      <c r="S73" s="280"/>
      <c r="T73" s="280"/>
      <c r="U73" s="280"/>
      <c r="V73" s="280"/>
      <c r="W73" s="280"/>
      <c r="X73" s="280"/>
      <c r="Y73" s="280"/>
      <c r="AA73" s="290"/>
      <c r="AC73" s="280"/>
      <c r="AD73" s="280"/>
      <c r="AE73" s="280"/>
      <c r="AF73" s="280"/>
      <c r="AG73" s="280"/>
      <c r="AH73" s="280"/>
      <c r="AI73" s="280"/>
      <c r="AQ73" s="280"/>
      <c r="AR73" s="280"/>
      <c r="AS73" s="280"/>
      <c r="AT73" s="280"/>
      <c r="AU73" s="280"/>
      <c r="AV73" s="283"/>
      <c r="AW73" s="283"/>
      <c r="AX73" s="283"/>
      <c r="AY73" s="284"/>
      <c r="AZ73" s="284"/>
      <c r="BA73" s="263"/>
      <c r="BB73" s="263"/>
      <c r="BC73" s="263"/>
      <c r="BD73" s="264"/>
    </row>
    <row r="74" spans="1:56" ht="15.75" x14ac:dyDescent="0.25">
      <c r="A74" s="275" t="s">
        <v>76</v>
      </c>
      <c r="B74" s="276" t="s">
        <v>361</v>
      </c>
      <c r="D74" s="177"/>
      <c r="E74" s="277"/>
      <c r="F74" s="287" t="s">
        <v>9</v>
      </c>
      <c r="G74" s="276" t="str">
        <f>VLOOKUP(F74,'[2]Mkt cap'!$G$4:$H$82,2,FALSE)</f>
        <v>S.A. SAN MIGUEL</v>
      </c>
      <c r="H74" s="280"/>
      <c r="I74" s="280"/>
      <c r="J74" s="280"/>
      <c r="K74" s="280"/>
      <c r="L74" s="280"/>
      <c r="M74" s="280"/>
      <c r="N74" s="280"/>
      <c r="O74" s="280"/>
      <c r="P74" s="280"/>
      <c r="Q74" s="280"/>
      <c r="R74" s="280"/>
      <c r="S74" s="280"/>
      <c r="T74" s="280"/>
      <c r="U74" s="280"/>
      <c r="V74" s="280"/>
      <c r="W74" s="280"/>
      <c r="X74" s="280"/>
      <c r="Y74" s="280"/>
      <c r="AA74" s="288"/>
      <c r="AC74" s="280"/>
      <c r="AD74" s="280"/>
      <c r="AE74" s="280"/>
      <c r="AF74" s="280"/>
      <c r="AG74" s="280"/>
      <c r="AH74" s="280"/>
      <c r="AI74" s="280"/>
      <c r="AQ74" s="280"/>
      <c r="AR74" s="280"/>
      <c r="AS74" s="280"/>
      <c r="AT74" s="280"/>
      <c r="AU74" s="280"/>
      <c r="AV74" s="283"/>
      <c r="AW74" s="283"/>
      <c r="AX74" s="283"/>
      <c r="AY74" s="284"/>
      <c r="AZ74" s="284"/>
      <c r="BA74" s="263"/>
      <c r="BB74" s="263"/>
      <c r="BC74" s="263"/>
      <c r="BD74" s="264"/>
    </row>
    <row r="75" spans="1:56" ht="15.75" x14ac:dyDescent="0.25">
      <c r="A75" s="275" t="s">
        <v>49</v>
      </c>
      <c r="B75" s="276" t="s">
        <v>362</v>
      </c>
      <c r="E75" s="280"/>
      <c r="F75" s="287" t="s">
        <v>52</v>
      </c>
      <c r="G75" s="276" t="str">
        <f>VLOOKUP(F75,'[2]Mkt cap'!$G$4:$H$82,2,FALSE)</f>
        <v>MOLINOS JUAN SEMINO S.A.</v>
      </c>
      <c r="H75" s="280"/>
      <c r="I75" s="280"/>
      <c r="J75" s="280"/>
      <c r="K75" s="280"/>
      <c r="L75" s="280"/>
      <c r="M75" s="280"/>
      <c r="N75" s="280"/>
      <c r="O75" s="280"/>
      <c r="P75" s="280"/>
      <c r="Q75" s="280"/>
      <c r="R75" s="280"/>
      <c r="S75" s="280"/>
      <c r="T75" s="280"/>
      <c r="U75" s="280"/>
      <c r="V75" s="280"/>
      <c r="W75" s="280"/>
      <c r="X75" s="280"/>
      <c r="Y75" s="280"/>
      <c r="AA75" s="288"/>
      <c r="AC75" s="280"/>
      <c r="AD75" s="280"/>
      <c r="AE75" s="280"/>
      <c r="AF75" s="280"/>
      <c r="AG75" s="280"/>
      <c r="AH75" s="280"/>
      <c r="AI75" s="280"/>
      <c r="AQ75" s="280"/>
      <c r="AR75" s="280"/>
      <c r="AS75" s="280"/>
      <c r="AT75" s="280"/>
      <c r="AU75" s="280"/>
      <c r="AV75" s="283"/>
      <c r="AW75" s="283"/>
      <c r="AX75" s="283"/>
      <c r="AY75" s="284"/>
      <c r="AZ75" s="284"/>
      <c r="BA75" s="263"/>
      <c r="BB75" s="263"/>
      <c r="BC75" s="263"/>
      <c r="BD75" s="264"/>
    </row>
    <row r="76" spans="1:56" ht="15.75" x14ac:dyDescent="0.25">
      <c r="A76" s="275" t="s">
        <v>55</v>
      </c>
      <c r="B76" s="276" t="s">
        <v>363</v>
      </c>
      <c r="E76" s="280"/>
      <c r="F76" s="287" t="s">
        <v>19</v>
      </c>
      <c r="G76" s="276" t="str">
        <f>VLOOKUP(F76,'[2]Mkt cap'!$G$4:$H$82,2,FALSE)</f>
        <v>TELECOM ARGENTINA S. A.</v>
      </c>
      <c r="H76" s="280"/>
      <c r="I76" s="280"/>
      <c r="J76" s="280"/>
      <c r="K76" s="280"/>
      <c r="L76" s="280"/>
      <c r="M76" s="280"/>
      <c r="N76" s="280"/>
      <c r="O76" s="280"/>
      <c r="P76" s="280"/>
      <c r="Q76" s="280"/>
      <c r="R76" s="280"/>
      <c r="S76" s="280"/>
      <c r="T76" s="280"/>
      <c r="U76" s="280"/>
      <c r="V76" s="280"/>
      <c r="W76" s="280"/>
      <c r="X76" s="280"/>
      <c r="Y76" s="280"/>
      <c r="AA76" s="288"/>
      <c r="AC76" s="280"/>
      <c r="AD76" s="280"/>
      <c r="AE76" s="280"/>
      <c r="AF76" s="280"/>
      <c r="AG76" s="280"/>
      <c r="AH76" s="280"/>
      <c r="AI76" s="280"/>
      <c r="AQ76" s="280"/>
      <c r="AR76" s="280"/>
      <c r="AS76" s="280"/>
      <c r="AT76" s="280"/>
      <c r="AU76" s="280"/>
      <c r="AV76" s="283"/>
      <c r="AW76" s="283"/>
      <c r="AX76" s="283"/>
      <c r="AY76" s="284"/>
      <c r="AZ76" s="284"/>
      <c r="BA76" s="263"/>
      <c r="BB76" s="263"/>
      <c r="BC76" s="263"/>
      <c r="BD76" s="264"/>
    </row>
    <row r="77" spans="1:56" ht="15.75" x14ac:dyDescent="0.25">
      <c r="A77" s="275" t="s">
        <v>40</v>
      </c>
      <c r="B77" s="276" t="s">
        <v>364</v>
      </c>
      <c r="E77" s="280"/>
      <c r="F77" s="287" t="s">
        <v>365</v>
      </c>
      <c r="G77" s="276" t="str">
        <f>VLOOKUP(F77,'[2]Mkt cap'!$G$4:$H$82,2,FALSE)</f>
        <v>TELEFONICA S.A.</v>
      </c>
      <c r="H77" s="280"/>
      <c r="I77" s="280"/>
      <c r="J77" s="280"/>
      <c r="K77" s="280"/>
      <c r="L77" s="280"/>
      <c r="M77" s="280"/>
      <c r="N77" s="280"/>
      <c r="O77" s="280"/>
      <c r="P77" s="280"/>
      <c r="Q77" s="280"/>
      <c r="R77" s="280"/>
      <c r="S77" s="280"/>
      <c r="T77" s="280"/>
      <c r="U77" s="280"/>
      <c r="V77" s="280"/>
      <c r="W77" s="280"/>
      <c r="X77" s="280"/>
      <c r="Y77" s="280"/>
      <c r="AA77" s="288"/>
      <c r="AC77" s="280"/>
      <c r="AD77" s="280"/>
      <c r="AE77" s="280"/>
      <c r="AF77" s="280"/>
      <c r="AG77" s="280"/>
      <c r="AH77" s="280"/>
      <c r="AI77" s="280"/>
      <c r="AQ77" s="280"/>
      <c r="AR77" s="280"/>
      <c r="AS77" s="280"/>
      <c r="AT77" s="280"/>
      <c r="AU77" s="280"/>
      <c r="AV77" s="283"/>
      <c r="AW77" s="283"/>
      <c r="AX77" s="283"/>
      <c r="AY77" s="284"/>
      <c r="AZ77" s="284"/>
      <c r="BA77" s="263"/>
      <c r="BB77" s="263"/>
      <c r="BC77" s="263"/>
      <c r="BD77" s="264"/>
    </row>
    <row r="78" spans="1:56" ht="15.75" x14ac:dyDescent="0.25">
      <c r="A78" s="275" t="s">
        <v>50</v>
      </c>
      <c r="B78" s="276" t="s">
        <v>366</v>
      </c>
      <c r="D78" s="177"/>
      <c r="E78" s="277"/>
      <c r="F78" s="287" t="s">
        <v>30</v>
      </c>
      <c r="G78" s="276" t="str">
        <f>VLOOKUP(F78,'[2]Mkt cap'!$G$4:$H$82,2,FALSE)</f>
        <v>TGLT S.A.</v>
      </c>
      <c r="H78" s="280"/>
      <c r="I78" s="280"/>
      <c r="J78" s="280"/>
      <c r="K78" s="280"/>
      <c r="L78" s="280"/>
      <c r="M78" s="280"/>
      <c r="N78" s="280"/>
      <c r="O78" s="280"/>
      <c r="P78" s="280"/>
      <c r="Q78" s="280"/>
      <c r="R78" s="280"/>
      <c r="S78" s="280"/>
      <c r="T78" s="280"/>
      <c r="U78" s="280"/>
      <c r="V78" s="280"/>
      <c r="W78" s="280"/>
      <c r="X78" s="280"/>
      <c r="Y78" s="280"/>
      <c r="AA78" s="288"/>
      <c r="AC78" s="280"/>
      <c r="AD78" s="280"/>
      <c r="AE78" s="280"/>
      <c r="AF78" s="280"/>
      <c r="AG78" s="280"/>
      <c r="AH78" s="280"/>
      <c r="AI78" s="280"/>
      <c r="AQ78" s="280"/>
      <c r="AR78" s="280"/>
      <c r="AS78" s="280"/>
      <c r="AT78" s="280"/>
      <c r="AU78" s="280"/>
      <c r="AV78" s="283"/>
      <c r="AW78" s="283"/>
      <c r="AX78" s="283"/>
      <c r="AY78" s="284"/>
      <c r="AZ78" s="284"/>
      <c r="BA78" s="263"/>
      <c r="BB78" s="263"/>
      <c r="BC78" s="263"/>
      <c r="BD78" s="264"/>
    </row>
    <row r="79" spans="1:56" ht="15.75" x14ac:dyDescent="0.25">
      <c r="A79" s="275" t="s">
        <v>367</v>
      </c>
      <c r="B79" s="276" t="s">
        <v>368</v>
      </c>
      <c r="D79" s="177"/>
      <c r="E79" s="277"/>
      <c r="F79" s="287" t="s">
        <v>17</v>
      </c>
      <c r="G79" s="276" t="str">
        <f>VLOOKUP(F79,'[2]Mkt cap'!$G$4:$H$82,2,FALSE)</f>
        <v>TRANSPORTADORA DE GAS DEL NORTE S.A.</v>
      </c>
      <c r="H79" s="280"/>
      <c r="I79" s="280"/>
      <c r="J79" s="280"/>
      <c r="K79" s="280"/>
      <c r="L79" s="280"/>
      <c r="M79" s="280"/>
      <c r="N79" s="280"/>
      <c r="O79" s="280"/>
      <c r="P79" s="280"/>
      <c r="Q79" s="280"/>
      <c r="R79" s="280"/>
      <c r="S79" s="280"/>
      <c r="T79" s="280"/>
      <c r="U79" s="280"/>
      <c r="V79" s="280"/>
      <c r="W79" s="280"/>
      <c r="X79" s="280"/>
      <c r="Y79" s="280"/>
      <c r="AA79" s="288"/>
      <c r="AC79" s="280"/>
      <c r="AD79" s="280"/>
      <c r="AE79" s="280"/>
      <c r="AF79" s="280"/>
      <c r="AG79" s="280"/>
      <c r="AH79" s="280"/>
      <c r="AI79" s="280"/>
      <c r="AQ79" s="280"/>
      <c r="AR79" s="280"/>
      <c r="AS79" s="280"/>
      <c r="AT79" s="280"/>
      <c r="AU79" s="280"/>
      <c r="AV79" s="283"/>
      <c r="AW79" s="283"/>
      <c r="AX79" s="283"/>
      <c r="AY79" s="284"/>
      <c r="AZ79" s="284"/>
      <c r="BA79" s="263"/>
      <c r="BB79" s="263"/>
      <c r="BC79" s="263"/>
      <c r="BD79" s="264"/>
    </row>
    <row r="80" spans="1:56" ht="15.75" x14ac:dyDescent="0.25">
      <c r="A80" s="275" t="s">
        <v>75</v>
      </c>
      <c r="B80" s="276" t="s">
        <v>369</v>
      </c>
      <c r="D80" s="177"/>
      <c r="E80" s="277"/>
      <c r="F80" s="287" t="s">
        <v>29</v>
      </c>
      <c r="G80" s="276" t="str">
        <f>VLOOKUP(F80,'[2]Mkt cap'!$G$4:$H$82,2,FALSE)</f>
        <v>TRANSPORTADORA DE GAS DEL SUR S.A.</v>
      </c>
      <c r="H80" s="280"/>
      <c r="I80" s="280"/>
      <c r="J80" s="280"/>
      <c r="K80" s="280"/>
      <c r="L80" s="280"/>
      <c r="M80" s="280"/>
      <c r="N80" s="280"/>
      <c r="O80" s="280"/>
      <c r="P80" s="280"/>
      <c r="Q80" s="280"/>
      <c r="R80" s="280"/>
      <c r="S80" s="280"/>
      <c r="T80" s="280"/>
      <c r="U80" s="280"/>
      <c r="V80" s="280"/>
      <c r="W80" s="280"/>
      <c r="X80" s="280"/>
      <c r="Y80" s="280"/>
      <c r="AA80" s="288"/>
      <c r="AC80" s="280"/>
      <c r="AD80" s="280"/>
      <c r="AE80" s="280"/>
      <c r="AF80" s="280"/>
      <c r="AG80" s="280"/>
      <c r="AH80" s="280"/>
      <c r="AI80" s="280"/>
      <c r="AQ80" s="280"/>
      <c r="AR80" s="280"/>
      <c r="AS80" s="280"/>
      <c r="AT80" s="280"/>
      <c r="AU80" s="280"/>
      <c r="AV80" s="283"/>
      <c r="AW80" s="283"/>
      <c r="AX80" s="283"/>
      <c r="AY80" s="284"/>
      <c r="AZ80" s="284"/>
      <c r="BA80" s="263"/>
      <c r="BB80" s="263"/>
      <c r="BC80" s="263"/>
      <c r="BD80" s="264"/>
    </row>
    <row r="81" spans="1:56" ht="15.75" x14ac:dyDescent="0.25">
      <c r="A81" s="275" t="s">
        <v>79</v>
      </c>
      <c r="B81" s="276" t="s">
        <v>370</v>
      </c>
      <c r="D81" s="177"/>
      <c r="E81" s="277"/>
      <c r="F81" s="287" t="s">
        <v>78</v>
      </c>
      <c r="G81" s="276" t="str">
        <f>VLOOKUP(F81,'[2]Mkt cap'!$G$4:$H$82,2,FALSE)</f>
        <v>TRANSENER CIA. DE TRANSP. DE ENERGIA ELECTR. EN ALTA TENSION</v>
      </c>
      <c r="H81" s="280"/>
      <c r="I81" s="280"/>
      <c r="J81" s="280"/>
      <c r="K81" s="280"/>
      <c r="L81" s="280"/>
      <c r="M81" s="280"/>
      <c r="N81" s="280"/>
      <c r="O81" s="280"/>
      <c r="P81" s="280"/>
      <c r="Q81" s="280"/>
      <c r="R81" s="280"/>
      <c r="S81" s="280"/>
      <c r="T81" s="280"/>
      <c r="U81" s="280"/>
      <c r="V81" s="280"/>
      <c r="W81" s="280"/>
      <c r="X81" s="280"/>
      <c r="Y81" s="280"/>
      <c r="AA81" s="288"/>
      <c r="AC81" s="280"/>
      <c r="AD81" s="280"/>
      <c r="AE81" s="280"/>
      <c r="AF81" s="280"/>
      <c r="AG81" s="280"/>
      <c r="AH81" s="280"/>
      <c r="AI81" s="280"/>
      <c r="AQ81" s="280"/>
      <c r="AR81" s="280"/>
      <c r="AS81" s="280"/>
      <c r="AT81" s="280"/>
      <c r="AU81" s="280"/>
      <c r="AV81" s="283"/>
      <c r="AW81" s="283"/>
      <c r="AX81" s="283"/>
      <c r="AY81" s="284"/>
      <c r="AZ81" s="284"/>
      <c r="BA81" s="263"/>
      <c r="BB81" s="263"/>
      <c r="BC81" s="263"/>
      <c r="BD81" s="264"/>
    </row>
    <row r="82" spans="1:56" ht="15.75" x14ac:dyDescent="0.25">
      <c r="A82" s="275" t="s">
        <v>8</v>
      </c>
      <c r="B82" s="276" t="s">
        <v>371</v>
      </c>
      <c r="D82" s="177"/>
      <c r="E82" s="277"/>
      <c r="F82" s="287" t="s">
        <v>72</v>
      </c>
      <c r="G82" s="276" t="str">
        <f>VLOOKUP(F82,'[2]Mkt cap'!$G$4:$H$82,2,FALSE)</f>
        <v>TENARIS S.A.</v>
      </c>
      <c r="H82" s="280"/>
      <c r="I82" s="280"/>
      <c r="J82" s="280"/>
      <c r="K82" s="280"/>
      <c r="L82" s="280"/>
      <c r="M82" s="280"/>
      <c r="N82" s="280"/>
      <c r="O82" s="280"/>
      <c r="P82" s="280"/>
      <c r="Q82" s="280"/>
      <c r="R82" s="280"/>
      <c r="S82" s="280"/>
      <c r="T82" s="280"/>
      <c r="U82" s="280"/>
      <c r="V82" s="280"/>
      <c r="W82" s="280"/>
      <c r="X82" s="280"/>
      <c r="Y82" s="280"/>
      <c r="AA82" s="288"/>
      <c r="AC82" s="280"/>
      <c r="AD82" s="280"/>
      <c r="AE82" s="280"/>
      <c r="AF82" s="280"/>
      <c r="AG82" s="280"/>
      <c r="AH82" s="280"/>
      <c r="AI82" s="280"/>
      <c r="AQ82" s="280"/>
      <c r="AR82" s="280"/>
      <c r="AS82" s="280"/>
      <c r="AT82" s="280"/>
      <c r="AU82" s="280"/>
      <c r="AV82" s="283"/>
      <c r="AW82" s="283"/>
      <c r="AX82" s="283"/>
      <c r="AY82" s="284"/>
      <c r="AZ82" s="284"/>
      <c r="BA82" s="263"/>
      <c r="BB82" s="263"/>
      <c r="BC82" s="263"/>
      <c r="BD82" s="264"/>
    </row>
    <row r="83" spans="1:56" ht="15.75" x14ac:dyDescent="0.25">
      <c r="A83" s="275" t="s">
        <v>67</v>
      </c>
      <c r="B83" s="276" t="s">
        <v>372</v>
      </c>
      <c r="D83" s="177"/>
      <c r="E83" s="277"/>
      <c r="F83" s="287" t="s">
        <v>13</v>
      </c>
      <c r="G83" s="276" t="str">
        <f>VLOOKUP(F83,'[2]Mkt cap'!$G$4:$H$82,2,FALSE)</f>
        <v>TERNIUM ARGENTINA S.A.</v>
      </c>
      <c r="H83" s="280"/>
      <c r="I83" s="280"/>
      <c r="J83" s="280"/>
      <c r="K83" s="280"/>
      <c r="L83" s="280"/>
      <c r="M83" s="280"/>
      <c r="N83" s="280"/>
      <c r="O83" s="280"/>
      <c r="P83" s="280"/>
      <c r="Q83" s="280"/>
      <c r="R83" s="280"/>
      <c r="S83" s="280"/>
      <c r="T83" s="280"/>
      <c r="U83" s="280"/>
      <c r="V83" s="280"/>
      <c r="W83" s="280"/>
      <c r="X83" s="280"/>
      <c r="Y83" s="280"/>
      <c r="AA83" s="288"/>
      <c r="AC83" s="280"/>
      <c r="AD83" s="280"/>
      <c r="AE83" s="280"/>
      <c r="AF83" s="280"/>
      <c r="AG83" s="280"/>
      <c r="AH83" s="280"/>
      <c r="AI83" s="280"/>
      <c r="AQ83" s="280"/>
      <c r="AR83" s="280"/>
      <c r="AS83" s="280"/>
      <c r="AT83" s="280"/>
      <c r="AU83" s="280"/>
      <c r="AV83" s="283"/>
      <c r="AW83" s="283"/>
      <c r="AX83" s="283"/>
      <c r="AY83" s="284"/>
      <c r="AZ83" s="284"/>
      <c r="BA83" s="263"/>
      <c r="BB83" s="263"/>
      <c r="BC83" s="263"/>
      <c r="BD83" s="264"/>
    </row>
    <row r="84" spans="1:56" ht="15.75" x14ac:dyDescent="0.25">
      <c r="A84" s="275" t="s">
        <v>74</v>
      </c>
      <c r="B84" s="276" t="s">
        <v>373</v>
      </c>
      <c r="D84" s="177"/>
      <c r="E84" s="277"/>
      <c r="F84" s="287" t="s">
        <v>25</v>
      </c>
      <c r="G84" s="276" t="str">
        <f>VLOOKUP(F84,'[2]Mkt cap'!$G$4:$H$82,2,FALSE)</f>
        <v>GRUPO FINANCIERO VALORES SOCIEDAD ANONIMA</v>
      </c>
      <c r="H84" s="280"/>
      <c r="I84" s="280"/>
      <c r="J84" s="280"/>
      <c r="K84" s="280"/>
      <c r="L84" s="280"/>
      <c r="M84" s="280"/>
      <c r="N84" s="280"/>
      <c r="O84" s="280"/>
      <c r="P84" s="280"/>
      <c r="Q84" s="280"/>
      <c r="R84" s="280"/>
      <c r="S84" s="280"/>
      <c r="T84" s="280"/>
      <c r="U84" s="280"/>
      <c r="V84" s="280"/>
      <c r="W84" s="280"/>
      <c r="X84" s="280"/>
      <c r="Y84" s="280"/>
      <c r="AA84" s="288"/>
      <c r="AC84" s="280"/>
      <c r="AD84" s="280"/>
      <c r="AE84" s="282"/>
      <c r="AF84" s="280"/>
      <c r="AG84" s="280"/>
      <c r="AH84" s="280"/>
      <c r="AI84" s="280"/>
      <c r="AQ84" s="280"/>
      <c r="AR84" s="280"/>
      <c r="AS84" s="280"/>
      <c r="AT84" s="280"/>
      <c r="AU84" s="280"/>
      <c r="AV84" s="283"/>
      <c r="AW84" s="283"/>
      <c r="AX84" s="283"/>
      <c r="AY84" s="284"/>
      <c r="AZ84" s="284"/>
      <c r="BA84" s="263"/>
      <c r="BB84" s="263"/>
      <c r="BC84" s="263"/>
      <c r="BD84" s="264"/>
    </row>
    <row r="85" spans="1:56" ht="15.75" x14ac:dyDescent="0.25">
      <c r="A85" s="275" t="s">
        <v>33</v>
      </c>
      <c r="B85" s="276" t="s">
        <v>374</v>
      </c>
      <c r="D85" s="177"/>
      <c r="E85" s="277"/>
      <c r="F85" s="292" t="s">
        <v>73</v>
      </c>
      <c r="G85" s="276" t="str">
        <f>VLOOKUP(F85,'[2]Mkt cap'!$G$4:$H$82,2,FALSE)</f>
        <v>YPF S.A.</v>
      </c>
      <c r="H85" s="280"/>
      <c r="I85" s="280"/>
      <c r="J85" s="280"/>
      <c r="K85" s="280"/>
      <c r="L85" s="280"/>
      <c r="M85" s="280"/>
      <c r="N85" s="280"/>
      <c r="O85" s="280"/>
      <c r="P85" s="280"/>
      <c r="Q85" s="280"/>
      <c r="R85" s="280"/>
      <c r="S85" s="280"/>
      <c r="T85" s="280"/>
      <c r="U85" s="280"/>
      <c r="V85" s="280"/>
      <c r="W85" s="280"/>
      <c r="X85" s="280"/>
      <c r="Y85" s="280"/>
      <c r="AA85" s="288"/>
      <c r="AC85" s="280"/>
      <c r="AD85" s="282"/>
      <c r="AE85" s="282"/>
      <c r="AF85" s="280"/>
      <c r="AG85" s="280"/>
      <c r="AH85" s="280"/>
      <c r="AI85" s="260"/>
      <c r="AQ85" s="260"/>
      <c r="AR85" s="260"/>
      <c r="AS85" s="260"/>
      <c r="AT85" s="280"/>
      <c r="AU85" s="280"/>
      <c r="AV85" s="283"/>
      <c r="AW85" s="283"/>
      <c r="AX85" s="283"/>
      <c r="AY85" s="284"/>
      <c r="AZ85" s="284"/>
      <c r="BA85" s="263"/>
      <c r="BB85" s="263"/>
      <c r="BC85" s="263"/>
      <c r="BD85" s="264"/>
    </row>
    <row r="86" spans="1:56" ht="15.75" x14ac:dyDescent="0.25">
      <c r="A86" s="292" t="s">
        <v>15</v>
      </c>
      <c r="B86" s="276" t="s">
        <v>375</v>
      </c>
      <c r="D86" s="177"/>
      <c r="E86" s="293"/>
      <c r="H86" s="280"/>
      <c r="I86" s="280"/>
      <c r="J86" s="280"/>
      <c r="K86" s="280"/>
      <c r="L86" s="280"/>
      <c r="M86" s="280"/>
      <c r="N86" s="280"/>
      <c r="O86" s="280"/>
      <c r="P86" s="280"/>
      <c r="Q86" s="280"/>
      <c r="R86" s="280"/>
      <c r="S86" s="280"/>
      <c r="T86" s="280"/>
      <c r="U86" s="280"/>
      <c r="V86" s="280"/>
      <c r="W86" s="280"/>
      <c r="X86" s="280"/>
      <c r="Y86" s="280"/>
      <c r="AA86" s="288"/>
      <c r="AC86" s="280"/>
      <c r="AD86" s="282"/>
      <c r="AE86" s="282"/>
      <c r="AF86" s="282"/>
      <c r="AG86" s="282"/>
      <c r="AH86" s="282"/>
      <c r="AI86" s="282"/>
      <c r="AQ86" s="282"/>
      <c r="AR86" s="282"/>
      <c r="AS86" s="282"/>
      <c r="AT86" s="280"/>
      <c r="AU86" s="280"/>
      <c r="AV86" s="283"/>
      <c r="AW86" s="283"/>
      <c r="AX86" s="283"/>
      <c r="AY86" s="284"/>
      <c r="AZ86" s="284"/>
      <c r="BA86" s="263"/>
      <c r="BB86" s="263"/>
      <c r="BC86" s="263"/>
      <c r="BD86" s="264"/>
    </row>
    <row r="87" spans="1:56" ht="15.75" x14ac:dyDescent="0.25">
      <c r="A87" s="292"/>
      <c r="B87" s="294"/>
      <c r="D87" s="177"/>
      <c r="E87" s="293"/>
      <c r="H87" s="280"/>
      <c r="I87" s="280"/>
      <c r="J87" s="280"/>
      <c r="K87" s="280"/>
      <c r="L87" s="280"/>
      <c r="M87" s="280"/>
      <c r="N87" s="280"/>
      <c r="O87" s="280"/>
      <c r="P87" s="280"/>
      <c r="Q87" s="280"/>
      <c r="R87" s="280"/>
      <c r="S87" s="280"/>
      <c r="T87" s="280"/>
      <c r="U87" s="280"/>
      <c r="V87" s="280"/>
      <c r="W87" s="280"/>
      <c r="X87" s="280"/>
      <c r="Y87" s="280"/>
      <c r="AA87" s="288"/>
      <c r="AC87" s="280"/>
      <c r="AD87" s="282"/>
      <c r="AE87" s="282"/>
      <c r="AF87" s="282"/>
      <c r="AG87" s="282"/>
      <c r="AH87" s="282"/>
      <c r="AI87" s="282"/>
      <c r="AQ87" s="282"/>
      <c r="AR87" s="282"/>
      <c r="AS87" s="282"/>
      <c r="AT87" s="280"/>
      <c r="AU87" s="280"/>
      <c r="AV87" s="283"/>
      <c r="AW87" s="283"/>
      <c r="AX87" s="283"/>
      <c r="AY87" s="284"/>
      <c r="AZ87" s="284"/>
      <c r="BA87" s="263"/>
      <c r="BB87" s="263"/>
      <c r="BC87" s="263"/>
      <c r="BD87" s="264"/>
    </row>
    <row r="88" spans="1:56" ht="15.75" x14ac:dyDescent="0.25">
      <c r="A88" s="258" t="s">
        <v>376</v>
      </c>
      <c r="B88" s="295"/>
      <c r="D88" s="296"/>
      <c r="E88" s="280"/>
      <c r="F88" s="28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c r="AI88" s="260"/>
      <c r="AJ88" s="260"/>
      <c r="AK88" s="260"/>
      <c r="AL88" s="260"/>
      <c r="AM88" s="260"/>
      <c r="AN88" s="259" t="s">
        <v>377</v>
      </c>
      <c r="AO88" s="260"/>
      <c r="AP88" s="260"/>
      <c r="AQ88" s="260"/>
      <c r="AR88" s="260"/>
      <c r="AS88" s="260"/>
      <c r="AT88" s="260"/>
      <c r="AU88" s="260"/>
      <c r="AV88" s="262"/>
      <c r="AW88" s="262"/>
      <c r="AX88" s="262"/>
      <c r="AY88" s="263"/>
      <c r="AZ88" s="263"/>
      <c r="BA88" s="263"/>
      <c r="BB88" s="263"/>
      <c r="BC88" s="263"/>
      <c r="BD88" s="264"/>
    </row>
    <row r="89" spans="1:56" ht="6" customHeight="1" x14ac:dyDescent="0.25">
      <c r="A89" s="295"/>
      <c r="B89" s="295"/>
      <c r="C89" s="297"/>
      <c r="D89" s="296"/>
      <c r="E89" s="280"/>
      <c r="F89" s="28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c r="AF89" s="260"/>
      <c r="AG89" s="260"/>
      <c r="AH89" s="260"/>
      <c r="AI89" s="260"/>
      <c r="AJ89" s="260"/>
      <c r="AK89" s="260"/>
      <c r="AL89" s="260"/>
      <c r="AM89" s="260"/>
      <c r="AN89" s="260"/>
      <c r="AO89" s="260"/>
      <c r="AP89" s="260"/>
      <c r="AQ89" s="260"/>
      <c r="AR89" s="260"/>
      <c r="AS89" s="260"/>
      <c r="AT89" s="260"/>
      <c r="AU89" s="260"/>
      <c r="AV89" s="262"/>
      <c r="AW89" s="262"/>
      <c r="AX89" s="262"/>
      <c r="AY89" s="263"/>
      <c r="AZ89" s="263"/>
      <c r="BA89" s="263"/>
      <c r="BB89" s="263"/>
      <c r="BC89" s="263"/>
      <c r="BD89" s="264"/>
    </row>
    <row r="90" spans="1:56" ht="15.75" x14ac:dyDescent="0.25">
      <c r="A90" s="298" t="s">
        <v>378</v>
      </c>
      <c r="B90" s="298"/>
      <c r="C90" s="299"/>
      <c r="D90" s="296"/>
      <c r="E90" s="298" t="s">
        <v>379</v>
      </c>
      <c r="F90" s="298"/>
      <c r="G90" s="299"/>
      <c r="H90" s="223"/>
      <c r="I90" s="298" t="s">
        <v>380</v>
      </c>
      <c r="J90" s="298"/>
      <c r="L90" s="260"/>
      <c r="M90" s="260"/>
      <c r="N90" s="260"/>
      <c r="O90" s="260"/>
      <c r="P90" s="260"/>
      <c r="Q90" s="31"/>
      <c r="R90" s="300"/>
      <c r="S90" s="300"/>
      <c r="T90" s="300"/>
      <c r="U90" s="300"/>
      <c r="V90" s="260"/>
      <c r="W90" s="260"/>
      <c r="X90" s="260"/>
      <c r="Y90" s="260"/>
      <c r="Z90" s="260"/>
      <c r="AC90" s="31"/>
      <c r="AD90" s="300"/>
      <c r="AE90" s="300"/>
      <c r="AF90" s="260"/>
      <c r="AG90" s="260"/>
      <c r="AH90" s="260"/>
      <c r="AI90" s="260"/>
      <c r="AJ90" s="260"/>
      <c r="AK90" s="260"/>
      <c r="AL90" s="260"/>
      <c r="AM90" s="260"/>
      <c r="AN90" s="301" t="s">
        <v>381</v>
      </c>
      <c r="AO90" s="260"/>
      <c r="AP90" s="260"/>
      <c r="AQ90" s="260"/>
      <c r="AR90" s="260"/>
      <c r="AS90" s="260"/>
      <c r="AT90" s="260"/>
      <c r="AU90" s="260"/>
      <c r="AV90" s="262"/>
      <c r="AW90" s="262"/>
      <c r="AX90" s="262"/>
      <c r="AY90" s="263"/>
      <c r="AZ90" s="263"/>
      <c r="BA90" s="263"/>
      <c r="BB90" s="263"/>
      <c r="BC90" s="263"/>
      <c r="BD90" s="264"/>
    </row>
    <row r="91" spans="1:56" ht="15.75" x14ac:dyDescent="0.25">
      <c r="A91" s="302" t="s">
        <v>4</v>
      </c>
      <c r="B91" s="302"/>
      <c r="C91" s="31"/>
      <c r="D91" s="296"/>
      <c r="E91" s="303" t="s">
        <v>4</v>
      </c>
      <c r="F91" s="303"/>
      <c r="G91" s="299"/>
      <c r="H91" s="223"/>
      <c r="I91" s="302" t="s">
        <v>4</v>
      </c>
      <c r="J91" s="302"/>
      <c r="L91" s="260"/>
      <c r="M91" s="260"/>
      <c r="N91" s="260"/>
      <c r="O91" s="260"/>
      <c r="P91" s="260"/>
      <c r="Q91" s="31"/>
      <c r="R91" s="304"/>
      <c r="S91" s="31"/>
      <c r="T91" s="304"/>
      <c r="U91" s="304"/>
      <c r="V91" s="260"/>
      <c r="W91" s="260"/>
      <c r="X91" s="260"/>
      <c r="Y91" s="260"/>
      <c r="Z91" s="260"/>
      <c r="AC91" s="31"/>
      <c r="AD91" s="304"/>
      <c r="AE91" s="304"/>
      <c r="AF91" s="260"/>
      <c r="AG91" s="260"/>
      <c r="AH91" s="260"/>
      <c r="AI91" s="260"/>
      <c r="AJ91" s="260"/>
      <c r="AK91" s="260"/>
      <c r="AL91" s="260"/>
      <c r="AM91" s="260"/>
      <c r="AN91" s="260"/>
      <c r="AO91" s="260"/>
      <c r="AP91" s="260"/>
      <c r="AQ91" s="260"/>
      <c r="AR91" s="260"/>
      <c r="AS91" s="260"/>
      <c r="AT91" s="260"/>
      <c r="AU91" s="260"/>
      <c r="AV91" s="262"/>
      <c r="AW91" s="262"/>
      <c r="AX91" s="262"/>
      <c r="AY91" s="263"/>
      <c r="AZ91" s="263"/>
      <c r="BA91" s="263"/>
      <c r="BB91" s="263"/>
      <c r="BC91" s="263"/>
      <c r="BD91" s="264"/>
    </row>
    <row r="92" spans="1:56" ht="15.75" x14ac:dyDescent="0.25">
      <c r="A92" s="305" t="s">
        <v>45</v>
      </c>
      <c r="B92" s="305"/>
      <c r="C92" s="38"/>
      <c r="D92" s="296"/>
      <c r="E92" s="306" t="s">
        <v>45</v>
      </c>
      <c r="F92" s="306"/>
      <c r="G92" s="290"/>
      <c r="H92" s="223"/>
      <c r="I92" s="305" t="s">
        <v>45</v>
      </c>
      <c r="J92" s="305"/>
      <c r="L92" s="260"/>
      <c r="M92" s="260"/>
      <c r="N92" s="260"/>
      <c r="O92" s="260"/>
      <c r="P92" s="260"/>
      <c r="Q92" s="31"/>
      <c r="R92" s="307"/>
      <c r="S92" s="31"/>
      <c r="T92" s="308"/>
      <c r="U92" s="308"/>
      <c r="V92" s="260"/>
      <c r="W92" s="260"/>
      <c r="X92" s="260"/>
      <c r="Y92" s="260"/>
      <c r="Z92" s="260"/>
      <c r="AC92" s="31"/>
      <c r="AD92" s="308"/>
      <c r="AE92" s="308"/>
      <c r="AF92" s="260"/>
      <c r="AG92" s="260"/>
      <c r="AH92" s="260"/>
      <c r="AI92" s="260"/>
      <c r="AJ92" s="260"/>
      <c r="AK92" s="260"/>
      <c r="AL92" s="260"/>
      <c r="AM92" s="260"/>
      <c r="AN92" s="301" t="s">
        <v>56</v>
      </c>
      <c r="AO92" s="260"/>
      <c r="AP92" s="260"/>
      <c r="AQ92" s="301" t="s">
        <v>75</v>
      </c>
      <c r="AR92" s="260"/>
      <c r="AS92" s="260"/>
      <c r="AT92" s="301" t="s">
        <v>46</v>
      </c>
      <c r="AU92" s="260"/>
      <c r="AV92" s="262"/>
      <c r="AW92" s="262"/>
      <c r="AX92" s="262"/>
      <c r="AY92" s="263"/>
      <c r="AZ92" s="263"/>
      <c r="BA92" s="263"/>
      <c r="BB92" s="263"/>
      <c r="BC92" s="263"/>
      <c r="BD92" s="264"/>
    </row>
    <row r="93" spans="1:56" ht="15.75" x14ac:dyDescent="0.25">
      <c r="A93" s="309" t="s">
        <v>65</v>
      </c>
      <c r="B93" s="309"/>
      <c r="C93" s="38"/>
      <c r="D93" s="310"/>
      <c r="E93" s="311" t="s">
        <v>47</v>
      </c>
      <c r="F93" s="311"/>
      <c r="G93" s="290"/>
      <c r="H93" s="223"/>
      <c r="I93" s="309" t="s">
        <v>60</v>
      </c>
      <c r="J93" s="309"/>
      <c r="L93" s="260"/>
      <c r="M93" s="260"/>
      <c r="N93" s="260"/>
      <c r="O93" s="260"/>
      <c r="P93" s="260"/>
      <c r="R93" s="282"/>
      <c r="T93" s="312"/>
      <c r="U93" s="312"/>
      <c r="V93" s="260"/>
      <c r="W93" s="260"/>
      <c r="X93" s="260"/>
      <c r="Y93" s="260"/>
      <c r="Z93" s="260"/>
      <c r="AD93" s="312"/>
      <c r="AE93" s="312"/>
      <c r="AF93" s="260"/>
      <c r="AG93" s="260"/>
      <c r="AH93" s="260"/>
      <c r="AI93" s="260"/>
      <c r="AJ93" s="260"/>
      <c r="AK93" s="260"/>
      <c r="AL93" s="260"/>
      <c r="AM93" s="260"/>
      <c r="AN93" s="301" t="s">
        <v>40</v>
      </c>
      <c r="AO93" s="260"/>
      <c r="AP93" s="260"/>
      <c r="AQ93" s="301" t="s">
        <v>68</v>
      </c>
      <c r="AR93" s="260"/>
      <c r="AS93" s="260"/>
      <c r="AT93" s="260"/>
      <c r="AU93" s="260"/>
      <c r="AV93" s="262"/>
      <c r="AW93" s="262"/>
      <c r="AX93" s="262"/>
      <c r="AY93" s="263"/>
      <c r="AZ93" s="263"/>
      <c r="BA93" s="263"/>
      <c r="BB93" s="263"/>
      <c r="BC93" s="263"/>
      <c r="BD93" s="264"/>
    </row>
    <row r="94" spans="1:56" ht="15.75" x14ac:dyDescent="0.25">
      <c r="A94" s="309" t="s">
        <v>47</v>
      </c>
      <c r="B94" s="309"/>
      <c r="C94" s="38"/>
      <c r="D94" s="310"/>
      <c r="E94" s="311" t="s">
        <v>65</v>
      </c>
      <c r="F94" s="311"/>
      <c r="G94" s="290"/>
      <c r="H94" s="223"/>
      <c r="I94" s="309" t="s">
        <v>47</v>
      </c>
      <c r="J94" s="309"/>
      <c r="L94" s="260"/>
      <c r="M94" s="260"/>
      <c r="N94" s="260"/>
      <c r="O94" s="260"/>
      <c r="P94" s="260"/>
      <c r="R94" s="313"/>
      <c r="T94" s="314"/>
      <c r="U94" s="314"/>
      <c r="V94" s="260"/>
      <c r="W94" s="260"/>
      <c r="X94" s="260"/>
      <c r="Y94" s="260"/>
      <c r="Z94" s="260"/>
      <c r="AD94" s="314"/>
      <c r="AE94" s="314"/>
      <c r="AF94" s="260"/>
      <c r="AG94" s="260"/>
      <c r="AH94" s="260"/>
      <c r="AI94" s="260"/>
      <c r="AJ94" s="260"/>
      <c r="AK94" s="260"/>
      <c r="AL94" s="260"/>
      <c r="AM94" s="260"/>
      <c r="AN94" s="260"/>
      <c r="AO94" s="260"/>
      <c r="AP94" s="260"/>
      <c r="AQ94" s="260"/>
      <c r="AR94" s="260"/>
      <c r="AS94" s="260"/>
      <c r="AT94" s="260"/>
      <c r="AU94" s="260"/>
      <c r="AV94" s="262"/>
      <c r="AW94" s="262"/>
      <c r="AX94" s="262"/>
      <c r="AY94" s="263"/>
      <c r="AZ94" s="263"/>
      <c r="BA94" s="263"/>
      <c r="BB94" s="263"/>
      <c r="BC94" s="263"/>
      <c r="BD94" s="264"/>
    </row>
    <row r="95" spans="1:56" ht="15.75" x14ac:dyDescent="0.25">
      <c r="A95" s="309" t="s">
        <v>21</v>
      </c>
      <c r="B95" s="309"/>
      <c r="C95" s="38"/>
      <c r="D95" s="296"/>
      <c r="E95" s="311" t="s">
        <v>21</v>
      </c>
      <c r="F95" s="311"/>
      <c r="G95" s="290"/>
      <c r="H95" s="223"/>
      <c r="I95" s="309" t="s">
        <v>65</v>
      </c>
      <c r="J95" s="309"/>
      <c r="L95" s="260"/>
      <c r="M95" s="260"/>
      <c r="N95" s="260"/>
      <c r="O95" s="260"/>
      <c r="P95" s="260"/>
      <c r="R95" s="282"/>
      <c r="T95" s="312"/>
      <c r="U95" s="312"/>
      <c r="V95" s="260"/>
      <c r="W95" s="260"/>
      <c r="X95" s="260"/>
      <c r="Y95" s="260"/>
      <c r="Z95" s="260"/>
      <c r="AD95" s="312"/>
      <c r="AE95" s="312"/>
      <c r="AF95" s="260"/>
      <c r="AG95" s="260"/>
      <c r="AH95" s="260"/>
      <c r="AI95" s="260"/>
      <c r="AJ95" s="260"/>
      <c r="AK95" s="260"/>
      <c r="AL95" s="260"/>
      <c r="AM95" s="260"/>
      <c r="AN95" s="260"/>
      <c r="AO95" s="260"/>
      <c r="AP95" s="260"/>
      <c r="AQ95" s="260"/>
      <c r="AR95" s="260"/>
      <c r="AS95" s="260"/>
      <c r="AT95" s="260"/>
      <c r="AU95" s="260"/>
      <c r="AV95" s="262"/>
      <c r="AW95" s="262"/>
      <c r="AX95" s="262"/>
      <c r="AY95" s="263"/>
      <c r="AZ95" s="263"/>
      <c r="BA95" s="263"/>
      <c r="BB95" s="263"/>
      <c r="BC95" s="263"/>
      <c r="BD95" s="264"/>
    </row>
    <row r="96" spans="1:56" ht="15.75" x14ac:dyDescent="0.25">
      <c r="A96" s="309" t="s">
        <v>71</v>
      </c>
      <c r="B96" s="309"/>
      <c r="C96" s="38"/>
      <c r="D96" s="296"/>
      <c r="E96" s="315" t="s">
        <v>61</v>
      </c>
      <c r="F96" s="315"/>
      <c r="G96" s="290"/>
      <c r="H96" s="223"/>
      <c r="I96" s="309" t="s">
        <v>21</v>
      </c>
      <c r="J96" s="309"/>
      <c r="L96" s="260"/>
      <c r="M96" s="260"/>
      <c r="N96" s="260"/>
      <c r="O96" s="260"/>
      <c r="P96" s="260"/>
      <c r="R96" s="313"/>
      <c r="T96" s="314"/>
      <c r="U96" s="314"/>
      <c r="V96" s="260"/>
      <c r="W96" s="260"/>
      <c r="X96" s="260"/>
      <c r="Y96" s="260"/>
      <c r="Z96" s="260"/>
      <c r="AD96" s="314"/>
      <c r="AE96" s="314"/>
      <c r="AF96" s="260"/>
      <c r="AG96" s="260"/>
      <c r="AH96" s="260"/>
      <c r="AI96" s="260"/>
      <c r="AJ96" s="260"/>
      <c r="AK96" s="260"/>
      <c r="AL96" s="260"/>
      <c r="AM96" s="260"/>
      <c r="AN96" s="260"/>
      <c r="AO96" s="260"/>
      <c r="AP96" s="260"/>
      <c r="AQ96" s="260"/>
      <c r="AR96" s="260"/>
      <c r="AS96" s="260"/>
      <c r="AT96" s="260"/>
      <c r="AU96" s="260"/>
      <c r="AV96" s="262"/>
      <c r="AW96" s="262"/>
      <c r="AX96" s="262"/>
      <c r="AY96" s="263"/>
      <c r="AZ96" s="263"/>
      <c r="BA96" s="263"/>
      <c r="BB96" s="263"/>
      <c r="BC96" s="263"/>
      <c r="BD96" s="264"/>
    </row>
    <row r="97" spans="1:56" ht="15.75" x14ac:dyDescent="0.25">
      <c r="A97" s="309" t="s">
        <v>61</v>
      </c>
      <c r="B97" s="309"/>
      <c r="C97" s="38"/>
      <c r="D97" s="296"/>
      <c r="E97" s="315" t="s">
        <v>27</v>
      </c>
      <c r="F97" s="315"/>
      <c r="G97" s="290"/>
      <c r="H97" s="223"/>
      <c r="I97" s="309" t="s">
        <v>61</v>
      </c>
      <c r="J97" s="309"/>
      <c r="L97" s="260"/>
      <c r="M97" s="260"/>
      <c r="N97" s="260"/>
      <c r="O97" s="260"/>
      <c r="P97" s="260"/>
      <c r="R97" s="282"/>
      <c r="T97" s="312"/>
      <c r="U97" s="312"/>
      <c r="V97" s="260"/>
      <c r="W97" s="260"/>
      <c r="X97" s="260"/>
      <c r="Y97" s="260"/>
      <c r="Z97" s="260"/>
      <c r="AD97" s="312"/>
      <c r="AE97" s="312"/>
      <c r="AF97" s="260"/>
      <c r="AG97" s="260"/>
      <c r="AH97" s="260"/>
      <c r="AI97" s="260"/>
      <c r="AJ97" s="260"/>
      <c r="AK97" s="260"/>
      <c r="AL97" s="260"/>
      <c r="AM97" s="260"/>
      <c r="AN97" s="260"/>
      <c r="AO97" s="260"/>
      <c r="AP97" s="260"/>
      <c r="AQ97" s="260"/>
      <c r="AR97" s="260"/>
      <c r="AS97" s="260"/>
      <c r="AT97" s="260"/>
      <c r="AU97" s="260"/>
      <c r="AV97" s="262"/>
      <c r="AW97" s="262"/>
      <c r="AX97" s="262"/>
      <c r="AY97" s="263"/>
      <c r="AZ97" s="263"/>
      <c r="BA97" s="263"/>
      <c r="BB97" s="263"/>
      <c r="BC97" s="263"/>
      <c r="BD97" s="264"/>
    </row>
    <row r="98" spans="1:56" ht="15.75" x14ac:dyDescent="0.25">
      <c r="A98" s="309" t="s">
        <v>22</v>
      </c>
      <c r="B98" s="309"/>
      <c r="C98" s="38"/>
      <c r="D98" s="310"/>
      <c r="E98" s="316" t="s">
        <v>22</v>
      </c>
      <c r="F98" s="316"/>
      <c r="G98" s="290"/>
      <c r="H98" s="223"/>
      <c r="I98" s="309" t="s">
        <v>27</v>
      </c>
      <c r="J98" s="309"/>
      <c r="L98" s="260"/>
      <c r="M98" s="260"/>
      <c r="N98" s="260"/>
      <c r="O98" s="260"/>
      <c r="P98" s="260" t="str">
        <f>IFERROR(VLOOKUP(B98,[1]Datos!$A:$E,5,FALSE)/1000000000,"-")</f>
        <v>-</v>
      </c>
      <c r="R98" s="313"/>
      <c r="T98" s="314"/>
      <c r="U98" s="314"/>
      <c r="V98" s="260"/>
      <c r="W98" s="260"/>
      <c r="X98" s="260"/>
      <c r="Y98" s="260"/>
      <c r="Z98" s="260"/>
      <c r="AD98" s="314"/>
      <c r="AE98" s="314"/>
      <c r="AF98" s="260"/>
      <c r="AG98" s="260"/>
      <c r="AH98" s="260"/>
      <c r="AI98" s="260"/>
      <c r="AJ98" s="260"/>
      <c r="AK98" s="260"/>
      <c r="AL98" s="260"/>
      <c r="AM98" s="260"/>
      <c r="AN98" s="260"/>
      <c r="AO98" s="260"/>
      <c r="AP98" s="260"/>
      <c r="AQ98" s="260"/>
      <c r="AR98" s="260"/>
      <c r="AS98" s="260"/>
      <c r="AT98" s="260"/>
      <c r="AU98" s="260"/>
      <c r="AV98" s="262"/>
      <c r="AW98" s="262"/>
      <c r="AX98" s="262"/>
      <c r="AY98" s="263"/>
      <c r="AZ98" s="263"/>
      <c r="BA98" s="263"/>
      <c r="BB98" s="263"/>
      <c r="BC98" s="263"/>
      <c r="BD98" s="264"/>
    </row>
    <row r="99" spans="1:56" ht="15.75" x14ac:dyDescent="0.25">
      <c r="A99" s="309" t="s">
        <v>49</v>
      </c>
      <c r="B99" s="309"/>
      <c r="C99" s="38"/>
      <c r="D99" s="310"/>
      <c r="E99" s="311" t="s">
        <v>71</v>
      </c>
      <c r="F99" s="311"/>
      <c r="G99" s="290"/>
      <c r="H99" s="223"/>
      <c r="I99" s="309" t="s">
        <v>22</v>
      </c>
      <c r="J99" s="309"/>
      <c r="L99" s="260"/>
      <c r="M99" s="260"/>
      <c r="N99" s="260"/>
      <c r="O99" s="260"/>
      <c r="P99" s="260"/>
      <c r="R99" s="282"/>
      <c r="T99" s="312"/>
      <c r="U99" s="312"/>
      <c r="V99" s="260"/>
      <c r="W99" s="260"/>
      <c r="X99" s="260"/>
      <c r="Y99" s="260"/>
      <c r="Z99" s="260"/>
      <c r="AD99" s="312"/>
      <c r="AE99" s="312"/>
      <c r="AF99" s="260"/>
      <c r="AG99" s="260"/>
      <c r="AH99" s="260"/>
      <c r="AI99" s="260"/>
      <c r="AJ99" s="260"/>
      <c r="AK99" s="260"/>
      <c r="AL99" s="260"/>
      <c r="AM99" s="260"/>
      <c r="AN99" s="260"/>
      <c r="AO99" s="260"/>
      <c r="AP99" s="260"/>
      <c r="AQ99" s="260"/>
      <c r="AR99" s="260"/>
      <c r="AS99" s="260"/>
      <c r="AT99" s="260"/>
      <c r="AU99" s="260"/>
      <c r="AV99" s="262"/>
      <c r="AW99" s="262"/>
      <c r="AX99" s="262"/>
      <c r="AY99" s="263"/>
      <c r="AZ99" s="263"/>
      <c r="BA99" s="263"/>
      <c r="BB99" s="263"/>
      <c r="BC99" s="263"/>
      <c r="BD99" s="264"/>
    </row>
    <row r="100" spans="1:56" ht="15.75" x14ac:dyDescent="0.25">
      <c r="A100" s="309" t="s">
        <v>67</v>
      </c>
      <c r="B100" s="309"/>
      <c r="C100" s="38"/>
      <c r="D100" s="310"/>
      <c r="E100" s="311" t="s">
        <v>49</v>
      </c>
      <c r="F100" s="311"/>
      <c r="G100" s="290"/>
      <c r="H100" s="223"/>
      <c r="I100" s="309" t="s">
        <v>71</v>
      </c>
      <c r="J100" s="309"/>
      <c r="L100" s="260"/>
      <c r="M100" s="260"/>
      <c r="N100" s="260"/>
      <c r="O100" s="260"/>
      <c r="P100" s="260"/>
      <c r="R100" s="313"/>
      <c r="T100" s="314"/>
      <c r="U100" s="314"/>
      <c r="V100" s="260"/>
      <c r="W100" s="260"/>
      <c r="X100" s="260"/>
      <c r="Y100" s="260"/>
      <c r="Z100" s="260"/>
      <c r="AD100" s="314"/>
      <c r="AE100" s="314"/>
      <c r="AF100" s="260"/>
      <c r="AG100" s="260"/>
      <c r="AH100" s="260"/>
      <c r="AI100" s="260"/>
      <c r="AJ100" s="260"/>
      <c r="AK100" s="260"/>
      <c r="AL100" s="260"/>
      <c r="AM100" s="260"/>
      <c r="AN100" s="260"/>
      <c r="AO100" s="260"/>
      <c r="AP100" s="260"/>
      <c r="AQ100" s="260"/>
      <c r="AR100" s="260"/>
      <c r="AS100" s="260"/>
      <c r="AT100" s="260"/>
      <c r="AU100" s="260"/>
      <c r="AV100" s="262"/>
      <c r="AW100" s="262"/>
      <c r="AX100" s="262"/>
      <c r="AY100" s="263"/>
      <c r="AZ100" s="263"/>
      <c r="BA100" s="263"/>
      <c r="BB100" s="263"/>
      <c r="BC100" s="263"/>
      <c r="BD100" s="264"/>
    </row>
    <row r="101" spans="1:56" ht="15.75" x14ac:dyDescent="0.25">
      <c r="A101" s="309" t="s">
        <v>25</v>
      </c>
      <c r="B101" s="309"/>
      <c r="C101" s="38"/>
      <c r="D101" s="310"/>
      <c r="E101" s="316" t="s">
        <v>67</v>
      </c>
      <c r="F101" s="316"/>
      <c r="G101" s="290"/>
      <c r="H101" s="223"/>
      <c r="I101" s="317" t="s">
        <v>32</v>
      </c>
      <c r="J101" s="317"/>
      <c r="L101" s="260"/>
      <c r="M101" s="260"/>
      <c r="N101" s="260"/>
      <c r="O101" s="260"/>
      <c r="P101" s="260"/>
      <c r="R101" s="282"/>
      <c r="T101" s="312"/>
      <c r="U101" s="312"/>
      <c r="V101" s="260"/>
      <c r="W101" s="260"/>
      <c r="X101" s="260"/>
      <c r="Y101" s="260"/>
      <c r="Z101" s="260"/>
      <c r="AD101" s="312"/>
      <c r="AE101" s="312"/>
      <c r="AF101" s="260"/>
      <c r="AG101" s="260"/>
      <c r="AH101" s="260"/>
      <c r="AI101" s="260"/>
      <c r="AJ101" s="260"/>
      <c r="AK101" s="260"/>
      <c r="AL101" s="260"/>
      <c r="AM101" s="260"/>
      <c r="AN101" s="260"/>
      <c r="AO101" s="260"/>
      <c r="AP101" s="260"/>
      <c r="AQ101" s="260"/>
      <c r="AR101" s="260"/>
      <c r="AS101" s="260"/>
      <c r="AT101" s="260"/>
      <c r="AU101" s="260"/>
      <c r="AV101" s="262"/>
      <c r="AW101" s="262"/>
      <c r="AX101" s="262"/>
      <c r="AY101" s="263"/>
      <c r="AZ101" s="263"/>
      <c r="BA101" s="263"/>
      <c r="BB101" s="263"/>
      <c r="BC101" s="263"/>
      <c r="BD101" s="264"/>
    </row>
    <row r="102" spans="1:56" ht="15.75" x14ac:dyDescent="0.25">
      <c r="A102" s="309" t="s">
        <v>382</v>
      </c>
      <c r="B102" s="309"/>
      <c r="C102" s="38"/>
      <c r="D102" s="310"/>
      <c r="E102" s="315" t="s">
        <v>14</v>
      </c>
      <c r="F102" s="315"/>
      <c r="G102" s="290"/>
      <c r="H102" s="223"/>
      <c r="I102" s="309" t="s">
        <v>49</v>
      </c>
      <c r="J102" s="309"/>
      <c r="L102" s="260"/>
      <c r="M102" s="260"/>
      <c r="N102" s="260"/>
      <c r="O102" s="260"/>
      <c r="P102" s="260"/>
      <c r="R102" s="313"/>
      <c r="T102" s="314"/>
      <c r="U102" s="314"/>
      <c r="V102" s="260"/>
      <c r="W102" s="260"/>
      <c r="X102" s="260"/>
      <c r="Y102" s="260"/>
      <c r="Z102" s="260"/>
      <c r="AD102" s="314"/>
      <c r="AE102" s="314"/>
      <c r="AF102" s="260"/>
      <c r="AG102" s="260"/>
      <c r="AH102" s="260"/>
      <c r="AI102" s="260"/>
      <c r="AJ102" s="260"/>
      <c r="AK102" s="260"/>
      <c r="AL102" s="260"/>
      <c r="AM102" s="260"/>
      <c r="AN102" s="260"/>
      <c r="AO102" s="260"/>
      <c r="AP102" s="260"/>
      <c r="AQ102" s="260"/>
      <c r="AR102" s="260"/>
      <c r="AS102" s="260"/>
      <c r="AT102" s="260"/>
      <c r="AU102" s="260"/>
      <c r="AV102" s="262"/>
      <c r="AW102" s="262"/>
      <c r="AX102" s="262"/>
      <c r="AY102" s="263"/>
      <c r="AZ102" s="263"/>
      <c r="BA102" s="263"/>
      <c r="BB102" s="263"/>
      <c r="BC102" s="263"/>
      <c r="BD102" s="264"/>
    </row>
    <row r="103" spans="1:56" ht="15.75" x14ac:dyDescent="0.25">
      <c r="A103" s="309" t="s">
        <v>14</v>
      </c>
      <c r="B103" s="309"/>
      <c r="C103" s="38"/>
      <c r="D103" s="310"/>
      <c r="E103" s="315" t="s">
        <v>70</v>
      </c>
      <c r="F103" s="315"/>
      <c r="G103" s="290"/>
      <c r="H103" s="223"/>
      <c r="I103" s="317" t="s">
        <v>67</v>
      </c>
      <c r="J103" s="317"/>
      <c r="L103" s="260"/>
      <c r="M103" s="260"/>
      <c r="N103" s="260"/>
      <c r="O103" s="260"/>
      <c r="P103" s="260"/>
      <c r="R103" s="282"/>
      <c r="T103" s="312"/>
      <c r="U103" s="312"/>
      <c r="V103" s="260"/>
      <c r="W103" s="260"/>
      <c r="X103" s="260"/>
      <c r="Y103" s="260"/>
      <c r="Z103" s="260"/>
      <c r="AD103" s="312"/>
      <c r="AE103" s="312"/>
      <c r="AF103" s="260"/>
      <c r="AG103" s="260"/>
      <c r="AH103" s="260"/>
      <c r="AI103" s="260"/>
      <c r="AJ103" s="260"/>
      <c r="AK103" s="260"/>
      <c r="AL103" s="260"/>
      <c r="AM103" s="260"/>
      <c r="AN103" s="260"/>
      <c r="AO103" s="260"/>
      <c r="AP103" s="260"/>
      <c r="AQ103" s="260"/>
      <c r="AR103" s="260"/>
      <c r="AS103" s="260"/>
      <c r="AT103" s="260"/>
      <c r="AU103" s="260"/>
      <c r="AV103" s="262"/>
      <c r="AW103" s="262"/>
      <c r="AX103" s="262"/>
      <c r="AY103" s="263"/>
      <c r="AZ103" s="263"/>
      <c r="BA103" s="263"/>
      <c r="BB103" s="263"/>
      <c r="BC103" s="263"/>
      <c r="BD103" s="264"/>
    </row>
    <row r="104" spans="1:56" ht="15.75" x14ac:dyDescent="0.25">
      <c r="A104" s="309" t="s">
        <v>70</v>
      </c>
      <c r="B104" s="309"/>
      <c r="C104" s="38"/>
      <c r="D104" s="310"/>
      <c r="E104" s="311" t="s">
        <v>382</v>
      </c>
      <c r="F104" s="311"/>
      <c r="G104" s="290"/>
      <c r="H104" s="223"/>
      <c r="I104" s="309" t="s">
        <v>63</v>
      </c>
      <c r="J104" s="309"/>
      <c r="L104" s="260"/>
      <c r="M104" s="260"/>
      <c r="N104" s="260"/>
      <c r="O104" s="260"/>
      <c r="P104" s="260"/>
      <c r="R104" s="313"/>
      <c r="T104" s="314"/>
      <c r="U104" s="314"/>
      <c r="V104" s="260"/>
      <c r="W104" s="260"/>
      <c r="X104" s="260"/>
      <c r="Y104" s="260"/>
      <c r="Z104" s="260"/>
      <c r="AD104" s="314"/>
      <c r="AE104" s="314"/>
      <c r="AF104" s="260"/>
      <c r="AG104" s="260"/>
      <c r="AH104" s="260"/>
      <c r="AI104" s="260"/>
      <c r="AJ104" s="260"/>
      <c r="AK104" s="260"/>
      <c r="AL104" s="260"/>
      <c r="AM104" s="260"/>
      <c r="AN104" s="260"/>
      <c r="AO104" s="260"/>
      <c r="AP104" s="260"/>
      <c r="AQ104" s="260"/>
      <c r="AR104" s="260"/>
      <c r="AS104" s="260"/>
      <c r="AT104" s="260"/>
      <c r="AU104" s="260"/>
      <c r="AV104" s="262"/>
      <c r="AW104" s="262"/>
      <c r="AX104" s="262"/>
      <c r="AY104" s="263"/>
      <c r="AZ104" s="263"/>
      <c r="BA104" s="263"/>
      <c r="BB104" s="263"/>
      <c r="BC104" s="263"/>
      <c r="BD104" s="264"/>
    </row>
    <row r="105" spans="1:56" ht="15.75" x14ac:dyDescent="0.25">
      <c r="A105" s="309" t="s">
        <v>27</v>
      </c>
      <c r="B105" s="309"/>
      <c r="C105" s="38"/>
      <c r="D105" s="310"/>
      <c r="E105" s="311" t="s">
        <v>17</v>
      </c>
      <c r="F105" s="311"/>
      <c r="G105" s="290"/>
      <c r="H105" s="223"/>
      <c r="I105" s="309" t="s">
        <v>12</v>
      </c>
      <c r="J105" s="309"/>
      <c r="L105" s="260"/>
      <c r="M105" s="260"/>
      <c r="N105" s="260"/>
      <c r="O105" s="260"/>
      <c r="P105" s="260"/>
      <c r="R105" s="282"/>
      <c r="T105" s="312"/>
      <c r="U105" s="312"/>
      <c r="V105" s="260"/>
      <c r="W105" s="260"/>
      <c r="X105" s="260"/>
      <c r="Y105" s="260"/>
      <c r="Z105" s="260"/>
      <c r="AD105" s="312"/>
      <c r="AE105" s="312"/>
      <c r="AF105" s="260"/>
      <c r="AG105" s="260"/>
      <c r="AH105" s="260"/>
      <c r="AI105" s="260"/>
      <c r="AJ105" s="260"/>
      <c r="AK105" s="260"/>
      <c r="AL105" s="260"/>
      <c r="AM105" s="260"/>
      <c r="AN105" s="260"/>
      <c r="AO105" s="260"/>
      <c r="AP105" s="260"/>
      <c r="AQ105" s="260"/>
      <c r="AR105" s="260"/>
      <c r="AS105" s="260"/>
      <c r="AT105" s="260"/>
      <c r="AU105" s="260"/>
      <c r="AV105" s="262"/>
      <c r="AW105" s="262"/>
      <c r="AX105" s="262"/>
      <c r="AY105" s="263"/>
      <c r="AZ105" s="263"/>
      <c r="BA105" s="263"/>
      <c r="BB105" s="263"/>
      <c r="BC105" s="263"/>
      <c r="BD105" s="264"/>
    </row>
    <row r="106" spans="1:56" ht="15.75" x14ac:dyDescent="0.25">
      <c r="A106" s="309" t="s">
        <v>19</v>
      </c>
      <c r="B106" s="309"/>
      <c r="C106" s="38"/>
      <c r="D106" s="310"/>
      <c r="E106" s="311" t="s">
        <v>29</v>
      </c>
      <c r="F106" s="311"/>
      <c r="G106" s="290"/>
      <c r="H106" s="223"/>
      <c r="I106" s="309" t="s">
        <v>14</v>
      </c>
      <c r="J106" s="309"/>
      <c r="L106" s="260"/>
      <c r="M106" s="260"/>
      <c r="N106" s="260"/>
      <c r="O106" s="260"/>
      <c r="P106" s="260"/>
      <c r="R106" s="313"/>
      <c r="T106" s="314"/>
      <c r="U106" s="314"/>
      <c r="V106" s="260"/>
      <c r="W106" s="260"/>
      <c r="X106" s="260"/>
      <c r="Y106" s="260"/>
      <c r="Z106" s="260"/>
      <c r="AD106" s="314"/>
      <c r="AE106" s="314"/>
      <c r="AF106" s="260"/>
      <c r="AG106" s="260"/>
      <c r="AH106" s="260"/>
      <c r="AI106" s="260"/>
      <c r="AJ106" s="260"/>
      <c r="AK106" s="260"/>
      <c r="AL106" s="260"/>
      <c r="AM106" s="260"/>
      <c r="AN106" s="260"/>
      <c r="AO106" s="260"/>
      <c r="AP106" s="260"/>
      <c r="AQ106" s="260"/>
      <c r="AR106" s="260"/>
      <c r="AS106" s="260"/>
      <c r="AT106" s="260"/>
      <c r="AU106" s="260"/>
      <c r="AV106" s="262"/>
      <c r="AW106" s="262"/>
      <c r="AX106" s="262"/>
      <c r="AY106" s="263"/>
      <c r="AZ106" s="263"/>
      <c r="BA106" s="263"/>
      <c r="BB106" s="263"/>
      <c r="BC106" s="263"/>
      <c r="BD106" s="264"/>
    </row>
    <row r="107" spans="1:56" ht="15.75" x14ac:dyDescent="0.25">
      <c r="A107" s="309" t="s">
        <v>13</v>
      </c>
      <c r="B107" s="309"/>
      <c r="C107" s="38"/>
      <c r="D107" s="310"/>
      <c r="E107" s="311" t="s">
        <v>78</v>
      </c>
      <c r="F107" s="311"/>
      <c r="G107" s="290"/>
      <c r="H107" s="223"/>
      <c r="I107" s="309" t="s">
        <v>70</v>
      </c>
      <c r="J107" s="309"/>
      <c r="L107" s="260"/>
      <c r="M107" s="260"/>
      <c r="N107" s="260"/>
      <c r="O107" s="260"/>
      <c r="P107" s="260"/>
      <c r="R107" s="282"/>
      <c r="T107" s="312"/>
      <c r="U107" s="312"/>
      <c r="V107" s="260"/>
      <c r="W107" s="260"/>
      <c r="X107" s="260"/>
      <c r="Y107" s="260"/>
      <c r="Z107" s="260"/>
      <c r="AD107" s="312"/>
      <c r="AE107" s="312"/>
      <c r="AF107" s="260"/>
      <c r="AG107" s="260"/>
      <c r="AH107" s="260"/>
      <c r="AI107" s="260"/>
      <c r="AJ107" s="260"/>
      <c r="AK107" s="260"/>
      <c r="AL107" s="260"/>
      <c r="AM107" s="260"/>
      <c r="AN107" s="260"/>
      <c r="AO107" s="260"/>
      <c r="AP107" s="260"/>
      <c r="AQ107" s="260"/>
      <c r="AR107" s="260"/>
      <c r="AS107" s="260"/>
      <c r="AT107" s="260"/>
      <c r="AU107" s="260"/>
      <c r="AV107" s="262"/>
      <c r="AW107" s="262"/>
      <c r="AX107" s="262"/>
      <c r="AY107" s="263"/>
      <c r="AZ107" s="263"/>
      <c r="BA107" s="263"/>
      <c r="BB107" s="263"/>
      <c r="BC107" s="263"/>
      <c r="BD107" s="264"/>
    </row>
    <row r="108" spans="1:56" ht="15.75" x14ac:dyDescent="0.25">
      <c r="A108" s="309" t="s">
        <v>78</v>
      </c>
      <c r="B108" s="309"/>
      <c r="C108" s="38"/>
      <c r="D108" s="296"/>
      <c r="E108" s="311" t="s">
        <v>13</v>
      </c>
      <c r="F108" s="311"/>
      <c r="G108" s="290"/>
      <c r="H108" s="223"/>
      <c r="I108" s="309" t="s">
        <v>382</v>
      </c>
      <c r="J108" s="309"/>
      <c r="L108" s="260"/>
      <c r="M108" s="260"/>
      <c r="N108" s="260"/>
      <c r="O108" s="260"/>
      <c r="P108" s="260"/>
      <c r="R108" s="313"/>
      <c r="T108" s="314"/>
      <c r="U108" s="314"/>
      <c r="V108" s="260"/>
      <c r="W108" s="260"/>
      <c r="X108" s="260"/>
      <c r="Y108" s="260"/>
      <c r="Z108" s="260"/>
      <c r="AD108" s="314"/>
      <c r="AE108" s="314"/>
      <c r="AF108" s="260"/>
      <c r="AG108" s="260"/>
      <c r="AH108" s="260"/>
      <c r="AI108" s="260"/>
      <c r="AJ108" s="260"/>
      <c r="AK108" s="260"/>
      <c r="AL108" s="260"/>
      <c r="AM108" s="260"/>
      <c r="AN108" s="260"/>
      <c r="AO108" s="260"/>
      <c r="AP108" s="260"/>
      <c r="AQ108" s="260"/>
      <c r="AR108" s="260"/>
      <c r="AS108" s="260"/>
      <c r="AT108" s="260"/>
      <c r="AU108" s="260"/>
      <c r="AV108" s="262"/>
      <c r="AW108" s="262"/>
      <c r="AX108" s="262"/>
      <c r="AY108" s="263"/>
      <c r="AZ108" s="263"/>
      <c r="BA108" s="263"/>
      <c r="BB108" s="263"/>
      <c r="BC108" s="263"/>
      <c r="BD108" s="264"/>
    </row>
    <row r="109" spans="1:56" ht="15.75" x14ac:dyDescent="0.25">
      <c r="A109" s="309" t="s">
        <v>17</v>
      </c>
      <c r="B109" s="309"/>
      <c r="C109" s="38"/>
      <c r="D109" s="296"/>
      <c r="E109" s="311" t="s">
        <v>25</v>
      </c>
      <c r="F109" s="311"/>
      <c r="G109" s="290"/>
      <c r="H109" s="223"/>
      <c r="I109" s="309" t="s">
        <v>19</v>
      </c>
      <c r="J109" s="309"/>
      <c r="L109" s="260"/>
      <c r="M109" s="260"/>
      <c r="N109" s="260"/>
      <c r="O109" s="260"/>
      <c r="P109" s="260"/>
      <c r="R109" s="281"/>
      <c r="S109" s="31"/>
      <c r="T109" s="318"/>
      <c r="U109" s="318"/>
      <c r="V109" s="260"/>
      <c r="W109" s="260"/>
      <c r="X109" s="260"/>
      <c r="Y109" s="260"/>
      <c r="Z109" s="260"/>
      <c r="AC109" s="31"/>
      <c r="AD109" s="318"/>
      <c r="AE109" s="318"/>
      <c r="AF109" s="260"/>
      <c r="AG109" s="260"/>
      <c r="AH109" s="260"/>
      <c r="AI109" s="260"/>
      <c r="AJ109" s="260"/>
      <c r="AK109" s="260"/>
      <c r="AL109" s="260"/>
      <c r="AM109" s="260"/>
      <c r="AN109" s="260"/>
      <c r="AO109" s="260"/>
      <c r="AP109" s="260"/>
      <c r="AQ109" s="260"/>
      <c r="AR109" s="260"/>
      <c r="AS109" s="260"/>
      <c r="AT109" s="260"/>
      <c r="AU109" s="260"/>
      <c r="AV109" s="262"/>
      <c r="AW109" s="262"/>
      <c r="AX109" s="262"/>
      <c r="AY109" s="263"/>
      <c r="AZ109" s="263"/>
      <c r="BA109" s="263"/>
      <c r="BB109" s="263"/>
      <c r="BC109" s="263"/>
      <c r="BD109" s="264"/>
    </row>
    <row r="110" spans="1:56" ht="15.75" x14ac:dyDescent="0.25">
      <c r="A110" s="309" t="s">
        <v>29</v>
      </c>
      <c r="B110" s="309"/>
      <c r="C110" s="38"/>
      <c r="D110" s="296"/>
      <c r="E110" s="319" t="s">
        <v>73</v>
      </c>
      <c r="F110" s="319"/>
      <c r="G110" s="290"/>
      <c r="H110" s="223"/>
      <c r="I110" s="309" t="s">
        <v>17</v>
      </c>
      <c r="J110" s="309"/>
      <c r="L110" s="260"/>
      <c r="M110" s="260"/>
      <c r="N110" s="260"/>
      <c r="O110" s="260"/>
      <c r="P110" s="260"/>
      <c r="R110" s="307"/>
      <c r="S110" s="31"/>
      <c r="T110" s="308"/>
      <c r="U110" s="308"/>
      <c r="V110" s="260"/>
      <c r="W110" s="260"/>
      <c r="X110" s="260"/>
      <c r="Y110" s="260"/>
      <c r="Z110" s="260"/>
      <c r="AC110" s="31"/>
      <c r="AD110" s="308"/>
      <c r="AE110" s="308"/>
      <c r="AF110" s="260"/>
      <c r="AG110" s="260"/>
      <c r="AH110" s="260"/>
      <c r="AI110" s="260"/>
      <c r="AJ110" s="260"/>
      <c r="AK110" s="260"/>
      <c r="AL110" s="260"/>
      <c r="AM110" s="260"/>
      <c r="AN110" s="260"/>
      <c r="AO110" s="260"/>
      <c r="AP110" s="260"/>
      <c r="AQ110" s="260"/>
      <c r="AR110" s="260"/>
      <c r="AS110" s="260"/>
      <c r="AT110" s="260"/>
      <c r="AU110" s="260"/>
      <c r="AV110" s="262"/>
      <c r="AW110" s="262"/>
      <c r="AX110" s="262"/>
      <c r="AY110" s="263"/>
      <c r="AZ110" s="263"/>
      <c r="BA110" s="263"/>
      <c r="BB110" s="263"/>
      <c r="BC110" s="263"/>
      <c r="BD110" s="264"/>
    </row>
    <row r="111" spans="1:56" ht="15.75" x14ac:dyDescent="0.25">
      <c r="A111" s="320" t="s">
        <v>73</v>
      </c>
      <c r="B111" s="320"/>
      <c r="C111" s="38"/>
      <c r="D111" s="310"/>
      <c r="E111" s="277"/>
      <c r="F111" s="38"/>
      <c r="G111" s="290"/>
      <c r="H111" s="223"/>
      <c r="I111" s="309" t="s">
        <v>29</v>
      </c>
      <c r="J111" s="309"/>
      <c r="L111" s="260"/>
      <c r="M111" s="260"/>
      <c r="N111" s="260"/>
      <c r="O111" s="260"/>
      <c r="P111" s="260"/>
      <c r="Q111" s="260"/>
      <c r="R111" s="260"/>
      <c r="S111" s="260"/>
      <c r="T111" s="260"/>
      <c r="U111" s="260"/>
      <c r="V111" s="260"/>
      <c r="W111" s="260"/>
      <c r="X111" s="260"/>
      <c r="Y111" s="260"/>
      <c r="Z111" s="260"/>
      <c r="AC111" s="31"/>
      <c r="AD111" s="318"/>
      <c r="AE111" s="318"/>
      <c r="AF111" s="260"/>
      <c r="AG111" s="260"/>
      <c r="AH111" s="260"/>
      <c r="AI111" s="260"/>
      <c r="AJ111" s="260"/>
      <c r="AK111" s="260"/>
      <c r="AL111" s="260"/>
      <c r="AM111" s="260"/>
      <c r="AN111" s="260"/>
      <c r="AO111" s="260"/>
      <c r="AP111" s="260"/>
      <c r="AQ111" s="260"/>
      <c r="AR111" s="260"/>
      <c r="AS111" s="260"/>
      <c r="AT111" s="260"/>
      <c r="AU111" s="260"/>
      <c r="AV111" s="262"/>
      <c r="AW111" s="262"/>
      <c r="AX111" s="262"/>
      <c r="AY111" s="263"/>
      <c r="AZ111" s="263"/>
      <c r="BA111" s="263"/>
      <c r="BB111" s="263"/>
      <c r="BC111" s="263"/>
      <c r="BD111" s="264"/>
    </row>
    <row r="112" spans="1:56" ht="15.75" x14ac:dyDescent="0.25">
      <c r="A112" s="295"/>
      <c r="B112" s="295"/>
      <c r="C112" s="295"/>
      <c r="D112" s="296"/>
      <c r="E112" s="280"/>
      <c r="F112" s="38"/>
      <c r="G112" s="290"/>
      <c r="H112" s="223"/>
      <c r="I112" s="309" t="s">
        <v>78</v>
      </c>
      <c r="J112" s="309"/>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260"/>
      <c r="AL112" s="260"/>
      <c r="AM112" s="260"/>
      <c r="AN112" s="260"/>
      <c r="AO112" s="260"/>
      <c r="AP112" s="260"/>
      <c r="AQ112" s="260"/>
      <c r="AR112" s="260"/>
      <c r="AS112" s="260"/>
      <c r="AT112" s="260"/>
      <c r="AU112" s="260"/>
      <c r="AV112" s="262"/>
      <c r="AW112" s="262"/>
      <c r="AX112" s="262"/>
      <c r="AY112" s="263"/>
      <c r="AZ112" s="263"/>
      <c r="BA112" s="263"/>
      <c r="BB112" s="263"/>
      <c r="BC112" s="263"/>
      <c r="BD112" s="264"/>
    </row>
    <row r="113" spans="1:56" ht="15.75" x14ac:dyDescent="0.25">
      <c r="A113" s="321"/>
      <c r="B113" s="295"/>
      <c r="C113" s="295"/>
      <c r="D113" s="296"/>
      <c r="E113" s="280"/>
      <c r="F113" s="38"/>
      <c r="G113" s="290"/>
      <c r="H113" s="223"/>
      <c r="I113" s="309" t="s">
        <v>72</v>
      </c>
      <c r="J113" s="309"/>
      <c r="L113" s="260"/>
      <c r="M113" s="260"/>
      <c r="N113" s="260"/>
      <c r="O113" s="260"/>
      <c r="P113" s="260"/>
      <c r="Q113" s="260"/>
      <c r="R113" s="260"/>
      <c r="S113" s="260"/>
      <c r="T113" s="260"/>
      <c r="U113" s="260"/>
      <c r="V113" s="260"/>
      <c r="W113" s="260"/>
      <c r="X113" s="260"/>
      <c r="Y113" s="260"/>
      <c r="Z113" s="260"/>
      <c r="AA113" s="260"/>
      <c r="AB113" s="260"/>
      <c r="AC113" s="260"/>
      <c r="AD113" s="260"/>
      <c r="AE113" s="260"/>
      <c r="AF113" s="260"/>
      <c r="AG113" s="260"/>
      <c r="AH113" s="260"/>
      <c r="AI113" s="260"/>
      <c r="AJ113" s="260"/>
      <c r="AK113" s="260"/>
      <c r="AL113" s="260"/>
      <c r="AM113" s="260"/>
      <c r="AN113" s="260"/>
      <c r="AO113" s="260"/>
      <c r="AP113" s="260"/>
      <c r="AQ113" s="260"/>
      <c r="AR113" s="260"/>
      <c r="AS113" s="260"/>
      <c r="AT113" s="260"/>
      <c r="AU113" s="260"/>
      <c r="AV113" s="262"/>
      <c r="AW113" s="262"/>
      <c r="AX113" s="262"/>
      <c r="AY113" s="263"/>
      <c r="AZ113" s="263"/>
      <c r="BA113" s="263"/>
      <c r="BB113" s="263"/>
      <c r="BC113" s="263"/>
      <c r="BD113" s="264"/>
    </row>
    <row r="114" spans="1:56" ht="15.75" x14ac:dyDescent="0.25">
      <c r="A114" s="296" t="s">
        <v>383</v>
      </c>
      <c r="B114" s="295"/>
      <c r="C114" s="295"/>
      <c r="D114" s="296"/>
      <c r="E114" s="280"/>
      <c r="F114" s="38"/>
      <c r="G114" s="290"/>
      <c r="H114" s="223"/>
      <c r="I114" s="309" t="s">
        <v>13</v>
      </c>
      <c r="J114" s="309"/>
      <c r="L114" s="260"/>
      <c r="M114" s="260"/>
      <c r="N114" s="260"/>
      <c r="O114" s="260"/>
      <c r="P114" s="260"/>
      <c r="Q114" s="260"/>
      <c r="R114" s="260"/>
      <c r="S114" s="260"/>
      <c r="T114" s="260"/>
      <c r="U114" s="260"/>
      <c r="V114" s="260"/>
      <c r="W114" s="260"/>
      <c r="X114" s="260"/>
      <c r="Y114" s="260"/>
      <c r="Z114" s="260"/>
      <c r="AA114" s="260"/>
      <c r="AB114" s="260"/>
      <c r="AC114" s="260"/>
      <c r="AD114" s="260"/>
      <c r="AE114" s="260"/>
      <c r="AF114" s="260"/>
      <c r="AG114" s="260"/>
      <c r="AH114" s="260"/>
      <c r="AI114" s="260"/>
      <c r="AJ114" s="260"/>
      <c r="AK114" s="260"/>
      <c r="AL114" s="260"/>
      <c r="AM114" s="260"/>
      <c r="AN114" s="260"/>
      <c r="AO114" s="260"/>
      <c r="AP114" s="260"/>
      <c r="AQ114" s="260"/>
      <c r="AR114" s="260"/>
      <c r="AS114" s="260"/>
      <c r="AT114" s="260"/>
      <c r="AU114" s="260"/>
      <c r="AV114" s="262"/>
      <c r="AW114" s="262"/>
      <c r="AX114" s="262"/>
      <c r="AY114" s="263"/>
      <c r="AZ114" s="263"/>
      <c r="BA114" s="263"/>
      <c r="BB114" s="263"/>
      <c r="BC114" s="263"/>
      <c r="BD114" s="264"/>
    </row>
    <row r="115" spans="1:56" ht="15.75" x14ac:dyDescent="0.25">
      <c r="B115" s="295"/>
      <c r="C115" s="295"/>
      <c r="D115" s="310"/>
      <c r="E115" s="277"/>
      <c r="F115" s="38"/>
      <c r="G115" s="290"/>
      <c r="H115" s="223"/>
      <c r="I115" s="309" t="s">
        <v>25</v>
      </c>
      <c r="J115" s="309"/>
      <c r="L115" s="260"/>
      <c r="M115" s="260"/>
      <c r="N115" s="260"/>
      <c r="O115" s="260"/>
      <c r="P115" s="260"/>
      <c r="Q115" s="260"/>
      <c r="R115" s="260"/>
      <c r="S115" s="260"/>
      <c r="T115" s="260"/>
      <c r="U115" s="260"/>
      <c r="V115" s="260"/>
      <c r="W115" s="260"/>
      <c r="X115" s="260"/>
      <c r="Y115" s="260"/>
      <c r="Z115" s="260"/>
      <c r="AA115" s="260"/>
      <c r="AB115" s="260"/>
      <c r="AC115" s="260"/>
      <c r="AD115" s="260"/>
      <c r="AE115" s="260"/>
      <c r="AF115" s="260"/>
      <c r="AG115" s="260"/>
      <c r="AH115" s="260"/>
      <c r="AI115" s="260"/>
      <c r="AJ115" s="260"/>
      <c r="AK115" s="260"/>
      <c r="AL115" s="260"/>
      <c r="AM115" s="260"/>
      <c r="AN115" s="260"/>
      <c r="AO115" s="260"/>
      <c r="AP115" s="260"/>
      <c r="AQ115" s="260"/>
      <c r="AR115" s="260"/>
      <c r="AS115" s="260"/>
      <c r="AT115" s="260"/>
      <c r="AU115" s="260"/>
      <c r="AV115" s="262"/>
      <c r="AW115" s="262"/>
      <c r="AX115" s="262"/>
      <c r="AY115" s="263"/>
      <c r="AZ115" s="263"/>
      <c r="BA115" s="263"/>
      <c r="BB115" s="263"/>
      <c r="BC115" s="263"/>
      <c r="BD115" s="264"/>
    </row>
    <row r="116" spans="1:56" ht="15.75" x14ac:dyDescent="0.25">
      <c r="A116" s="38"/>
      <c r="B116" s="295"/>
      <c r="C116" s="295"/>
      <c r="D116" s="310"/>
      <c r="E116" s="277"/>
      <c r="F116" s="223"/>
      <c r="G116" s="290"/>
      <c r="H116" s="223"/>
      <c r="I116" s="320" t="s">
        <v>73</v>
      </c>
      <c r="J116" s="320"/>
      <c r="L116" s="260"/>
      <c r="M116" s="260"/>
      <c r="N116" s="260"/>
      <c r="O116" s="260"/>
      <c r="P116" s="260"/>
      <c r="Q116" s="260"/>
      <c r="R116" s="260"/>
      <c r="S116" s="260"/>
      <c r="T116" s="260"/>
      <c r="U116" s="260"/>
      <c r="V116" s="260"/>
      <c r="W116" s="260"/>
      <c r="X116" s="260"/>
      <c r="Y116" s="260"/>
      <c r="Z116" s="260"/>
      <c r="AA116" s="260"/>
      <c r="AB116" s="260"/>
      <c r="AC116" s="260"/>
      <c r="AD116" s="260"/>
      <c r="AE116" s="260"/>
      <c r="AF116" s="260"/>
      <c r="AG116" s="260"/>
      <c r="AH116" s="260"/>
      <c r="AI116" s="260"/>
      <c r="AJ116" s="260"/>
      <c r="AK116" s="260"/>
      <c r="AL116" s="260"/>
      <c r="AM116" s="260"/>
      <c r="AN116" s="260"/>
      <c r="AO116" s="260"/>
      <c r="AP116" s="260"/>
      <c r="AQ116" s="260"/>
      <c r="AR116" s="260"/>
      <c r="AS116" s="260"/>
      <c r="AT116" s="260"/>
      <c r="AU116" s="260"/>
      <c r="AV116" s="262"/>
      <c r="AW116" s="262"/>
      <c r="AX116" s="262"/>
      <c r="AY116" s="263"/>
      <c r="AZ116" s="263"/>
      <c r="BA116" s="263"/>
      <c r="BB116" s="263"/>
      <c r="BC116" s="263"/>
      <c r="BD116" s="264"/>
    </row>
    <row r="117" spans="1:56" ht="15.75" x14ac:dyDescent="0.25">
      <c r="A117" s="258" t="s">
        <v>384</v>
      </c>
      <c r="B117" s="321"/>
      <c r="D117" s="177"/>
      <c r="E117" s="310"/>
      <c r="F117" s="321"/>
      <c r="G117" s="286"/>
      <c r="H117" s="286"/>
      <c r="I117" s="286"/>
      <c r="J117" s="321"/>
      <c r="K117" s="321"/>
      <c r="L117" s="321"/>
      <c r="M117" s="321"/>
      <c r="N117" s="321"/>
      <c r="O117" s="321"/>
      <c r="P117" s="321"/>
      <c r="Q117" s="321"/>
      <c r="R117" s="321"/>
      <c r="S117" s="321"/>
      <c r="T117" s="321"/>
      <c r="U117" s="321"/>
      <c r="V117" s="321"/>
      <c r="W117" s="260"/>
      <c r="X117" s="260"/>
      <c r="Y117" s="260"/>
      <c r="Z117" s="260"/>
      <c r="AA117" s="260"/>
      <c r="AB117" s="260"/>
      <c r="AC117" s="260"/>
      <c r="AD117" s="260"/>
      <c r="AE117" s="260"/>
      <c r="AF117" s="260"/>
      <c r="AG117" s="260"/>
      <c r="AH117" s="260"/>
      <c r="AI117" s="260"/>
      <c r="AJ117" s="260"/>
      <c r="AK117" s="260"/>
      <c r="AL117" s="260"/>
      <c r="AM117" s="260"/>
      <c r="AN117" s="260"/>
      <c r="AO117" s="260"/>
      <c r="AP117" s="260"/>
      <c r="AQ117" s="260"/>
      <c r="AR117" s="260"/>
      <c r="AS117" s="260"/>
      <c r="AT117" s="260"/>
      <c r="AU117" s="260"/>
      <c r="AV117" s="262"/>
      <c r="AW117" s="262"/>
      <c r="AX117" s="262"/>
      <c r="AY117" s="263"/>
      <c r="AZ117" s="263"/>
      <c r="BA117" s="263"/>
      <c r="BB117" s="263"/>
      <c r="BC117" s="263"/>
      <c r="BD117" s="264"/>
    </row>
    <row r="118" spans="1:56" ht="9" customHeight="1" x14ac:dyDescent="0.25">
      <c r="D118" s="177"/>
      <c r="E118" s="177"/>
    </row>
    <row r="119" spans="1:56" x14ac:dyDescent="0.25">
      <c r="A119" s="265" t="s">
        <v>4</v>
      </c>
      <c r="B119" s="266" t="s">
        <v>334</v>
      </c>
      <c r="E119" s="265" t="s">
        <v>4</v>
      </c>
      <c r="F119" s="266" t="s">
        <v>334</v>
      </c>
      <c r="I119" s="265" t="s">
        <v>4</v>
      </c>
      <c r="J119" s="266" t="s">
        <v>334</v>
      </c>
    </row>
    <row r="120" spans="1:56" x14ac:dyDescent="0.25">
      <c r="A120" t="s">
        <v>385</v>
      </c>
      <c r="B120" s="322" t="s">
        <v>386</v>
      </c>
      <c r="E120" t="s">
        <v>387</v>
      </c>
      <c r="F120" s="322" t="s">
        <v>388</v>
      </c>
      <c r="I120" t="s">
        <v>389</v>
      </c>
      <c r="J120" s="323" t="s">
        <v>390</v>
      </c>
    </row>
    <row r="121" spans="1:56" x14ac:dyDescent="0.25">
      <c r="A121" t="s">
        <v>391</v>
      </c>
      <c r="B121" s="322" t="s">
        <v>392</v>
      </c>
      <c r="E121" t="s">
        <v>393</v>
      </c>
      <c r="F121" s="322" t="s">
        <v>394</v>
      </c>
      <c r="I121" t="s">
        <v>395</v>
      </c>
      <c r="J121" s="323" t="s">
        <v>396</v>
      </c>
    </row>
    <row r="122" spans="1:56" x14ac:dyDescent="0.25">
      <c r="A122" t="s">
        <v>397</v>
      </c>
      <c r="B122" s="322" t="s">
        <v>398</v>
      </c>
      <c r="E122" t="s">
        <v>399</v>
      </c>
      <c r="F122" s="322" t="s">
        <v>400</v>
      </c>
      <c r="I122" t="s">
        <v>401</v>
      </c>
      <c r="J122" s="323" t="s">
        <v>345</v>
      </c>
    </row>
    <row r="123" spans="1:56" x14ac:dyDescent="0.25">
      <c r="A123" t="s">
        <v>402</v>
      </c>
      <c r="B123" s="322" t="s">
        <v>403</v>
      </c>
      <c r="E123" t="s">
        <v>404</v>
      </c>
      <c r="F123" s="322" t="s">
        <v>405</v>
      </c>
      <c r="I123" t="s">
        <v>406</v>
      </c>
      <c r="J123" s="323" t="s">
        <v>407</v>
      </c>
    </row>
    <row r="124" spans="1:56" x14ac:dyDescent="0.25">
      <c r="A124" t="s">
        <v>408</v>
      </c>
      <c r="B124" s="322" t="s">
        <v>409</v>
      </c>
      <c r="E124" t="s">
        <v>410</v>
      </c>
      <c r="F124" s="322" t="s">
        <v>411</v>
      </c>
      <c r="I124" t="s">
        <v>412</v>
      </c>
      <c r="J124" s="323" t="s">
        <v>413</v>
      </c>
    </row>
    <row r="125" spans="1:56" x14ac:dyDescent="0.25">
      <c r="A125" t="s">
        <v>414</v>
      </c>
      <c r="B125" s="322" t="s">
        <v>415</v>
      </c>
      <c r="E125" t="s">
        <v>416</v>
      </c>
      <c r="F125" s="322" t="s">
        <v>417</v>
      </c>
      <c r="I125" t="s">
        <v>418</v>
      </c>
      <c r="J125" s="323" t="s">
        <v>419</v>
      </c>
    </row>
    <row r="126" spans="1:56" x14ac:dyDescent="0.25">
      <c r="A126" t="s">
        <v>420</v>
      </c>
      <c r="B126" s="322" t="s">
        <v>421</v>
      </c>
      <c r="E126" t="s">
        <v>422</v>
      </c>
      <c r="F126" s="322" t="s">
        <v>423</v>
      </c>
      <c r="I126" t="s">
        <v>424</v>
      </c>
      <c r="J126" s="323" t="s">
        <v>425</v>
      </c>
    </row>
    <row r="127" spans="1:56" x14ac:dyDescent="0.25">
      <c r="A127" t="s">
        <v>426</v>
      </c>
      <c r="B127" s="322" t="s">
        <v>427</v>
      </c>
      <c r="E127" t="s">
        <v>428</v>
      </c>
      <c r="F127" s="322" t="s">
        <v>429</v>
      </c>
      <c r="I127" t="s">
        <v>430</v>
      </c>
      <c r="J127" s="323" t="s">
        <v>431</v>
      </c>
    </row>
    <row r="128" spans="1:56" x14ac:dyDescent="0.25">
      <c r="A128" t="s">
        <v>432</v>
      </c>
      <c r="B128" s="322" t="s">
        <v>433</v>
      </c>
      <c r="E128" t="s">
        <v>434</v>
      </c>
      <c r="F128" s="322" t="s">
        <v>435</v>
      </c>
      <c r="I128" t="s">
        <v>436</v>
      </c>
      <c r="J128" s="323" t="s">
        <v>437</v>
      </c>
    </row>
    <row r="129" spans="1:11" x14ac:dyDescent="0.25">
      <c r="A129" t="s">
        <v>438</v>
      </c>
      <c r="B129" s="322" t="s">
        <v>439</v>
      </c>
      <c r="E129" t="s">
        <v>440</v>
      </c>
      <c r="F129" s="322" t="s">
        <v>441</v>
      </c>
      <c r="I129" t="s">
        <v>442</v>
      </c>
      <c r="J129" s="323" t="s">
        <v>443</v>
      </c>
    </row>
    <row r="130" spans="1:11" x14ac:dyDescent="0.25">
      <c r="A130" t="s">
        <v>444</v>
      </c>
      <c r="B130" s="322" t="s">
        <v>445</v>
      </c>
      <c r="E130" t="s">
        <v>446</v>
      </c>
      <c r="F130" s="322" t="s">
        <v>447</v>
      </c>
      <c r="I130" t="s">
        <v>448</v>
      </c>
      <c r="J130" s="323" t="s">
        <v>449</v>
      </c>
    </row>
    <row r="131" spans="1:11" x14ac:dyDescent="0.25">
      <c r="A131" s="31"/>
      <c r="B131" s="31"/>
      <c r="C131" s="31"/>
      <c r="D131" s="31"/>
      <c r="E131" s="31"/>
      <c r="F131" s="31"/>
      <c r="G131" s="31"/>
      <c r="H131" s="31"/>
      <c r="I131" s="31"/>
      <c r="J131" s="31"/>
    </row>
    <row r="132" spans="1:11" x14ac:dyDescent="0.25">
      <c r="A132" s="31"/>
      <c r="B132" s="31"/>
      <c r="C132" s="31"/>
      <c r="D132" s="31"/>
      <c r="E132" s="31"/>
      <c r="F132" s="31"/>
      <c r="G132" s="31"/>
      <c r="H132" s="31"/>
      <c r="I132" s="31"/>
      <c r="J132" s="31"/>
    </row>
    <row r="133" spans="1:11" x14ac:dyDescent="0.25">
      <c r="A133" s="31"/>
      <c r="B133" s="31"/>
      <c r="C133" s="31"/>
      <c r="D133" s="31"/>
      <c r="E133" s="31"/>
      <c r="F133" s="31"/>
      <c r="G133" s="31"/>
      <c r="H133" s="31"/>
      <c r="I133" s="31"/>
      <c r="J133" s="31"/>
    </row>
    <row r="134" spans="1:11" x14ac:dyDescent="0.25">
      <c r="A134" s="31"/>
      <c r="B134" s="31"/>
      <c r="C134" s="31"/>
      <c r="D134" s="31"/>
      <c r="E134" s="31"/>
      <c r="F134" s="31"/>
      <c r="G134" s="31"/>
      <c r="H134" s="31"/>
      <c r="I134" s="31"/>
      <c r="J134" s="31"/>
      <c r="K134" s="31"/>
    </row>
    <row r="135" spans="1:11" x14ac:dyDescent="0.25">
      <c r="A135" s="324" t="s">
        <v>1</v>
      </c>
      <c r="B135" s="31"/>
      <c r="C135" s="31"/>
      <c r="D135" s="31"/>
      <c r="E135" s="31"/>
      <c r="F135" s="31"/>
      <c r="G135" s="31"/>
      <c r="H135" s="31"/>
      <c r="I135" s="31"/>
      <c r="J135" s="31"/>
      <c r="K135" s="31"/>
    </row>
    <row r="136" spans="1:11" x14ac:dyDescent="0.25">
      <c r="A136" s="31"/>
      <c r="B136" s="31"/>
      <c r="C136" s="31"/>
      <c r="D136" s="31"/>
      <c r="E136" s="31"/>
      <c r="F136" s="31"/>
      <c r="G136" s="31"/>
      <c r="H136" s="31"/>
      <c r="I136" s="31"/>
      <c r="J136" s="31"/>
      <c r="K136" s="31"/>
    </row>
    <row r="137" spans="1:11" x14ac:dyDescent="0.25">
      <c r="A137" s="31" t="s">
        <v>450</v>
      </c>
      <c r="C137" s="31"/>
      <c r="D137" s="31"/>
      <c r="E137" s="31"/>
      <c r="F137" s="31"/>
      <c r="G137" s="31"/>
      <c r="H137" s="31"/>
      <c r="I137" s="31"/>
      <c r="J137" s="31"/>
      <c r="K137" s="31"/>
    </row>
    <row r="138" spans="1:11" x14ac:dyDescent="0.25">
      <c r="A138" s="31"/>
      <c r="C138" s="31"/>
      <c r="D138" s="31"/>
      <c r="E138" s="31"/>
      <c r="F138" s="31"/>
      <c r="G138" s="31"/>
      <c r="H138" s="31"/>
      <c r="I138" s="31"/>
      <c r="J138" s="31"/>
      <c r="K138" s="31"/>
    </row>
    <row r="139" spans="1:11" x14ac:dyDescent="0.25">
      <c r="A139" s="31"/>
      <c r="B139" s="62">
        <v>0.2</v>
      </c>
      <c r="C139" s="31"/>
      <c r="D139" s="31"/>
      <c r="E139" s="31"/>
      <c r="F139" s="31"/>
      <c r="G139" s="31"/>
      <c r="H139" s="31"/>
      <c r="I139" s="31"/>
      <c r="J139" s="31"/>
      <c r="K139" s="31"/>
    </row>
    <row r="140" spans="1:11" x14ac:dyDescent="0.25">
      <c r="A140" s="31"/>
      <c r="B140" s="62">
        <f>B139-0.05</f>
        <v>0.15000000000000002</v>
      </c>
      <c r="C140" s="31"/>
      <c r="D140" s="31"/>
      <c r="E140" s="31"/>
      <c r="F140" s="31"/>
      <c r="G140" s="31"/>
      <c r="H140" s="31"/>
      <c r="I140" s="31"/>
      <c r="J140" s="31"/>
      <c r="K140" s="31"/>
    </row>
    <row r="141" spans="1:11" x14ac:dyDescent="0.25">
      <c r="A141" s="31"/>
      <c r="B141" s="62">
        <f>B140-0.05</f>
        <v>0.10000000000000002</v>
      </c>
      <c r="C141" s="31"/>
      <c r="D141" s="31"/>
      <c r="E141" s="31"/>
      <c r="F141" s="31"/>
      <c r="G141" s="31"/>
      <c r="H141" s="31"/>
      <c r="I141" s="31"/>
      <c r="J141" s="31"/>
      <c r="K141" s="31"/>
    </row>
    <row r="142" spans="1:11" x14ac:dyDescent="0.25">
      <c r="A142" s="31"/>
      <c r="B142" s="62">
        <f>B141-0.05</f>
        <v>5.0000000000000017E-2</v>
      </c>
      <c r="C142" s="31"/>
      <c r="D142" s="31"/>
      <c r="E142" s="31"/>
      <c r="F142" s="31"/>
      <c r="G142" s="31"/>
      <c r="H142" s="31"/>
      <c r="I142" s="31"/>
      <c r="J142" s="31"/>
      <c r="K142" s="31"/>
    </row>
    <row r="143" spans="1:11" x14ac:dyDescent="0.25">
      <c r="A143" s="31"/>
      <c r="B143" s="62">
        <v>-0.05</v>
      </c>
      <c r="C143" s="31"/>
      <c r="D143" s="31"/>
      <c r="E143" s="31"/>
      <c r="F143" s="31"/>
      <c r="G143" s="31"/>
      <c r="H143" s="31"/>
      <c r="I143" s="31"/>
      <c r="J143" s="31"/>
      <c r="K143" s="31"/>
    </row>
    <row r="144" spans="1:11" x14ac:dyDescent="0.25">
      <c r="A144" s="31"/>
      <c r="B144" s="62">
        <f>B143-0.05</f>
        <v>-0.1</v>
      </c>
      <c r="C144" s="31"/>
      <c r="D144" s="31"/>
      <c r="E144" s="31"/>
      <c r="F144" s="31"/>
      <c r="G144" s="31"/>
      <c r="H144" s="31"/>
      <c r="I144" s="31"/>
      <c r="J144" s="31"/>
      <c r="K144" s="31"/>
    </row>
    <row r="145" spans="1:11" x14ac:dyDescent="0.25">
      <c r="A145" s="31"/>
      <c r="B145" s="62">
        <f>B144-0.05</f>
        <v>-0.15000000000000002</v>
      </c>
      <c r="C145" s="31"/>
      <c r="D145" s="31"/>
      <c r="E145" s="31"/>
      <c r="F145" s="31"/>
      <c r="G145" s="31"/>
      <c r="H145" s="31"/>
      <c r="I145" s="31"/>
      <c r="J145" s="31"/>
      <c r="K145" s="31"/>
    </row>
    <row r="146" spans="1:11" x14ac:dyDescent="0.25">
      <c r="A146" s="31"/>
      <c r="B146" s="62">
        <f>B145-0.05</f>
        <v>-0.2</v>
      </c>
      <c r="C146" s="31"/>
      <c r="D146" s="31"/>
      <c r="E146" s="31"/>
      <c r="F146" s="31"/>
      <c r="G146" s="31"/>
      <c r="H146" s="31"/>
      <c r="I146" s="31"/>
      <c r="J146" s="31"/>
      <c r="K146" s="31"/>
    </row>
    <row r="147" spans="1:11" x14ac:dyDescent="0.25">
      <c r="A147" s="31"/>
      <c r="C147" s="31"/>
      <c r="D147" s="31"/>
      <c r="E147" s="31"/>
      <c r="F147" s="31"/>
      <c r="G147" s="31"/>
      <c r="H147" s="31"/>
      <c r="I147" s="31"/>
      <c r="J147" s="31"/>
      <c r="K147" s="31"/>
    </row>
    <row r="148" spans="1:11" x14ac:dyDescent="0.25">
      <c r="A148" s="31"/>
      <c r="C148" s="31"/>
      <c r="D148" s="31"/>
      <c r="E148" s="31"/>
      <c r="F148" s="31"/>
      <c r="G148" s="31"/>
      <c r="H148" s="31"/>
      <c r="I148" s="31"/>
      <c r="J148" s="31"/>
      <c r="K148" s="31"/>
    </row>
    <row r="149" spans="1:11" x14ac:dyDescent="0.25">
      <c r="A149" s="31"/>
      <c r="C149" s="31"/>
      <c r="D149" s="31"/>
      <c r="E149" s="31"/>
      <c r="F149" s="31"/>
      <c r="G149" s="31"/>
      <c r="H149" s="31"/>
      <c r="I149" s="31"/>
      <c r="J149" s="31"/>
      <c r="K149" s="31"/>
    </row>
    <row r="150" spans="1:11" x14ac:dyDescent="0.25">
      <c r="A150" s="31"/>
      <c r="B150" s="31"/>
      <c r="C150" s="31"/>
      <c r="D150" s="31"/>
      <c r="E150" s="31"/>
      <c r="F150" s="31"/>
      <c r="G150" s="31"/>
      <c r="H150" s="31"/>
      <c r="I150" s="31"/>
      <c r="J150" s="31"/>
      <c r="K150" s="31"/>
    </row>
    <row r="151" spans="1:11" x14ac:dyDescent="0.25">
      <c r="A151" s="31"/>
      <c r="B151" s="31"/>
      <c r="C151" s="31"/>
      <c r="D151" s="31"/>
      <c r="E151" s="31"/>
      <c r="F151" s="31"/>
      <c r="G151" s="31"/>
      <c r="H151" s="31"/>
      <c r="I151" s="31"/>
      <c r="J151" s="31"/>
      <c r="K151" s="31"/>
    </row>
    <row r="152" spans="1:11" x14ac:dyDescent="0.25">
      <c r="A152" s="31"/>
      <c r="B152" s="31"/>
      <c r="C152" s="31"/>
      <c r="D152" s="31"/>
      <c r="E152" s="31"/>
      <c r="F152" s="31"/>
      <c r="G152" s="31"/>
      <c r="H152" s="31"/>
      <c r="I152" s="31"/>
      <c r="J152" s="31"/>
      <c r="K152" s="31"/>
    </row>
  </sheetData>
  <mergeCells count="140">
    <mergeCell ref="I113:J113"/>
    <mergeCell ref="I114:J114"/>
    <mergeCell ref="I115:J115"/>
    <mergeCell ref="I116:J116"/>
    <mergeCell ref="A110:B110"/>
    <mergeCell ref="E110:F110"/>
    <mergeCell ref="I110:J110"/>
    <mergeCell ref="A111:B111"/>
    <mergeCell ref="I111:J111"/>
    <mergeCell ref="I112:J112"/>
    <mergeCell ref="A108:B108"/>
    <mergeCell ref="E108:F108"/>
    <mergeCell ref="I108:J108"/>
    <mergeCell ref="A109:B109"/>
    <mergeCell ref="E109:F109"/>
    <mergeCell ref="I109:J109"/>
    <mergeCell ref="A106:B106"/>
    <mergeCell ref="E106:F106"/>
    <mergeCell ref="I106:J106"/>
    <mergeCell ref="A107:B107"/>
    <mergeCell ref="E107:F107"/>
    <mergeCell ref="I107:J107"/>
    <mergeCell ref="A104:B104"/>
    <mergeCell ref="E104:F104"/>
    <mergeCell ref="I104:J104"/>
    <mergeCell ref="A105:B105"/>
    <mergeCell ref="E105:F105"/>
    <mergeCell ref="I105:J105"/>
    <mergeCell ref="A102:B102"/>
    <mergeCell ref="E102:F102"/>
    <mergeCell ref="I102:J102"/>
    <mergeCell ref="A103:B103"/>
    <mergeCell ref="E103:F103"/>
    <mergeCell ref="I103:J103"/>
    <mergeCell ref="A100:B100"/>
    <mergeCell ref="E100:F100"/>
    <mergeCell ref="I100:J100"/>
    <mergeCell ref="A101:B101"/>
    <mergeCell ref="E101:F101"/>
    <mergeCell ref="I101:J101"/>
    <mergeCell ref="A98:B98"/>
    <mergeCell ref="E98:F98"/>
    <mergeCell ref="I98:J98"/>
    <mergeCell ref="A99:B99"/>
    <mergeCell ref="E99:F99"/>
    <mergeCell ref="I99:J99"/>
    <mergeCell ref="A96:B96"/>
    <mergeCell ref="E96:F96"/>
    <mergeCell ref="I96:J96"/>
    <mergeCell ref="A97:B97"/>
    <mergeCell ref="E97:F97"/>
    <mergeCell ref="I97:J97"/>
    <mergeCell ref="A94:B94"/>
    <mergeCell ref="E94:F94"/>
    <mergeCell ref="I94:J94"/>
    <mergeCell ref="A95:B95"/>
    <mergeCell ref="E95:F95"/>
    <mergeCell ref="I95:J95"/>
    <mergeCell ref="A92:B92"/>
    <mergeCell ref="E92:F92"/>
    <mergeCell ref="I92:J92"/>
    <mergeCell ref="A93:B93"/>
    <mergeCell ref="E93:F93"/>
    <mergeCell ref="I93:J93"/>
    <mergeCell ref="A44:B44"/>
    <mergeCell ref="C44:K44"/>
    <mergeCell ref="A90:B90"/>
    <mergeCell ref="E90:F90"/>
    <mergeCell ref="I90:J90"/>
    <mergeCell ref="A91:B91"/>
    <mergeCell ref="E91:F91"/>
    <mergeCell ref="I91:J91"/>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7350000000000001" right="0.2" top="0.25" bottom="0.25" header="0.3" footer="0.3"/>
  <pageSetup paperSize="9" scale="75"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40"/>
  <sheetViews>
    <sheetView view="pageBreakPreview" topLeftCell="A13" zoomScaleNormal="100" zoomScaleSheetLayoutView="100" workbookViewId="0">
      <selection activeCell="V8" sqref="V8"/>
    </sheetView>
  </sheetViews>
  <sheetFormatPr baseColWidth="10" defaultRowHeight="15" x14ac:dyDescent="0.25"/>
  <cols>
    <col min="7" max="7" width="4.5703125" customWidth="1"/>
    <col min="9" max="9" width="14" customWidth="1"/>
    <col min="10" max="10" width="26.5703125" customWidth="1"/>
    <col min="11" max="11" width="2.28515625" customWidth="1"/>
    <col min="12" max="18" width="2.7109375" customWidth="1"/>
    <col min="19" max="19" width="3" customWidth="1"/>
  </cols>
  <sheetData>
    <row r="2" spans="4:38" x14ac:dyDescent="0.25">
      <c r="AI2" s="325"/>
      <c r="AJ2" s="325"/>
      <c r="AK2" s="325"/>
      <c r="AL2" s="325"/>
    </row>
    <row r="13" spans="4:38" x14ac:dyDescent="0.25">
      <c r="D13" s="177"/>
      <c r="E13" s="177"/>
    </row>
    <row r="14" spans="4:38" x14ac:dyDescent="0.25">
      <c r="D14" s="177"/>
      <c r="E14" s="177"/>
    </row>
    <row r="15" spans="4:38" x14ac:dyDescent="0.25">
      <c r="D15" s="177"/>
      <c r="E15" s="177"/>
    </row>
    <row r="16" spans="4:38" ht="15" customHeight="1" x14ac:dyDescent="0.25">
      <c r="D16" s="177"/>
      <c r="E16" s="177"/>
      <c r="L16" s="326" t="s">
        <v>451</v>
      </c>
    </row>
    <row r="17" spans="1:23" x14ac:dyDescent="0.25">
      <c r="D17" s="177"/>
      <c r="E17" s="177"/>
      <c r="L17" s="326" t="s">
        <v>452</v>
      </c>
    </row>
    <row r="18" spans="1:23" x14ac:dyDescent="0.25">
      <c r="D18" s="177"/>
      <c r="E18" s="177"/>
      <c r="L18" s="326" t="s">
        <v>453</v>
      </c>
    </row>
    <row r="19" spans="1:23" ht="15" customHeight="1" x14ac:dyDescent="0.25">
      <c r="K19" s="327"/>
      <c r="L19" s="326"/>
      <c r="M19" s="328"/>
      <c r="N19" s="329"/>
      <c r="O19" s="329"/>
      <c r="P19" s="329"/>
      <c r="Q19" s="329"/>
      <c r="R19" s="329"/>
      <c r="S19" s="329"/>
    </row>
    <row r="20" spans="1:23" x14ac:dyDescent="0.25">
      <c r="A20" s="330" t="s">
        <v>454</v>
      </c>
      <c r="B20" s="330"/>
      <c r="C20" s="330"/>
      <c r="D20" s="330"/>
      <c r="E20" s="330"/>
      <c r="F20" s="330"/>
      <c r="G20" s="330"/>
      <c r="H20" s="330"/>
      <c r="I20" s="330"/>
      <c r="J20" s="330"/>
      <c r="K20" s="327"/>
      <c r="L20" s="326" t="s">
        <v>455</v>
      </c>
      <c r="M20" s="328"/>
      <c r="N20" s="328"/>
      <c r="O20" s="329"/>
      <c r="P20" s="329"/>
      <c r="Q20" s="329"/>
      <c r="R20" s="329"/>
      <c r="S20" s="329"/>
    </row>
    <row r="21" spans="1:23" x14ac:dyDescent="0.25">
      <c r="A21" s="330"/>
      <c r="B21" s="330"/>
      <c r="C21" s="330"/>
      <c r="D21" s="330"/>
      <c r="E21" s="330"/>
      <c r="F21" s="330"/>
      <c r="G21" s="330"/>
      <c r="H21" s="330"/>
      <c r="I21" s="330"/>
      <c r="J21" s="330"/>
      <c r="K21" s="327"/>
      <c r="L21" s="326" t="s">
        <v>456</v>
      </c>
      <c r="M21" s="328"/>
      <c r="N21" s="328"/>
      <c r="O21" s="329"/>
      <c r="P21" s="329"/>
      <c r="Q21" s="329"/>
      <c r="R21" s="329"/>
      <c r="S21" s="329"/>
    </row>
    <row r="22" spans="1:23" x14ac:dyDescent="0.25">
      <c r="A22" s="330"/>
      <c r="B22" s="330"/>
      <c r="C22" s="330"/>
      <c r="D22" s="330"/>
      <c r="E22" s="330"/>
      <c r="F22" s="330"/>
      <c r="G22" s="330"/>
      <c r="H22" s="330"/>
      <c r="I22" s="330"/>
      <c r="J22" s="330"/>
      <c r="K22" s="327"/>
      <c r="L22" s="326" t="s">
        <v>457</v>
      </c>
      <c r="M22" s="328"/>
      <c r="N22" s="328"/>
      <c r="O22" s="329"/>
      <c r="P22" s="329"/>
      <c r="Q22" s="329"/>
      <c r="R22" s="329"/>
      <c r="S22" s="329"/>
    </row>
    <row r="23" spans="1:23" x14ac:dyDescent="0.25">
      <c r="A23" s="330"/>
      <c r="B23" s="330"/>
      <c r="C23" s="330"/>
      <c r="D23" s="330"/>
      <c r="E23" s="330"/>
      <c r="F23" s="330"/>
      <c r="G23" s="330"/>
      <c r="H23" s="330"/>
      <c r="I23" s="330"/>
      <c r="J23" s="330"/>
      <c r="K23" s="327"/>
      <c r="L23" s="326"/>
      <c r="M23" s="328"/>
      <c r="N23" s="328"/>
      <c r="O23" s="329"/>
      <c r="P23" s="329"/>
      <c r="Q23" s="329"/>
      <c r="R23" s="329"/>
      <c r="S23" s="329"/>
    </row>
    <row r="24" spans="1:23" x14ac:dyDescent="0.25">
      <c r="A24" s="330"/>
      <c r="B24" s="330"/>
      <c r="C24" s="330"/>
      <c r="D24" s="330"/>
      <c r="E24" s="330"/>
      <c r="F24" s="330"/>
      <c r="G24" s="330"/>
      <c r="H24" s="330"/>
      <c r="I24" s="330"/>
      <c r="J24" s="330"/>
      <c r="K24" s="327"/>
      <c r="L24" s="326"/>
      <c r="M24" s="328"/>
      <c r="N24" s="328"/>
      <c r="O24" s="329"/>
      <c r="P24" s="329"/>
      <c r="Q24" s="329"/>
      <c r="R24" s="329"/>
      <c r="S24" s="329"/>
    </row>
    <row r="25" spans="1:23" x14ac:dyDescent="0.25">
      <c r="A25" s="330"/>
      <c r="B25" s="330"/>
      <c r="C25" s="330"/>
      <c r="D25" s="330"/>
      <c r="E25" s="330"/>
      <c r="F25" s="330"/>
      <c r="G25" s="330"/>
      <c r="H25" s="330"/>
      <c r="I25" s="330"/>
      <c r="J25" s="330"/>
      <c r="K25" s="327"/>
      <c r="L25" s="326"/>
      <c r="M25" s="328"/>
      <c r="N25" s="328"/>
      <c r="O25" s="329"/>
      <c r="P25" s="329"/>
      <c r="Q25" s="329"/>
      <c r="R25" s="329"/>
      <c r="S25" s="329"/>
    </row>
    <row r="26" spans="1:23" x14ac:dyDescent="0.25">
      <c r="A26" s="330"/>
      <c r="B26" s="330"/>
      <c r="C26" s="330"/>
      <c r="D26" s="330"/>
      <c r="E26" s="330"/>
      <c r="F26" s="330"/>
      <c r="G26" s="330"/>
      <c r="H26" s="330"/>
      <c r="I26" s="330"/>
      <c r="J26" s="330"/>
      <c r="K26" s="327"/>
      <c r="L26" s="326"/>
      <c r="M26" s="329"/>
      <c r="N26" s="328"/>
      <c r="O26" s="329"/>
      <c r="P26" s="329"/>
      <c r="Q26" s="329"/>
      <c r="R26" s="329"/>
      <c r="S26" s="329"/>
    </row>
    <row r="27" spans="1:23" x14ac:dyDescent="0.25">
      <c r="A27" s="330"/>
      <c r="B27" s="330"/>
      <c r="C27" s="330"/>
      <c r="D27" s="330"/>
      <c r="E27" s="330"/>
      <c r="F27" s="330"/>
      <c r="G27" s="330"/>
      <c r="H27" s="330"/>
      <c r="I27" s="330"/>
      <c r="J27" s="330"/>
      <c r="K27" s="327"/>
      <c r="L27" s="331"/>
      <c r="M27" s="328"/>
      <c r="N27" s="328"/>
      <c r="O27" s="329"/>
      <c r="P27" s="329"/>
      <c r="Q27" s="329"/>
      <c r="R27" s="329"/>
      <c r="S27" s="329"/>
      <c r="W27" s="329"/>
    </row>
    <row r="28" spans="1:23" x14ac:dyDescent="0.25">
      <c r="A28" s="330"/>
      <c r="B28" s="330"/>
      <c r="C28" s="330"/>
      <c r="D28" s="330"/>
      <c r="E28" s="330"/>
      <c r="F28" s="330"/>
      <c r="G28" s="330"/>
      <c r="H28" s="330"/>
      <c r="I28" s="330"/>
      <c r="J28" s="330"/>
      <c r="K28" s="327"/>
      <c r="L28" s="331"/>
      <c r="M28" s="328"/>
      <c r="N28" s="332" t="s">
        <v>458</v>
      </c>
      <c r="O28" s="329"/>
      <c r="P28" s="329"/>
      <c r="Q28" s="329"/>
      <c r="R28" s="329"/>
      <c r="S28" s="329"/>
    </row>
    <row r="29" spans="1:23" x14ac:dyDescent="0.25">
      <c r="A29" s="330"/>
      <c r="B29" s="330"/>
      <c r="C29" s="330"/>
      <c r="D29" s="330"/>
      <c r="E29" s="330"/>
      <c r="F29" s="330"/>
      <c r="G29" s="330"/>
      <c r="H29" s="330"/>
      <c r="I29" s="330"/>
      <c r="J29" s="330"/>
      <c r="K29" s="327"/>
      <c r="L29" s="331"/>
      <c r="M29" s="328"/>
      <c r="N29" s="333"/>
      <c r="O29" s="329"/>
      <c r="P29" s="329"/>
      <c r="Q29" s="329"/>
      <c r="R29" s="329"/>
      <c r="S29" s="329"/>
    </row>
    <row r="30" spans="1:23" x14ac:dyDescent="0.25">
      <c r="A30" s="330"/>
      <c r="B30" s="330"/>
      <c r="C30" s="330"/>
      <c r="D30" s="330"/>
      <c r="E30" s="330"/>
      <c r="F30" s="330"/>
      <c r="G30" s="330"/>
      <c r="H30" s="330"/>
      <c r="I30" s="330"/>
      <c r="J30" s="330"/>
      <c r="K30" s="327"/>
      <c r="L30" s="331"/>
      <c r="M30" s="328"/>
      <c r="N30" s="333" t="s">
        <v>459</v>
      </c>
      <c r="O30" s="329"/>
      <c r="P30" s="329"/>
      <c r="Q30" s="329"/>
      <c r="R30" s="329"/>
      <c r="S30" s="329"/>
    </row>
    <row r="31" spans="1:23" x14ac:dyDescent="0.25">
      <c r="A31" s="330"/>
      <c r="B31" s="330"/>
      <c r="C31" s="330"/>
      <c r="D31" s="330"/>
      <c r="E31" s="330"/>
      <c r="F31" s="330"/>
      <c r="G31" s="330"/>
      <c r="H31" s="330"/>
      <c r="I31" s="330"/>
      <c r="J31" s="330"/>
      <c r="K31" s="327"/>
      <c r="L31" s="331"/>
      <c r="M31" s="328"/>
      <c r="N31" s="333"/>
      <c r="O31" s="329"/>
      <c r="P31" s="329"/>
      <c r="Q31" s="329"/>
      <c r="R31" s="329"/>
      <c r="S31" s="329"/>
    </row>
    <row r="32" spans="1:23" x14ac:dyDescent="0.25">
      <c r="A32" s="330"/>
      <c r="B32" s="330"/>
      <c r="C32" s="330"/>
      <c r="D32" s="330"/>
      <c r="E32" s="330"/>
      <c r="F32" s="330"/>
      <c r="G32" s="330"/>
      <c r="H32" s="330"/>
      <c r="I32" s="330"/>
      <c r="J32" s="330"/>
      <c r="K32" s="327"/>
      <c r="L32" s="331"/>
      <c r="M32" s="328"/>
      <c r="N32" s="333" t="s">
        <v>460</v>
      </c>
      <c r="O32" s="329"/>
      <c r="P32" s="329"/>
      <c r="Q32" s="329"/>
      <c r="R32" s="329"/>
      <c r="S32" s="329"/>
    </row>
    <row r="33" spans="1:19" x14ac:dyDescent="0.25">
      <c r="A33" s="330"/>
      <c r="B33" s="330"/>
      <c r="C33" s="330"/>
      <c r="D33" s="330"/>
      <c r="E33" s="330"/>
      <c r="F33" s="330"/>
      <c r="G33" s="330"/>
      <c r="H33" s="330"/>
      <c r="I33" s="330"/>
      <c r="J33" s="330"/>
      <c r="K33" s="327"/>
      <c r="L33" s="331"/>
      <c r="M33" s="328"/>
      <c r="N33" s="333"/>
      <c r="O33" s="329"/>
      <c r="P33" s="329"/>
      <c r="Q33" s="329"/>
      <c r="R33" s="329"/>
      <c r="S33" s="329"/>
    </row>
    <row r="34" spans="1:19" x14ac:dyDescent="0.25">
      <c r="A34" s="330"/>
      <c r="B34" s="330"/>
      <c r="C34" s="330"/>
      <c r="D34" s="330"/>
      <c r="E34" s="330"/>
      <c r="F34" s="330"/>
      <c r="G34" s="330"/>
      <c r="H34" s="330"/>
      <c r="I34" s="330"/>
      <c r="J34" s="330"/>
      <c r="K34" s="327"/>
      <c r="L34" s="331"/>
      <c r="M34" s="328"/>
      <c r="N34" s="333" t="s">
        <v>461</v>
      </c>
      <c r="O34" s="329"/>
      <c r="P34" s="329"/>
      <c r="Q34" s="329"/>
      <c r="R34" s="329"/>
      <c r="S34" s="329"/>
    </row>
    <row r="35" spans="1:19" x14ac:dyDescent="0.25">
      <c r="A35" s="330"/>
      <c r="B35" s="330"/>
      <c r="C35" s="330"/>
      <c r="D35" s="330"/>
      <c r="E35" s="330"/>
      <c r="F35" s="330"/>
      <c r="G35" s="330"/>
      <c r="H35" s="330"/>
      <c r="I35" s="330"/>
      <c r="J35" s="330"/>
      <c r="K35" s="327"/>
      <c r="L35" s="331"/>
      <c r="M35" s="328"/>
      <c r="N35" s="328"/>
      <c r="O35" s="329"/>
      <c r="P35" s="329"/>
      <c r="Q35" s="329"/>
      <c r="R35" s="329"/>
      <c r="S35" s="329"/>
    </row>
    <row r="36" spans="1:19" x14ac:dyDescent="0.25">
      <c r="A36" s="334"/>
      <c r="B36" s="334"/>
      <c r="C36" s="334"/>
      <c r="D36" s="334"/>
      <c r="E36" s="334"/>
      <c r="F36" s="334"/>
      <c r="G36" s="334"/>
      <c r="H36" s="334"/>
      <c r="I36" s="334"/>
      <c r="J36" s="334"/>
    </row>
    <row r="37" spans="1:19" x14ac:dyDescent="0.25">
      <c r="A37" s="334"/>
      <c r="B37" s="334"/>
      <c r="C37" s="334"/>
      <c r="D37" s="335"/>
      <c r="E37" s="335"/>
      <c r="F37" s="334"/>
      <c r="G37" s="334"/>
      <c r="H37" s="334"/>
      <c r="I37" s="334"/>
      <c r="J37" s="334"/>
    </row>
    <row r="38" spans="1:19" x14ac:dyDescent="0.25">
      <c r="A38" s="334"/>
      <c r="B38" s="334"/>
      <c r="C38" s="334"/>
      <c r="D38" s="335"/>
      <c r="E38" s="335"/>
      <c r="F38" s="334"/>
      <c r="G38" s="334"/>
      <c r="H38" s="334"/>
      <c r="I38" s="334"/>
      <c r="J38" s="334"/>
    </row>
    <row r="39" spans="1:19" x14ac:dyDescent="0.25">
      <c r="D39" s="177"/>
      <c r="E39" s="177"/>
    </row>
    <row r="40" spans="1:19" x14ac:dyDescent="0.25">
      <c r="D40" s="177"/>
      <c r="E40" s="177"/>
    </row>
    <row r="41" spans="1:19" x14ac:dyDescent="0.25">
      <c r="D41" s="177"/>
      <c r="E41" s="177"/>
    </row>
    <row r="48" spans="1:19" x14ac:dyDescent="0.25">
      <c r="D48" s="177"/>
      <c r="E48" s="177"/>
    </row>
    <row r="49" spans="4:5" x14ac:dyDescent="0.25">
      <c r="D49" s="177"/>
      <c r="E49" s="177"/>
    </row>
    <row r="50" spans="4:5" x14ac:dyDescent="0.25">
      <c r="D50" s="177"/>
      <c r="E50" s="177"/>
    </row>
    <row r="51" spans="4:5" x14ac:dyDescent="0.25">
      <c r="D51" s="177"/>
      <c r="E51" s="177"/>
    </row>
    <row r="52" spans="4:5" x14ac:dyDescent="0.25">
      <c r="D52" s="177"/>
      <c r="E52" s="177"/>
    </row>
    <row r="53" spans="4:5" x14ac:dyDescent="0.25">
      <c r="D53" s="177"/>
      <c r="E53" s="177"/>
    </row>
    <row r="54" spans="4:5" x14ac:dyDescent="0.25">
      <c r="D54" s="177"/>
      <c r="E54" s="177"/>
    </row>
    <row r="55" spans="4:5" x14ac:dyDescent="0.25">
      <c r="D55" s="177"/>
      <c r="E55" s="177"/>
    </row>
    <row r="58" spans="4:5" ht="13.5" customHeight="1" x14ac:dyDescent="0.25"/>
    <row r="59" spans="4:5" ht="2.25" hidden="1" customHeight="1" x14ac:dyDescent="0.25">
      <c r="D59" s="177"/>
      <c r="E59" s="177"/>
    </row>
    <row r="60" spans="4:5" x14ac:dyDescent="0.25">
      <c r="D60" s="177"/>
      <c r="E60" s="177"/>
    </row>
    <row r="61" spans="4:5" x14ac:dyDescent="0.25">
      <c r="D61" s="177"/>
      <c r="E61" s="177"/>
    </row>
    <row r="62" spans="4:5" x14ac:dyDescent="0.25">
      <c r="D62" s="177"/>
      <c r="E62" s="177"/>
    </row>
    <row r="63" spans="4:5" x14ac:dyDescent="0.25">
      <c r="D63" s="177"/>
      <c r="E63" s="177"/>
    </row>
    <row r="64" spans="4:5" x14ac:dyDescent="0.25">
      <c r="D64" s="177"/>
      <c r="E64" s="177"/>
    </row>
    <row r="65" spans="4:5" x14ac:dyDescent="0.25">
      <c r="D65" s="177"/>
      <c r="E65" s="177"/>
    </row>
    <row r="66" spans="4:5" x14ac:dyDescent="0.25">
      <c r="D66" s="177"/>
      <c r="E66" s="177"/>
    </row>
    <row r="67" spans="4:5" x14ac:dyDescent="0.25">
      <c r="D67" s="177"/>
      <c r="E67" s="177"/>
    </row>
    <row r="68" spans="4:5" x14ac:dyDescent="0.25">
      <c r="D68" s="177"/>
      <c r="E68" s="177"/>
    </row>
    <row r="72" spans="4:5" x14ac:dyDescent="0.25">
      <c r="D72" s="177"/>
      <c r="E72" s="177"/>
    </row>
    <row r="73" spans="4:5" x14ac:dyDescent="0.25">
      <c r="D73" s="177"/>
      <c r="E73" s="177"/>
    </row>
    <row r="74" spans="4:5" x14ac:dyDescent="0.25">
      <c r="D74" s="177"/>
      <c r="E74" s="177"/>
    </row>
    <row r="75" spans="4:5" x14ac:dyDescent="0.25">
      <c r="D75" s="177"/>
      <c r="E75" s="177"/>
    </row>
    <row r="79" spans="4:5" x14ac:dyDescent="0.25">
      <c r="D79" s="177"/>
      <c r="E79" s="177"/>
    </row>
    <row r="80" spans="4:5" x14ac:dyDescent="0.25">
      <c r="D80" s="177"/>
      <c r="E80" s="177"/>
    </row>
    <row r="81" spans="4:5" x14ac:dyDescent="0.25">
      <c r="D81" s="177"/>
      <c r="E81" s="177"/>
    </row>
    <row r="82" spans="4:5" x14ac:dyDescent="0.25">
      <c r="D82" s="177"/>
      <c r="E82" s="177"/>
    </row>
    <row r="83" spans="4:5" x14ac:dyDescent="0.25">
      <c r="D83" s="177"/>
      <c r="E83" s="177"/>
    </row>
    <row r="84" spans="4:5" x14ac:dyDescent="0.25">
      <c r="D84" s="177"/>
      <c r="E84" s="177"/>
    </row>
    <row r="85" spans="4:5" x14ac:dyDescent="0.25">
      <c r="D85" s="177"/>
      <c r="E85" s="177"/>
    </row>
    <row r="86" spans="4:5" x14ac:dyDescent="0.25">
      <c r="D86" s="177"/>
      <c r="E86" s="177"/>
    </row>
    <row r="87" spans="4:5" x14ac:dyDescent="0.25">
      <c r="D87" s="177"/>
      <c r="E87" s="177"/>
    </row>
    <row r="88" spans="4:5" x14ac:dyDescent="0.25">
      <c r="D88" s="177"/>
      <c r="E88" s="177"/>
    </row>
    <row r="94" spans="4:5" x14ac:dyDescent="0.25">
      <c r="D94" s="177"/>
      <c r="E94" s="177"/>
    </row>
    <row r="95" spans="4:5" x14ac:dyDescent="0.25">
      <c r="D95" s="177"/>
      <c r="E95" s="177"/>
    </row>
    <row r="99" spans="4:16" x14ac:dyDescent="0.25">
      <c r="D99" s="177"/>
      <c r="E99" s="177"/>
      <c r="P99" t="str">
        <f>IFERROR(VLOOKUP(B99,[1]Datos!$A:$E,5,FALSE)/1000000000,"-")</f>
        <v>-</v>
      </c>
    </row>
    <row r="100" spans="4:16" x14ac:dyDescent="0.25">
      <c r="D100" s="177"/>
      <c r="E100" s="177"/>
    </row>
    <row r="101" spans="4:16" x14ac:dyDescent="0.25">
      <c r="D101" s="177"/>
      <c r="E101" s="177"/>
    </row>
    <row r="102" spans="4:16" x14ac:dyDescent="0.25">
      <c r="D102" s="177"/>
      <c r="E102" s="177"/>
    </row>
    <row r="103" spans="4:16" x14ac:dyDescent="0.25">
      <c r="D103" s="177"/>
      <c r="E103" s="177"/>
    </row>
    <row r="104" spans="4:16" x14ac:dyDescent="0.25">
      <c r="D104" s="177"/>
      <c r="E104" s="177"/>
    </row>
    <row r="105" spans="4:16" x14ac:dyDescent="0.25">
      <c r="D105" s="177"/>
      <c r="E105" s="177"/>
    </row>
    <row r="106" spans="4:16" x14ac:dyDescent="0.25">
      <c r="D106" s="177"/>
      <c r="E106" s="177"/>
    </row>
    <row r="107" spans="4:16" x14ac:dyDescent="0.25">
      <c r="D107" s="177"/>
      <c r="E107" s="177"/>
    </row>
    <row r="108" spans="4:16" x14ac:dyDescent="0.25">
      <c r="D108" s="177"/>
      <c r="E108" s="177"/>
    </row>
    <row r="112" spans="4:16" x14ac:dyDescent="0.25">
      <c r="D112" s="177"/>
      <c r="E112" s="177"/>
    </row>
    <row r="116" spans="4:5" x14ac:dyDescent="0.25">
      <c r="D116" s="177"/>
      <c r="E116" s="177"/>
    </row>
    <row r="117" spans="4:5" x14ac:dyDescent="0.25">
      <c r="D117" s="177"/>
      <c r="E117" s="177"/>
    </row>
    <row r="118" spans="4:5" x14ac:dyDescent="0.25">
      <c r="D118" s="177"/>
      <c r="E118" s="177"/>
    </row>
    <row r="119" spans="4:5" x14ac:dyDescent="0.25">
      <c r="D119" s="177"/>
      <c r="E119" s="177"/>
    </row>
    <row r="422" ht="18.75" customHeight="1" x14ac:dyDescent="0.25"/>
    <row r="437" spans="2:2" x14ac:dyDescent="0.25">
      <c r="B437" t="s">
        <v>462</v>
      </c>
    </row>
    <row r="438" spans="2:2" x14ac:dyDescent="0.25">
      <c r="B438" t="s">
        <v>463</v>
      </c>
    </row>
    <row r="439" spans="2:2" x14ac:dyDescent="0.25">
      <c r="B439" t="s">
        <v>464</v>
      </c>
    </row>
    <row r="440" spans="2:2" x14ac:dyDescent="0.25">
      <c r="B440" t="s">
        <v>465</v>
      </c>
    </row>
  </sheetData>
  <mergeCells count="1">
    <mergeCell ref="A20:J35"/>
  </mergeCells>
  <hyperlinks>
    <hyperlink ref="L18" r:id="rId1"/>
  </hyperlinks>
  <printOptions horizontalCentered="1"/>
  <pageMargins left="0" right="0" top="0.75" bottom="0" header="0.3" footer="0"/>
  <pageSetup paperSize="9" scale="90"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2019-09-04T21:48:05Z</dcterms:created>
  <dcterms:modified xsi:type="dcterms:W3CDTF">2019-09-04T21:49:54Z</dcterms:modified>
</cp:coreProperties>
</file>