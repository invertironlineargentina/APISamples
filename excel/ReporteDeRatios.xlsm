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75" windowWidth="20115" windowHeight="7995"/>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H19" i="3"/>
  <c r="BE19" i="3"/>
  <c r="BS13" i="2"/>
  <c r="BP13" i="2"/>
  <c r="BJ13" i="2"/>
  <c r="BM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<sst xmlns="http://schemas.openxmlformats.org/spreadsheetml/2006/main" count="734" uniqueCount="275">
  <si>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</si>
  <si>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</si>
  <si>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</si>
  <si>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</si>
  <si>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</si>
  <si>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</si>
  <si>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</si>
  <si>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</si>
  <si>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</si>
  <si>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</si>
  <si>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</si>
  <si>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</si>
  <si>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</si>
  <si>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</si>
  <si>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</si>
  <si>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</si>
  <si>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</si>
  <si>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</si>
  <si>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</si>
  <si>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</si>
  <si>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</si>
  <si>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</si>
  <si>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</si>
  <si>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</si>
  <si>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</si>
  <si>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</si>
  <si>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</si>
  <si>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</si>
  <si>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</si>
  <si>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</si>
  <si>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</si>
  <si>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</si>
  <si>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</si>
  <si>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</si>
  <si>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</si>
  <si>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</si>
  <si>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</si>
  <si>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</si>
  <si>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</si>
  <si>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</si>
  <si>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</si>
  <si>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</si>
  <si>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</si>
  <si>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</si>
  <si>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</si>
  <si>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</si>
  <si>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</si>
  <si>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</si>
  <si>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</si>
  <si>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</si>
  <si>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MOLI</t>
  </si>
  <si>
    <t>SEMI</t>
  </si>
  <si>
    <t>INTR</t>
  </si>
  <si>
    <t>MORI</t>
  </si>
  <si>
    <t>SAMI</t>
  </si>
  <si>
    <t>ESME</t>
  </si>
  <si>
    <t>INVJ</t>
  </si>
  <si>
    <t>Prom.</t>
  </si>
  <si>
    <t>CONSUMO DISCRECIONAL</t>
  </si>
  <si>
    <t>MIRG</t>
  </si>
  <si>
    <t>GCLA</t>
  </si>
  <si>
    <t>GRIM</t>
  </si>
  <si>
    <t>LONG</t>
  </si>
  <si>
    <t>DOM</t>
  </si>
  <si>
    <t>HAVA</t>
  </si>
  <si>
    <t>SALUD</t>
  </si>
  <si>
    <t>ROSE</t>
  </si>
  <si>
    <t>RICH</t>
  </si>
  <si>
    <t>ENERGÍA</t>
  </si>
  <si>
    <t>PETR</t>
  </si>
  <si>
    <t>YPFD</t>
  </si>
  <si>
    <t>APBR</t>
  </si>
  <si>
    <t>CEPU</t>
  </si>
  <si>
    <t>REP</t>
  </si>
  <si>
    <t>PESA</t>
  </si>
  <si>
    <t>COME</t>
  </si>
  <si>
    <t>TGSU2</t>
  </si>
  <si>
    <t>TS</t>
  </si>
  <si>
    <t>CARC</t>
  </si>
  <si>
    <t>TGNO4</t>
  </si>
  <si>
    <t>PGR</t>
  </si>
  <si>
    <t>FINANCIERO</t>
  </si>
  <si>
    <t>STD</t>
  </si>
  <si>
    <t>SUPV</t>
  </si>
  <si>
    <t>BMA</t>
  </si>
  <si>
    <t>BPAT</t>
  </si>
  <si>
    <t>BHIP</t>
  </si>
  <si>
    <t>FRAN</t>
  </si>
  <si>
    <t>VALO</t>
  </si>
  <si>
    <t>GGAL</t>
  </si>
  <si>
    <t>BRIO</t>
  </si>
  <si>
    <t>BYMA</t>
  </si>
  <si>
    <t>INDUSTRIAL</t>
  </si>
  <si>
    <t>CADO</t>
  </si>
  <si>
    <t>OEST</t>
  </si>
  <si>
    <t>CAPU</t>
  </si>
  <si>
    <t>DYCA</t>
  </si>
  <si>
    <t>AUSO</t>
  </si>
  <si>
    <t>AGRO</t>
  </si>
  <si>
    <t>INAG</t>
  </si>
  <si>
    <t>GARO</t>
  </si>
  <si>
    <t>FERR</t>
  </si>
  <si>
    <t>POLL</t>
  </si>
  <si>
    <t>MATERIALES BÁSICOS</t>
  </si>
  <si>
    <t>CELU</t>
  </si>
  <si>
    <t>COLO</t>
  </si>
  <si>
    <t>FIPL</t>
  </si>
  <si>
    <t>ALUA</t>
  </si>
  <si>
    <t>LOMA</t>
  </si>
  <si>
    <t>HARG</t>
  </si>
  <si>
    <t>RIGO</t>
  </si>
  <si>
    <t>INDU</t>
  </si>
  <si>
    <t>TXAR</t>
  </si>
  <si>
    <t>SERVICIOS PÚBLICOS</t>
  </si>
  <si>
    <t>METR</t>
  </si>
  <si>
    <t>PAMP</t>
  </si>
  <si>
    <t>EDN</t>
  </si>
  <si>
    <t>GBAN</t>
  </si>
  <si>
    <t>CGPA2</t>
  </si>
  <si>
    <t>DGCU2</t>
  </si>
  <si>
    <t>CAPX</t>
  </si>
  <si>
    <t>TRAN</t>
  </si>
  <si>
    <t>CECO2</t>
  </si>
  <si>
    <t>TELECOMUNICACIONES</t>
  </si>
  <si>
    <t>TECO2</t>
  </si>
  <si>
    <t>TEF</t>
  </si>
  <si>
    <t>INMOBILIARIO</t>
  </si>
  <si>
    <t>CRES</t>
  </si>
  <si>
    <t>IRSA</t>
  </si>
  <si>
    <t>TGLT</t>
  </si>
  <si>
    <t>CTIO</t>
  </si>
  <si>
    <t>IRCP</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</si>
  <si>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</si>
  <si>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</si>
  <si>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</si>
  <si>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</si>
  <si>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</si>
  <si>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</si>
  <si>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</si>
  <si>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</si>
  <si>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</si>
  <si>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</si>
  <si>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</si>
  <si>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</si>
  <si>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</si>
  <si>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</si>
  <si>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</si>
  <si>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</si>
  <si>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</si>
  <si>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</si>
  <si>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</si>
  <si>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</si>
  <si>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</si>
  <si>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</si>
  <si>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</si>
  <si>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</si>
  <si>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</si>
  <si>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</si>
  <si>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</si>
  <si>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</si>
  <si>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</si>
  <si>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</si>
  <si>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</si>
  <si>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</si>
  <si>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</si>
  <si>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</si>
  <si>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</si>
  <si>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</si>
  <si>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</si>
  <si>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</si>
  <si>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</si>
  <si>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</si>
  <si>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</si>
  <si>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</si>
  <si>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</si>
  <si>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</si>
  <si>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</si>
  <si>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</si>
  <si>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</si>
  <si>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</si>
  <si>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</si>
  <si>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</si>
  <si>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</si>
  <si>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</si>
  <si>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</si>
  <si>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</si>
  <si>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</si>
  <si>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</si>
  <si>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</si>
  <si>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</si>
  <si>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</si>
  <si>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</si>
  <si>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</si>
  <si>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</si>
  <si>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</si>
  <si>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</si>
  <si>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</si>
  <si>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</si>
  <si>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</si>
  <si>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</si>
  <si>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</si>
  <si>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</si>
  <si>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</si>
  <si>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</si>
  <si>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</si>
  <si>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</si>
  <si>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</si>
  <si>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</si>
  <si>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</si>
  <si>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</si>
  <si>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</si>
  <si>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</si>
  <si>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</si>
  <si>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</si>
  <si>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</si>
  <si>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</si>
  <si>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</si>
  <si>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</si>
  <si>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</si>
  <si>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</si>
  <si>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</si>
  <si>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</si>
  <si>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</si>
  <si>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</si>
  <si>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</si>
  <si>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</si>
  <si>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</si>
  <si>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</si>
  <si>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</si>
  <si>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</si>
  <si>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</si>
  <si>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</si>
  <si>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</si>
  <si>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</si>
  <si>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</si>
  <si>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</si>
  <si>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</si>
  <si>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</si>
  <si>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</si>
  <si>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</si>
  <si>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</si>
  <si>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</si>
  <si>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</si>
  <si>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</si>
  <si>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</si>
  <si>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</si>
  <si>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</si>
  <si>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</si>
  <si>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</si>
  <si>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</si>
  <si>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</si>
  <si>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</si>
  <si>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</si>
  <si>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</si>
  <si>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</si>
  <si>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</si>
  <si>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</si>
  <si>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</si>
  <si>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</si>
  <si>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</si>
  <si>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</si>
  <si>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</si>
  <si>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</si>
  <si>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</si>
  <si>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</si>
  <si>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</si>
  <si>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</si>
  <si>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</si>
  <si>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</si>
  <si>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</si>
  <si>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</si>
  <si>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</si>
  <si>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</si>
  <si>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22: Mayo 31 a Junio 6, 2018.</t>
  </si>
  <si>
    <t>The record could not be found</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</si>
</sst>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57"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7">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1" fillId="0" borderId="0" applyNumberFormat="0" applyFill="0" applyBorder="0" applyAlignment="0" applyProtection="0"/>
    <xf numFmtId="171" fontId="3" fillId="0" borderId="0" applyFont="0" applyFill="0" applyBorder="0" applyAlignment="0" applyProtection="0"/>
    <xf numFmtId="43" fontId="56" fillId="0" borderId="0" applyFont="0" applyFill="0" applyBorder="0" applyAlignment="0" applyProtection="0"/>
    <xf numFmtId="9" fontId="56" fillId="0" borderId="0" applyFont="0" applyFill="0" applyBorder="0" applyAlignment="0" applyProtection="0"/>
  </cellStyleXfs>
  <cellXfs count="508">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3" fillId="0" borderId="0" xfId="4"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2" fontId="21" fillId="5" borderId="6" xfId="0" applyNumberFormat="1" applyFont="1" applyFill="1" applyBorder="1" applyAlignment="1">
      <alignment horizontal="left" vertical="center"/>
    </xf>
    <xf numFmtId="2" fontId="21" fillId="5" borderId="7" xfId="0" applyNumberFormat="1" applyFont="1" applyFill="1" applyBorder="1" applyAlignment="1">
      <alignment horizontal="left" vertical="center"/>
    </xf>
    <xf numFmtId="2" fontId="21" fillId="5" borderId="0" xfId="0" applyNumberFormat="1" applyFont="1" applyFill="1" applyBorder="1" applyAlignment="1">
      <alignment horizontal="left" vertical="center"/>
    </xf>
    <xf numFmtId="0" fontId="3" fillId="4" borderId="0" xfId="4" applyFill="1" applyBorder="1"/>
    <xf numFmtId="2" fontId="23" fillId="0" borderId="5" xfId="4" applyNumberFormat="1" applyFont="1" applyFill="1" applyBorder="1" applyAlignment="1">
      <alignment horizontal="center" vertical="center" wrapText="1"/>
    </xf>
    <xf numFmtId="0" fontId="23"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4" fillId="6" borderId="0" xfId="3" applyNumberFormat="1" applyFont="1" applyFill="1" applyBorder="1" applyAlignment="1">
      <alignment horizontal="center" wrapText="1"/>
    </xf>
    <xf numFmtId="0" fontId="25" fillId="0" borderId="0" xfId="4" applyFont="1" applyBorder="1" applyAlignment="1">
      <alignment vertical="center" wrapText="1"/>
    </xf>
    <xf numFmtId="0" fontId="23" fillId="4" borderId="5" xfId="4" applyFont="1" applyFill="1" applyBorder="1" applyAlignment="1">
      <alignment horizontal="center" vertical="center" wrapText="1"/>
    </xf>
    <xf numFmtId="0" fontId="23"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4" fillId="4" borderId="0" xfId="3" applyNumberFormat="1" applyFont="1" applyFill="1" applyBorder="1" applyAlignment="1">
      <alignment horizontal="center" wrapText="1"/>
    </xf>
    <xf numFmtId="0" fontId="25" fillId="0" borderId="0" xfId="4" applyFont="1" applyFill="1" applyBorder="1" applyAlignment="1">
      <alignment vertical="center" wrapText="1"/>
    </xf>
    <xf numFmtId="0" fontId="23" fillId="6" borderId="5" xfId="4" applyFont="1" applyFill="1" applyBorder="1" applyAlignment="1">
      <alignment horizontal="center" vertical="center" wrapText="1"/>
    </xf>
    <xf numFmtId="0" fontId="23"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3" fillId="0" borderId="5" xfId="4" applyFont="1" applyFill="1" applyBorder="1" applyAlignment="1">
      <alignment horizontal="center" vertical="center" wrapText="1"/>
    </xf>
    <xf numFmtId="0" fontId="25" fillId="0" borderId="0" xfId="4" applyFont="1" applyFill="1" applyBorder="1"/>
    <xf numFmtId="0" fontId="23"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0" fontId="23" fillId="0" borderId="13" xfId="4" applyFont="1" applyFill="1" applyBorder="1" applyAlignment="1">
      <alignment horizontal="center" vertical="center" wrapText="1"/>
    </xf>
    <xf numFmtId="0" fontId="23"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1" fillId="5" borderId="6" xfId="0" applyNumberFormat="1" applyFont="1" applyFill="1" applyBorder="1" applyAlignment="1">
      <alignment vertical="center"/>
    </xf>
    <xf numFmtId="165" fontId="21" fillId="5" borderId="6" xfId="0" applyNumberFormat="1" applyFont="1" applyFill="1" applyBorder="1" applyAlignment="1">
      <alignment horizontal="center" vertical="center"/>
    </xf>
    <xf numFmtId="166" fontId="21" fillId="5" borderId="6" xfId="0" applyNumberFormat="1" applyFont="1" applyFill="1" applyBorder="1" applyAlignment="1">
      <alignment horizontal="center" vertical="center"/>
    </xf>
    <xf numFmtId="2" fontId="21" fillId="5" borderId="7" xfId="0" applyNumberFormat="1" applyFont="1" applyFill="1" applyBorder="1" applyAlignment="1">
      <alignment vertical="center"/>
    </xf>
    <xf numFmtId="2" fontId="21" fillId="5" borderId="0" xfId="0" applyNumberFormat="1" applyFont="1" applyFill="1" applyBorder="1" applyAlignment="1">
      <alignment vertical="center"/>
    </xf>
    <xf numFmtId="0" fontId="25" fillId="5" borderId="0" xfId="4" applyFont="1" applyFill="1" applyBorder="1" applyAlignment="1">
      <alignment vertical="center" wrapText="1"/>
    </xf>
    <xf numFmtId="169" fontId="11" fillId="4" borderId="6" xfId="1" applyNumberFormat="1" applyFont="1" applyFill="1" applyBorder="1" applyAlignment="1">
      <alignment horizontal="center" vertical="center" wrapText="1"/>
    </xf>
    <xf numFmtId="0" fontId="23" fillId="0" borderId="9" xfId="4" applyFont="1" applyFill="1" applyBorder="1" applyAlignment="1">
      <alignment horizontal="center" vertical="center" wrapText="1"/>
    </xf>
    <xf numFmtId="0" fontId="23"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4" fillId="4" borderId="1" xfId="3" applyNumberFormat="1" applyFont="1" applyFill="1" applyBorder="1" applyAlignment="1">
      <alignment horizontal="center" wrapText="1"/>
    </xf>
    <xf numFmtId="0" fontId="23"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3" fillId="0" borderId="12" xfId="4" applyFont="1" applyFill="1" applyBorder="1" applyAlignment="1">
      <alignment horizontal="center" vertical="center" wrapText="1"/>
    </xf>
    <xf numFmtId="0" fontId="25" fillId="5" borderId="0" xfId="4" applyFont="1" applyFill="1" applyBorder="1"/>
    <xf numFmtId="0" fontId="25" fillId="0" borderId="0" xfId="4" applyFont="1" applyBorder="1"/>
    <xf numFmtId="0" fontId="23"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4" fillId="6" borderId="1" xfId="3" applyNumberFormat="1" applyFont="1" applyFill="1" applyBorder="1" applyAlignment="1">
      <alignment horizontal="center" wrapText="1"/>
    </xf>
    <xf numFmtId="0" fontId="23"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164" fontId="11" fillId="0" borderId="5" xfId="1" applyNumberFormat="1" applyFont="1" applyFill="1" applyBorder="1" applyAlignment="1">
      <alignment horizontal="center" vertical="center" wrapText="1"/>
    </xf>
    <xf numFmtId="2" fontId="23"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0" fontId="23"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xf numFmtId="0" fontId="11" fillId="0" borderId="0" xfId="4" applyFont="1" applyBorder="1"/>
    <xf numFmtId="0" fontId="3" fillId="5" borderId="0" xfId="4" applyFill="1" applyBorder="1"/>
    <xf numFmtId="9" fontId="11" fillId="4" borderId="4" xfId="3" applyNumberFormat="1" applyFont="1" applyFill="1" applyBorder="1" applyAlignment="1">
      <alignment horizontal="center" wrapText="1"/>
    </xf>
    <xf numFmtId="167" fontId="11" fillId="4" borderId="9" xfId="3" applyNumberFormat="1" applyFont="1" applyFill="1" applyBorder="1" applyAlignment="1">
      <alignment horizontal="center" wrapText="1"/>
    </xf>
    <xf numFmtId="0" fontId="23" fillId="6" borderId="4" xfId="4" applyFont="1" applyFill="1" applyBorder="1" applyAlignment="1">
      <alignment horizontal="center" vertical="center" wrapText="1"/>
    </xf>
    <xf numFmtId="43" fontId="11" fillId="6" borderId="4" xfId="1" applyNumberFormat="1" applyFont="1" applyFill="1" applyBorder="1" applyAlignment="1">
      <alignment horizontal="center" vertical="center" wrapText="1"/>
    </xf>
    <xf numFmtId="164" fontId="11" fillId="6" borderId="4" xfId="1" applyNumberFormat="1" applyFont="1" applyFill="1" applyBorder="1" applyAlignment="1">
      <alignment horizontal="center" vertical="center" wrapText="1"/>
    </xf>
    <xf numFmtId="2" fontId="11" fillId="6" borderId="4"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2" fontId="11" fillId="6" borderId="2" xfId="4" applyNumberFormat="1" applyFont="1" applyFill="1" applyBorder="1" applyAlignment="1">
      <alignment horizontal="center" wrapText="1"/>
    </xf>
    <xf numFmtId="2" fontId="11" fillId="6" borderId="8" xfId="4" applyNumberFormat="1" applyFont="1" applyFill="1" applyBorder="1" applyAlignment="1">
      <alignment horizontal="center" wrapText="1"/>
    </xf>
    <xf numFmtId="2" fontId="11" fillId="6" borderId="3" xfId="4" applyNumberFormat="1" applyFont="1" applyFill="1" applyBorder="1" applyAlignment="1">
      <alignment horizontal="center" wrapText="1"/>
    </xf>
    <xf numFmtId="10" fontId="11" fillId="6" borderId="2" xfId="3" applyNumberFormat="1" applyFont="1" applyFill="1" applyBorder="1" applyAlignment="1">
      <alignment horizontal="center" wrapText="1"/>
    </xf>
    <xf numFmtId="10" fontId="11" fillId="6" borderId="8" xfId="3" applyNumberFormat="1" applyFont="1" applyFill="1" applyBorder="1" applyAlignment="1">
      <alignment horizontal="center" wrapText="1"/>
    </xf>
    <xf numFmtId="10" fontId="11" fillId="6" borderId="3" xfId="3" applyNumberFormat="1" applyFont="1" applyFill="1" applyBorder="1" applyAlignment="1">
      <alignment horizontal="center" wrapText="1"/>
    </xf>
    <xf numFmtId="165" fontId="11" fillId="6" borderId="4" xfId="4"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9" fontId="11" fillId="6" borderId="4" xfId="3"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2" fontId="11" fillId="6" borderId="4" xfId="3" applyNumberFormat="1" applyFont="1" applyFill="1" applyBorder="1" applyAlignment="1">
      <alignment horizontal="center" wrapText="1"/>
    </xf>
    <xf numFmtId="167" fontId="11" fillId="6" borderId="2" xfId="3" applyNumberFormat="1" applyFont="1" applyFill="1" applyBorder="1" applyAlignment="1">
      <alignment horizontal="center" wrapText="1"/>
    </xf>
    <xf numFmtId="166" fontId="11" fillId="6" borderId="2"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168" fontId="11" fillId="6"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6" fillId="6" borderId="0" xfId="4" applyFont="1" applyFill="1" applyBorder="1"/>
    <xf numFmtId="2" fontId="26" fillId="6" borderId="0" xfId="4" applyNumberFormat="1" applyFont="1" applyFill="1" applyBorder="1" applyAlignment="1">
      <alignment wrapText="1"/>
    </xf>
    <xf numFmtId="2" fontId="26" fillId="6" borderId="0" xfId="4" applyNumberFormat="1" applyFont="1" applyFill="1" applyBorder="1" applyAlignment="1">
      <alignment horizontal="center" wrapText="1"/>
    </xf>
    <xf numFmtId="2" fontId="26" fillId="6" borderId="0" xfId="4" applyNumberFormat="1" applyFont="1" applyFill="1" applyBorder="1" applyAlignment="1">
      <alignment horizontal="center" wrapText="1"/>
    </xf>
    <xf numFmtId="0" fontId="26" fillId="6" borderId="0" xfId="4" applyNumberFormat="1" applyFont="1" applyFill="1" applyBorder="1" applyAlignment="1">
      <alignment horizontal="center" wrapText="1"/>
    </xf>
    <xf numFmtId="0" fontId="7" fillId="0" borderId="0" xfId="4" applyFont="1" applyBorder="1"/>
    <xf numFmtId="0" fontId="27" fillId="6" borderId="0" xfId="4" applyFont="1" applyFill="1" applyBorder="1" applyAlignment="1">
      <alignment horizontal="left"/>
    </xf>
    <xf numFmtId="0" fontId="26" fillId="6" borderId="0" xfId="4" applyFont="1" applyFill="1" applyBorder="1" applyAlignment="1">
      <alignment horizontal="left"/>
    </xf>
    <xf numFmtId="2" fontId="26" fillId="6" borderId="0" xfId="4" applyNumberFormat="1" applyFont="1" applyFill="1" applyBorder="1" applyAlignment="1">
      <alignment horizontal="left" wrapText="1"/>
    </xf>
    <xf numFmtId="0" fontId="3" fillId="6" borderId="0" xfId="4" applyFill="1" applyBorder="1"/>
    <xf numFmtId="0" fontId="26" fillId="0" borderId="0" xfId="4" applyFont="1" applyBorder="1"/>
    <xf numFmtId="2" fontId="26" fillId="0" borderId="0" xfId="4" applyNumberFormat="1" applyFont="1" applyFill="1" applyBorder="1" applyAlignment="1">
      <alignment horizontal="center" wrapText="1"/>
    </xf>
    <xf numFmtId="2" fontId="26" fillId="0" borderId="0" xfId="4" applyNumberFormat="1" applyFont="1" applyFill="1" applyBorder="1" applyAlignment="1">
      <alignment horizontal="center" wrapText="1"/>
    </xf>
    <xf numFmtId="0" fontId="26" fillId="0" borderId="0" xfId="4" applyNumberFormat="1" applyFont="1" applyFill="1" applyBorder="1" applyAlignment="1">
      <alignment horizontal="center" wrapText="1"/>
    </xf>
    <xf numFmtId="0" fontId="26"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28"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29" fillId="0" borderId="22" xfId="4" applyFont="1" applyFill="1" applyBorder="1" applyAlignment="1">
      <alignment vertical="center"/>
    </xf>
    <xf numFmtId="0" fontId="29" fillId="0" borderId="0" xfId="4" applyFont="1"/>
    <xf numFmtId="0" fontId="29" fillId="0" borderId="0" xfId="4" applyFont="1" applyFill="1" applyBorder="1" applyAlignment="1">
      <alignment vertical="center"/>
    </xf>
    <xf numFmtId="0" fontId="31" fillId="0" borderId="0" xfId="0" applyFont="1"/>
    <xf numFmtId="49" fontId="32" fillId="0" borderId="0" xfId="4" applyNumberFormat="1" applyFont="1" applyFill="1" applyBorder="1" applyAlignment="1">
      <alignment vertical="top" wrapText="1"/>
    </xf>
    <xf numFmtId="0" fontId="31" fillId="0" borderId="0" xfId="0" applyFont="1" applyAlignment="1"/>
    <xf numFmtId="0" fontId="32" fillId="0" borderId="0" xfId="0" applyFont="1" applyAlignment="1">
      <alignment horizontal="left"/>
    </xf>
    <xf numFmtId="0" fontId="31" fillId="0" borderId="0" xfId="0" applyFont="1" applyAlignment="1">
      <alignment horizontal="left"/>
    </xf>
    <xf numFmtId="0" fontId="32" fillId="0" borderId="0" xfId="0" applyFont="1" applyAlignment="1">
      <alignment horizontal="left" wrapText="1"/>
    </xf>
    <xf numFmtId="0" fontId="32" fillId="0" borderId="0" xfId="0" applyFont="1" applyAlignment="1">
      <alignment horizontal="left"/>
    </xf>
    <xf numFmtId="0" fontId="25" fillId="0" borderId="0" xfId="4" applyFont="1"/>
    <xf numFmtId="14" fontId="25" fillId="0" borderId="0" xfId="4" applyNumberFormat="1" applyFont="1"/>
    <xf numFmtId="169" fontId="32" fillId="0" borderId="0" xfId="0" applyNumberFormat="1" applyFont="1" applyAlignment="1">
      <alignment horizontal="left" wrapText="1"/>
    </xf>
    <xf numFmtId="0" fontId="25" fillId="0" borderId="0" xfId="4" applyFont="1" applyFill="1"/>
    <xf numFmtId="14" fontId="25" fillId="0" borderId="0" xfId="4" applyNumberFormat="1" applyFont="1" applyFill="1"/>
    <xf numFmtId="0" fontId="3" fillId="0" borderId="0" xfId="4" applyFont="1" applyFill="1"/>
    <xf numFmtId="166" fontId="3" fillId="0" borderId="0" xfId="4" applyNumberFormat="1" applyFont="1"/>
    <xf numFmtId="164" fontId="32" fillId="0" borderId="0" xfId="0" applyNumberFormat="1" applyFont="1" applyAlignment="1">
      <alignment horizontal="left"/>
    </xf>
    <xf numFmtId="0" fontId="31" fillId="0" borderId="0" xfId="0" applyFont="1" applyAlignment="1">
      <alignment horizontal="left"/>
    </xf>
    <xf numFmtId="169" fontId="31" fillId="0" borderId="0" xfId="0" applyNumberFormat="1" applyFont="1" applyAlignment="1">
      <alignment horizontal="left"/>
    </xf>
    <xf numFmtId="0" fontId="25" fillId="0" borderId="0" xfId="4" applyFont="1" applyAlignment="1">
      <alignment vertical="center" wrapText="1"/>
    </xf>
    <xf numFmtId="14" fontId="25" fillId="0" borderId="0" xfId="4" applyNumberFormat="1" applyFont="1" applyAlignment="1">
      <alignment vertical="center" wrapText="1"/>
    </xf>
    <xf numFmtId="0" fontId="3" fillId="0" borderId="0" xfId="4" applyFont="1" applyAlignment="1">
      <alignment vertical="center" wrapText="1"/>
    </xf>
    <xf numFmtId="49" fontId="32" fillId="0" borderId="0" xfId="4" applyNumberFormat="1" applyFont="1" applyFill="1" applyBorder="1" applyAlignment="1">
      <alignment wrapText="1"/>
    </xf>
    <xf numFmtId="164" fontId="32" fillId="0" borderId="0" xfId="0" applyNumberFormat="1" applyFont="1" applyAlignment="1">
      <alignment horizontal="left" wrapText="1"/>
    </xf>
    <xf numFmtId="0" fontId="30" fillId="0" borderId="0" xfId="4" applyFont="1" applyFill="1" applyBorder="1" applyAlignment="1">
      <alignment horizontal="left" vertical="center" wrapText="1"/>
    </xf>
    <xf numFmtId="0" fontId="29" fillId="0" borderId="0" xfId="4" applyFont="1" applyFill="1" applyBorder="1" applyAlignment="1"/>
    <xf numFmtId="0" fontId="11" fillId="0" borderId="0" xfId="4" applyFont="1" applyFill="1" applyBorder="1" applyAlignment="1">
      <alignment vertical="center"/>
    </xf>
    <xf numFmtId="49" fontId="22" fillId="0" borderId="0" xfId="4" applyNumberFormat="1" applyFont="1" applyFill="1" applyBorder="1" applyAlignment="1">
      <alignment vertical="top" wrapText="1"/>
    </xf>
    <xf numFmtId="0" fontId="33" fillId="0" borderId="0" xfId="4" applyFont="1"/>
    <xf numFmtId="0" fontId="34" fillId="0" borderId="1" xfId="4" applyFont="1" applyFill="1" applyBorder="1" applyAlignment="1">
      <alignment horizontal="center" vertical="center"/>
    </xf>
    <xf numFmtId="0" fontId="34" fillId="0" borderId="23" xfId="4" applyFont="1" applyFill="1" applyBorder="1" applyAlignment="1">
      <alignment horizontal="center" vertical="center"/>
    </xf>
    <xf numFmtId="0" fontId="34" fillId="0" borderId="24" xfId="4" applyFont="1" applyFill="1" applyBorder="1" applyAlignment="1">
      <alignment horizontal="center" vertical="center"/>
    </xf>
    <xf numFmtId="0" fontId="34" fillId="0" borderId="0" xfId="4" applyFont="1" applyFill="1" applyBorder="1" applyAlignment="1">
      <alignment horizontal="justify" vertical="center"/>
    </xf>
    <xf numFmtId="0" fontId="35" fillId="0" borderId="0" xfId="4" applyFont="1"/>
    <xf numFmtId="0" fontId="36" fillId="0" borderId="22" xfId="0" applyFont="1" applyFill="1" applyBorder="1" applyAlignment="1"/>
    <xf numFmtId="0" fontId="36" fillId="0" borderId="25" xfId="0" applyFont="1" applyFill="1" applyBorder="1" applyAlignment="1"/>
    <xf numFmtId="0" fontId="36" fillId="0" borderId="0" xfId="0" applyFont="1" applyFill="1"/>
    <xf numFmtId="0" fontId="27" fillId="0" borderId="0" xfId="4" applyFont="1" applyFill="1" applyBorder="1" applyAlignment="1">
      <alignment vertical="center"/>
    </xf>
    <xf numFmtId="0" fontId="36" fillId="0" borderId="0" xfId="0" applyFont="1" applyFill="1" applyBorder="1" applyAlignment="1">
      <alignment horizontal="justify"/>
    </xf>
    <xf numFmtId="0" fontId="36" fillId="0" borderId="26" xfId="0" applyFont="1" applyFill="1" applyBorder="1" applyAlignment="1">
      <alignment horizontal="justify"/>
    </xf>
    <xf numFmtId="49" fontId="36" fillId="0" borderId="0" xfId="4" applyNumberFormat="1" applyFont="1" applyFill="1" applyBorder="1" applyAlignment="1">
      <alignment vertical="top" wrapText="1"/>
    </xf>
    <xf numFmtId="0" fontId="36" fillId="0" borderId="0" xfId="0" applyFont="1" applyFill="1" applyBorder="1" applyAlignment="1"/>
    <xf numFmtId="0" fontId="36" fillId="0" borderId="26" xfId="0" applyFont="1" applyFill="1" applyBorder="1" applyAlignment="1"/>
    <xf numFmtId="0" fontId="36" fillId="0" borderId="0" xfId="0" applyFont="1"/>
    <xf numFmtId="0" fontId="36" fillId="0" borderId="0" xfId="0" applyFont="1" applyFill="1" applyBorder="1"/>
    <xf numFmtId="0" fontId="36" fillId="0" borderId="0" xfId="0" applyFont="1" applyFill="1" applyAlignment="1">
      <alignment horizontal="center"/>
    </xf>
    <xf numFmtId="0" fontId="37" fillId="0" borderId="0" xfId="0" applyFont="1" applyFill="1"/>
    <xf numFmtId="0" fontId="38" fillId="0" borderId="0" xfId="4" applyFont="1" applyFill="1" applyBorder="1" applyAlignment="1">
      <alignment vertical="center"/>
    </xf>
    <xf numFmtId="49" fontId="22" fillId="0" borderId="0" xfId="4" applyNumberFormat="1" applyFont="1" applyFill="1" applyBorder="1" applyAlignment="1">
      <alignment horizontal="left" vertical="top" wrapText="1"/>
    </xf>
    <xf numFmtId="0" fontId="22" fillId="0" borderId="0" xfId="0" applyFont="1"/>
    <xf numFmtId="170" fontId="22" fillId="0" borderId="0" xfId="0" applyNumberFormat="1" applyFont="1" applyFill="1" applyBorder="1" applyAlignment="1">
      <alignment horizontal="right"/>
    </xf>
    <xf numFmtId="164" fontId="22" fillId="0" borderId="0" xfId="0" applyNumberFormat="1" applyFont="1" applyFill="1" applyBorder="1" applyAlignment="1">
      <alignment horizontal="right"/>
    </xf>
    <xf numFmtId="0" fontId="22" fillId="0" borderId="0" xfId="0" applyFont="1" applyFill="1" applyBorder="1" applyAlignment="1">
      <alignment horizontal="center"/>
    </xf>
    <xf numFmtId="0" fontId="22" fillId="0" borderId="0" xfId="0" applyFont="1" applyFill="1" applyBorder="1"/>
    <xf numFmtId="44" fontId="22"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5" fillId="0" borderId="0" xfId="4" applyFont="1" applyAlignment="1">
      <alignment horizontal="center"/>
    </xf>
    <xf numFmtId="164" fontId="25" fillId="0" borderId="0" xfId="4" applyNumberFormat="1" applyFont="1"/>
    <xf numFmtId="169" fontId="25" fillId="0" borderId="0" xfId="4" applyNumberFormat="1" applyFont="1"/>
    <xf numFmtId="43" fontId="25"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1" fillId="0" borderId="1" xfId="4" applyFont="1" applyFill="1" applyBorder="1" applyAlignment="1">
      <alignment vertical="center" wrapText="1"/>
    </xf>
    <xf numFmtId="0" fontId="9" fillId="0" borderId="22"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1" fillId="0" borderId="0" xfId="4" applyFont="1" applyFill="1" applyBorder="1" applyAlignment="1">
      <alignment vertical="center" wrapText="1"/>
    </xf>
    <xf numFmtId="14" fontId="3" fillId="0" borderId="0" xfId="4" applyNumberFormat="1"/>
    <xf numFmtId="0" fontId="42" fillId="0" borderId="0" xfId="4" applyFont="1" applyBorder="1" applyAlignment="1">
      <alignment horizontal="justify" vertical="top" wrapText="1"/>
    </xf>
    <xf numFmtId="0" fontId="3" fillId="0" borderId="0" xfId="4" applyAlignment="1"/>
    <xf numFmtId="0" fontId="32" fillId="0" borderId="0" xfId="0" applyFont="1" applyAlignment="1">
      <alignment wrapText="1"/>
    </xf>
    <xf numFmtId="0" fontId="32" fillId="0" borderId="0" xfId="0" applyFont="1" applyAlignment="1"/>
    <xf numFmtId="0" fontId="25" fillId="0" borderId="0" xfId="4" applyFont="1" applyAlignment="1"/>
    <xf numFmtId="0" fontId="3" fillId="0" borderId="0" xfId="4" applyFill="1"/>
    <xf numFmtId="0" fontId="3" fillId="0" borderId="0" xfId="4" applyAlignment="1">
      <alignment vertical="center" wrapText="1"/>
    </xf>
    <xf numFmtId="0" fontId="29" fillId="0" borderId="0" xfId="4" applyFont="1" applyBorder="1" applyAlignment="1">
      <alignment vertical="top" wrapText="1"/>
    </xf>
    <xf numFmtId="169" fontId="29" fillId="0" borderId="0" xfId="4" applyNumberFormat="1" applyFont="1" applyBorder="1" applyAlignment="1">
      <alignment vertical="top" wrapText="1"/>
    </xf>
    <xf numFmtId="0" fontId="29" fillId="0" borderId="0" xfId="4" applyFont="1" applyFill="1" applyBorder="1" applyAlignment="1">
      <alignment vertical="top" wrapText="1"/>
    </xf>
    <xf numFmtId="10" fontId="41" fillId="0" borderId="0" xfId="4" applyNumberFormat="1" applyFont="1" applyFill="1" applyBorder="1" applyAlignment="1">
      <alignment vertical="center" wrapText="1"/>
    </xf>
    <xf numFmtId="0" fontId="43" fillId="0" borderId="0" xfId="0" applyFont="1" applyAlignment="1">
      <alignment horizontal="left" vertical="center"/>
    </xf>
    <xf numFmtId="10" fontId="41" fillId="0" borderId="0" xfId="4" applyNumberFormat="1" applyFont="1" applyFill="1" applyBorder="1" applyAlignment="1">
      <alignment vertical="center"/>
    </xf>
    <xf numFmtId="164" fontId="29" fillId="0" borderId="0" xfId="4" applyNumberFormat="1" applyFont="1" applyBorder="1" applyAlignment="1">
      <alignment vertical="top" wrapText="1"/>
    </xf>
    <xf numFmtId="10" fontId="44" fillId="0" borderId="0" xfId="4" applyNumberFormat="1" applyFont="1" applyBorder="1" applyAlignment="1">
      <alignment vertical="center" wrapText="1"/>
    </xf>
    <xf numFmtId="0" fontId="38" fillId="0" borderId="0" xfId="4" applyFont="1" applyFill="1" applyBorder="1" applyAlignment="1">
      <alignment vertical="top" wrapText="1"/>
    </xf>
    <xf numFmtId="0" fontId="29"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5" fillId="0" borderId="0" xfId="4" applyNumberFormat="1" applyFont="1"/>
    <xf numFmtId="0" fontId="2" fillId="0" borderId="0" xfId="4" applyFont="1" applyFill="1" applyBorder="1" applyAlignment="1">
      <alignment vertical="top" wrapText="1"/>
    </xf>
    <xf numFmtId="0" fontId="45" fillId="0" borderId="0" xfId="4" applyFont="1"/>
    <xf numFmtId="0" fontId="46" fillId="0" borderId="0" xfId="0" applyFont="1" applyFill="1" applyAlignment="1">
      <alignment horizontal="center" vertical="center"/>
    </xf>
    <xf numFmtId="0" fontId="29" fillId="0" borderId="0" xfId="4" applyFont="1" applyFill="1" applyBorder="1" applyAlignment="1">
      <alignment horizontal="center" vertical="top" wrapText="1"/>
    </xf>
    <xf numFmtId="0" fontId="47" fillId="0" borderId="0" xfId="0" applyFont="1" applyFill="1" applyAlignment="1">
      <alignment horizontal="center" vertical="center"/>
    </xf>
    <xf numFmtId="0" fontId="38" fillId="0" borderId="0" xfId="4" applyFont="1" applyFill="1" applyBorder="1" applyAlignment="1">
      <alignment horizontal="center" vertical="top" wrapText="1"/>
    </xf>
    <xf numFmtId="0" fontId="30" fillId="0" borderId="0" xfId="4" applyFont="1" applyFill="1" applyBorder="1" applyAlignment="1">
      <alignment vertical="center" wrapText="1"/>
    </xf>
    <xf numFmtId="0" fontId="3" fillId="0" borderId="0" xfId="4" applyAlignment="1">
      <alignment horizontal="center"/>
    </xf>
    <xf numFmtId="20" fontId="32" fillId="0" borderId="0" xfId="0" applyNumberFormat="1" applyFont="1" applyFill="1" applyBorder="1" applyAlignment="1">
      <alignment horizontal="center"/>
    </xf>
    <xf numFmtId="170" fontId="32" fillId="0" borderId="0" xfId="0" applyNumberFormat="1" applyFont="1" applyFill="1" applyBorder="1" applyAlignment="1">
      <alignment horizontal="center"/>
    </xf>
    <xf numFmtId="0" fontId="48" fillId="0" borderId="0" xfId="0" applyFont="1" applyFill="1" applyAlignment="1">
      <alignment horizontal="center" vertical="center"/>
    </xf>
    <xf numFmtId="0" fontId="18" fillId="0" borderId="0" xfId="0" applyFont="1" applyFill="1" applyBorder="1" applyAlignment="1">
      <alignment horizontal="center"/>
    </xf>
    <xf numFmtId="0" fontId="49" fillId="0" borderId="0" xfId="0" applyFont="1" applyFill="1" applyBorder="1" applyAlignment="1">
      <alignment horizontal="center"/>
    </xf>
    <xf numFmtId="0" fontId="50" fillId="0" borderId="0" xfId="0" applyFont="1" applyFill="1" applyAlignment="1">
      <alignment horizontal="center" vertical="center"/>
    </xf>
    <xf numFmtId="0" fontId="32" fillId="0" borderId="0" xfId="0" applyFont="1" applyFill="1" applyBorder="1" applyAlignment="1">
      <alignment horizontal="center"/>
    </xf>
    <xf numFmtId="0" fontId="41" fillId="0" borderId="0" xfId="0" applyFont="1" applyFill="1" applyAlignment="1">
      <alignment horizontal="center"/>
    </xf>
    <xf numFmtId="10" fontId="22" fillId="0" borderId="0" xfId="0" applyNumberFormat="1" applyFont="1" applyFill="1" applyBorder="1" applyAlignment="1">
      <alignment horizontal="center"/>
    </xf>
    <xf numFmtId="14" fontId="25" fillId="0" borderId="0" xfId="4" applyNumberFormat="1" applyFont="1" applyAlignment="1"/>
    <xf numFmtId="0" fontId="32" fillId="0" borderId="0" xfId="0" applyFont="1" applyBorder="1" applyAlignment="1">
      <alignment horizontal="center"/>
    </xf>
    <xf numFmtId="10" fontId="22" fillId="0" borderId="0" xfId="0" applyNumberFormat="1" applyFont="1" applyBorder="1" applyAlignment="1">
      <alignment horizontal="center"/>
    </xf>
    <xf numFmtId="164" fontId="29" fillId="0" borderId="0" xfId="4" applyNumberFormat="1" applyFont="1"/>
    <xf numFmtId="0" fontId="30" fillId="0" borderId="0" xfId="0" applyFont="1" applyFill="1" applyBorder="1" applyAlignment="1">
      <alignment horizontal="center"/>
    </xf>
    <xf numFmtId="10" fontId="32" fillId="0" borderId="0" xfId="0" applyNumberFormat="1" applyFont="1" applyBorder="1" applyAlignment="1">
      <alignment horizontal="center"/>
    </xf>
    <xf numFmtId="10" fontId="52" fillId="0" borderId="0" xfId="6" applyNumberFormat="1" applyFont="1" applyBorder="1" applyAlignment="1">
      <alignment horizontal="center"/>
    </xf>
    <xf numFmtId="0" fontId="52" fillId="0" borderId="0" xfId="4" applyFont="1" applyAlignment="1">
      <alignment horizontal="center"/>
    </xf>
    <xf numFmtId="0" fontId="52" fillId="0" borderId="0" xfId="4" applyFont="1"/>
    <xf numFmtId="10" fontId="53" fillId="0" borderId="0" xfId="6" applyNumberFormat="1" applyFont="1" applyBorder="1" applyAlignment="1">
      <alignment horizontal="center"/>
    </xf>
    <xf numFmtId="0" fontId="22" fillId="0" borderId="0" xfId="0" applyFont="1" applyBorder="1" applyAlignment="1">
      <alignment horizontal="center"/>
    </xf>
    <xf numFmtId="0" fontId="53" fillId="0" borderId="0" xfId="4" applyFont="1" applyAlignment="1">
      <alignment horizontal="center"/>
    </xf>
    <xf numFmtId="0" fontId="53" fillId="0" borderId="0" xfId="4" applyFont="1"/>
    <xf numFmtId="169" fontId="22"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4" fillId="7" borderId="0" xfId="0" applyNumberFormat="1" applyFont="1" applyFill="1" applyAlignment="1">
      <alignment horizontal="right" wrapText="1"/>
    </xf>
    <xf numFmtId="4" fontId="55" fillId="7" borderId="0" xfId="0" applyNumberFormat="1" applyFont="1" applyFill="1" applyAlignment="1">
      <alignment horizontal="right" wrapText="1"/>
    </xf>
    <xf numFmtId="2" fontId="3" fillId="0" borderId="0" xfId="4" applyNumberFormat="1"/>
    <xf numFmtId="0" fontId="55" fillId="7"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18:03:22</v>
          </cell>
        </row>
        <row r="2">
          <cell r="E2" t="str">
            <v>Updated at 18:03:22</v>
          </cell>
          <cell r="G2" t="str">
            <v>Updated at 18:03:22</v>
          </cell>
          <cell r="I2" t="str">
            <v>Updated at 18:03:22</v>
          </cell>
          <cell r="K2" t="str">
            <v>Updated at 18:03:18</v>
          </cell>
          <cell r="L2" t="str">
            <v>Updated at 18:03:22</v>
          </cell>
          <cell r="M2" t="str">
            <v>Updated at 18:03:22</v>
          </cell>
          <cell r="N2" t="str">
            <v>Updated at 18:03:22</v>
          </cell>
          <cell r="O2" t="str">
            <v>Updated at 18:03:22</v>
          </cell>
          <cell r="Q2" t="str">
            <v>Dividend Yield</v>
          </cell>
          <cell r="S2" t="str">
            <v>Updated at 18:03:22</v>
          </cell>
          <cell r="T2" t="str">
            <v>Updated at 18:03:22</v>
          </cell>
          <cell r="U2" t="str">
            <v>Updated at 18:03:22</v>
          </cell>
          <cell r="W2" t="str">
            <v>Updated at 18:03:22</v>
          </cell>
          <cell r="X2" t="str">
            <v>Updated at 18:03:22</v>
          </cell>
          <cell r="Y2" t="str">
            <v>Updated at 18:03:22</v>
          </cell>
          <cell r="Z2" t="str">
            <v>Updated at 18:03:22</v>
          </cell>
          <cell r="AC2" t="str">
            <v>Updated at 18:03:22</v>
          </cell>
          <cell r="AD2" t="str">
            <v>Updated at 18:03:22</v>
          </cell>
          <cell r="AE2" t="str">
            <v>Updated at 18:03:22</v>
          </cell>
          <cell r="AF2" t="str">
            <v>Updated at 18:03:22</v>
          </cell>
          <cell r="AH2" t="str">
            <v>Updated at 18:03:22</v>
          </cell>
          <cell r="AI2" t="str">
            <v>Updated at 18:03:22</v>
          </cell>
          <cell r="AJ2" t="str">
            <v>Updated at 18:03:22</v>
          </cell>
          <cell r="AK2" t="str">
            <v>Updated at 18:03:22</v>
          </cell>
          <cell r="AL2" t="str">
            <v>Updated at 18:03:22</v>
          </cell>
          <cell r="AM2" t="str">
            <v>Updated at 18:03:22</v>
          </cell>
          <cell r="AN2" t="str">
            <v>Updated at 18:03:22</v>
          </cell>
          <cell r="AO2" t="str">
            <v>Updated at 18:03:22</v>
          </cell>
          <cell r="AQ2" t="str">
            <v>Updated at 18:03:22</v>
          </cell>
          <cell r="AR2" t="str">
            <v>Updated at 18:03:22</v>
          </cell>
          <cell r="AS2" t="str">
            <v>Updated at 18:03:22</v>
          </cell>
          <cell r="AT2" t="str">
            <v>Updated at 18:03:22</v>
          </cell>
          <cell r="AV2" t="str">
            <v>Updated at 18:03:22</v>
          </cell>
          <cell r="AW2" t="str">
            <v>Updated at 18:03:22</v>
          </cell>
          <cell r="AX2" t="str">
            <v>Updated at 18:03:22</v>
          </cell>
          <cell r="AY2" t="str">
            <v>Updated at 18:03:22</v>
          </cell>
          <cell r="BC2" t="str">
            <v>Updated at 18:03:22</v>
          </cell>
          <cell r="BF2" t="str">
            <v>Updated at 18:03:22</v>
          </cell>
          <cell r="BG2" t="str">
            <v>Updated at 18:03:22</v>
          </cell>
          <cell r="BH2" t="str">
            <v>Updated at 18:03:22</v>
          </cell>
          <cell r="BI2" t="str">
            <v>Updated at 18:03:22</v>
          </cell>
          <cell r="BK2" t="str">
            <v>Updated at 18:03:22</v>
          </cell>
          <cell r="BL2" t="str">
            <v>Updated at 18:03:22</v>
          </cell>
          <cell r="BM2" t="str">
            <v>Updated at 18:03:22</v>
          </cell>
          <cell r="BN2" t="str">
            <v>Updated at 18:03:22</v>
          </cell>
          <cell r="BO2" t="str">
            <v>Updated at 18:03:22</v>
          </cell>
          <cell r="BQ2" t="str">
            <v>Updated at 18:03:22</v>
          </cell>
          <cell r="BR2" t="str">
            <v>Updated at 18:03:22</v>
          </cell>
          <cell r="BS2" t="str">
            <v>Updated at 18:03:22</v>
          </cell>
          <cell r="BT2" t="str">
            <v>Updated at 18:03:22</v>
          </cell>
          <cell r="BU2" t="str">
            <v>Updated at 18:03:22</v>
          </cell>
          <cell r="BY2" t="str">
            <v>Updated at 18:03:22</v>
          </cell>
          <cell r="BZ2" t="str">
            <v>Updated at 18:03:22</v>
          </cell>
          <cell r="CA2" t="str">
            <v>Updated at 18:03:22</v>
          </cell>
          <cell r="CB2" t="str">
            <v>Updated at 18:03:22</v>
          </cell>
          <cell r="CC2" t="str">
            <v>Updated at 18:03:22</v>
          </cell>
          <cell r="CD2" t="str">
            <v>Updated at 18:03:22</v>
          </cell>
          <cell r="CE2" t="str">
            <v>Updated at 18:03:22</v>
          </cell>
          <cell r="CF2" t="str">
            <v>Updated at 18:03:22</v>
          </cell>
          <cell r="CG2" t="str">
            <v>Updated at 18:03:22</v>
          </cell>
          <cell r="CH2" t="str">
            <v>Updated at 18:03:22</v>
          </cell>
          <cell r="CI2" t="str">
            <v>Updated at 18:03:22</v>
          </cell>
          <cell r="CJ2" t="str">
            <v>Updated at 18:03:22</v>
          </cell>
          <cell r="CP2" t="str">
            <v>Updated at 18:03:22</v>
          </cell>
          <cell r="CQ2" t="str">
            <v>Updated at 18:03:22</v>
          </cell>
          <cell r="CR2" t="str">
            <v>Updated at 18:03:22</v>
          </cell>
          <cell r="CS2" t="str">
            <v>Updated at 18:03:22</v>
          </cell>
          <cell r="CT2" t="str">
            <v>Updated at 18:03:22</v>
          </cell>
          <cell r="CU2" t="str">
            <v>Updated at 18:03:22</v>
          </cell>
          <cell r="CV2" t="str">
            <v>Updated at 18:03:22</v>
          </cell>
          <cell r="CW2" t="str">
            <v>Updated at 18:03:22</v>
          </cell>
          <cell r="DG2" t="str">
            <v>Updated at 18:03:22</v>
          </cell>
          <cell r="DH2" t="str">
            <v>Updated at 18:03:22</v>
          </cell>
          <cell r="DI2" t="str">
            <v>Updated at 18:03:18</v>
          </cell>
          <cell r="DK2" t="str">
            <v>Updated at 18:03:22</v>
          </cell>
          <cell r="DM2" t="str">
            <v>Updated at 18:03:22</v>
          </cell>
          <cell r="DN2" t="str">
            <v>Updated at 18:03:22</v>
          </cell>
          <cell r="DO2" t="str">
            <v>Updated at 18:03:22</v>
          </cell>
          <cell r="DP2" t="str">
            <v>Updated at 18:03:22</v>
          </cell>
          <cell r="DQ2" t="str">
            <v>Updated at 18:03:22</v>
          </cell>
          <cell r="DT2" t="str">
            <v>Updated at 18:03:22</v>
          </cell>
          <cell r="DU2" t="str">
            <v>Updated at 18:03:22</v>
          </cell>
          <cell r="DV2" t="str">
            <v>Updated at 18:03:22</v>
          </cell>
          <cell r="DW2" t="str">
            <v>Updated at 18:03:22</v>
          </cell>
          <cell r="ED2" t="str">
            <v>Updated at 18:03:22</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7.4</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24.432488204098401</v>
          </cell>
          <cell r="DH5">
            <v>2746709408</v>
          </cell>
          <cell r="DI5">
            <v>7.66</v>
          </cell>
          <cell r="DJ5">
            <v>4638416269.5200005</v>
          </cell>
          <cell r="DK5">
            <v>21499979784.701</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1.16839534871894</v>
          </cell>
          <cell r="EE5">
            <v>1.0267106228001499</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14.200000000000001</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11.785871740979999</v>
          </cell>
          <cell r="DH6">
            <v>75000000</v>
          </cell>
          <cell r="DI6">
            <v>13.700000000000001</v>
          </cell>
          <cell r="DJ6">
            <v>1027500000</v>
          </cell>
          <cell r="DK6">
            <v>1314244090</v>
          </cell>
          <cell r="DM6">
            <v>187337900</v>
          </cell>
          <cell r="DN6" t="str">
            <v>NULL</v>
          </cell>
          <cell r="DO6" t="str">
            <v>NULL</v>
          </cell>
          <cell r="DP6">
            <v>2338630</v>
          </cell>
          <cell r="DQ6" t="str">
            <v>NULL</v>
          </cell>
          <cell r="DR6">
            <v>184999270</v>
          </cell>
          <cell r="DS6">
            <v>5.5540759701376121</v>
          </cell>
          <cell r="DT6">
            <v>-0.36068</v>
          </cell>
          <cell r="DU6">
            <v>6.8640000000000007E-2</v>
          </cell>
          <cell r="DV6">
            <v>0.58594000000000002</v>
          </cell>
          <cell r="DW6">
            <v>0.32612999999999998</v>
          </cell>
          <cell r="DX6">
            <v>0.62003000000000008</v>
          </cell>
          <cell r="DY6">
            <v>22.902117639469058</v>
          </cell>
          <cell r="DZ6">
            <v>1.2729624461335565</v>
          </cell>
          <cell r="EA6">
            <v>-109285490</v>
          </cell>
          <cell r="EB6">
            <v>-9.401980079880687</v>
          </cell>
          <cell r="EC6">
            <v>22.9021176394691</v>
          </cell>
          <cell r="ED6">
            <v>1.31016004966621</v>
          </cell>
          <cell r="EE6">
            <v>1.2383240443746899</v>
          </cell>
          <cell r="EG6">
            <v>0.49310770906459889</v>
          </cell>
          <cell r="EH6">
            <v>5.625103864572778E-2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16.55</v>
          </cell>
          <cell r="L7">
            <v>0</v>
          </cell>
          <cell r="M7">
            <v>0.3715</v>
          </cell>
          <cell r="N7">
            <v>0</v>
          </cell>
          <cell r="O7" t="str">
            <v>NULL</v>
          </cell>
          <cell r="P7">
            <v>0.3715</v>
          </cell>
          <cell r="Q7">
            <v>2.2447129909365558E-2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8.0447195641541693</v>
          </cell>
          <cell r="DH7">
            <v>2800000000</v>
          </cell>
          <cell r="DI7">
            <v>16.649999999999999</v>
          </cell>
          <cell r="DJ7">
            <v>46620000000</v>
          </cell>
          <cell r="DK7">
            <v>47668594079.999901</v>
          </cell>
          <cell r="DM7">
            <v>8985023700</v>
          </cell>
          <cell r="DN7" t="str">
            <v>NULL</v>
          </cell>
          <cell r="DO7" t="str">
            <v>NULL</v>
          </cell>
          <cell r="DP7">
            <v>45619710</v>
          </cell>
          <cell r="DQ7" t="str">
            <v>NULL</v>
          </cell>
          <cell r="DR7">
            <v>8939403990</v>
          </cell>
          <cell r="DS7">
            <v>5.2151127806899797</v>
          </cell>
          <cell r="DT7">
            <v>0.39800000000000002</v>
          </cell>
          <cell r="DU7">
            <v>0.32528000000000001</v>
          </cell>
          <cell r="DV7">
            <v>0.28129999999999999</v>
          </cell>
          <cell r="DW7">
            <v>0.20488000000000001</v>
          </cell>
          <cell r="DX7">
            <v>1.20946</v>
          </cell>
          <cell r="DY7">
            <v>13.683792767019993</v>
          </cell>
          <cell r="DZ7">
            <v>2.2379035298227241</v>
          </cell>
          <cell r="EA7">
            <v>1484313060</v>
          </cell>
          <cell r="EB7">
            <v>31.408468507310715</v>
          </cell>
          <cell r="EC7">
            <v>13.6011112397268</v>
          </cell>
          <cell r="ED7">
            <v>0.89000296120225697</v>
          </cell>
          <cell r="EE7">
            <v>0.96161522199270599</v>
          </cell>
          <cell r="EG7">
            <v>0.39805201225396719</v>
          </cell>
          <cell r="EH7">
            <v>-3.6743762203973462E-2</v>
          </cell>
          <cell r="EK7">
            <v>1.2982982984985001</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149.55000000000001</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6.7968647456924902</v>
          </cell>
          <cell r="DH8">
            <v>13044496930</v>
          </cell>
          <cell r="DI8">
            <v>149.9</v>
          </cell>
          <cell r="DJ8">
            <v>1664624069109.8</v>
          </cell>
          <cell r="DK8">
            <v>3666912618640.79</v>
          </cell>
          <cell r="DM8">
            <v>1655019043151.97</v>
          </cell>
          <cell r="DN8" t="str">
            <v>NULL</v>
          </cell>
          <cell r="DO8" t="str">
            <v>NULL</v>
          </cell>
          <cell r="DP8">
            <v>42598196453.428596</v>
          </cell>
          <cell r="DQ8">
            <v>4904878048.7804899</v>
          </cell>
          <cell r="DR8">
            <v>1607515968649.761</v>
          </cell>
          <cell r="DS8">
            <v>1.0355256815943217</v>
          </cell>
          <cell r="DT8">
            <v>3.2473822247775801</v>
          </cell>
          <cell r="DU8">
            <v>-2.3571337761540998</v>
          </cell>
          <cell r="DV8">
            <v>0.111508417156956</v>
          </cell>
          <cell r="DW8">
            <v>0.121645742975532</v>
          </cell>
          <cell r="DX8">
            <v>1.1234026087559683</v>
          </cell>
          <cell r="DY8">
            <v>133.43390769405104</v>
          </cell>
          <cell r="DZ8">
            <v>1.032688214994355</v>
          </cell>
          <cell r="EA8">
            <v>211068330595.2887</v>
          </cell>
          <cell r="EB8">
            <v>7.8866595685622789</v>
          </cell>
          <cell r="EC8">
            <v>119.845930416114</v>
          </cell>
          <cell r="ED8">
            <v>1.12370066916803</v>
          </cell>
          <cell r="EE8">
            <v>0.98899786480341201</v>
          </cell>
          <cell r="EG8">
            <v>0.54529995550174537</v>
          </cell>
          <cell r="EH8">
            <v>-0.15046696324178011</v>
          </cell>
          <cell r="EK8">
            <v>0.22200433687403401</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93.7</v>
          </cell>
          <cell r="L9">
            <v>0</v>
          </cell>
          <cell r="M9">
            <v>2.7493599999999998</v>
          </cell>
          <cell r="N9">
            <v>0</v>
          </cell>
          <cell r="O9">
            <v>4.0774800000000004</v>
          </cell>
          <cell r="P9">
            <v>6.8268400000000007</v>
          </cell>
          <cell r="Q9">
            <v>7.285848452508005E-2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2.9362596075693999</v>
          </cell>
          <cell r="DH9">
            <v>30469035</v>
          </cell>
          <cell r="DI9">
            <v>89.5</v>
          </cell>
          <cell r="DJ9">
            <v>8260747970</v>
          </cell>
          <cell r="DK9">
            <v>2378647259.5</v>
          </cell>
          <cell r="DM9">
            <v>465502520</v>
          </cell>
          <cell r="DN9" t="str">
            <v>NULL</v>
          </cell>
          <cell r="DO9" t="str">
            <v>NULL</v>
          </cell>
          <cell r="DP9">
            <v>360329400</v>
          </cell>
          <cell r="DQ9" t="str">
            <v>NULL</v>
          </cell>
          <cell r="DR9">
            <v>105173120</v>
          </cell>
          <cell r="DS9">
            <v>78.544289358345551</v>
          </cell>
          <cell r="DT9">
            <v>1.52518</v>
          </cell>
          <cell r="DU9">
            <v>2.4625499999999998</v>
          </cell>
          <cell r="DV9">
            <v>1.1419900000000001</v>
          </cell>
          <cell r="DW9">
            <v>0.84206000000000003</v>
          </cell>
          <cell r="DX9">
            <v>5.9717799999999999</v>
          </cell>
          <cell r="DY9">
            <v>15.690464149717506</v>
          </cell>
          <cell r="DZ9">
            <v>3.1378404664575399</v>
          </cell>
          <cell r="EA9">
            <v>181106460</v>
          </cell>
          <cell r="EB9">
            <v>45.612663236860797</v>
          </cell>
          <cell r="EC9">
            <v>15.690464149717499</v>
          </cell>
          <cell r="ED9">
            <v>0.65384800080120598</v>
          </cell>
          <cell r="EE9">
            <v>0.68398218530169197</v>
          </cell>
          <cell r="EG9">
            <v>0.63961499873619909</v>
          </cell>
          <cell r="EH9">
            <v>0.25808585807491458</v>
          </cell>
          <cell r="EK9">
            <v>6.2913847324022303</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16.100000000000001</v>
          </cell>
          <cell r="L10">
            <v>0</v>
          </cell>
          <cell r="M10">
            <v>0.13333</v>
          </cell>
          <cell r="N10">
            <v>0</v>
          </cell>
          <cell r="O10">
            <v>0</v>
          </cell>
          <cell r="P10">
            <v>0.13333</v>
          </cell>
          <cell r="Q10">
            <v>8.2813664596273293E-3</v>
          </cell>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1.8082902833052901</v>
          </cell>
          <cell r="DH10">
            <v>1500033565</v>
          </cell>
          <cell r="DI10">
            <v>15.75</v>
          </cell>
          <cell r="DJ10">
            <v>23625000000</v>
          </cell>
          <cell r="DK10">
            <v>6767334706.5000095</v>
          </cell>
          <cell r="DM10">
            <v>8433418000</v>
          </cell>
          <cell r="DN10" t="str">
            <v>NULL</v>
          </cell>
          <cell r="DO10" t="str">
            <v>NULL</v>
          </cell>
          <cell r="DP10">
            <v>133951000</v>
          </cell>
          <cell r="DQ10" t="str">
            <v>NULL</v>
          </cell>
          <cell r="DR10">
            <v>8299467000</v>
          </cell>
          <cell r="DS10">
            <v>2.8465683398705002</v>
          </cell>
          <cell r="DT10">
            <v>0.36309000000000002</v>
          </cell>
          <cell r="DU10">
            <v>0.32954</v>
          </cell>
          <cell r="DV10">
            <v>0.33227000000000001</v>
          </cell>
          <cell r="DW10">
            <v>0.25440000000000002</v>
          </cell>
          <cell r="DX10">
            <v>1.2793000000000001</v>
          </cell>
          <cell r="DY10">
            <v>12.585007425936059</v>
          </cell>
          <cell r="DZ10" t="e">
            <v>#DIV/0!</v>
          </cell>
          <cell r="EA10">
            <v>-3610348000</v>
          </cell>
          <cell r="EB10">
            <v>-6.5436905251238935</v>
          </cell>
          <cell r="EC10">
            <v>12.5850074259361</v>
          </cell>
          <cell r="ED10">
            <v>1.258899452379</v>
          </cell>
          <cell r="EE10">
            <v>1.2436627544660801</v>
          </cell>
          <cell r="EG10">
            <v>0.5394528640489672</v>
          </cell>
          <cell r="EH10">
            <v>5.619987747420252E-2</v>
          </cell>
          <cell r="EK10">
            <v>0.84656084634920603</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196.5</v>
          </cell>
          <cell r="L11">
            <v>0</v>
          </cell>
          <cell r="M11">
            <v>0</v>
          </cell>
          <cell r="N11">
            <v>0</v>
          </cell>
          <cell r="O11">
            <v>1.2</v>
          </cell>
          <cell r="P11">
            <v>1.2</v>
          </cell>
          <cell r="Q11">
            <v>6.1068702290076335E-3</v>
          </cell>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3550975000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5.2590180511972985E-2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0.26425925176483056</v>
          </cell>
          <cell r="CP11">
            <v>3550975000</v>
          </cell>
          <cell r="CQ11">
            <v>2013138000</v>
          </cell>
          <cell r="CR11">
            <v>9388772000</v>
          </cell>
          <cell r="CS11">
            <v>6540832000</v>
          </cell>
          <cell r="CT11">
            <v>5009889000</v>
          </cell>
          <cell r="CU11">
            <v>3479531000</v>
          </cell>
          <cell r="CV11">
            <v>2443564000</v>
          </cell>
          <cell r="CW11">
            <v>1493618000</v>
          </cell>
          <cell r="CX11">
            <v>0.7639004380226293</v>
          </cell>
          <cell r="CY11">
            <v>0.44815433500241814</v>
          </cell>
          <cell r="CZ11">
            <v>0.43540944026692618</v>
          </cell>
          <cell r="DA11">
            <v>0.30558421553850801</v>
          </cell>
          <cell r="DB11">
            <v>0.43981732020780973</v>
          </cell>
          <cell r="DC11">
            <v>0.42395738355942392</v>
          </cell>
          <cell r="DD11">
            <v>0.6360033154394229</v>
          </cell>
          <cell r="DE11">
            <v>0.11877595403933269</v>
          </cell>
          <cell r="DG11">
            <v>5.5694033383304804</v>
          </cell>
          <cell r="DH11">
            <v>669663021</v>
          </cell>
          <cell r="DI11">
            <v>189.95000000000002</v>
          </cell>
          <cell r="DJ11">
            <v>127202490838.95</v>
          </cell>
          <cell r="DK11">
            <v>118019872777.55</v>
          </cell>
          <cell r="DM11">
            <v>50085714000</v>
          </cell>
          <cell r="DN11" t="str">
            <v>NULL</v>
          </cell>
          <cell r="DO11" t="str">
            <v>NULL</v>
          </cell>
          <cell r="DP11">
            <v>947279000</v>
          </cell>
          <cell r="DQ11" t="str">
            <v>NULL</v>
          </cell>
          <cell r="DR11">
            <v>49138435000</v>
          </cell>
          <cell r="DS11">
            <v>2.5886557200885618</v>
          </cell>
          <cell r="DT11">
            <v>5.3026299999999997</v>
          </cell>
          <cell r="DU11">
            <v>4.4972599999999998</v>
          </cell>
          <cell r="DV11">
            <v>3.7547999999999999</v>
          </cell>
          <cell r="DW11">
            <v>2.7509800000000002</v>
          </cell>
          <cell r="DX11">
            <v>16.305669999999999</v>
          </cell>
          <cell r="DY11">
            <v>12.051022742395745</v>
          </cell>
          <cell r="DZ11" t="e">
            <v>#DIV/0!</v>
          </cell>
          <cell r="EA11">
            <v>9272895000</v>
          </cell>
          <cell r="EB11">
            <v>13.717667550311957</v>
          </cell>
          <cell r="EC11">
            <v>12.0540891603964</v>
          </cell>
          <cell r="ED11">
            <v>1.00580109246419</v>
          </cell>
          <cell r="EE11">
            <v>1.05296722921982</v>
          </cell>
          <cell r="EG11">
            <v>0.47410734015948508</v>
          </cell>
          <cell r="EH11">
            <v>0.15027805846903508</v>
          </cell>
          <cell r="EK11">
            <v>2.6954461700447498</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5.5</v>
          </cell>
          <cell r="L12">
            <v>0</v>
          </cell>
          <cell r="M12">
            <v>0</v>
          </cell>
          <cell r="N12">
            <v>0</v>
          </cell>
          <cell r="O12">
            <v>2.4E-2</v>
          </cell>
          <cell r="P12">
            <v>2.4E-2</v>
          </cell>
          <cell r="Q12">
            <v>4.3636363636363638E-3</v>
          </cell>
          <cell r="S12">
            <v>1.2396180859999999</v>
          </cell>
          <cell r="T12">
            <v>1.827754444</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5.8314712354810698</v>
          </cell>
          <cell r="DH12">
            <v>1250000000</v>
          </cell>
          <cell r="DI12">
            <v>5.4</v>
          </cell>
          <cell r="DJ12">
            <v>6750000000</v>
          </cell>
          <cell r="DK12">
            <v>4063228910</v>
          </cell>
          <cell r="DM12">
            <v>1983858600</v>
          </cell>
          <cell r="DN12" t="str">
            <v>NULL</v>
          </cell>
          <cell r="DO12" t="str">
            <v>NULL</v>
          </cell>
          <cell r="DP12">
            <v>6683760</v>
          </cell>
          <cell r="DQ12" t="str">
            <v>NULL</v>
          </cell>
          <cell r="DR12">
            <v>1977174840</v>
          </cell>
          <cell r="DS12">
            <v>3.4139621157631157</v>
          </cell>
          <cell r="DT12">
            <v>0.16327</v>
          </cell>
          <cell r="DU12">
            <v>5.3220000000000003E-2</v>
          </cell>
          <cell r="DV12">
            <v>7.9979999999999996E-2</v>
          </cell>
          <cell r="DW12">
            <v>6.4860000000000001E-2</v>
          </cell>
          <cell r="DX12">
            <v>0.36133000000000004</v>
          </cell>
          <cell r="DY12">
            <v>15.22154263415714</v>
          </cell>
          <cell r="DZ12">
            <v>3.643353320157924</v>
          </cell>
          <cell r="EA12">
            <v>368597530</v>
          </cell>
          <cell r="EB12">
            <v>18.312656625778256</v>
          </cell>
          <cell r="EC12">
            <v>15.2215426341571</v>
          </cell>
          <cell r="ED12">
            <v>0.98466485068978005</v>
          </cell>
          <cell r="EE12">
            <v>1.0620991412226499</v>
          </cell>
          <cell r="EG12">
            <v>0.44803050503751729</v>
          </cell>
          <cell r="EH12">
            <v>0.13930302895195212</v>
          </cell>
          <cell r="EK12">
            <v>0.74666666666666603</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49</v>
          </cell>
          <cell r="L13">
            <v>0</v>
          </cell>
          <cell r="M13">
            <v>0</v>
          </cell>
          <cell r="N13">
            <v>2.2728299999999999</v>
          </cell>
          <cell r="O13">
            <v>0</v>
          </cell>
          <cell r="P13">
            <v>2.2728299999999999</v>
          </cell>
          <cell r="Q13">
            <v>4.6384285714285711E-2</v>
          </cell>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t="str">
            <v>NULL</v>
          </cell>
          <cell r="AI13" t="str">
            <v>NULL</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3.6711890155282898</v>
          </cell>
          <cell r="DH13">
            <v>719145237</v>
          </cell>
          <cell r="DI13">
            <v>50.6</v>
          </cell>
          <cell r="DJ13">
            <v>36388748992.199997</v>
          </cell>
          <cell r="DK13">
            <v>27131742531</v>
          </cell>
          <cell r="DM13">
            <v>13174938000</v>
          </cell>
          <cell r="DN13" t="str">
            <v>NULL</v>
          </cell>
          <cell r="DO13" t="str">
            <v>NULL</v>
          </cell>
          <cell r="DP13">
            <v>43662000</v>
          </cell>
          <cell r="DQ13" t="str">
            <v>NULL</v>
          </cell>
          <cell r="DR13">
            <v>13131276000</v>
          </cell>
          <cell r="DS13">
            <v>2.7711510284453693</v>
          </cell>
          <cell r="DT13">
            <v>1.14324</v>
          </cell>
          <cell r="DU13">
            <v>1.43459</v>
          </cell>
          <cell r="DV13">
            <v>1.3082199999999999</v>
          </cell>
          <cell r="DW13">
            <v>1.14503</v>
          </cell>
          <cell r="DX13">
            <v>5.0310800000000002</v>
          </cell>
          <cell r="DY13">
            <v>9.7394595196260045</v>
          </cell>
          <cell r="DZ13" t="e">
            <v>#DIV/0!</v>
          </cell>
          <cell r="EA13">
            <v>-970094000</v>
          </cell>
          <cell r="EB13">
            <v>-37.510539176822036</v>
          </cell>
          <cell r="EC13">
            <v>9.7394595196259992</v>
          </cell>
          <cell r="ED13">
            <v>0.94271032077352401</v>
          </cell>
          <cell r="EE13">
            <v>0.863577393628715</v>
          </cell>
          <cell r="EG13">
            <v>0.44572835563582197</v>
          </cell>
          <cell r="EH13">
            <v>0.15639219930057857</v>
          </cell>
          <cell r="EK13">
            <v>4.8850419604743101</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43.5</v>
          </cell>
          <cell r="L14">
            <v>0</v>
          </cell>
          <cell r="M14">
            <v>0</v>
          </cell>
          <cell r="N14">
            <v>0</v>
          </cell>
          <cell r="O14">
            <v>0.72299999999999998</v>
          </cell>
          <cell r="P14">
            <v>0.72299999999999998</v>
          </cell>
          <cell r="Q14">
            <v>1.6620689655172414E-2</v>
          </cell>
          <cell r="S14">
            <v>181.60288687299999</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4.7159976245572297</v>
          </cell>
          <cell r="DH14">
            <v>2157806584</v>
          </cell>
          <cell r="DI14">
            <v>44</v>
          </cell>
          <cell r="DJ14">
            <v>97491752100</v>
          </cell>
          <cell r="DK14">
            <v>58940967467.500099</v>
          </cell>
          <cell r="DM14">
            <v>25392734000</v>
          </cell>
          <cell r="DN14" t="str">
            <v>NULL</v>
          </cell>
          <cell r="DO14" t="str">
            <v>NULL</v>
          </cell>
          <cell r="DP14">
            <v>2458945000</v>
          </cell>
          <cell r="DQ14">
            <v>870464000</v>
          </cell>
          <cell r="DR14">
            <v>22063325000</v>
          </cell>
          <cell r="DS14">
            <v>4.4187243808446821</v>
          </cell>
          <cell r="DT14">
            <v>0.73199999999999998</v>
          </cell>
          <cell r="DU14">
            <v>0.57742000000000004</v>
          </cell>
          <cell r="DV14">
            <v>0.57879000000000003</v>
          </cell>
          <cell r="DW14">
            <v>0.70774000000000004</v>
          </cell>
          <cell r="DX14">
            <v>2.5959500000000002</v>
          </cell>
          <cell r="DY14">
            <v>16.756871280263486</v>
          </cell>
          <cell r="DZ14" t="e">
            <v>#DIV/0!</v>
          </cell>
          <cell r="EA14">
            <v>-32726755000</v>
          </cell>
          <cell r="EB14">
            <v>-2.9789617730202704</v>
          </cell>
          <cell r="EC14">
            <v>16.7568712802635</v>
          </cell>
          <cell r="ED14">
            <v>0.61538623965628803</v>
          </cell>
          <cell r="EE14">
            <v>0.64872331508018799</v>
          </cell>
          <cell r="EG14">
            <v>0.4439319861189911</v>
          </cell>
          <cell r="EH14">
            <v>0.13629195900816171</v>
          </cell>
          <cell r="EK14">
            <v>1.6431818181818201</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330</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33.853963142373203</v>
          </cell>
          <cell r="DH15">
            <v>76250000</v>
          </cell>
          <cell r="DI15">
            <v>320.25</v>
          </cell>
          <cell r="DJ15">
            <v>24419062500</v>
          </cell>
          <cell r="DK15">
            <v>18842257010</v>
          </cell>
          <cell r="DM15">
            <v>5159803380</v>
          </cell>
          <cell r="DN15" t="str">
            <v>NULL</v>
          </cell>
          <cell r="DO15" t="str">
            <v>NULL</v>
          </cell>
          <cell r="DP15">
            <v>800351320</v>
          </cell>
          <cell r="DQ15">
            <v>411903070</v>
          </cell>
          <cell r="DR15">
            <v>3947548990</v>
          </cell>
          <cell r="DS15">
            <v>6.1858795323018905</v>
          </cell>
          <cell r="DT15">
            <v>6.2369599999999998</v>
          </cell>
          <cell r="DU15">
            <v>4.4175899999999997</v>
          </cell>
          <cell r="DV15">
            <v>4.3031499999999996</v>
          </cell>
          <cell r="DW15">
            <v>3.43946</v>
          </cell>
          <cell r="DX15">
            <v>18.39716</v>
          </cell>
          <cell r="DY15">
            <v>17.93755123073344</v>
          </cell>
          <cell r="DZ15">
            <v>23.85368321602429</v>
          </cell>
          <cell r="EA15">
            <v>-1277349490</v>
          </cell>
          <cell r="EB15">
            <v>-19.11697831421219</v>
          </cell>
          <cell r="EC15">
            <v>18.0489814732274</v>
          </cell>
          <cell r="ED15">
            <v>0.97819712521646596</v>
          </cell>
          <cell r="EE15">
            <v>0.88250354139864395</v>
          </cell>
          <cell r="EG15" t="str">
            <v>-</v>
          </cell>
          <cell r="EH15" t="str">
            <v>-</v>
          </cell>
          <cell r="EK15">
            <v>0.50897736143637795</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8.35</v>
          </cell>
          <cell r="L16">
            <v>0</v>
          </cell>
          <cell r="M16">
            <v>0.15098</v>
          </cell>
          <cell r="N16">
            <v>0</v>
          </cell>
          <cell r="O16">
            <v>0</v>
          </cell>
          <cell r="P16">
            <v>0.15098</v>
          </cell>
          <cell r="Q16">
            <v>1.8081437125748504E-2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80.340781967573804</v>
          </cell>
          <cell r="DH16">
            <v>123200000</v>
          </cell>
          <cell r="DI16">
            <v>8.25</v>
          </cell>
          <cell r="DJ16">
            <v>1016400000</v>
          </cell>
          <cell r="DK16">
            <v>1011328960</v>
          </cell>
          <cell r="DM16">
            <v>774848850</v>
          </cell>
          <cell r="DN16" t="str">
            <v>NULL</v>
          </cell>
          <cell r="DO16" t="str">
            <v>NULL</v>
          </cell>
          <cell r="DP16" t="str">
            <v>NULL</v>
          </cell>
          <cell r="DQ16" t="str">
            <v>NULL</v>
          </cell>
          <cell r="DR16">
            <v>774848850</v>
          </cell>
          <cell r="DS16">
            <v>1.3117397025239181</v>
          </cell>
          <cell r="DT16">
            <v>2.4816400000000001</v>
          </cell>
          <cell r="DU16">
            <v>0.24879999999999999</v>
          </cell>
          <cell r="DV16">
            <v>8.2000000000000007E-3</v>
          </cell>
          <cell r="DW16">
            <v>9.4460000000000002E-2</v>
          </cell>
          <cell r="DX16">
            <v>2.8331000000000004</v>
          </cell>
          <cell r="DY16">
            <v>2.9473015424799685</v>
          </cell>
          <cell r="DZ16">
            <v>10.542456257467444</v>
          </cell>
          <cell r="EA16" t="e">
            <v>#VALUE!</v>
          </cell>
          <cell r="EB16" t="e">
            <v>#VALUE!</v>
          </cell>
          <cell r="EC16">
            <v>2.9473015424799698</v>
          </cell>
          <cell r="ED16">
            <v>0.50637081091435499</v>
          </cell>
          <cell r="EE16">
            <v>0.53290294323748399</v>
          </cell>
          <cell r="EG16">
            <v>0.33699365925902458</v>
          </cell>
          <cell r="EH16">
            <v>-4.6026963648016284E-2</v>
          </cell>
          <cell r="EK16">
            <v>1.93928895185455</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17.3</v>
          </cell>
          <cell r="L17">
            <v>0</v>
          </cell>
          <cell r="M17">
            <v>0</v>
          </cell>
          <cell r="N17">
            <v>0</v>
          </cell>
          <cell r="O17">
            <v>0.17862</v>
          </cell>
          <cell r="P17">
            <v>0.17862</v>
          </cell>
          <cell r="Q17">
            <v>1.032485549132948E-2</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17.819076142579299</v>
          </cell>
          <cell r="DH17">
            <v>167959080</v>
          </cell>
          <cell r="DI17">
            <v>17.3</v>
          </cell>
          <cell r="DJ17">
            <v>2905692084</v>
          </cell>
          <cell r="DK17">
            <v>2830970084</v>
          </cell>
          <cell r="DM17">
            <v>654015000</v>
          </cell>
          <cell r="DN17" t="str">
            <v>NULL</v>
          </cell>
          <cell r="DO17" t="str">
            <v>NULL</v>
          </cell>
          <cell r="DP17">
            <v>1077000</v>
          </cell>
          <cell r="DQ17" t="str">
            <v>NULL</v>
          </cell>
          <cell r="DR17">
            <v>652938000</v>
          </cell>
          <cell r="DS17">
            <v>4.4501806970952833</v>
          </cell>
          <cell r="DT17">
            <v>0.51941000000000004</v>
          </cell>
          <cell r="DU17">
            <v>0.40597</v>
          </cell>
          <cell r="DV17">
            <v>0.25094</v>
          </cell>
          <cell r="DW17">
            <v>0.60992999999999997</v>
          </cell>
          <cell r="DX17">
            <v>1.7862499999999999</v>
          </cell>
          <cell r="DY17">
            <v>9.6850944716585037</v>
          </cell>
          <cell r="DZ17">
            <v>1.2965571038645156</v>
          </cell>
          <cell r="EA17">
            <v>76763000</v>
          </cell>
          <cell r="EB17">
            <v>37.852768703672339</v>
          </cell>
          <cell r="EC17">
            <v>9.6850944716585001</v>
          </cell>
          <cell r="ED17">
            <v>0.269580500063544</v>
          </cell>
          <cell r="EE17">
            <v>0.53734221284449801</v>
          </cell>
          <cell r="EG17">
            <v>0.54503257613965472</v>
          </cell>
          <cell r="EH17">
            <v>0.19898223453301522</v>
          </cell>
          <cell r="EK17">
            <v>1.0324562716762999</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66.5</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6.1684978885103297</v>
          </cell>
          <cell r="DH18">
            <v>179802282</v>
          </cell>
          <cell r="DI18">
            <v>66.900000000000006</v>
          </cell>
          <cell r="DJ18">
            <v>12028772665.799999</v>
          </cell>
          <cell r="DK18">
            <v>14263132683</v>
          </cell>
          <cell r="DM18">
            <v>5233815240</v>
          </cell>
          <cell r="DN18" t="str">
            <v>NULL</v>
          </cell>
          <cell r="DO18" t="str">
            <v>NULL</v>
          </cell>
          <cell r="DP18" t="str">
            <v>NULL</v>
          </cell>
          <cell r="DQ18" t="str">
            <v>NULL</v>
          </cell>
          <cell r="DR18">
            <v>5233815240</v>
          </cell>
          <cell r="DS18">
            <v>2.2982799572038388</v>
          </cell>
          <cell r="DT18">
            <v>0.96599000000000002</v>
          </cell>
          <cell r="DU18">
            <v>1.50491</v>
          </cell>
          <cell r="DV18">
            <v>-0.10376000000000001</v>
          </cell>
          <cell r="DW18">
            <v>1.26569</v>
          </cell>
          <cell r="DX18">
            <v>3.6328300000000002</v>
          </cell>
          <cell r="DY18">
            <v>18.305288163773145</v>
          </cell>
          <cell r="DZ18">
            <v>3.2223308101703534</v>
          </cell>
          <cell r="EA18">
            <v>298249170</v>
          </cell>
          <cell r="EB18">
            <v>40.331286306010504</v>
          </cell>
          <cell r="EC18">
            <v>18.305288163773099</v>
          </cell>
          <cell r="ED18">
            <v>1.0599763434084299</v>
          </cell>
          <cell r="EE18">
            <v>1.0407202680533401</v>
          </cell>
          <cell r="EG18">
            <v>0.51289881047061103</v>
          </cell>
          <cell r="EH18">
            <v>1.942307454018799E-3</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1.07</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1.07</v>
          </cell>
          <cell r="DJ19">
            <v>490223128.99000001</v>
          </cell>
          <cell r="DK19">
            <v>456460268.99000001</v>
          </cell>
          <cell r="DM19">
            <v>-341809000</v>
          </cell>
          <cell r="DN19" t="str">
            <v>NULL</v>
          </cell>
          <cell r="DO19" t="str">
            <v>NULL</v>
          </cell>
          <cell r="DP19">
            <v>147900</v>
          </cell>
          <cell r="DQ19" t="str">
            <v>NULL</v>
          </cell>
          <cell r="DR19">
            <v>-341956900</v>
          </cell>
          <cell r="DS19">
            <v>-1.4335816267781116</v>
          </cell>
          <cell r="DT19">
            <v>-1.8540000000000001E-2</v>
          </cell>
          <cell r="DU19">
            <v>-2.6249999999999999E-2</v>
          </cell>
          <cell r="DV19">
            <v>-6.9430000000000006E-2</v>
          </cell>
          <cell r="DW19">
            <v>1.3299999999999999E-2</v>
          </cell>
          <cell r="DX19">
            <v>-0.10092000000000001</v>
          </cell>
          <cell r="DY19">
            <v>-10.602457391993658</v>
          </cell>
          <cell r="DZ19">
            <v>5.1902150427399656</v>
          </cell>
          <cell r="EA19">
            <v>-280716450</v>
          </cell>
          <cell r="EB19">
            <v>-1.7463284712741274</v>
          </cell>
          <cell r="EC19" t="str">
            <v>NULL</v>
          </cell>
          <cell r="ED19">
            <v>0.73509511268502004</v>
          </cell>
          <cell r="EE19">
            <v>0.70568162702091497</v>
          </cell>
          <cell r="EG19">
            <v>0.52938655161368775</v>
          </cell>
          <cell r="EH19">
            <v>-0.15600527719711188</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12.15</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6.0735055777686302</v>
          </cell>
          <cell r="DH20">
            <v>701988378</v>
          </cell>
          <cell r="DI20">
            <v>11.5</v>
          </cell>
          <cell r="DJ20" t="e">
            <v>#N/A</v>
          </cell>
          <cell r="DK20">
            <v>8455202912.6999998</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15.705791106514996</v>
          </cell>
          <cell r="DZ20" t="e">
            <v>#N/A</v>
          </cell>
          <cell r="EA20">
            <v>752161030</v>
          </cell>
          <cell r="EB20" t="e">
            <v>#N/A</v>
          </cell>
          <cell r="EC20">
            <v>15.705791106515001</v>
          </cell>
          <cell r="ED20">
            <v>1.4803175370805099</v>
          </cell>
          <cell r="EE20">
            <v>1.5209537843840599</v>
          </cell>
          <cell r="EG20">
            <v>0.54766065406652098</v>
          </cell>
          <cell r="EH20">
            <v>-7.6006061516081469E-2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9.94</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9.9608559595859205</v>
          </cell>
          <cell r="DH21">
            <v>100974818</v>
          </cell>
          <cell r="DI21">
            <v>10.25</v>
          </cell>
          <cell r="DJ21">
            <v>1034653679.6</v>
          </cell>
          <cell r="DK21">
            <v>4410826392.6000004</v>
          </cell>
          <cell r="DM21">
            <v>947290000</v>
          </cell>
          <cell r="DN21" t="str">
            <v>NULL</v>
          </cell>
          <cell r="DO21" t="str">
            <v>NULL</v>
          </cell>
          <cell r="DP21">
            <v>1108000</v>
          </cell>
          <cell r="DQ21">
            <v>5699000</v>
          </cell>
          <cell r="DR21">
            <v>940483000</v>
          </cell>
          <cell r="DS21">
            <v>1.1001301242021386</v>
          </cell>
          <cell r="DT21">
            <v>-5.1380000000000002E-2</v>
          </cell>
          <cell r="DU21">
            <v>-4.8999999999999998E-3</v>
          </cell>
          <cell r="DV21">
            <v>-1.1480000000000001E-2</v>
          </cell>
          <cell r="DW21">
            <v>-8.2669999999999993E-2</v>
          </cell>
          <cell r="DX21">
            <v>-0.15043000000000001</v>
          </cell>
          <cell r="DY21">
            <v>-66.077245230339685</v>
          </cell>
          <cell r="DZ21">
            <v>0.22444893001812896</v>
          </cell>
          <cell r="EA21">
            <v>152119000</v>
          </cell>
          <cell r="EB21">
            <v>6.8016071601838037</v>
          </cell>
          <cell r="EC21" t="str">
            <v>NULL</v>
          </cell>
          <cell r="ED21">
            <v>0.98527121163020903</v>
          </cell>
          <cell r="EE21">
            <v>0.95943192810815003</v>
          </cell>
          <cell r="EG21">
            <v>0.47040727852662512</v>
          </cell>
          <cell r="EH21">
            <v>-0.11925852922651925</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33.450000000000003</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4.4374859185423103</v>
          </cell>
          <cell r="DH22">
            <v>1514022256</v>
          </cell>
          <cell r="DI22">
            <v>32.4</v>
          </cell>
          <cell r="DJ22">
            <v>6471645919.1999998</v>
          </cell>
          <cell r="DK22">
            <v>52949546350.399902</v>
          </cell>
          <cell r="DM22">
            <v>14579357000</v>
          </cell>
          <cell r="DN22" t="str">
            <v>NULL</v>
          </cell>
          <cell r="DO22" t="str">
            <v>NULL</v>
          </cell>
          <cell r="DP22">
            <v>180055000</v>
          </cell>
          <cell r="DQ22" t="str">
            <v>NULL</v>
          </cell>
          <cell r="DR22">
            <v>14399302000</v>
          </cell>
          <cell r="DS22">
            <v>0.44944164093509531</v>
          </cell>
          <cell r="DT22">
            <v>4.6190600000000002</v>
          </cell>
          <cell r="DU22">
            <v>0.61895</v>
          </cell>
          <cell r="DV22">
            <v>0.53251999999999999</v>
          </cell>
          <cell r="DW22">
            <v>0.49719999999999998</v>
          </cell>
          <cell r="DX22">
            <v>6.2677300000000002</v>
          </cell>
          <cell r="DY22">
            <v>5.3368603944330726</v>
          </cell>
          <cell r="DZ22">
            <v>1.0522142614050041</v>
          </cell>
          <cell r="EA22">
            <v>2296676000</v>
          </cell>
          <cell r="EB22">
            <v>2.8178314743568529</v>
          </cell>
          <cell r="EC22">
            <v>5.3288830246357097</v>
          </cell>
          <cell r="ED22">
            <v>1.1079982676624101</v>
          </cell>
          <cell r="EE22">
            <v>1.1101322222340999</v>
          </cell>
          <cell r="EG22">
            <v>0.42548554258168358</v>
          </cell>
          <cell r="EH22">
            <v>0.23295714182211258</v>
          </cell>
          <cell r="EK22" t="str">
            <v>NULL</v>
          </cell>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57.5</v>
          </cell>
          <cell r="L23">
            <v>0</v>
          </cell>
          <cell r="M23" t="str">
            <v>NULL</v>
          </cell>
          <cell r="N23">
            <v>0</v>
          </cell>
          <cell r="O23">
            <v>0</v>
          </cell>
          <cell r="P23">
            <v>0</v>
          </cell>
          <cell r="Q23">
            <v>0</v>
          </cell>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29.229755106225898</v>
          </cell>
          <cell r="DH23">
            <v>333281049</v>
          </cell>
          <cell r="DI23">
            <v>56.2</v>
          </cell>
          <cell r="DJ23">
            <v>18730394953.799999</v>
          </cell>
          <cell r="DK23">
            <v>17788590287.5</v>
          </cell>
          <cell r="DM23">
            <v>1114206730</v>
          </cell>
          <cell r="DN23" t="str">
            <v>NULL</v>
          </cell>
          <cell r="DO23" t="str">
            <v>NULL</v>
          </cell>
          <cell r="DP23">
            <v>108705790</v>
          </cell>
          <cell r="DQ23" t="str">
            <v>NULL</v>
          </cell>
          <cell r="DR23">
            <v>1005500940</v>
          </cell>
          <cell r="DS23">
            <v>18.627923862308869</v>
          </cell>
          <cell r="DT23">
            <v>-0.64276</v>
          </cell>
          <cell r="DU23">
            <v>-0.23275000000000001</v>
          </cell>
          <cell r="DV23">
            <v>1.13968</v>
          </cell>
          <cell r="DW23">
            <v>0.79171999999999998</v>
          </cell>
          <cell r="DX23">
            <v>1.05589</v>
          </cell>
          <cell r="DY23">
            <v>54.456430120561798</v>
          </cell>
          <cell r="DZ23">
            <v>2.8152200678759445</v>
          </cell>
          <cell r="EA23">
            <v>660044770</v>
          </cell>
          <cell r="EB23">
            <v>28.377461355841056</v>
          </cell>
          <cell r="EC23">
            <v>54.456430120561798</v>
          </cell>
          <cell r="ED23">
            <v>1.1375375725893899</v>
          </cell>
          <cell r="EE23">
            <v>1.1500336574026899</v>
          </cell>
          <cell r="EG23">
            <v>0.48494391854761631</v>
          </cell>
          <cell r="EH23">
            <v>0.17987924601924976</v>
          </cell>
          <cell r="EK23" t="str">
            <v>NULL</v>
          </cell>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11.700000000000001</v>
          </cell>
          <cell r="L24">
            <v>0</v>
          </cell>
          <cell r="M24" t="str">
            <v>NULL</v>
          </cell>
          <cell r="N24">
            <v>0</v>
          </cell>
          <cell r="O24">
            <v>0</v>
          </cell>
          <cell r="Q24">
            <v>0</v>
          </cell>
          <cell r="S24">
            <v>315.09415084149998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95588000</v>
          </cell>
          <cell r="AM24">
            <v>132259000</v>
          </cell>
          <cell r="AN24">
            <v>105680000</v>
          </cell>
          <cell r="AO24">
            <v>83702000</v>
          </cell>
          <cell r="AQ24">
            <v>249041000</v>
          </cell>
          <cell r="AR24">
            <v>250617000</v>
          </cell>
          <cell r="AS24">
            <v>210398000</v>
          </cell>
          <cell r="AT24">
            <v>199599000</v>
          </cell>
          <cell r="AU24">
            <v>132.02634410568976</v>
          </cell>
          <cell r="AV24">
            <v>99231000</v>
          </cell>
          <cell r="AW24">
            <v>93422000</v>
          </cell>
          <cell r="AX24">
            <v>95546000</v>
          </cell>
          <cell r="AY24">
            <v>81937000</v>
          </cell>
          <cell r="AZ24">
            <v>80.950533160446653</v>
          </cell>
          <cell r="BA24">
            <v>212.9768772661364</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10.9</v>
          </cell>
          <cell r="DJ24">
            <v>156251783.40000001</v>
          </cell>
          <cell r="DK24">
            <v>321888804.19999999</v>
          </cell>
          <cell r="DM24">
            <v>49973000</v>
          </cell>
          <cell r="DN24" t="str">
            <v>NULL</v>
          </cell>
          <cell r="DO24" t="str">
            <v>NULL</v>
          </cell>
          <cell r="DP24">
            <v>1427000</v>
          </cell>
          <cell r="DQ24" t="str">
            <v>NULL</v>
          </cell>
          <cell r="DR24">
            <v>48546000</v>
          </cell>
          <cell r="DS24">
            <v>3.2186335310839205</v>
          </cell>
          <cell r="DT24">
            <v>-0.79866999999999999</v>
          </cell>
          <cell r="DU24">
            <v>-0.18542</v>
          </cell>
          <cell r="DV24">
            <v>-3.6031300000000002</v>
          </cell>
          <cell r="DW24">
            <v>-1.48706</v>
          </cell>
          <cell r="DX24">
            <v>-6.0742799999999999</v>
          </cell>
          <cell r="DY24">
            <v>-1.9261542108694365</v>
          </cell>
          <cell r="DZ24">
            <v>0.24852838424196924</v>
          </cell>
          <cell r="EA24">
            <v>-93799000</v>
          </cell>
          <cell r="EB24">
            <v>-1.6658150236143243</v>
          </cell>
          <cell r="EC24" t="str">
            <v>NULL</v>
          </cell>
          <cell r="ED24">
            <v>-0.41362168788440201</v>
          </cell>
          <cell r="EE24">
            <v>-6.569014869087E-3</v>
          </cell>
          <cell r="EG24">
            <v>1.4483151229337081</v>
          </cell>
          <cell r="EH24">
            <v>-0.19663639920137843</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3.87</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3.8200000000000003</v>
          </cell>
          <cell r="DJ25">
            <v>6047447615.3999996</v>
          </cell>
          <cell r="DK25">
            <v>11939940475.844999</v>
          </cell>
          <cell r="DM25">
            <v>1564286000</v>
          </cell>
          <cell r="DN25" t="str">
            <v>NULL</v>
          </cell>
          <cell r="DO25" t="str">
            <v>NULL</v>
          </cell>
          <cell r="DP25">
            <v>1257000</v>
          </cell>
          <cell r="DQ25" t="str">
            <v>NULL</v>
          </cell>
          <cell r="DR25">
            <v>1563029000</v>
          </cell>
          <cell r="DS25">
            <v>3.8690565660649927</v>
          </cell>
          <cell r="DT25">
            <v>-0.43467</v>
          </cell>
          <cell r="DU25" t="str">
            <v>NULL</v>
          </cell>
          <cell r="DV25">
            <v>-0.27</v>
          </cell>
          <cell r="DW25">
            <v>-0.77325999999999995</v>
          </cell>
          <cell r="DX25">
            <v>-1.47793</v>
          </cell>
          <cell r="DY25">
            <v>-2.6185272644847863</v>
          </cell>
          <cell r="DZ25">
            <v>2.7038115311463007</v>
          </cell>
          <cell r="EA25">
            <v>-379501000</v>
          </cell>
          <cell r="EB25">
            <v>-15.935261344238882</v>
          </cell>
          <cell r="EC25" t="str">
            <v>NULL</v>
          </cell>
          <cell r="ED25">
            <v>0.78902470598383401</v>
          </cell>
          <cell r="EE25">
            <v>0.902762502019681</v>
          </cell>
          <cell r="EG25">
            <v>0.51478122396089399</v>
          </cell>
          <cell r="EH25">
            <v>3.203883977949129E-3</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42.1</v>
          </cell>
          <cell r="L26">
            <v>0</v>
          </cell>
          <cell r="M26">
            <v>0</v>
          </cell>
          <cell r="N26">
            <v>0</v>
          </cell>
          <cell r="O26">
            <v>0.78741000000000005</v>
          </cell>
          <cell r="P26">
            <v>0.78741000000000005</v>
          </cell>
          <cell r="Q26">
            <v>1.8703325415676961E-2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14.9255901312898</v>
          </cell>
          <cell r="DH26">
            <v>505476156</v>
          </cell>
          <cell r="DI26">
            <v>41.35</v>
          </cell>
          <cell r="DJ26">
            <v>20742929945.400002</v>
          </cell>
          <cell r="DK26">
            <v>178211546167.60001</v>
          </cell>
          <cell r="DM26">
            <v>19271000000</v>
          </cell>
          <cell r="DN26" t="str">
            <v>NULL</v>
          </cell>
          <cell r="DO26" t="str">
            <v>NULL</v>
          </cell>
          <cell r="DP26">
            <v>9706000000</v>
          </cell>
          <cell r="DQ26">
            <v>4171000000</v>
          </cell>
          <cell r="DR26">
            <v>5394000000</v>
          </cell>
          <cell r="DS26">
            <v>3.8455561634037823</v>
          </cell>
          <cell r="DT26">
            <v>0.40921000000000002</v>
          </cell>
          <cell r="DU26">
            <v>8.4623899999999992</v>
          </cell>
          <cell r="DV26">
            <v>0.41929</v>
          </cell>
          <cell r="DW26">
            <v>1.0381400000000001</v>
          </cell>
          <cell r="DX26">
            <v>10.329029999999999</v>
          </cell>
          <cell r="DY26">
            <v>4.0758909597513036</v>
          </cell>
          <cell r="DZ26">
            <v>0.23092602221430561</v>
          </cell>
          <cell r="EA26">
            <v>3299000000</v>
          </cell>
          <cell r="EB26">
            <v>6.2876416930585028</v>
          </cell>
          <cell r="EC26">
            <v>4.0758909597513</v>
          </cell>
          <cell r="ED26">
            <v>0.73404302567628399</v>
          </cell>
          <cell r="EE26">
            <v>0.79249749987708695</v>
          </cell>
          <cell r="EG26">
            <v>0.43968846912238174</v>
          </cell>
          <cell r="EH26">
            <v>5.3077409774702655E-2</v>
          </cell>
          <cell r="EK26">
            <v>1.9042632887545401</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39.450000000000003</v>
          </cell>
          <cell r="L27">
            <v>0</v>
          </cell>
          <cell r="M27">
            <v>0</v>
          </cell>
          <cell r="N27">
            <v>0</v>
          </cell>
          <cell r="O27">
            <v>0.58550000000000002</v>
          </cell>
          <cell r="P27">
            <v>0.58550000000000002</v>
          </cell>
          <cell r="Q27">
            <v>1.4841571609632445E-2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15.443690660786601</v>
          </cell>
          <cell r="DH27">
            <v>409906729</v>
          </cell>
          <cell r="DI27">
            <v>40.4</v>
          </cell>
          <cell r="DJ27">
            <v>16560231851.6</v>
          </cell>
          <cell r="DK27">
            <v>16642970459.049999</v>
          </cell>
          <cell r="DM27">
            <v>10604961000</v>
          </cell>
          <cell r="DN27" t="str">
            <v>NULL</v>
          </cell>
          <cell r="DO27" t="str">
            <v>NULL</v>
          </cell>
          <cell r="DP27" t="str">
            <v>NULL</v>
          </cell>
          <cell r="DQ27" t="str">
            <v>NULL</v>
          </cell>
          <cell r="DR27">
            <v>10604961000</v>
          </cell>
          <cell r="DS27">
            <v>1.5615551864452872</v>
          </cell>
          <cell r="DT27">
            <v>0.77924000000000004</v>
          </cell>
          <cell r="DU27">
            <v>2.0735399999999999</v>
          </cell>
          <cell r="DV27">
            <v>2.1</v>
          </cell>
          <cell r="DW27">
            <v>0.65264</v>
          </cell>
          <cell r="DX27">
            <v>5.6054200000000005</v>
          </cell>
          <cell r="DY27">
            <v>7.0378312419051561</v>
          </cell>
          <cell r="DZ27">
            <v>4.908182368313029</v>
          </cell>
          <cell r="EA27">
            <v>-6843848000</v>
          </cell>
          <cell r="EB27">
            <v>-2.4197252556748778</v>
          </cell>
          <cell r="EC27">
            <v>7.0378312419051596</v>
          </cell>
          <cell r="ED27">
            <v>0.88765996006701597</v>
          </cell>
          <cell r="EE27">
            <v>0.88096180133040702</v>
          </cell>
          <cell r="EG27">
            <v>0.40878624151231013</v>
          </cell>
          <cell r="EH27">
            <v>5.942823375394557E-2</v>
          </cell>
          <cell r="EK27">
            <v>2.1738826064356398</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47.300000000000004</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3.9928393255025099</v>
          </cell>
          <cell r="DH28">
            <v>78917002</v>
          </cell>
          <cell r="DI28">
            <v>46</v>
          </cell>
          <cell r="DJ28">
            <v>9308159248</v>
          </cell>
          <cell r="DK28">
            <v>2584788494.4000001</v>
          </cell>
          <cell r="DM28">
            <v>823899000</v>
          </cell>
          <cell r="DN28" t="str">
            <v>NULL</v>
          </cell>
          <cell r="DO28" t="str">
            <v>NULL</v>
          </cell>
          <cell r="DP28">
            <v>40993000</v>
          </cell>
          <cell r="DQ28" t="str">
            <v>NULL</v>
          </cell>
          <cell r="DR28">
            <v>782906000</v>
          </cell>
          <cell r="DS28">
            <v>11.889242448007806</v>
          </cell>
          <cell r="DT28">
            <v>0.78946000000000005</v>
          </cell>
          <cell r="DU28">
            <v>0.40522000000000002</v>
          </cell>
          <cell r="DV28">
            <v>-0.10983</v>
          </cell>
          <cell r="DW28">
            <v>0.57489000000000001</v>
          </cell>
          <cell r="DX28">
            <v>1.6597399999999998</v>
          </cell>
          <cell r="DY28">
            <v>28.498439514622778</v>
          </cell>
          <cell r="DZ28">
            <v>3.0822280697165017</v>
          </cell>
          <cell r="EA28">
            <v>-463537000</v>
          </cell>
          <cell r="EB28">
            <v>-20.080725482539691</v>
          </cell>
          <cell r="EC28">
            <v>28.438189113957598</v>
          </cell>
          <cell r="ED28">
            <v>1.68925451410826</v>
          </cell>
          <cell r="EE28">
            <v>1.50910874960213</v>
          </cell>
          <cell r="EG28">
            <v>0.43491296694223525</v>
          </cell>
          <cell r="EH28">
            <v>8.7613457941196682E-2</v>
          </cell>
          <cell r="EK28">
            <v>6.6608228704347798</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9.7000000000000011</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5.3316514584220798</v>
          </cell>
          <cell r="DH29">
            <v>19000000</v>
          </cell>
          <cell r="DI29">
            <v>9.7000000000000011</v>
          </cell>
          <cell r="DJ29">
            <v>184300000</v>
          </cell>
          <cell r="DK29">
            <v>190246120</v>
          </cell>
          <cell r="DM29">
            <v>80875330</v>
          </cell>
          <cell r="DN29" t="str">
            <v>NULL</v>
          </cell>
          <cell r="DO29" t="str">
            <v>NULL</v>
          </cell>
          <cell r="DP29" t="str">
            <v>NULL</v>
          </cell>
          <cell r="DQ29" t="str">
            <v>NULL</v>
          </cell>
          <cell r="DR29">
            <v>80875330</v>
          </cell>
          <cell r="DS29">
            <v>2.2788160493440954</v>
          </cell>
          <cell r="DT29">
            <v>5.0549999999999998E-2</v>
          </cell>
          <cell r="DU29">
            <v>0.33437</v>
          </cell>
          <cell r="DV29">
            <v>0.16045999999999999</v>
          </cell>
          <cell r="DW29">
            <v>0.14710000000000001</v>
          </cell>
          <cell r="DX29">
            <v>0.69247999999999998</v>
          </cell>
          <cell r="DY29">
            <v>14.007624768946398</v>
          </cell>
          <cell r="DZ29">
            <v>0.55999117383417385</v>
          </cell>
          <cell r="EA29" t="e">
            <v>#VALUE!</v>
          </cell>
          <cell r="EB29" t="e">
            <v>#VALUE!</v>
          </cell>
          <cell r="EC29">
            <v>14.0076247689464</v>
          </cell>
          <cell r="ED29" t="str">
            <v>NULL</v>
          </cell>
          <cell r="EE29" t="str">
            <v>NULL</v>
          </cell>
          <cell r="EG29">
            <v>0.40151255842471628</v>
          </cell>
          <cell r="EH29">
            <v>-7.3708086689985186E-2</v>
          </cell>
          <cell r="EK29">
            <v>0</v>
          </cell>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38.5</v>
          </cell>
          <cell r="L30">
            <v>0</v>
          </cell>
          <cell r="M30" t="str">
            <v>NULL</v>
          </cell>
          <cell r="N30">
            <v>0</v>
          </cell>
          <cell r="O30">
            <v>0</v>
          </cell>
          <cell r="P30">
            <v>0</v>
          </cell>
          <cell r="Q30">
            <v>0</v>
          </cell>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820056890</v>
          </cell>
          <cell r="AR30">
            <v>877916450</v>
          </cell>
          <cell r="AS30">
            <v>981598090</v>
          </cell>
          <cell r="AT30">
            <v>936731680</v>
          </cell>
          <cell r="AU30">
            <v>135.27043084579429</v>
          </cell>
          <cell r="AV30">
            <v>48948790</v>
          </cell>
          <cell r="AW30">
            <v>53686130</v>
          </cell>
          <cell r="AX30">
            <v>56732610</v>
          </cell>
          <cell r="AY30">
            <v>61328070</v>
          </cell>
          <cell r="AZ30">
            <v>9.7028461689033456</v>
          </cell>
          <cell r="BA30">
            <v>26.702691505832789</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6.7538785024305499</v>
          </cell>
          <cell r="DH30">
            <v>30000000</v>
          </cell>
          <cell r="DI30">
            <v>38.950000000000003</v>
          </cell>
          <cell r="DJ30">
            <v>1168500000</v>
          </cell>
          <cell r="DK30">
            <v>928929799.99999905</v>
          </cell>
          <cell r="DM30">
            <v>421875640</v>
          </cell>
          <cell r="DN30" t="str">
            <v>NULL</v>
          </cell>
          <cell r="DO30" t="str">
            <v>NULL</v>
          </cell>
          <cell r="DP30" t="str">
            <v>NULL</v>
          </cell>
          <cell r="DQ30" t="str">
            <v>NULL</v>
          </cell>
          <cell r="DR30">
            <v>421875640</v>
          </cell>
          <cell r="DS30">
            <v>2.7697735759286788</v>
          </cell>
          <cell r="DT30">
            <v>0.62446000000000002</v>
          </cell>
          <cell r="DU30">
            <v>1.6222300000000001</v>
          </cell>
          <cell r="DV30">
            <v>0.12225</v>
          </cell>
          <cell r="DW30">
            <v>0.55737999999999999</v>
          </cell>
          <cell r="DX30">
            <v>2.9263200000000005</v>
          </cell>
          <cell r="DY30">
            <v>13.156455889991523</v>
          </cell>
          <cell r="DZ30">
            <v>0.47899821170311635</v>
          </cell>
          <cell r="EA30">
            <v>55083170</v>
          </cell>
          <cell r="EB30">
            <v>21.213376063868509</v>
          </cell>
          <cell r="EC30">
            <v>13.1564558899915</v>
          </cell>
          <cell r="ED30">
            <v>0.64017017889479899</v>
          </cell>
          <cell r="EE30">
            <v>0.70411056599961297</v>
          </cell>
          <cell r="EG30">
            <v>0.43401506942187923</v>
          </cell>
          <cell r="EH30">
            <v>1.3739322651749042E-2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55.4</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5.1086349109257903</v>
          </cell>
          <cell r="DH31">
            <v>442210385</v>
          </cell>
          <cell r="DI31">
            <v>57.45</v>
          </cell>
          <cell r="DJ31">
            <v>52075845495</v>
          </cell>
          <cell r="DK31">
            <v>24201636809.75</v>
          </cell>
          <cell r="DM31">
            <v>2459230000</v>
          </cell>
          <cell r="DN31" t="str">
            <v>NULL</v>
          </cell>
          <cell r="DO31" t="str">
            <v>NULL</v>
          </cell>
          <cell r="DP31" t="str">
            <v>NULL</v>
          </cell>
          <cell r="DQ31" t="str">
            <v>NULL</v>
          </cell>
          <cell r="DR31">
            <v>2459230000</v>
          </cell>
          <cell r="DS31">
            <v>21.175671041342209</v>
          </cell>
          <cell r="DT31">
            <v>1.61442</v>
          </cell>
          <cell r="DU31">
            <v>2.4750000000000001E-2</v>
          </cell>
          <cell r="DV31">
            <v>0.32418999999999998</v>
          </cell>
          <cell r="DW31">
            <v>-5.8540000000000002E-2</v>
          </cell>
          <cell r="DX31">
            <v>1.90482</v>
          </cell>
          <cell r="DY31">
            <v>29.084112934555495</v>
          </cell>
          <cell r="DZ31">
            <v>1.7367458095747084</v>
          </cell>
          <cell r="EA31">
            <v>1692537000</v>
          </cell>
          <cell r="EB31">
            <v>30.767921466414027</v>
          </cell>
          <cell r="EC31">
            <v>29.057863735156101</v>
          </cell>
          <cell r="ED31">
            <v>0.83657656916450696</v>
          </cell>
          <cell r="EE31">
            <v>0.89981353246777596</v>
          </cell>
          <cell r="EG31">
            <v>0.54811879147383991</v>
          </cell>
          <cell r="EH31">
            <v>9.9098595499939046E-2</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14.6</v>
          </cell>
          <cell r="L32">
            <v>0</v>
          </cell>
          <cell r="M32">
            <v>0</v>
          </cell>
          <cell r="N32">
            <v>0</v>
          </cell>
          <cell r="O32">
            <v>0.26600000000000001</v>
          </cell>
          <cell r="P32">
            <v>0.26600000000000001</v>
          </cell>
          <cell r="Q32">
            <v>1.8219178082191784E-2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9.3260999468892898</v>
          </cell>
          <cell r="DH32">
            <v>4517094023</v>
          </cell>
          <cell r="DI32">
            <v>14.35</v>
          </cell>
          <cell r="DJ32" t="e">
            <v>#N/A</v>
          </cell>
          <cell r="DK32">
            <v>70010649931.200104</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10.52381192650631</v>
          </cell>
          <cell r="DZ32" t="e">
            <v>#N/A</v>
          </cell>
          <cell r="EA32">
            <v>-109580000</v>
          </cell>
          <cell r="EB32" t="e">
            <v>#N/A</v>
          </cell>
          <cell r="EC32">
            <v>10.379650119293901</v>
          </cell>
          <cell r="ED32">
            <v>0.80780847760376795</v>
          </cell>
          <cell r="EE32">
            <v>0.87882333566388005</v>
          </cell>
          <cell r="EG32">
            <v>0.42843726320157166</v>
          </cell>
          <cell r="EH32">
            <v>2.2682173037740672E-2</v>
          </cell>
          <cell r="EK32">
            <v>2.3142858299651601</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92</v>
          </cell>
          <cell r="L33">
            <v>0</v>
          </cell>
          <cell r="M33">
            <v>0.5</v>
          </cell>
          <cell r="N33">
            <v>0</v>
          </cell>
          <cell r="O33" t="str">
            <v>NULL</v>
          </cell>
          <cell r="P33">
            <v>0.5</v>
          </cell>
          <cell r="Q33">
            <v>5.434782608695652E-3</v>
          </cell>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10.259174894089201</v>
          </cell>
          <cell r="DH33">
            <v>58936904</v>
          </cell>
          <cell r="DI33">
            <v>96</v>
          </cell>
          <cell r="DJ33">
            <v>5657942784</v>
          </cell>
          <cell r="DK33">
            <v>4996066748</v>
          </cell>
          <cell r="DM33">
            <v>1731857690</v>
          </cell>
          <cell r="DN33" t="str">
            <v>NULL</v>
          </cell>
          <cell r="DO33" t="str">
            <v>NULL</v>
          </cell>
          <cell r="DP33">
            <v>24910</v>
          </cell>
          <cell r="DQ33" t="str">
            <v>NULL</v>
          </cell>
          <cell r="DR33">
            <v>1731832780</v>
          </cell>
          <cell r="DS33">
            <v>3.2670260370057207</v>
          </cell>
          <cell r="DT33">
            <v>2.5020000000000001E-2</v>
          </cell>
          <cell r="DU33">
            <v>2.2589999999999999E-2</v>
          </cell>
          <cell r="DV33">
            <v>1.353E-2</v>
          </cell>
          <cell r="DW33">
            <v>-3.5899999999999999E-3</v>
          </cell>
          <cell r="DX33">
            <v>5.7549999999999997E-2</v>
          </cell>
          <cell r="DY33">
            <v>1598.6099044309296</v>
          </cell>
          <cell r="DZ33">
            <v>1.8741532592301937</v>
          </cell>
          <cell r="EA33">
            <v>174111470</v>
          </cell>
          <cell r="EB33">
            <v>32.496094507731165</v>
          </cell>
          <cell r="EC33">
            <v>1598.6099044309301</v>
          </cell>
          <cell r="ED33" t="str">
            <v>NULL</v>
          </cell>
          <cell r="EE33">
            <v>0.31415917279995098</v>
          </cell>
          <cell r="EG33">
            <v>0.34129075590232327</v>
          </cell>
          <cell r="EH33">
            <v>4.3780706289354265E-2</v>
          </cell>
          <cell r="EK33">
            <v>0.59259259260416697</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6.3500000000000005</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13.295745241393901</v>
          </cell>
          <cell r="DH35">
            <v>410999999</v>
          </cell>
          <cell r="DI35">
            <v>6.1000000000000005</v>
          </cell>
          <cell r="DJ35">
            <v>2507100000</v>
          </cell>
          <cell r="DK35">
            <v>2704290363.6500001</v>
          </cell>
          <cell r="DM35">
            <v>1011914280</v>
          </cell>
          <cell r="DN35" t="str">
            <v>NULL</v>
          </cell>
          <cell r="DO35" t="str">
            <v>NULL</v>
          </cell>
          <cell r="DP35">
            <v>7126560</v>
          </cell>
          <cell r="DQ35" t="str">
            <v>NULL</v>
          </cell>
          <cell r="DR35">
            <v>1004787720</v>
          </cell>
          <cell r="DS35">
            <v>2.4951539017614586</v>
          </cell>
          <cell r="DT35">
            <v>6.3699999999999998E-3</v>
          </cell>
          <cell r="DU35">
            <v>9.1599999999999997E-3</v>
          </cell>
          <cell r="DV35">
            <v>8.1600000000000006E-3</v>
          </cell>
          <cell r="DW35">
            <v>1.83E-3</v>
          </cell>
          <cell r="DX35">
            <v>2.5520000000000001E-2</v>
          </cell>
          <cell r="DY35">
            <v>248.82445141065833</v>
          </cell>
          <cell r="DZ35">
            <v>0.96520824846310582</v>
          </cell>
          <cell r="EA35">
            <v>84333070</v>
          </cell>
          <cell r="EB35">
            <v>29.728551326306512</v>
          </cell>
          <cell r="EC35">
            <v>248.82445141065801</v>
          </cell>
          <cell r="ED35">
            <v>0.66679451989973304</v>
          </cell>
          <cell r="EE35">
            <v>0.82934078942908795</v>
          </cell>
          <cell r="EG35">
            <v>0.44609750857237263</v>
          </cell>
          <cell r="EH35">
            <v>2.021224557248269E-2</v>
          </cell>
          <cell r="EK35">
            <v>0.11966023278688501</v>
          </cell>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6.12</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20.9274506959669</v>
          </cell>
          <cell r="DH36">
            <v>69430000</v>
          </cell>
          <cell r="DI36">
            <v>6.23</v>
          </cell>
          <cell r="DJ36">
            <v>432548900</v>
          </cell>
          <cell r="DK36">
            <v>581410830</v>
          </cell>
          <cell r="DM36">
            <v>129903300</v>
          </cell>
          <cell r="DN36" t="str">
            <v>NULL</v>
          </cell>
          <cell r="DO36" t="str">
            <v>NULL</v>
          </cell>
          <cell r="DP36" t="str">
            <v>NULL</v>
          </cell>
          <cell r="DQ36" t="str">
            <v>NULL</v>
          </cell>
          <cell r="DR36">
            <v>129903300</v>
          </cell>
          <cell r="DS36">
            <v>3.3297760718934777</v>
          </cell>
          <cell r="DT36">
            <v>-4.9300000000000004E-3</v>
          </cell>
          <cell r="DU36">
            <v>6.5129999999999993E-2</v>
          </cell>
          <cell r="DV36">
            <v>6.6720000000000002E-2</v>
          </cell>
          <cell r="DW36">
            <v>-0.1585</v>
          </cell>
          <cell r="DX36">
            <v>-3.1580000000000025E-2</v>
          </cell>
          <cell r="DY36">
            <v>-193.793540215326</v>
          </cell>
          <cell r="DZ36">
            <v>0.724405150154388</v>
          </cell>
          <cell r="EA36">
            <v>59108080</v>
          </cell>
          <cell r="EB36">
            <v>7.3179318292862838</v>
          </cell>
          <cell r="EC36" t="str">
            <v>NULL</v>
          </cell>
          <cell r="ED36">
            <v>0.35058218254467399</v>
          </cell>
          <cell r="EE36">
            <v>0.49851986840212997</v>
          </cell>
          <cell r="EG36">
            <v>0.3912278296710362</v>
          </cell>
          <cell r="EH36">
            <v>-1.2890783351941049E-2</v>
          </cell>
          <cell r="EK36">
            <v>0.46237525682183001</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121.7</v>
          </cell>
          <cell r="L37" t="str">
            <v>NULL</v>
          </cell>
          <cell r="M37">
            <v>1.4869600000000001</v>
          </cell>
          <cell r="N37">
            <v>0</v>
          </cell>
          <cell r="O37">
            <v>0</v>
          </cell>
          <cell r="P37">
            <v>1.4869600000000001</v>
          </cell>
          <cell r="Q37">
            <v>1.2218241577649959E-2</v>
          </cell>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4.6264153714640601</v>
          </cell>
          <cell r="DH37">
            <v>612659638</v>
          </cell>
          <cell r="DI37">
            <v>119.10000000000001</v>
          </cell>
          <cell r="DJ37">
            <v>72967762885.800003</v>
          </cell>
          <cell r="DK37">
            <v>42711922596.199898</v>
          </cell>
          <cell r="DM37">
            <v>26056548000</v>
          </cell>
          <cell r="DN37" t="str">
            <v>NULL</v>
          </cell>
          <cell r="DO37" t="str">
            <v>NULL</v>
          </cell>
          <cell r="DP37">
            <v>432746000</v>
          </cell>
          <cell r="DQ37">
            <v>3117000</v>
          </cell>
          <cell r="DR37">
            <v>25620685000</v>
          </cell>
          <cell r="DS37">
            <v>2.8480020298364388</v>
          </cell>
          <cell r="DT37">
            <v>2.3192499999999998</v>
          </cell>
          <cell r="DU37">
            <v>1.85189</v>
          </cell>
          <cell r="DV37">
            <v>-0.52710999999999997</v>
          </cell>
          <cell r="DW37">
            <v>2.9909400000000002</v>
          </cell>
          <cell r="DX37">
            <v>6.6349699999999991</v>
          </cell>
          <cell r="DY37">
            <v>18.342208028069457</v>
          </cell>
          <cell r="DZ37" t="e">
            <v>#DIV/0!</v>
          </cell>
          <cell r="EA37">
            <v>-46598753000</v>
          </cell>
          <cell r="EB37">
            <v>-1.5658737238269016</v>
          </cell>
          <cell r="EC37">
            <v>18.070918180489102</v>
          </cell>
          <cell r="ED37">
            <v>1.0076832241262501</v>
          </cell>
          <cell r="EE37">
            <v>0.97888846168129795</v>
          </cell>
          <cell r="EG37">
            <v>0.48056999581887833</v>
          </cell>
          <cell r="EH37">
            <v>0.13217247070223426</v>
          </cell>
          <cell r="EK37">
            <v>1.3293541729639</v>
          </cell>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9.6</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240855930</v>
          </cell>
          <cell r="AI38">
            <v>135108030</v>
          </cell>
          <cell r="AJ38">
            <v>181597080</v>
          </cell>
          <cell r="AK38">
            <v>149099960</v>
          </cell>
          <cell r="AL38">
            <v>192923210</v>
          </cell>
          <cell r="AM38">
            <v>134026850</v>
          </cell>
          <cell r="AN38">
            <v>191100020</v>
          </cell>
          <cell r="AO38">
            <v>213041610</v>
          </cell>
          <cell r="AP38">
            <v>88.200723838072889</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44.435319907326374</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3.0807563100003201</v>
          </cell>
          <cell r="DH38">
            <v>44000000</v>
          </cell>
          <cell r="DI38">
            <v>10.15</v>
          </cell>
          <cell r="DJ38">
            <v>446600000</v>
          </cell>
          <cell r="DK38">
            <v>545858970</v>
          </cell>
          <cell r="DM38">
            <v>167451040</v>
          </cell>
          <cell r="DN38" t="str">
            <v>NULL</v>
          </cell>
          <cell r="DO38" t="str">
            <v>NULL</v>
          </cell>
          <cell r="DP38">
            <v>34856220</v>
          </cell>
          <cell r="DQ38" t="str">
            <v>NULL</v>
          </cell>
          <cell r="DR38">
            <v>132594820</v>
          </cell>
          <cell r="DS38">
            <v>3.3681557092501802</v>
          </cell>
          <cell r="DT38">
            <v>0.10087</v>
          </cell>
          <cell r="DU38">
            <v>-0.29659000000000002</v>
          </cell>
          <cell r="DV38">
            <v>0.11874</v>
          </cell>
          <cell r="DW38">
            <v>0.26008999999999999</v>
          </cell>
          <cell r="DX38">
            <v>0.18310999999999999</v>
          </cell>
          <cell r="DY38">
            <v>52.427502594069139</v>
          </cell>
          <cell r="DZ38">
            <v>0.38498278861429525</v>
          </cell>
          <cell r="EA38">
            <v>-876670</v>
          </cell>
          <cell r="EB38">
            <v>-509.42772080714519</v>
          </cell>
          <cell r="EC38">
            <v>52.427502594069203</v>
          </cell>
          <cell r="ED38">
            <v>0.539011696927849</v>
          </cell>
          <cell r="EE38">
            <v>0.66710264135123998</v>
          </cell>
          <cell r="EG38">
            <v>0.45622394714487602</v>
          </cell>
          <cell r="EH38">
            <v>6.2404557434361463E-2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53.5</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8.0849971630664399</v>
          </cell>
          <cell r="DH39">
            <v>159514582</v>
          </cell>
          <cell r="DI39">
            <v>57</v>
          </cell>
          <cell r="DJ39">
            <v>18555778062</v>
          </cell>
          <cell r="DK39">
            <v>8764034407</v>
          </cell>
          <cell r="DM39">
            <v>1548799720</v>
          </cell>
          <cell r="DN39" t="str">
            <v>NULL</v>
          </cell>
          <cell r="DO39" t="str">
            <v>NULL</v>
          </cell>
          <cell r="DP39">
            <v>94764680</v>
          </cell>
          <cell r="DQ39" t="str">
            <v>NULL</v>
          </cell>
          <cell r="DR39">
            <v>1454035040</v>
          </cell>
          <cell r="DS39">
            <v>12.761575582112519</v>
          </cell>
          <cell r="DT39">
            <v>-7.3429999999999995E-2</v>
          </cell>
          <cell r="DU39">
            <v>0.45851999999999998</v>
          </cell>
          <cell r="DV39">
            <v>0.75375000000000003</v>
          </cell>
          <cell r="DW39">
            <v>0.5353</v>
          </cell>
          <cell r="DX39">
            <v>1.67414</v>
          </cell>
          <cell r="DY39">
            <v>31.956706129714362</v>
          </cell>
          <cell r="DZ39">
            <v>2.6549771465630361</v>
          </cell>
          <cell r="EA39">
            <v>-489181110</v>
          </cell>
          <cell r="EB39">
            <v>-37.932327480920101</v>
          </cell>
          <cell r="EC39">
            <v>31.956706129714401</v>
          </cell>
          <cell r="ED39">
            <v>1.05288394557571</v>
          </cell>
          <cell r="EE39">
            <v>0.92428928214621198</v>
          </cell>
          <cell r="EG39">
            <v>0.4231626006590678</v>
          </cell>
          <cell r="EH39">
            <v>0.13529746483016525</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55</v>
          </cell>
          <cell r="L40">
            <v>0</v>
          </cell>
          <cell r="M40">
            <v>0</v>
          </cell>
          <cell r="N40">
            <v>0</v>
          </cell>
          <cell r="O40">
            <v>4.4954000000000001</v>
          </cell>
          <cell r="P40">
            <v>4.4954000000000001</v>
          </cell>
          <cell r="Q40">
            <v>8.1734545454545462E-2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2.3098515797645902</v>
          </cell>
          <cell r="DH40">
            <v>69203544</v>
          </cell>
          <cell r="DI40">
            <v>56.95</v>
          </cell>
          <cell r="DJ40">
            <v>6080893427.8000002</v>
          </cell>
          <cell r="DK40">
            <v>3641182190.00001</v>
          </cell>
          <cell r="DM40">
            <v>4195586430</v>
          </cell>
          <cell r="DN40" t="str">
            <v>NULL</v>
          </cell>
          <cell r="DO40" t="str">
            <v>NULL</v>
          </cell>
          <cell r="DP40">
            <v>227344760</v>
          </cell>
          <cell r="DQ40">
            <v>269817940</v>
          </cell>
          <cell r="DR40">
            <v>3698423730</v>
          </cell>
          <cell r="DS40">
            <v>1.6441851642023724</v>
          </cell>
          <cell r="DT40">
            <v>0.17036999999999999</v>
          </cell>
          <cell r="DU40">
            <v>-0.21224000000000001</v>
          </cell>
          <cell r="DV40">
            <v>2.00963</v>
          </cell>
          <cell r="DW40">
            <v>-0.15892999999999999</v>
          </cell>
          <cell r="DX40">
            <v>1.8088299999999999</v>
          </cell>
          <cell r="DY40">
            <v>30.406395294195697</v>
          </cell>
          <cell r="DZ40">
            <v>0.41777798740403194</v>
          </cell>
          <cell r="EA40">
            <v>-1429928460</v>
          </cell>
          <cell r="EB40">
            <v>-4.2525857746757483</v>
          </cell>
          <cell r="EC40">
            <v>30.406395294195701</v>
          </cell>
          <cell r="ED40">
            <v>0.66484989045740595</v>
          </cell>
          <cell r="EE40">
            <v>0.65512625875545205</v>
          </cell>
          <cell r="EG40">
            <v>0.49848441537071403</v>
          </cell>
          <cell r="EH40">
            <v>5.6734240446651096E-2</v>
          </cell>
          <cell r="EK40">
            <v>7.8935768026338904</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105.8</v>
          </cell>
          <cell r="L41">
            <v>0</v>
          </cell>
          <cell r="M41">
            <v>0.84106000000000003</v>
          </cell>
          <cell r="N41" t="str">
            <v>NULL</v>
          </cell>
          <cell r="O41">
            <v>0</v>
          </cell>
          <cell r="P41">
            <v>0.84106000000000003</v>
          </cell>
          <cell r="Q41">
            <v>7.9495274102079402E-3</v>
          </cell>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4.1514874074014001</v>
          </cell>
          <cell r="DH41">
            <v>1145542947</v>
          </cell>
          <cell r="DI41">
            <v>104.60000000000001</v>
          </cell>
          <cell r="DJ41">
            <v>149239576846.20001</v>
          </cell>
          <cell r="DK41">
            <v>95239633792.599899</v>
          </cell>
          <cell r="DM41">
            <v>44677893000</v>
          </cell>
          <cell r="DN41" t="str">
            <v>NULL</v>
          </cell>
          <cell r="DO41" t="str">
            <v>NULL</v>
          </cell>
          <cell r="DP41">
            <v>1076852000</v>
          </cell>
          <cell r="DQ41" t="str">
            <v>NULL</v>
          </cell>
          <cell r="DR41">
            <v>43601041000</v>
          </cell>
          <cell r="DS41">
            <v>3.4228443501199894</v>
          </cell>
          <cell r="DT41">
            <v>2.0659299999999998</v>
          </cell>
          <cell r="DU41">
            <v>1.87496</v>
          </cell>
          <cell r="DV41">
            <v>1.70194</v>
          </cell>
          <cell r="DW41">
            <v>1.4116899999999999</v>
          </cell>
          <cell r="DX41">
            <v>7.0545200000000001</v>
          </cell>
          <cell r="DY41">
            <v>14.997476795019363</v>
          </cell>
          <cell r="DZ41" t="e">
            <v>#DIV/0!</v>
          </cell>
          <cell r="EA41">
            <v>-33727331000</v>
          </cell>
          <cell r="EB41">
            <v>-4.424885468885754</v>
          </cell>
          <cell r="EC41">
            <v>14.9974767950194</v>
          </cell>
          <cell r="ED41">
            <v>1.1172667748240801</v>
          </cell>
          <cell r="EE41">
            <v>1.1030149498127499</v>
          </cell>
          <cell r="EG41">
            <v>0.47620360220459701</v>
          </cell>
          <cell r="EH41">
            <v>0.22480361706879481</v>
          </cell>
          <cell r="EK41">
            <v>0.80407625468451205</v>
          </cell>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38.800000000000004</v>
          </cell>
          <cell r="L42">
            <v>0</v>
          </cell>
          <cell r="M42">
            <v>6.7710000000000006E-2</v>
          </cell>
          <cell r="N42">
            <v>6.7710000000000006E-2</v>
          </cell>
          <cell r="O42">
            <v>0.1467</v>
          </cell>
          <cell r="P42">
            <v>0.28212000000000004</v>
          </cell>
          <cell r="Q42">
            <v>7.2711340206185566E-3</v>
          </cell>
          <cell r="S42">
            <v>147.40439286930001</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411494560</v>
          </cell>
          <cell r="AI42">
            <v>360227820</v>
          </cell>
          <cell r="AJ42">
            <v>230165380</v>
          </cell>
          <cell r="AK42">
            <v>336376170</v>
          </cell>
          <cell r="AL42">
            <v>560016180</v>
          </cell>
          <cell r="AM42">
            <v>488404050</v>
          </cell>
          <cell r="AN42">
            <v>529464130</v>
          </cell>
          <cell r="AO42">
            <v>525972690</v>
          </cell>
          <cell r="AP42">
            <v>58.044144972920101</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103.69544640639914</v>
          </cell>
          <cell r="BA42">
            <v>106.86340869669939</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3.8129822657926402</v>
          </cell>
          <cell r="DH42">
            <v>44307514</v>
          </cell>
          <cell r="DI42">
            <v>38.800000000000004</v>
          </cell>
          <cell r="DJ42">
            <v>1719131543.2</v>
          </cell>
          <cell r="DK42">
            <v>2129893573.2</v>
          </cell>
          <cell r="DM42">
            <v>638368180</v>
          </cell>
          <cell r="DN42" t="str">
            <v>NULL</v>
          </cell>
          <cell r="DO42" t="str">
            <v>NULL</v>
          </cell>
          <cell r="DP42">
            <v>9192840</v>
          </cell>
          <cell r="DQ42" t="str">
            <v>NULL</v>
          </cell>
          <cell r="DR42">
            <v>629175340</v>
          </cell>
          <cell r="DS42">
            <v>2.7323568390331383</v>
          </cell>
          <cell r="DT42">
            <v>1.1531899999999999</v>
          </cell>
          <cell r="DU42">
            <v>0.62439</v>
          </cell>
          <cell r="DV42">
            <v>0.73082000000000003</v>
          </cell>
          <cell r="DW42">
            <v>-0.10102999999999999</v>
          </cell>
          <cell r="DX42">
            <v>2.4073699999999998</v>
          </cell>
          <cell r="DY42">
            <v>16.11717351300382</v>
          </cell>
          <cell r="DZ42">
            <v>0.44113433198726493</v>
          </cell>
          <cell r="EA42">
            <v>-219354590</v>
          </cell>
          <cell r="EB42">
            <v>-7.8372262153256065</v>
          </cell>
          <cell r="EC42">
            <v>16.117173513003799</v>
          </cell>
          <cell r="ED42">
            <v>0.46544265806753199</v>
          </cell>
          <cell r="EE42">
            <v>0.54958426816497796</v>
          </cell>
          <cell r="EG42">
            <v>0.48037463165798283</v>
          </cell>
          <cell r="EH42">
            <v>0.15927324336216198</v>
          </cell>
          <cell r="EK42">
            <v>0.63985795850515503</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52.6</v>
          </cell>
          <cell r="L43">
            <v>0</v>
          </cell>
          <cell r="M43">
            <v>1.42</v>
          </cell>
          <cell r="N43">
            <v>0</v>
          </cell>
          <cell r="O43">
            <v>0</v>
          </cell>
          <cell r="Q43">
            <v>0</v>
          </cell>
          <cell r="S43">
            <v>35.208755527000001</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51.5</v>
          </cell>
          <cell r="DJ43">
            <v>2419270952.5</v>
          </cell>
          <cell r="DK43" t="str">
            <v>NULL</v>
          </cell>
          <cell r="DM43">
            <v>314873100</v>
          </cell>
          <cell r="DN43" t="str">
            <v>NULL</v>
          </cell>
          <cell r="DO43" t="str">
            <v>NULL</v>
          </cell>
          <cell r="DP43">
            <v>2385600</v>
          </cell>
          <cell r="DQ43">
            <v>58513830</v>
          </cell>
          <cell r="DR43">
            <v>253973670</v>
          </cell>
          <cell r="DS43">
            <v>9.5256762344695023</v>
          </cell>
          <cell r="DT43">
            <v>0.79893999999999998</v>
          </cell>
          <cell r="DU43">
            <v>0.24651000000000001</v>
          </cell>
          <cell r="DV43">
            <v>0.16685</v>
          </cell>
          <cell r="DW43">
            <v>0.81</v>
          </cell>
          <cell r="DX43">
            <v>2.0223</v>
          </cell>
          <cell r="DY43">
            <v>26.009988626811058</v>
          </cell>
          <cell r="DZ43">
            <v>1.8973779914168594</v>
          </cell>
          <cell r="EA43">
            <v>164714830</v>
          </cell>
          <cell r="EB43">
            <v>14.687632877379651</v>
          </cell>
          <cell r="EC43" t="str">
            <v>NULL</v>
          </cell>
          <cell r="ED43">
            <v>0.131913389487095</v>
          </cell>
          <cell r="EE43">
            <v>0.130211022154611</v>
          </cell>
          <cell r="EG43" t="str">
            <v>-</v>
          </cell>
          <cell r="EH43" t="str">
            <v>-</v>
          </cell>
          <cell r="EK43">
            <v>3.7332386811650502</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26</v>
          </cell>
          <cell r="L44">
            <v>0.15</v>
          </cell>
          <cell r="M44">
            <v>0</v>
          </cell>
          <cell r="N44" t="str">
            <v>NULL</v>
          </cell>
          <cell r="O44">
            <v>0</v>
          </cell>
          <cell r="Q44">
            <v>0</v>
          </cell>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1.54311450778937</v>
          </cell>
          <cell r="DH44">
            <v>2200000</v>
          </cell>
          <cell r="DI44">
            <v>26</v>
          </cell>
          <cell r="DJ44">
            <v>57200000</v>
          </cell>
          <cell r="DK44">
            <v>56220260</v>
          </cell>
          <cell r="DM44">
            <v>33939400</v>
          </cell>
          <cell r="DN44" t="str">
            <v>NULL</v>
          </cell>
          <cell r="DO44" t="str">
            <v>NULL</v>
          </cell>
          <cell r="DP44">
            <v>1205530</v>
          </cell>
          <cell r="DQ44" t="str">
            <v>NULL</v>
          </cell>
          <cell r="DR44">
            <v>32733870</v>
          </cell>
          <cell r="DS44">
            <v>1.747425525915512</v>
          </cell>
          <cell r="DT44">
            <v>0.25064999999999998</v>
          </cell>
          <cell r="DU44">
            <v>-0.13219</v>
          </cell>
          <cell r="DV44">
            <v>0.13396</v>
          </cell>
          <cell r="DW44">
            <v>0.24632999999999999</v>
          </cell>
          <cell r="DX44">
            <v>0.49874999999999997</v>
          </cell>
          <cell r="DY44">
            <v>52.130325814536342</v>
          </cell>
          <cell r="DZ44">
            <v>0.15472073799411704</v>
          </cell>
          <cell r="EA44">
            <v>538280</v>
          </cell>
          <cell r="EB44">
            <v>106.26439771122836</v>
          </cell>
          <cell r="EC44" t="str">
            <v>NULL</v>
          </cell>
          <cell r="ED44" t="str">
            <v>NULL</v>
          </cell>
          <cell r="EE44" t="str">
            <v>NULL</v>
          </cell>
          <cell r="EG44">
            <v>0.35256671019569696</v>
          </cell>
          <cell r="EH44">
            <v>-1.0535379005556456E-2</v>
          </cell>
          <cell r="EK44">
            <v>0.57692307692307698</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15</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10.0243000607424</v>
          </cell>
          <cell r="DH45">
            <v>414283186</v>
          </cell>
          <cell r="DI45">
            <v>14.700000000000001</v>
          </cell>
          <cell r="DJ45" t="e">
            <v>#N/A</v>
          </cell>
          <cell r="DK45">
            <v>9010622790</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48.495037341178737</v>
          </cell>
          <cell r="DZ45" t="e">
            <v>#N/A</v>
          </cell>
          <cell r="EA45">
            <v>-72757000</v>
          </cell>
          <cell r="EB45" t="e">
            <v>#N/A</v>
          </cell>
          <cell r="EC45">
            <v>48.495037341178801</v>
          </cell>
          <cell r="ED45">
            <v>1.12793755717842</v>
          </cell>
          <cell r="EE45">
            <v>0.98970599624894795</v>
          </cell>
          <cell r="EG45">
            <v>0.52967946830545631</v>
          </cell>
          <cell r="EH45">
            <v>-0.10301503258465683</v>
          </cell>
          <cell r="EK45" t="str">
            <v>NULL</v>
          </cell>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9.15</v>
          </cell>
          <cell r="L46" t="str">
            <v>NULL</v>
          </cell>
          <cell r="M46">
            <v>0.10464</v>
          </cell>
          <cell r="N46">
            <v>0</v>
          </cell>
          <cell r="O46">
            <v>0</v>
          </cell>
          <cell r="P46">
            <v>0.10464</v>
          </cell>
          <cell r="Q46">
            <v>1.1436065573770492E-2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5.2699526722094596</v>
          </cell>
          <cell r="DH46">
            <v>86085807</v>
          </cell>
          <cell r="DI46">
            <v>9.0299999999999994</v>
          </cell>
          <cell r="DJ46">
            <v>777354837.21000004</v>
          </cell>
          <cell r="DK46">
            <v>802193724.049999</v>
          </cell>
          <cell r="DM46">
            <v>349208180</v>
          </cell>
          <cell r="DN46" t="str">
            <v>NULL</v>
          </cell>
          <cell r="DO46" t="str">
            <v>NULL</v>
          </cell>
          <cell r="DP46">
            <v>1152380</v>
          </cell>
          <cell r="DQ46">
            <v>20590820</v>
          </cell>
          <cell r="DR46">
            <v>327464980</v>
          </cell>
          <cell r="DS46">
            <v>2.3738563959114041</v>
          </cell>
          <cell r="DT46">
            <v>0.32213000000000003</v>
          </cell>
          <cell r="DU46">
            <v>0.21382000000000001</v>
          </cell>
          <cell r="DV46">
            <v>0.27464</v>
          </cell>
          <cell r="DW46">
            <v>0.24051</v>
          </cell>
          <cell r="DX46">
            <v>1.0510999999999999</v>
          </cell>
          <cell r="DY46">
            <v>8.7051660165540863</v>
          </cell>
          <cell r="DZ46">
            <v>0.75205275186468212</v>
          </cell>
          <cell r="EA46">
            <v>-55120490</v>
          </cell>
          <cell r="EB46">
            <v>-14.102828861100473</v>
          </cell>
          <cell r="EC46">
            <v>8.7051660165540898</v>
          </cell>
          <cell r="ED46">
            <v>0.47441233800831101</v>
          </cell>
          <cell r="EE46">
            <v>0.43152360816775798</v>
          </cell>
          <cell r="EG46">
            <v>0.40720810209405633</v>
          </cell>
          <cell r="EH46">
            <v>0.13344395786651697</v>
          </cell>
          <cell r="EK46">
            <v>1.1587470121816199</v>
          </cell>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9.9</v>
          </cell>
          <cell r="L47">
            <v>0</v>
          </cell>
          <cell r="M47">
            <v>0</v>
          </cell>
          <cell r="N47" t="str">
            <v>NULL</v>
          </cell>
          <cell r="O47">
            <v>0</v>
          </cell>
          <cell r="P47">
            <v>0</v>
          </cell>
          <cell r="Q47">
            <v>0</v>
          </cell>
          <cell r="S47">
            <v>28.304467841299999</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t="str">
            <v>NULL</v>
          </cell>
          <cell r="AI47">
            <v>101732840</v>
          </cell>
          <cell r="AJ47">
            <v>136415290</v>
          </cell>
          <cell r="AK47">
            <v>105135840</v>
          </cell>
          <cell r="AL47">
            <v>514458850</v>
          </cell>
          <cell r="AM47">
            <v>538917280</v>
          </cell>
          <cell r="AN47">
            <v>500964500</v>
          </cell>
          <cell r="AO47">
            <v>477045080</v>
          </cell>
          <cell r="AP47">
            <v>20.560455921490163</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214.78239710663829</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11.432099904411</v>
          </cell>
          <cell r="DH47">
            <v>443641592</v>
          </cell>
          <cell r="DI47">
            <v>10</v>
          </cell>
          <cell r="DJ47">
            <v>5469246440</v>
          </cell>
          <cell r="DK47">
            <v>4934906340.8000002</v>
          </cell>
          <cell r="DM47">
            <v>3441872730</v>
          </cell>
          <cell r="DN47" t="str">
            <v>NULL</v>
          </cell>
          <cell r="DO47" t="str">
            <v>NULL</v>
          </cell>
          <cell r="DP47">
            <v>14935160</v>
          </cell>
          <cell r="DQ47">
            <v>7555320</v>
          </cell>
          <cell r="DR47">
            <v>3419382250</v>
          </cell>
          <cell r="DS47">
            <v>1.599483778100562</v>
          </cell>
          <cell r="DT47">
            <v>0.13167000000000001</v>
          </cell>
          <cell r="DU47">
            <v>4.4580000000000002E-2</v>
          </cell>
          <cell r="DV47">
            <v>7.4620000000000006E-2</v>
          </cell>
          <cell r="DW47">
            <v>1.461E-2</v>
          </cell>
          <cell r="DX47">
            <v>0.26548000000000005</v>
          </cell>
          <cell r="DY47">
            <v>37.290944703932496</v>
          </cell>
          <cell r="DZ47">
            <v>2.123858531843414</v>
          </cell>
          <cell r="EA47">
            <v>-415044870</v>
          </cell>
          <cell r="EB47">
            <v>-13.177482328597387</v>
          </cell>
          <cell r="EC47">
            <v>37.290944703932503</v>
          </cell>
          <cell r="ED47">
            <v>0.67101703597157603</v>
          </cell>
          <cell r="EE47">
            <v>0.60527061414910399</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220</v>
          </cell>
          <cell r="L48">
            <v>0</v>
          </cell>
          <cell r="M48">
            <v>5.3962199999999996</v>
          </cell>
          <cell r="N48">
            <v>0</v>
          </cell>
          <cell r="O48">
            <v>0.246</v>
          </cell>
          <cell r="P48">
            <v>5.64222</v>
          </cell>
          <cell r="Q48">
            <v>2.5646454545454545E-2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11.2811799906779</v>
          </cell>
          <cell r="DH48">
            <v>126014050</v>
          </cell>
          <cell r="DI48">
            <v>220</v>
          </cell>
          <cell r="DJ48">
            <v>30803091000</v>
          </cell>
          <cell r="DK48">
            <v>33013200000</v>
          </cell>
          <cell r="DM48">
            <v>33306037000</v>
          </cell>
          <cell r="DN48" t="str">
            <v>NULL</v>
          </cell>
          <cell r="DO48" t="str">
            <v>NULL</v>
          </cell>
          <cell r="DP48">
            <v>109644000</v>
          </cell>
          <cell r="DQ48">
            <v>87716000</v>
          </cell>
          <cell r="DR48">
            <v>33108677000</v>
          </cell>
          <cell r="DS48">
            <v>0.93036308880599483</v>
          </cell>
          <cell r="DT48">
            <v>4.7526599999999997</v>
          </cell>
          <cell r="DU48">
            <v>74.284679999999994</v>
          </cell>
          <cell r="DV48">
            <v>14.92803</v>
          </cell>
          <cell r="DW48">
            <v>7.1574299999999997</v>
          </cell>
          <cell r="DX48">
            <v>101.12280000000001</v>
          </cell>
          <cell r="DY48">
            <v>2.1755726700605598</v>
          </cell>
          <cell r="DZ48">
            <v>5.3384924916785064</v>
          </cell>
          <cell r="EA48">
            <v>1315150000</v>
          </cell>
          <cell r="EB48">
            <v>23.4217321218112</v>
          </cell>
          <cell r="EC48">
            <v>2.1755726700605602</v>
          </cell>
          <cell r="ED48">
            <v>0.24854861556287999</v>
          </cell>
          <cell r="EE48">
            <v>0.25524931251813998</v>
          </cell>
          <cell r="EG48">
            <v>0.40899645935950751</v>
          </cell>
          <cell r="EH48">
            <v>0.15909977786758289</v>
          </cell>
          <cell r="EK48">
            <v>2.5646490862272699</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48.300000000000004</v>
          </cell>
          <cell r="L49">
            <v>0</v>
          </cell>
          <cell r="M49">
            <v>2.4193099999999998</v>
          </cell>
          <cell r="N49">
            <v>0</v>
          </cell>
          <cell r="O49">
            <v>0</v>
          </cell>
          <cell r="P49">
            <v>2.4193099999999998</v>
          </cell>
          <cell r="Q49">
            <v>5.0089233954451341E-2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12.985377088408301</v>
          </cell>
          <cell r="DH49">
            <v>578676460</v>
          </cell>
          <cell r="DI49">
            <v>48.35</v>
          </cell>
          <cell r="DJ49">
            <v>27979006841</v>
          </cell>
          <cell r="DK49">
            <v>163330073018</v>
          </cell>
          <cell r="DM49">
            <v>30651000000</v>
          </cell>
          <cell r="DN49" t="str">
            <v>NULL</v>
          </cell>
          <cell r="DO49" t="str">
            <v>NULL</v>
          </cell>
          <cell r="DP49">
            <v>9677000000</v>
          </cell>
          <cell r="DQ49">
            <v>4137000000</v>
          </cell>
          <cell r="DR49">
            <v>16837000000</v>
          </cell>
          <cell r="DS49">
            <v>1.6617572513511909</v>
          </cell>
          <cell r="DT49">
            <v>0.87614000000000003</v>
          </cell>
          <cell r="DU49">
            <v>14.114879999999999</v>
          </cell>
          <cell r="DV49">
            <v>0.93742999999999999</v>
          </cell>
          <cell r="DW49">
            <v>1.6071200000000001</v>
          </cell>
          <cell r="DX49">
            <v>17.53557</v>
          </cell>
          <cell r="DY49">
            <v>2.7544014822443756</v>
          </cell>
          <cell r="DZ49">
            <v>0.33045940969917442</v>
          </cell>
          <cell r="EA49">
            <v>3242000000</v>
          </cell>
          <cell r="EB49">
            <v>8.6301686739666881</v>
          </cell>
          <cell r="EC49">
            <v>2.7544014822443801</v>
          </cell>
          <cell r="ED49">
            <v>0.54676041900722305</v>
          </cell>
          <cell r="EE49">
            <v>0.70693904347251701</v>
          </cell>
          <cell r="EG49">
            <v>0.42214282489815796</v>
          </cell>
          <cell r="EH49">
            <v>7.0215997093752813E-2</v>
          </cell>
          <cell r="EK49">
            <v>5.0037515911065196</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58.15</v>
          </cell>
          <cell r="L50">
            <v>0</v>
          </cell>
          <cell r="M50">
            <v>2.06</v>
          </cell>
          <cell r="N50">
            <v>0</v>
          </cell>
          <cell r="O50">
            <v>1.06</v>
          </cell>
          <cell r="P50">
            <v>3.12</v>
          </cell>
          <cell r="Q50">
            <v>5.3654342218400694E-2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11.3472130408404</v>
          </cell>
          <cell r="DH50">
            <v>352056899</v>
          </cell>
          <cell r="DI50">
            <v>57</v>
          </cell>
          <cell r="DJ50">
            <v>20067243243</v>
          </cell>
          <cell r="DK50">
            <v>20353571376.849998</v>
          </cell>
          <cell r="DM50">
            <v>1071883920</v>
          </cell>
          <cell r="DN50" t="str">
            <v>NULL</v>
          </cell>
          <cell r="DO50" t="str">
            <v>NULL</v>
          </cell>
          <cell r="DP50">
            <v>359680</v>
          </cell>
          <cell r="DQ50" t="str">
            <v>NULL</v>
          </cell>
          <cell r="DR50">
            <v>1071524240</v>
          </cell>
          <cell r="DS50">
            <v>18.727754813087568</v>
          </cell>
          <cell r="DT50">
            <v>0.67815999999999999</v>
          </cell>
          <cell r="DU50">
            <v>0.95772000000000002</v>
          </cell>
          <cell r="DV50">
            <v>0.94094999999999995</v>
          </cell>
          <cell r="DW50">
            <v>0.55286999999999997</v>
          </cell>
          <cell r="DX50">
            <v>3.1297000000000001</v>
          </cell>
          <cell r="DY50">
            <v>18.580055596383037</v>
          </cell>
          <cell r="DZ50">
            <v>2.458584573813702</v>
          </cell>
          <cell r="EA50">
            <v>1170806650</v>
          </cell>
          <cell r="EB50">
            <v>17.139673098884433</v>
          </cell>
          <cell r="EC50">
            <v>18.580055596383001</v>
          </cell>
          <cell r="ED50">
            <v>1.3397768121122999</v>
          </cell>
          <cell r="EE50">
            <v>1.2519188427211101</v>
          </cell>
          <cell r="EG50">
            <v>0.46965044806236594</v>
          </cell>
          <cell r="EH50">
            <v>0.18558751785566918</v>
          </cell>
          <cell r="EK50">
            <v>1.85964912280702</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12.5</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9.9903727508055091</v>
          </cell>
          <cell r="DH51">
            <v>440000000</v>
          </cell>
          <cell r="DI51">
            <v>12.8</v>
          </cell>
          <cell r="DJ51">
            <v>5632000000</v>
          </cell>
          <cell r="DK51">
            <v>11828951000</v>
          </cell>
          <cell r="DM51">
            <v>824326000</v>
          </cell>
          <cell r="DN51" t="str">
            <v>NULL</v>
          </cell>
          <cell r="DO51" t="str">
            <v>NULL</v>
          </cell>
          <cell r="DP51">
            <v>23885000</v>
          </cell>
          <cell r="DQ51" t="str">
            <v>NULL</v>
          </cell>
          <cell r="DR51">
            <v>800441000</v>
          </cell>
          <cell r="DS51">
            <v>7.0361213381123653</v>
          </cell>
          <cell r="DT51">
            <v>-0.77737000000000001</v>
          </cell>
          <cell r="DU51">
            <v>0.37508999999999998</v>
          </cell>
          <cell r="DV51">
            <v>-0.44950000000000001</v>
          </cell>
          <cell r="DW51">
            <v>-9.7670000000000007E-2</v>
          </cell>
          <cell r="DX51">
            <v>-0.94945000000000002</v>
          </cell>
          <cell r="DY51">
            <v>-13.165516878192637</v>
          </cell>
          <cell r="DZ51">
            <v>0.45616425152857953</v>
          </cell>
          <cell r="EA51">
            <v>-1140326000</v>
          </cell>
          <cell r="EB51">
            <v>-4.9389385140740458</v>
          </cell>
          <cell r="EC51" t="str">
            <v>NULL</v>
          </cell>
          <cell r="ED51">
            <v>0.56633894200852697</v>
          </cell>
          <cell r="EE51">
            <v>0.54288812241558604</v>
          </cell>
          <cell r="EG51">
            <v>0.41214336350455699</v>
          </cell>
          <cell r="EH51">
            <v>-8.9298344420322806E-2</v>
          </cell>
          <cell r="EK51">
            <v>0.76258375</v>
          </cell>
        </row>
        <row r="52">
          <cell r="A52" t="str">
            <v>LONG</v>
          </cell>
          <cell r="B52" t="str">
            <v>LON.BA</v>
          </cell>
          <cell r="C52" t="str">
            <v>LONGVIE SA</v>
          </cell>
          <cell r="D52">
            <v>43190</v>
          </cell>
          <cell r="E52">
            <v>820963690</v>
          </cell>
          <cell r="F52">
            <v>491748910</v>
          </cell>
          <cell r="G52">
            <v>1.6694800000000001</v>
          </cell>
          <cell r="H52">
            <v>0.76712999999999998</v>
          </cell>
          <cell r="I52">
            <v>1.8858699999999999</v>
          </cell>
          <cell r="J52">
            <v>0.88327</v>
          </cell>
          <cell r="K52">
            <v>3.85</v>
          </cell>
          <cell r="L52">
            <v>0</v>
          </cell>
          <cell r="M52" t="str">
            <v>NULL</v>
          </cell>
          <cell r="N52">
            <v>0</v>
          </cell>
          <cell r="O52">
            <v>0</v>
          </cell>
          <cell r="P52">
            <v>0</v>
          </cell>
          <cell r="Q52">
            <v>0</v>
          </cell>
          <cell r="S52">
            <v>121.92605028520001</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322116570</v>
          </cell>
          <cell r="AR52">
            <v>287274130</v>
          </cell>
          <cell r="AS52">
            <v>275447480</v>
          </cell>
          <cell r="AT52">
            <v>338584170</v>
          </cell>
          <cell r="AU52">
            <v>89.470058825908254</v>
          </cell>
          <cell r="AV52">
            <v>443726730</v>
          </cell>
          <cell r="AW52">
            <v>425200900</v>
          </cell>
          <cell r="AX52">
            <v>366700460</v>
          </cell>
          <cell r="AY52">
            <v>306229380</v>
          </cell>
          <cell r="AZ52">
            <v>140.77040035277824</v>
          </cell>
          <cell r="BA52">
            <v>158.57628049525681</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19.5417544136847</v>
          </cell>
          <cell r="DH52">
            <v>153641513</v>
          </cell>
          <cell r="DI52">
            <v>3.75</v>
          </cell>
          <cell r="DJ52">
            <v>576155673.75</v>
          </cell>
          <cell r="DK52">
            <v>898535535.04999995</v>
          </cell>
          <cell r="DM52">
            <v>297012910</v>
          </cell>
          <cell r="DN52" t="str">
            <v>NULL</v>
          </cell>
          <cell r="DO52" t="str">
            <v>NULL</v>
          </cell>
          <cell r="DP52">
            <v>1681720</v>
          </cell>
          <cell r="DQ52" t="str">
            <v>NULL</v>
          </cell>
          <cell r="DR52">
            <v>295331190</v>
          </cell>
          <cell r="DS52">
            <v>1.9508798706631698</v>
          </cell>
          <cell r="DT52">
            <v>-1.5129999999999999E-2</v>
          </cell>
          <cell r="DU52">
            <v>-0.10262</v>
          </cell>
          <cell r="DV52">
            <v>-8.4970000000000004E-2</v>
          </cell>
          <cell r="DW52">
            <v>0.15074000000000001</v>
          </cell>
          <cell r="DX52">
            <v>-5.1979999999999998E-2</v>
          </cell>
          <cell r="DY52">
            <v>-74.06694882647173</v>
          </cell>
          <cell r="DZ52">
            <v>0.46175146568882591</v>
          </cell>
          <cell r="EA52">
            <v>-82136320</v>
          </cell>
          <cell r="EB52">
            <v>-7.0146273140798128</v>
          </cell>
          <cell r="EC52" t="str">
            <v>NULL</v>
          </cell>
          <cell r="ED52">
            <v>0.75849815964626</v>
          </cell>
          <cell r="EE52">
            <v>0.79021110938397299</v>
          </cell>
          <cell r="EG52">
            <v>0.44224491630265345</v>
          </cell>
          <cell r="EH52">
            <v>-1.8407563528748061E-2</v>
          </cell>
          <cell r="EK52" t="str">
            <v>NULL</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39.5</v>
          </cell>
          <cell r="L53">
            <v>0</v>
          </cell>
          <cell r="M53" t="str">
            <v>NULL</v>
          </cell>
          <cell r="N53">
            <v>0</v>
          </cell>
          <cell r="O53">
            <v>0</v>
          </cell>
          <cell r="P53">
            <v>0</v>
          </cell>
          <cell r="Q53">
            <v>0</v>
          </cell>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7.7351158363844199</v>
          </cell>
          <cell r="DH53">
            <v>275026000</v>
          </cell>
          <cell r="DI53">
            <v>37.5</v>
          </cell>
          <cell r="DJ53">
            <v>17365189500</v>
          </cell>
          <cell r="DK53">
            <v>14697779800</v>
          </cell>
          <cell r="DM53">
            <v>8582371000</v>
          </cell>
          <cell r="DN53" t="str">
            <v>NULL</v>
          </cell>
          <cell r="DO53" t="str">
            <v>NULL</v>
          </cell>
          <cell r="DP53">
            <v>218394000</v>
          </cell>
          <cell r="DQ53" t="str">
            <v>NULL</v>
          </cell>
          <cell r="DR53">
            <v>8363977000</v>
          </cell>
          <cell r="DS53">
            <v>2.076188098078223</v>
          </cell>
          <cell r="DT53">
            <v>-0.70777999999999996</v>
          </cell>
          <cell r="DU53">
            <v>-0.4536</v>
          </cell>
          <cell r="DV53">
            <v>0.5494</v>
          </cell>
          <cell r="DW53">
            <v>0.35393000000000002</v>
          </cell>
          <cell r="DX53">
            <v>-0.25804999999999984</v>
          </cell>
          <cell r="DY53">
            <v>-153.07111024995166</v>
          </cell>
          <cell r="DZ53">
            <v>1.2331328055691404</v>
          </cell>
          <cell r="EA53">
            <v>-270978000</v>
          </cell>
          <cell r="EB53">
            <v>-64.083392378717093</v>
          </cell>
          <cell r="EC53" t="str">
            <v>NULL</v>
          </cell>
          <cell r="ED53">
            <v>1.4733234757554701</v>
          </cell>
          <cell r="EE53">
            <v>1.3626691743630399</v>
          </cell>
          <cell r="EG53">
            <v>0.5937937193868017</v>
          </cell>
          <cell r="EH53">
            <v>0.1476496559072098</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446</v>
          </cell>
          <cell r="L54">
            <v>0</v>
          </cell>
          <cell r="M54" t="str">
            <v>NULL</v>
          </cell>
          <cell r="N54">
            <v>0</v>
          </cell>
          <cell r="O54">
            <v>0.16111</v>
          </cell>
          <cell r="P54">
            <v>0.16111</v>
          </cell>
          <cell r="Q54">
            <v>3.6123318385650226E-4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3.5071870650201</v>
          </cell>
          <cell r="DH54">
            <v>18000000</v>
          </cell>
          <cell r="DI54">
            <v>449.25</v>
          </cell>
          <cell r="DJ54">
            <v>8086500000</v>
          </cell>
          <cell r="DK54">
            <v>7873897999.9999905</v>
          </cell>
          <cell r="DM54">
            <v>2802585000</v>
          </cell>
          <cell r="DN54" t="str">
            <v>NULL</v>
          </cell>
          <cell r="DO54" t="str">
            <v>NULL</v>
          </cell>
          <cell r="DP54">
            <v>25305000</v>
          </cell>
          <cell r="DQ54">
            <v>766000</v>
          </cell>
          <cell r="DR54">
            <v>2776514000</v>
          </cell>
          <cell r="DS54">
            <v>2.9124650551014688</v>
          </cell>
          <cell r="DT54">
            <v>1.5024900000000001</v>
          </cell>
          <cell r="DU54">
            <v>1.3926099999999999</v>
          </cell>
          <cell r="DV54">
            <v>1.7295700000000001</v>
          </cell>
          <cell r="DW54">
            <v>1.16492</v>
          </cell>
          <cell r="DX54">
            <v>5.7895900000000005</v>
          </cell>
          <cell r="DY54">
            <v>77.034815936879809</v>
          </cell>
          <cell r="DZ54">
            <v>0.348893423446337</v>
          </cell>
          <cell r="EA54">
            <v>-73052000</v>
          </cell>
          <cell r="EB54">
            <v>-110.69512128346931</v>
          </cell>
          <cell r="EC54">
            <v>76.516644529232593</v>
          </cell>
          <cell r="ED54">
            <v>0.90408787482151398</v>
          </cell>
          <cell r="EE54">
            <v>0.93469447572994002</v>
          </cell>
          <cell r="EG54">
            <v>0.49276648188017191</v>
          </cell>
          <cell r="EH54">
            <v>0.10119780127171585</v>
          </cell>
          <cell r="EK54">
            <v>0.12366289371174199</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150</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2.08831303978446</v>
          </cell>
          <cell r="DH55">
            <v>49082024</v>
          </cell>
          <cell r="DI55">
            <v>150</v>
          </cell>
          <cell r="DJ55">
            <v>7362303600</v>
          </cell>
          <cell r="DK55">
            <v>4935803048.8000002</v>
          </cell>
          <cell r="DM55">
            <v>1182160000</v>
          </cell>
          <cell r="DN55" t="str">
            <v>NULL</v>
          </cell>
          <cell r="DO55" t="str">
            <v>NULL</v>
          </cell>
          <cell r="DP55">
            <v>76292000</v>
          </cell>
          <cell r="DQ55" t="str">
            <v>NULL</v>
          </cell>
          <cell r="DR55">
            <v>1105868000</v>
          </cell>
          <cell r="DS55">
            <v>6.6574885971924314</v>
          </cell>
          <cell r="DT55">
            <v>1.28104</v>
          </cell>
          <cell r="DU55">
            <v>1.10344</v>
          </cell>
          <cell r="DV55">
            <v>2.7944200000000001</v>
          </cell>
          <cell r="DW55">
            <v>-1.7911699999999999</v>
          </cell>
          <cell r="DX55">
            <v>3.3877300000000004</v>
          </cell>
          <cell r="DY55">
            <v>44.277436513535605</v>
          </cell>
          <cell r="DZ55">
            <v>0.26694546487712528</v>
          </cell>
          <cell r="EA55">
            <v>-338628000</v>
          </cell>
          <cell r="EB55">
            <v>-21.741567738048833</v>
          </cell>
          <cell r="EC55">
            <v>44.277436513535598</v>
          </cell>
          <cell r="ED55">
            <v>0.38434295614951502</v>
          </cell>
          <cell r="EE55">
            <v>0.38404135514418702</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43</v>
          </cell>
          <cell r="L56">
            <v>0</v>
          </cell>
          <cell r="M56" t="str">
            <v>NULL</v>
          </cell>
          <cell r="N56">
            <v>0</v>
          </cell>
          <cell r="O56">
            <v>0</v>
          </cell>
          <cell r="P56">
            <v>0</v>
          </cell>
          <cell r="Q56">
            <v>0</v>
          </cell>
          <cell r="S56">
            <v>139.4715596504</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31.938537628118599</v>
          </cell>
          <cell r="DH56">
            <v>201415127</v>
          </cell>
          <cell r="DI56">
            <v>41.5</v>
          </cell>
          <cell r="DJ56">
            <v>8358727770.5</v>
          </cell>
          <cell r="DK56">
            <v>11520262461</v>
          </cell>
          <cell r="DM56">
            <v>2536748000</v>
          </cell>
          <cell r="DN56" t="str">
            <v>NULL</v>
          </cell>
          <cell r="DO56" t="str">
            <v>NULL</v>
          </cell>
          <cell r="DP56">
            <v>69976000</v>
          </cell>
          <cell r="DQ56">
            <v>94820000</v>
          </cell>
          <cell r="DR56">
            <v>2371952000</v>
          </cell>
          <cell r="DS56">
            <v>3.523986897922049</v>
          </cell>
          <cell r="DT56">
            <v>3.4099999999999998E-2</v>
          </cell>
          <cell r="DU56">
            <v>-0.88556000000000001</v>
          </cell>
          <cell r="DV56">
            <v>-4.1329999999999999E-2</v>
          </cell>
          <cell r="DW56">
            <v>-0.19958000000000001</v>
          </cell>
          <cell r="DX56">
            <v>-1.0923700000000001</v>
          </cell>
          <cell r="DY56">
            <v>-39.363951774581871</v>
          </cell>
          <cell r="DZ56">
            <v>0.64722520512070225</v>
          </cell>
          <cell r="EA56">
            <v>-1043852000</v>
          </cell>
          <cell r="EB56">
            <v>-8.0075793987078629</v>
          </cell>
          <cell r="EC56" t="str">
            <v>NULL</v>
          </cell>
          <cell r="ED56">
            <v>0.69134211877119101</v>
          </cell>
          <cell r="EE56">
            <v>0.71647188874990697</v>
          </cell>
          <cell r="EG56">
            <v>0.438994804572655</v>
          </cell>
          <cell r="EH56">
            <v>-1.6673508295107831E-2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4.03</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4.05</v>
          </cell>
          <cell r="DJ57">
            <v>189953172.90000001</v>
          </cell>
          <cell r="DK57">
            <v>244891182.53999999</v>
          </cell>
          <cell r="DM57">
            <v>41418750</v>
          </cell>
          <cell r="DN57" t="str">
            <v>NULL</v>
          </cell>
          <cell r="DO57" t="str">
            <v>NULL</v>
          </cell>
          <cell r="DP57">
            <v>1088320</v>
          </cell>
          <cell r="DQ57" t="str">
            <v>NULL</v>
          </cell>
          <cell r="DR57">
            <v>40330430</v>
          </cell>
          <cell r="DS57">
            <v>4.7099218356957762</v>
          </cell>
          <cell r="DT57">
            <v>-0.27789000000000003</v>
          </cell>
          <cell r="DU57">
            <v>-0.22325</v>
          </cell>
          <cell r="DV57">
            <v>-0.40717999999999999</v>
          </cell>
          <cell r="DW57">
            <v>-0.7258</v>
          </cell>
          <cell r="DX57">
            <v>-1.63412</v>
          </cell>
          <cell r="DY57">
            <v>-2.4661591559983358</v>
          </cell>
          <cell r="DZ57">
            <v>0.85371775128882488</v>
          </cell>
          <cell r="EA57">
            <v>-147738120</v>
          </cell>
          <cell r="EB57">
            <v>-1.2857424536064219</v>
          </cell>
          <cell r="EC57" t="str">
            <v>NULL</v>
          </cell>
          <cell r="ED57">
            <v>0.93279079808700605</v>
          </cell>
          <cell r="EE57">
            <v>0.810409535568552</v>
          </cell>
          <cell r="EG57">
            <v>0.54785180176817205</v>
          </cell>
          <cell r="EH57">
            <v>-0.115617541565041</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28.35</v>
          </cell>
          <cell r="L58">
            <v>0</v>
          </cell>
          <cell r="M58">
            <v>0</v>
          </cell>
          <cell r="N58">
            <v>0.9375</v>
          </cell>
          <cell r="O58">
            <v>0.48168</v>
          </cell>
          <cell r="P58">
            <v>1.4191799999999999</v>
          </cell>
          <cell r="Q58">
            <v>5.0059259259259255E-2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4.7113757097615796</v>
          </cell>
          <cell r="DH58">
            <v>160000000</v>
          </cell>
          <cell r="DI58">
            <v>27.8</v>
          </cell>
          <cell r="DJ58">
            <v>4448000000</v>
          </cell>
          <cell r="DK58">
            <v>3594991490</v>
          </cell>
          <cell r="DM58">
            <v>638313130</v>
          </cell>
          <cell r="DN58" t="str">
            <v>NULL</v>
          </cell>
          <cell r="DO58" t="str">
            <v>NULL</v>
          </cell>
          <cell r="DP58">
            <v>94566100</v>
          </cell>
          <cell r="DQ58" t="str">
            <v>NULL</v>
          </cell>
          <cell r="DR58">
            <v>543747030</v>
          </cell>
          <cell r="DS58">
            <v>8.1802745662813088</v>
          </cell>
          <cell r="DT58">
            <v>1.26162</v>
          </cell>
          <cell r="DU58">
            <v>0.80630000000000002</v>
          </cell>
          <cell r="DV58">
            <v>0.61604000000000003</v>
          </cell>
          <cell r="DW58">
            <v>0.54683000000000004</v>
          </cell>
          <cell r="DX58">
            <v>3.2307899999999998</v>
          </cell>
          <cell r="DY58">
            <v>8.7749435896483536</v>
          </cell>
          <cell r="DZ58">
            <v>2.1555333522482032</v>
          </cell>
          <cell r="EA58">
            <v>470657170</v>
          </cell>
          <cell r="EB58">
            <v>9.4506156147584033</v>
          </cell>
          <cell r="EC58">
            <v>8.7749435896483501</v>
          </cell>
          <cell r="ED58">
            <v>1.43298006885036</v>
          </cell>
          <cell r="EE58">
            <v>1.2967276161718799</v>
          </cell>
          <cell r="EG58">
            <v>0.41968960404136491</v>
          </cell>
          <cell r="EH58">
            <v>0.22526952236376774</v>
          </cell>
          <cell r="EK58">
            <v>8.7654555755395709</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47.9</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6.6333826968143796</v>
          </cell>
          <cell r="DH60">
            <v>1836494690</v>
          </cell>
          <cell r="DI60">
            <v>48.85</v>
          </cell>
          <cell r="DJ60">
            <v>94689297854.350006</v>
          </cell>
          <cell r="DK60">
            <v>120356095651</v>
          </cell>
          <cell r="DM60">
            <v>19947000000</v>
          </cell>
          <cell r="DN60" t="str">
            <v>NULL</v>
          </cell>
          <cell r="DO60" t="str">
            <v>NULL</v>
          </cell>
          <cell r="DP60">
            <v>889000000</v>
          </cell>
          <cell r="DQ60">
            <v>688000000</v>
          </cell>
          <cell r="DR60">
            <v>18370000000</v>
          </cell>
          <cell r="DS60">
            <v>5.1545616687180189</v>
          </cell>
          <cell r="DT60">
            <v>1.19442</v>
          </cell>
          <cell r="DU60">
            <v>0.71943000000000001</v>
          </cell>
          <cell r="DV60">
            <v>0.66322000000000003</v>
          </cell>
          <cell r="DW60">
            <v>-4.7E-2</v>
          </cell>
          <cell r="DX60">
            <v>2.5300699999999998</v>
          </cell>
          <cell r="DY60">
            <v>18.932282506017621</v>
          </cell>
          <cell r="DZ60">
            <v>1.7348081392098129</v>
          </cell>
          <cell r="EA60">
            <v>1287000000</v>
          </cell>
          <cell r="EB60">
            <v>73.57365800648796</v>
          </cell>
          <cell r="EC60">
            <v>18.9322825060176</v>
          </cell>
          <cell r="ED60">
            <v>1.03142400142059</v>
          </cell>
          <cell r="EE60">
            <v>1.0523320587334499</v>
          </cell>
          <cell r="EG60">
            <v>0.44837295234061902</v>
          </cell>
          <cell r="EH60">
            <v>0.12488929955182626</v>
          </cell>
          <cell r="EK60">
            <v>0</v>
          </cell>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25.7</v>
          </cell>
          <cell r="L61">
            <v>0</v>
          </cell>
          <cell r="M61">
            <v>0.13800000000000001</v>
          </cell>
          <cell r="N61">
            <v>0</v>
          </cell>
          <cell r="O61">
            <v>0</v>
          </cell>
          <cell r="P61">
            <v>0.13800000000000001</v>
          </cell>
          <cell r="Q61">
            <v>5.3696498054474715E-3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21.0507286561249</v>
          </cell>
          <cell r="DH61">
            <v>500000000</v>
          </cell>
          <cell r="DI61">
            <v>26</v>
          </cell>
          <cell r="DJ61">
            <v>13000000000</v>
          </cell>
          <cell r="DK61">
            <v>15487821000</v>
          </cell>
          <cell r="DM61">
            <v>2684344000</v>
          </cell>
          <cell r="DN61" t="str">
            <v>NULL</v>
          </cell>
          <cell r="DO61" t="str">
            <v>NULL</v>
          </cell>
          <cell r="DP61">
            <v>4564000</v>
          </cell>
          <cell r="DQ61">
            <v>19873000</v>
          </cell>
          <cell r="DR61">
            <v>2659907000</v>
          </cell>
          <cell r="DS61">
            <v>4.8873889199885561</v>
          </cell>
          <cell r="DT61">
            <v>0.17335</v>
          </cell>
          <cell r="DU61">
            <v>9.5280000000000004E-2</v>
          </cell>
          <cell r="DV61">
            <v>-3.8240000000000003E-2</v>
          </cell>
          <cell r="DW61">
            <v>-7.2010000000000005E-2</v>
          </cell>
          <cell r="DX61">
            <v>0.15838000000000002</v>
          </cell>
          <cell r="DY61">
            <v>162.26796312665738</v>
          </cell>
          <cell r="DZ61">
            <v>0.37324121204284016</v>
          </cell>
          <cell r="EA61">
            <v>533411000</v>
          </cell>
          <cell r="EB61">
            <v>24.3714509074616</v>
          </cell>
          <cell r="EC61">
            <v>162.26796312665701</v>
          </cell>
          <cell r="ED61">
            <v>6.6110877560218995E-2</v>
          </cell>
          <cell r="EE61">
            <v>3.7117534278264003E-2</v>
          </cell>
          <cell r="EG61">
            <v>0.31988301609138337</v>
          </cell>
          <cell r="EH61">
            <v>5.9506158585111768E-2</v>
          </cell>
          <cell r="EK61">
            <v>0.53076923076923099</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12</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26.123703487864901</v>
          </cell>
          <cell r="DH62">
            <v>145828553</v>
          </cell>
          <cell r="DI62">
            <v>12</v>
          </cell>
          <cell r="DJ62">
            <v>1749942636</v>
          </cell>
          <cell r="DK62">
            <v>2994455636</v>
          </cell>
          <cell r="DM62">
            <v>520118000</v>
          </cell>
          <cell r="DN62" t="str">
            <v>NULL</v>
          </cell>
          <cell r="DO62" t="str">
            <v>NULL</v>
          </cell>
          <cell r="DP62">
            <v>358479000</v>
          </cell>
          <cell r="DQ62" t="str">
            <v>NULL</v>
          </cell>
          <cell r="DR62">
            <v>161639000</v>
          </cell>
          <cell r="DS62">
            <v>10.826240177184962</v>
          </cell>
          <cell r="DT62">
            <v>-0.52339000000000002</v>
          </cell>
          <cell r="DU62">
            <v>-3.2657799999999999</v>
          </cell>
          <cell r="DV62">
            <v>-0.57916999999999996</v>
          </cell>
          <cell r="DW62">
            <v>-0.84584999999999999</v>
          </cell>
          <cell r="DX62">
            <v>-5.2141900000000003</v>
          </cell>
          <cell r="DY62">
            <v>-2.3014121081126695</v>
          </cell>
          <cell r="DZ62">
            <v>0.28155813199523944</v>
          </cell>
          <cell r="EA62">
            <v>-88164000</v>
          </cell>
          <cell r="EB62">
            <v>-19.848720974547433</v>
          </cell>
          <cell r="EC62" t="str">
            <v>NULL</v>
          </cell>
          <cell r="ED62">
            <v>0.44055402937580102</v>
          </cell>
          <cell r="EE62">
            <v>0.62690103717039403</v>
          </cell>
          <cell r="EG62">
            <v>0.5236423906011739</v>
          </cell>
          <cell r="EH62">
            <v>-0.146449618745076</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t="str">
            <v>The record could not be found</v>
          </cell>
          <cell r="L64">
            <v>0</v>
          </cell>
          <cell r="M64">
            <v>0</v>
          </cell>
          <cell r="N64">
            <v>0</v>
          </cell>
          <cell r="O64">
            <v>6.8049999999999999E-2</v>
          </cell>
          <cell r="P64">
            <v>6.8049999999999999E-2</v>
          </cell>
          <cell r="Q64" t="e">
            <v>#VALUE!</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v>4.5194155383408896</v>
          </cell>
          <cell r="DH64">
            <v>2019236820</v>
          </cell>
          <cell r="DI64" t="str">
            <v>The record could not be found</v>
          </cell>
          <cell r="DJ64">
            <v>54721317822</v>
          </cell>
          <cell r="DK64">
            <v>25932406359</v>
          </cell>
          <cell r="DM64">
            <v>13931000000</v>
          </cell>
          <cell r="DN64" t="str">
            <v>NULL</v>
          </cell>
          <cell r="DO64" t="str">
            <v>NULL</v>
          </cell>
          <cell r="DP64" t="str">
            <v>NULL</v>
          </cell>
          <cell r="DQ64" t="str">
            <v>NULL</v>
          </cell>
          <cell r="DR64">
            <v>13931000000</v>
          </cell>
          <cell r="DS64">
            <v>3.9280251110473046</v>
          </cell>
          <cell r="DT64">
            <v>-0.2392</v>
          </cell>
          <cell r="DU64">
            <v>0.16045999999999999</v>
          </cell>
          <cell r="DV64">
            <v>0.46106999999999998</v>
          </cell>
          <cell r="DW64">
            <v>-0.46156000000000003</v>
          </cell>
          <cell r="DX64">
            <v>-7.9230000000000078E-2</v>
          </cell>
          <cell r="DY64" t="e">
            <v>#VALUE!</v>
          </cell>
          <cell r="DZ64">
            <v>1.9657764062937817</v>
          </cell>
          <cell r="EA64">
            <v>-1691000000</v>
          </cell>
          <cell r="EB64">
            <v>-32.360329876995863</v>
          </cell>
          <cell r="EC64" t="str">
            <v>NULL</v>
          </cell>
          <cell r="ED64">
            <v>1.00584703275086</v>
          </cell>
          <cell r="EE64">
            <v>0.99651264484237401</v>
          </cell>
          <cell r="EG64">
            <v>0.40949448336497979</v>
          </cell>
          <cell r="EH64">
            <v>-3.709214682419526E-2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104.95</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5.3216051607093302</v>
          </cell>
          <cell r="DH65">
            <v>119400000</v>
          </cell>
          <cell r="DI65">
            <v>104</v>
          </cell>
          <cell r="DJ65">
            <v>12417600000</v>
          </cell>
          <cell r="DK65">
            <v>14733210590</v>
          </cell>
          <cell r="DM65">
            <v>20112000000</v>
          </cell>
          <cell r="DN65" t="str">
            <v>NULL</v>
          </cell>
          <cell r="DO65" t="str">
            <v>NULL</v>
          </cell>
          <cell r="DP65" t="str">
            <v>NULL</v>
          </cell>
          <cell r="DQ65" t="str">
            <v>NULL</v>
          </cell>
          <cell r="DR65">
            <v>20112000000</v>
          </cell>
          <cell r="DS65">
            <v>0.61742243436754174</v>
          </cell>
          <cell r="DT65" t="str">
            <v>NULL</v>
          </cell>
          <cell r="DU65">
            <v>2.4845000000000002</v>
          </cell>
          <cell r="DV65">
            <v>2.4698799999999999</v>
          </cell>
          <cell r="DW65">
            <v>2.2965</v>
          </cell>
          <cell r="DX65">
            <v>7.2508800000000004</v>
          </cell>
          <cell r="DY65">
            <v>14.474105212057019</v>
          </cell>
          <cell r="DZ65">
            <v>0.24664031620553359</v>
          </cell>
          <cell r="EA65" t="e">
            <v>#VALUE!</v>
          </cell>
          <cell r="EB65" t="e">
            <v>#VALUE!</v>
          </cell>
          <cell r="EC65">
            <v>13.7953788438434</v>
          </cell>
          <cell r="ED65">
            <v>0.962956409684812</v>
          </cell>
          <cell r="EE65">
            <v>0.98687236271016199</v>
          </cell>
          <cell r="EG65" t="str">
            <v>-</v>
          </cell>
          <cell r="EH65" t="str">
            <v>-</v>
          </cell>
          <cell r="EK65" t="str">
            <v>NULL</v>
          </cell>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8.35</v>
          </cell>
          <cell r="L66">
            <v>0</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8.5</v>
          </cell>
          <cell r="DJ66">
            <v>54573349</v>
          </cell>
          <cell r="DK66">
            <v>53354629.900000103</v>
          </cell>
          <cell r="DM66">
            <v>-45877060</v>
          </cell>
          <cell r="DN66" t="str">
            <v>NULL</v>
          </cell>
          <cell r="DO66" t="str">
            <v>NULL</v>
          </cell>
          <cell r="DP66" t="str">
            <v>NULL</v>
          </cell>
          <cell r="DQ66" t="str">
            <v>NULL</v>
          </cell>
          <cell r="DR66">
            <v>-45877060</v>
          </cell>
          <cell r="DS66">
            <v>-1.1895563708746812</v>
          </cell>
          <cell r="DT66">
            <v>-0.20852999999999999</v>
          </cell>
          <cell r="DU66">
            <v>-0.60080999999999996</v>
          </cell>
          <cell r="DV66">
            <v>-0.17945</v>
          </cell>
          <cell r="DW66">
            <v>-0.18945999999999999</v>
          </cell>
          <cell r="DX66">
            <v>-1.17825</v>
          </cell>
          <cell r="DY66">
            <v>-7.0867812433694031</v>
          </cell>
          <cell r="DZ66" t="e">
            <v>#DIV/0!</v>
          </cell>
          <cell r="EA66" t="e">
            <v>#VALUE!</v>
          </cell>
          <cell r="EB66" t="e">
            <v>#VALUE!</v>
          </cell>
          <cell r="EC66" t="str">
            <v>NULL</v>
          </cell>
          <cell r="ED66">
            <v>0.32225195497008002</v>
          </cell>
          <cell r="EE66">
            <v>0.356741225830706</v>
          </cell>
          <cell r="EG66">
            <v>0.6296381289110744</v>
          </cell>
          <cell r="EH66">
            <v>-0.21839376319382597</v>
          </cell>
          <cell r="EK66" t="str">
            <v>NULL</v>
          </cell>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3</v>
          </cell>
          <cell r="L67">
            <v>0</v>
          </cell>
          <cell r="M67" t="str">
            <v>NULL</v>
          </cell>
          <cell r="N67">
            <v>0</v>
          </cell>
          <cell r="O67">
            <v>0</v>
          </cell>
          <cell r="P67">
            <v>0</v>
          </cell>
          <cell r="Q67">
            <v>0</v>
          </cell>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194600460</v>
          </cell>
          <cell r="AI67">
            <v>187430540</v>
          </cell>
          <cell r="AJ67">
            <v>401920910</v>
          </cell>
          <cell r="AK67">
            <v>388033240</v>
          </cell>
          <cell r="AL67">
            <v>65494300</v>
          </cell>
          <cell r="AM67">
            <v>113424280</v>
          </cell>
          <cell r="AN67">
            <v>105158540</v>
          </cell>
          <cell r="AO67">
            <v>113652730</v>
          </cell>
          <cell r="AP67">
            <v>268.88513632431665</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-253.11485060704766</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2.99</v>
          </cell>
          <cell r="DJ67">
            <v>300103169.47000003</v>
          </cell>
          <cell r="DK67">
            <v>291027169</v>
          </cell>
          <cell r="DM67">
            <v>-86343410</v>
          </cell>
          <cell r="DN67" t="str">
            <v>NULL</v>
          </cell>
          <cell r="DO67" t="str">
            <v>NULL</v>
          </cell>
          <cell r="DP67" t="str">
            <v>NULL</v>
          </cell>
          <cell r="DQ67" t="str">
            <v>NULL</v>
          </cell>
          <cell r="DR67">
            <v>-86343410</v>
          </cell>
          <cell r="DS67">
            <v>-3.4756928116459616</v>
          </cell>
          <cell r="DT67">
            <v>-0.93803999999999998</v>
          </cell>
          <cell r="DU67">
            <v>-0.79601999999999995</v>
          </cell>
          <cell r="DV67">
            <v>-0.38851000000000002</v>
          </cell>
          <cell r="DW67">
            <v>-0.47437000000000001</v>
          </cell>
          <cell r="DX67">
            <v>-2.59694</v>
          </cell>
          <cell r="DY67">
            <v>-1.1552057421426756</v>
          </cell>
          <cell r="DZ67">
            <v>0.63982301558727583</v>
          </cell>
          <cell r="EA67">
            <v>-38119040</v>
          </cell>
          <cell r="EB67">
            <v>-7.8727892798454535</v>
          </cell>
          <cell r="EC67" t="str">
            <v>NULL</v>
          </cell>
          <cell r="ED67">
            <v>0.12097300802118301</v>
          </cell>
          <cell r="EE67">
            <v>0.15140386562622801</v>
          </cell>
          <cell r="EG67">
            <v>0.83326728018091001</v>
          </cell>
          <cell r="EH67">
            <v>-0.17580700797306514</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470</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6.6421243443542197</v>
          </cell>
          <cell r="DH68">
            <v>1519408403</v>
          </cell>
          <cell r="DI68">
            <v>450</v>
          </cell>
          <cell r="DJ68">
            <v>659539845000</v>
          </cell>
          <cell r="DK68">
            <v>992288887608.77295</v>
          </cell>
          <cell r="DM68">
            <v>718823106872.67395</v>
          </cell>
          <cell r="DN68" t="str">
            <v>NULL</v>
          </cell>
          <cell r="DO68" t="str">
            <v>NULL</v>
          </cell>
          <cell r="DP68">
            <v>44178470220.053703</v>
          </cell>
          <cell r="DQ68">
            <v>68980853108.597595</v>
          </cell>
          <cell r="DR68">
            <v>605663783544.02271</v>
          </cell>
          <cell r="DS68">
            <v>1.0889537445028052</v>
          </cell>
          <cell r="DT68">
            <v>8.6302876962125108</v>
          </cell>
          <cell r="DU68" t="str">
            <v>NULL</v>
          </cell>
          <cell r="DV68">
            <v>6.8424903614457797</v>
          </cell>
          <cell r="DW68" t="str">
            <v>NULL</v>
          </cell>
          <cell r="DX68">
            <v>15.472778057658291</v>
          </cell>
          <cell r="DY68">
            <v>30.375928501564225</v>
          </cell>
          <cell r="DZ68">
            <v>1.3796139333249078</v>
          </cell>
          <cell r="EA68">
            <v>39967773706.963036</v>
          </cell>
          <cell r="EB68">
            <v>16.501790913740521</v>
          </cell>
          <cell r="EC68">
            <v>12.970741253400799</v>
          </cell>
          <cell r="ED68">
            <v>0.36320293836585998</v>
          </cell>
          <cell r="EE68">
            <v>0.318593366381139</v>
          </cell>
          <cell r="EG68">
            <v>0.37861407090599836</v>
          </cell>
          <cell r="EH68">
            <v>-5.6503858774445637E-2</v>
          </cell>
          <cell r="EK68">
            <v>4.88238938506667</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v>
          </cell>
          <cell r="L69">
            <v>0</v>
          </cell>
          <cell r="M69">
            <v>0.20624999999999999</v>
          </cell>
          <cell r="N69">
            <v>0.20624999999999999</v>
          </cell>
          <cell r="O69">
            <v>0.13750000000000001</v>
          </cell>
          <cell r="P69">
            <v>0.55000000000000004</v>
          </cell>
          <cell r="Q69">
            <v>8.2089552238805985E-3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16.0553147836346</v>
          </cell>
          <cell r="DH69">
            <v>72534732</v>
          </cell>
          <cell r="DI69">
            <v>67</v>
          </cell>
          <cell r="DJ69">
            <v>4859654787</v>
          </cell>
          <cell r="DK69">
            <v>5442802607.0000095</v>
          </cell>
          <cell r="DM69">
            <v>617287130</v>
          </cell>
          <cell r="DN69" t="str">
            <v>NULL</v>
          </cell>
          <cell r="DO69" t="str">
            <v>NULL</v>
          </cell>
          <cell r="DP69" t="str">
            <v>NULL</v>
          </cell>
          <cell r="DQ69" t="str">
            <v>NULL</v>
          </cell>
          <cell r="DR69">
            <v>617287130</v>
          </cell>
          <cell r="DS69">
            <v>7.8726002063253775</v>
          </cell>
          <cell r="DT69">
            <v>0.24037</v>
          </cell>
          <cell r="DU69">
            <v>0.27333000000000002</v>
          </cell>
          <cell r="DV69">
            <v>0.41349999999999998</v>
          </cell>
          <cell r="DW69">
            <v>0.15619</v>
          </cell>
          <cell r="DX69">
            <v>1.0833900000000001</v>
          </cell>
          <cell r="DY69">
            <v>61.842918985776123</v>
          </cell>
          <cell r="DZ69">
            <v>2.5250352489564669</v>
          </cell>
          <cell r="EA69">
            <v>-131171760</v>
          </cell>
          <cell r="EB69">
            <v>-37.04802609189661</v>
          </cell>
          <cell r="EC69">
            <v>61.842918985776102</v>
          </cell>
          <cell r="ED69">
            <v>0.123215014076915</v>
          </cell>
          <cell r="EE69">
            <v>0.17301292088769099</v>
          </cell>
          <cell r="EG69">
            <v>0.37899005391725132</v>
          </cell>
          <cell r="EH69">
            <v>6.7383933845534427E-2</v>
          </cell>
          <cell r="EK69">
            <v>0.82089552238805996</v>
          </cell>
        </row>
        <row r="70">
          <cell r="A70" t="str">
            <v>ROSE</v>
          </cell>
          <cell r="B70" t="str">
            <v>ROS.BA</v>
          </cell>
          <cell r="C70" t="str">
            <v>INSTITUTO ROSENBUSCH SA DE BIOLOGIA EXPERIMENTAL AGROPECUARIA</v>
          </cell>
          <cell r="D70">
            <v>43190</v>
          </cell>
          <cell r="E70">
            <v>200252530</v>
          </cell>
          <cell r="F70">
            <v>135563270</v>
          </cell>
          <cell r="G70">
            <v>1.47719</v>
          </cell>
          <cell r="H70">
            <v>0.93030000000000002</v>
          </cell>
          <cell r="I70">
            <v>1.64053</v>
          </cell>
          <cell r="J70">
            <v>0.97609000000000001</v>
          </cell>
          <cell r="K70">
            <v>8.39</v>
          </cell>
          <cell r="L70">
            <v>0</v>
          </cell>
          <cell r="M70" t="str">
            <v>NULL</v>
          </cell>
          <cell r="N70">
            <v>0</v>
          </cell>
          <cell r="O70">
            <v>0</v>
          </cell>
          <cell r="P70">
            <v>0</v>
          </cell>
          <cell r="Q70">
            <v>0</v>
          </cell>
          <cell r="S70">
            <v>71.810429989100001</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74137950</v>
          </cell>
          <cell r="AW70">
            <v>73846230</v>
          </cell>
          <cell r="AX70">
            <v>74790580</v>
          </cell>
          <cell r="AY70">
            <v>67893620</v>
          </cell>
          <cell r="AZ70">
            <v>235.71459069751938</v>
          </cell>
          <cell r="BA70">
            <v>295.02265512267303</v>
          </cell>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G70">
            <v>30.9880702480142</v>
          </cell>
          <cell r="DH70">
            <v>42589465</v>
          </cell>
          <cell r="DI70">
            <v>7.9</v>
          </cell>
          <cell r="DJ70">
            <v>336456773.5</v>
          </cell>
          <cell r="DK70">
            <v>414616661.35000002</v>
          </cell>
          <cell r="DM70">
            <v>76679850</v>
          </cell>
          <cell r="DN70" t="str">
            <v>NULL</v>
          </cell>
          <cell r="DO70" t="str">
            <v>NULL</v>
          </cell>
          <cell r="DP70">
            <v>550</v>
          </cell>
          <cell r="DQ70" t="str">
            <v>NULL</v>
          </cell>
          <cell r="DR70">
            <v>76679300</v>
          </cell>
          <cell r="DS70">
            <v>4.3878435705594603</v>
          </cell>
          <cell r="DT70">
            <v>-4.8160000000000001E-2</v>
          </cell>
          <cell r="DU70">
            <v>-7.5329999999999994E-2</v>
          </cell>
          <cell r="DV70">
            <v>-2.18E-2</v>
          </cell>
          <cell r="DW70">
            <v>4.8379999999999999E-2</v>
          </cell>
          <cell r="DX70">
            <v>-9.6909999999999968E-2</v>
          </cell>
          <cell r="DY70">
            <v>-86.575172840780141</v>
          </cell>
          <cell r="DZ70">
            <v>1.9984488707936898</v>
          </cell>
          <cell r="EA70">
            <v>-18950600</v>
          </cell>
          <cell r="EB70">
            <v>-17.754412709887813</v>
          </cell>
          <cell r="EC70" t="str">
            <v>NULL</v>
          </cell>
          <cell r="ED70">
            <v>0.29441935272208403</v>
          </cell>
          <cell r="EE70">
            <v>0.36233731370560701</v>
          </cell>
          <cell r="EG70">
            <v>0.41407919832749729</v>
          </cell>
          <cell r="EH70">
            <v>-6.7409690336296402E-2</v>
          </cell>
          <cell r="EK70" t="str">
            <v>NULL</v>
          </cell>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95.4</v>
          </cell>
          <cell r="L71">
            <v>0</v>
          </cell>
          <cell r="M71" t="str">
            <v>NULL</v>
          </cell>
          <cell r="N71">
            <v>0</v>
          </cell>
          <cell r="O71">
            <v>0</v>
          </cell>
          <cell r="P71">
            <v>0</v>
          </cell>
          <cell r="Q71">
            <v>0</v>
          </cell>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227.01103059699301</v>
          </cell>
          <cell r="DH71">
            <v>40713530</v>
          </cell>
          <cell r="DI71">
            <v>93.25</v>
          </cell>
          <cell r="DJ71">
            <v>6634829631</v>
          </cell>
          <cell r="DK71">
            <v>8206364762</v>
          </cell>
          <cell r="DM71">
            <v>2727971000</v>
          </cell>
          <cell r="DN71" t="str">
            <v>NULL</v>
          </cell>
          <cell r="DO71" t="str">
            <v>NULL</v>
          </cell>
          <cell r="DP71">
            <v>6843000</v>
          </cell>
          <cell r="DQ71">
            <v>1085000</v>
          </cell>
          <cell r="DR71">
            <v>2720043000</v>
          </cell>
          <cell r="DS71">
            <v>2.4392370381644701</v>
          </cell>
          <cell r="DT71">
            <v>0.1051</v>
          </cell>
          <cell r="DU71">
            <v>5.373E-2</v>
          </cell>
          <cell r="DV71">
            <v>0.33817000000000003</v>
          </cell>
          <cell r="DW71">
            <v>-3.5589999999999997E-2</v>
          </cell>
          <cell r="DX71">
            <v>0.46140999999999999</v>
          </cell>
          <cell r="DY71">
            <v>206.75754751739237</v>
          </cell>
          <cell r="DZ71">
            <v>1.6660190823569307</v>
          </cell>
          <cell r="EA71">
            <v>-2776604000</v>
          </cell>
          <cell r="EB71">
            <v>-2.389548394729677</v>
          </cell>
          <cell r="EC71">
            <v>206.757547517392</v>
          </cell>
          <cell r="ED71">
            <v>0.81239599252379202</v>
          </cell>
          <cell r="EE71">
            <v>0.78447138133323602</v>
          </cell>
          <cell r="EG71">
            <v>0.61115709324157907</v>
          </cell>
          <cell r="EH71">
            <v>0.24632039938255001</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3.09</v>
          </cell>
          <cell r="L72">
            <v>2.5090000000000001E-2</v>
          </cell>
          <cell r="M72">
            <v>0</v>
          </cell>
          <cell r="N72">
            <v>0</v>
          </cell>
          <cell r="O72">
            <v>0</v>
          </cell>
          <cell r="P72">
            <v>2.5090000000000001E-2</v>
          </cell>
          <cell r="Q72">
            <v>8.1197411003236259E-3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11.8285163342521</v>
          </cell>
          <cell r="DH72">
            <v>167900000</v>
          </cell>
          <cell r="DI72">
            <v>3.0500000000000003</v>
          </cell>
          <cell r="DJ72">
            <v>512095000</v>
          </cell>
          <cell r="DK72">
            <v>598694440.00000095</v>
          </cell>
          <cell r="DM72">
            <v>182937580</v>
          </cell>
          <cell r="DN72" t="str">
            <v>NULL</v>
          </cell>
          <cell r="DO72" t="str">
            <v>NULL</v>
          </cell>
          <cell r="DP72" t="str">
            <v>NULL</v>
          </cell>
          <cell r="DQ72" t="str">
            <v>NULL</v>
          </cell>
          <cell r="DR72">
            <v>182937580</v>
          </cell>
          <cell r="DS72">
            <v>2.7992881506358618</v>
          </cell>
          <cell r="DT72">
            <v>7.4099999999999999E-3</v>
          </cell>
          <cell r="DU72">
            <v>1.9390000000000001E-2</v>
          </cell>
          <cell r="DV72">
            <v>4.2279999999999998E-2</v>
          </cell>
          <cell r="DW72">
            <v>2.743E-2</v>
          </cell>
          <cell r="DX72">
            <v>9.6509999999999999E-2</v>
          </cell>
          <cell r="DY72">
            <v>32.017407522536523</v>
          </cell>
          <cell r="DZ72">
            <v>0.7410905709363379</v>
          </cell>
          <cell r="EA72">
            <v>-43671480</v>
          </cell>
          <cell r="EB72">
            <v>-11.726073858728855</v>
          </cell>
          <cell r="EC72">
            <v>32.017407522536502</v>
          </cell>
          <cell r="ED72">
            <v>0.59075382878995697</v>
          </cell>
          <cell r="EE72">
            <v>0.62338941574574103</v>
          </cell>
          <cell r="EG72">
            <v>0.49132754864157402</v>
          </cell>
          <cell r="EH72">
            <v>-6.9487670463486584E-2</v>
          </cell>
          <cell r="EK72">
            <v>0.82261556721311502</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136</v>
          </cell>
          <cell r="L73">
            <v>1.61054434341194</v>
          </cell>
          <cell r="M73" t="str">
            <v>NULL</v>
          </cell>
          <cell r="N73">
            <v>1.22530120481928</v>
          </cell>
          <cell r="O73" t="str">
            <v>NULL</v>
          </cell>
          <cell r="P73">
            <v>2.8358455482312199</v>
          </cell>
          <cell r="Q73">
            <v>2.0851805501700148E-2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9.5673076186469306</v>
          </cell>
          <cell r="DH73">
            <v>16132240242</v>
          </cell>
          <cell r="DI73">
            <v>136.80000000000001</v>
          </cell>
          <cell r="DJ73">
            <v>2194350447412.8</v>
          </cell>
          <cell r="DK73">
            <v>4586188578538.9004</v>
          </cell>
          <cell r="DM73">
            <v>2353079618540.7002</v>
          </cell>
          <cell r="DN73" t="str">
            <v>NULL</v>
          </cell>
          <cell r="DO73" t="str">
            <v>NULL</v>
          </cell>
          <cell r="DP73">
            <v>72127608979.571701</v>
          </cell>
          <cell r="DQ73">
            <v>634604026514.87097</v>
          </cell>
          <cell r="DR73">
            <v>1646347983046.2576</v>
          </cell>
          <cell r="DS73">
            <v>1.3328594379862311</v>
          </cell>
          <cell r="DT73">
            <v>2.9485350287080201</v>
          </cell>
          <cell r="DU73" t="str">
            <v>NULL</v>
          </cell>
          <cell r="DV73">
            <v>1.8600072289156599</v>
          </cell>
          <cell r="DW73" t="str">
            <v>NULL</v>
          </cell>
          <cell r="DX73">
            <v>4.8085422576236798</v>
          </cell>
          <cell r="DY73">
            <v>28.28299986017165</v>
          </cell>
          <cell r="DZ73" t="e">
            <v>#DIV/0!</v>
          </cell>
          <cell r="EA73" t="e">
            <v>#VALUE!</v>
          </cell>
          <cell r="EB73" t="e">
            <v>#VALUE!</v>
          </cell>
          <cell r="EC73">
            <v>10.8477773847424</v>
          </cell>
          <cell r="ED73">
            <v>0.18992833270866799</v>
          </cell>
          <cell r="EE73">
            <v>0.19600451741667399</v>
          </cell>
          <cell r="EG73">
            <v>0.47120778034502958</v>
          </cell>
          <cell r="EH73">
            <v>-9.6764178579305193E-2</v>
          </cell>
          <cell r="EK73">
            <v>3.9944118459245401</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87</v>
          </cell>
          <cell r="L74">
            <v>0</v>
          </cell>
          <cell r="M74">
            <v>0</v>
          </cell>
          <cell r="N74">
            <v>0.18006</v>
          </cell>
          <cell r="O74">
            <v>0</v>
          </cell>
          <cell r="Q74">
            <v>0</v>
          </cell>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4.04104730898118</v>
          </cell>
          <cell r="DH74">
            <v>329984134</v>
          </cell>
          <cell r="DI74">
            <v>82.5</v>
          </cell>
          <cell r="DJ74">
            <v>37679591565</v>
          </cell>
          <cell r="DK74">
            <v>16731936177.6</v>
          </cell>
          <cell r="DM74">
            <v>15144798000</v>
          </cell>
          <cell r="DN74" t="str">
            <v>NULL</v>
          </cell>
          <cell r="DO74" t="str">
            <v>NULL</v>
          </cell>
          <cell r="DP74">
            <v>302458000</v>
          </cell>
          <cell r="DQ74">
            <v>22043000</v>
          </cell>
          <cell r="DR74">
            <v>14820297000</v>
          </cell>
          <cell r="DS74">
            <v>2.5424316101762332</v>
          </cell>
          <cell r="DT74">
            <v>1.86408</v>
          </cell>
          <cell r="DU74">
            <v>1.36649</v>
          </cell>
          <cell r="DV74">
            <v>1.59358</v>
          </cell>
          <cell r="DW74">
            <v>1.04976</v>
          </cell>
          <cell r="DX74">
            <v>5.8739100000000004</v>
          </cell>
          <cell r="DY74">
            <v>14.811258599467815</v>
          </cell>
          <cell r="DZ74" t="e">
            <v>#DIV/0!</v>
          </cell>
          <cell r="EA74">
            <v>8317207000</v>
          </cell>
          <cell r="EB74">
            <v>4.5303178777442961</v>
          </cell>
          <cell r="EC74">
            <v>14.709111988437</v>
          </cell>
          <cell r="ED74">
            <v>1.0561621517631701</v>
          </cell>
          <cell r="EE74">
            <v>1.03231721680955</v>
          </cell>
          <cell r="EG74" t="str">
            <v>-</v>
          </cell>
          <cell r="EH74" t="str">
            <v>-</v>
          </cell>
          <cell r="EK74">
            <v>0.64678479248484799</v>
          </cell>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110</v>
          </cell>
          <cell r="L75">
            <v>9.2273899999999998</v>
          </cell>
          <cell r="M75">
            <v>4.2823799999999999</v>
          </cell>
          <cell r="N75">
            <v>0</v>
          </cell>
          <cell r="O75">
            <v>0</v>
          </cell>
          <cell r="P75">
            <v>13.50977</v>
          </cell>
          <cell r="Q75">
            <v>0.1228160909090909</v>
          </cell>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G75">
            <v>3.6550246433573901</v>
          </cell>
          <cell r="DH75">
            <v>643151378</v>
          </cell>
          <cell r="DI75">
            <v>108.65</v>
          </cell>
          <cell r="DJ75">
            <v>106952993259.7</v>
          </cell>
          <cell r="DK75">
            <v>105838548597.7</v>
          </cell>
          <cell r="DM75">
            <v>127211000000</v>
          </cell>
          <cell r="DN75" t="str">
            <v>NULL</v>
          </cell>
          <cell r="DO75" t="str">
            <v>NULL</v>
          </cell>
          <cell r="DP75">
            <v>42351000000</v>
          </cell>
          <cell r="DQ75">
            <v>63817000000</v>
          </cell>
          <cell r="DR75">
            <v>21043000000</v>
          </cell>
          <cell r="DS75">
            <v>5.0825924658888937</v>
          </cell>
          <cell r="DT75">
            <v>1.6065499999999999</v>
          </cell>
          <cell r="DU75">
            <v>2.0522900000000002</v>
          </cell>
          <cell r="DV75">
            <v>2.0904699999999998</v>
          </cell>
          <cell r="DW75">
            <v>1.71282</v>
          </cell>
          <cell r="DX75">
            <v>7.4621299999999993</v>
          </cell>
          <cell r="DY75">
            <v>14.741099391192597</v>
          </cell>
          <cell r="DZ75">
            <v>1.3159396279261766</v>
          </cell>
          <cell r="EA75">
            <v>6954000000</v>
          </cell>
          <cell r="EB75">
            <v>15.380068055752085</v>
          </cell>
          <cell r="EC75">
            <v>14.694195893129701</v>
          </cell>
          <cell r="ED75">
            <v>0.53448835417879004</v>
          </cell>
          <cell r="EE75">
            <v>0.57653421894154899</v>
          </cell>
          <cell r="EG75">
            <v>0.42566073167753959</v>
          </cell>
          <cell r="EH75">
            <v>5.0440800093869864E-2</v>
          </cell>
          <cell r="EK75">
            <v>11.448853222273399</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218.5</v>
          </cell>
          <cell r="L76">
            <v>0</v>
          </cell>
          <cell r="M76">
            <v>4.3395145211789696</v>
          </cell>
          <cell r="N76">
            <v>0</v>
          </cell>
          <cell r="O76">
            <v>3.7937927646984901</v>
          </cell>
          <cell r="P76">
            <v>8.1333072858774607</v>
          </cell>
          <cell r="Q76">
            <v>3.7223374306075335E-2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6.0939773295299302</v>
          </cell>
          <cell r="DH76">
            <v>5126443827</v>
          </cell>
          <cell r="DI76">
            <v>225</v>
          </cell>
          <cell r="DJ76">
            <v>1119419819325</v>
          </cell>
          <cell r="DK76">
            <v>2813366113658.8799</v>
          </cell>
          <cell r="DM76">
            <v>439257386461.64502</v>
          </cell>
          <cell r="DN76" t="str">
            <v>NULL</v>
          </cell>
          <cell r="DO76" t="str">
            <v>NULL</v>
          </cell>
          <cell r="DP76">
            <v>430362226164.95398</v>
          </cell>
          <cell r="DQ76">
            <v>658241861955.10205</v>
          </cell>
          <cell r="DR76">
            <v>-649346701658.41101</v>
          </cell>
          <cell r="DS76">
            <v>-1.7239170022209045</v>
          </cell>
          <cell r="DT76">
            <v>4.0449440624923003</v>
          </cell>
          <cell r="DU76">
            <v>2.71099766077662</v>
          </cell>
          <cell r="DV76">
            <v>3.06815421686747</v>
          </cell>
          <cell r="DW76">
            <v>2.6074737671772699</v>
          </cell>
          <cell r="DX76">
            <v>12.43156970731366</v>
          </cell>
          <cell r="DY76">
            <v>17.576219668498783</v>
          </cell>
          <cell r="DZ76">
            <v>1.0159000075907347</v>
          </cell>
          <cell r="EA76">
            <v>68014135810.967773</v>
          </cell>
          <cell r="EB76">
            <v>16.458634752578675</v>
          </cell>
          <cell r="EC76">
            <v>13.306650680583999</v>
          </cell>
          <cell r="ED76">
            <v>0.190690542759471</v>
          </cell>
          <cell r="EE76">
            <v>0.1931917922036</v>
          </cell>
          <cell r="EG76">
            <v>0.35855761369486971</v>
          </cell>
          <cell r="EH76">
            <v>-0.10736501607280102</v>
          </cell>
          <cell r="EK76">
            <v>4.3680825066666698</v>
          </cell>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11.5</v>
          </cell>
          <cell r="L77">
            <v>0</v>
          </cell>
          <cell r="M77" t="str">
            <v>NULL</v>
          </cell>
          <cell r="N77">
            <v>0</v>
          </cell>
          <cell r="O77">
            <v>0</v>
          </cell>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Q77">
            <v>713940000</v>
          </cell>
          <cell r="AR77">
            <v>10030510</v>
          </cell>
          <cell r="AS77">
            <v>16065800</v>
          </cell>
          <cell r="AT77">
            <v>28718970</v>
          </cell>
          <cell r="AU77">
            <v>48.067916345763557</v>
          </cell>
          <cell r="AV77">
            <v>1725839000</v>
          </cell>
          <cell r="AW77">
            <v>1752429720</v>
          </cell>
          <cell r="AX77">
            <v>3336088710</v>
          </cell>
          <cell r="AY77">
            <v>3219834480</v>
          </cell>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12.5</v>
          </cell>
          <cell r="DJ77">
            <v>891868562.5</v>
          </cell>
          <cell r="DK77">
            <v>670036077.50000095</v>
          </cell>
          <cell r="DM77">
            <v>372811000</v>
          </cell>
          <cell r="DN77" t="str">
            <v>NULL</v>
          </cell>
          <cell r="DO77" t="str">
            <v>NULL</v>
          </cell>
          <cell r="DP77">
            <v>41474000</v>
          </cell>
          <cell r="DQ77">
            <v>716152000</v>
          </cell>
          <cell r="DR77">
            <v>-384815000</v>
          </cell>
          <cell r="DS77">
            <v>-2.3176553993477387</v>
          </cell>
          <cell r="DT77">
            <v>-1.1006499999999999</v>
          </cell>
          <cell r="DU77">
            <v>-2.0860699999999999</v>
          </cell>
          <cell r="DV77">
            <v>-2.2518799999999999</v>
          </cell>
          <cell r="DW77">
            <v>-9.3450000000000005E-2</v>
          </cell>
          <cell r="DX77">
            <v>-5.532049999999999</v>
          </cell>
          <cell r="DY77">
            <v>-2.0787953832666015</v>
          </cell>
          <cell r="DZ77">
            <v>0.61113220105824773</v>
          </cell>
          <cell r="EA77">
            <v>-829100160</v>
          </cell>
          <cell r="EB77">
            <v>-1.0757066582884267</v>
          </cell>
          <cell r="EC77" t="str">
            <v>NULL</v>
          </cell>
          <cell r="ED77">
            <v>0.82014795679296604</v>
          </cell>
          <cell r="EE77">
            <v>0.95011205933887299</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59</v>
          </cell>
          <cell r="L78">
            <v>0</v>
          </cell>
          <cell r="M78">
            <v>0.83679999999999999</v>
          </cell>
          <cell r="N78">
            <v>0</v>
          </cell>
          <cell r="O78">
            <v>0</v>
          </cell>
          <cell r="P78">
            <v>0.83679999999999999</v>
          </cell>
          <cell r="Q78">
            <v>1.4183050847457628E-2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3.3546320705941</v>
          </cell>
          <cell r="DH78">
            <v>439373355</v>
          </cell>
          <cell r="DI78">
            <v>58.300000000000004</v>
          </cell>
          <cell r="DJ78">
            <v>25615500643.700001</v>
          </cell>
          <cell r="DK78">
            <v>8233696174.4999905</v>
          </cell>
          <cell r="DM78">
            <v>15173065000</v>
          </cell>
          <cell r="DN78" t="str">
            <v>NULL</v>
          </cell>
          <cell r="DO78" t="str">
            <v>NULL</v>
          </cell>
          <cell r="DP78" t="str">
            <v>NULL</v>
          </cell>
          <cell r="DQ78" t="str">
            <v>NULL</v>
          </cell>
          <cell r="DR78">
            <v>15173065000</v>
          </cell>
          <cell r="DS78">
            <v>1.6882219013561202</v>
          </cell>
          <cell r="DT78">
            <v>0.31054999999999999</v>
          </cell>
          <cell r="DU78">
            <v>0.54337999999999997</v>
          </cell>
          <cell r="DV78">
            <v>0.68345</v>
          </cell>
          <cell r="DW78">
            <v>0.22861999999999999</v>
          </cell>
          <cell r="DX78">
            <v>1.766</v>
          </cell>
          <cell r="DY78">
            <v>33.408833522083803</v>
          </cell>
          <cell r="DZ78">
            <v>5.3329728767365134</v>
          </cell>
          <cell r="EA78">
            <v>1133542000</v>
          </cell>
          <cell r="EB78">
            <v>22.597751687806891</v>
          </cell>
          <cell r="EC78" t="str">
            <v>NULL</v>
          </cell>
          <cell r="ED78">
            <v>1.1710572771060199</v>
          </cell>
          <cell r="EE78">
            <v>1.2075757950144299</v>
          </cell>
          <cell r="EG78">
            <v>0.51616201130197414</v>
          </cell>
          <cell r="EH78">
            <v>0.19537877281421823</v>
          </cell>
          <cell r="EK78">
            <v>1.43533447684391</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84.600000000000009</v>
          </cell>
          <cell r="L79">
            <v>0</v>
          </cell>
          <cell r="M79" t="str">
            <v>NULL</v>
          </cell>
          <cell r="N79">
            <v>0</v>
          </cell>
          <cell r="O79">
            <v>0</v>
          </cell>
          <cell r="P79">
            <v>0</v>
          </cell>
          <cell r="Q79">
            <v>0</v>
          </cell>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4.6887803965989896</v>
          </cell>
          <cell r="DH79">
            <v>794495283</v>
          </cell>
          <cell r="DI79">
            <v>83.65</v>
          </cell>
          <cell r="DJ79">
            <v>66459530422.949997</v>
          </cell>
          <cell r="DK79">
            <v>31258143682.7001</v>
          </cell>
          <cell r="DM79">
            <v>7054526000</v>
          </cell>
          <cell r="DN79" t="str">
            <v>NULL</v>
          </cell>
          <cell r="DO79" t="str">
            <v>NULL</v>
          </cell>
          <cell r="DP79" t="str">
            <v>NULL</v>
          </cell>
          <cell r="DQ79" t="str">
            <v>NULL</v>
          </cell>
          <cell r="DR79">
            <v>7054526000</v>
          </cell>
          <cell r="DS79">
            <v>9.420835705042407</v>
          </cell>
          <cell r="DT79">
            <v>2.18364</v>
          </cell>
          <cell r="DU79">
            <v>1.2268300000000001</v>
          </cell>
          <cell r="DV79">
            <v>0.65210999999999997</v>
          </cell>
          <cell r="DW79">
            <v>0.80005000000000004</v>
          </cell>
          <cell r="DX79">
            <v>4.8626300000000002</v>
          </cell>
          <cell r="DY79">
            <v>17.397992444417941</v>
          </cell>
          <cell r="DZ79">
            <v>4.5399634315828621</v>
          </cell>
          <cell r="EA79">
            <v>2245387000</v>
          </cell>
          <cell r="EB79">
            <v>29.598252071001568</v>
          </cell>
          <cell r="EC79">
            <v>17.336297435749799</v>
          </cell>
          <cell r="ED79">
            <v>0.98981048812690198</v>
          </cell>
          <cell r="EE79">
            <v>1.0380012607584701</v>
          </cell>
          <cell r="EG79">
            <v>0.4912378066917954</v>
          </cell>
          <cell r="EH79">
            <v>0.22401899403778458</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50.45</v>
          </cell>
          <cell r="L80" t="str">
            <v>NULL</v>
          </cell>
          <cell r="M80">
            <v>0</v>
          </cell>
          <cell r="N80">
            <v>0</v>
          </cell>
          <cell r="O80">
            <v>0</v>
          </cell>
          <cell r="P80">
            <v>0</v>
          </cell>
          <cell r="Q80">
            <v>0</v>
          </cell>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2.8677290928303099</v>
          </cell>
          <cell r="DH80">
            <v>217890147</v>
          </cell>
          <cell r="DI80">
            <v>50.45</v>
          </cell>
          <cell r="DJ80">
            <v>22433792957.75</v>
          </cell>
          <cell r="DK80">
            <v>9979604930.8499908</v>
          </cell>
          <cell r="DM80">
            <v>2858494000</v>
          </cell>
          <cell r="DN80" t="str">
            <v>NULL</v>
          </cell>
          <cell r="DO80" t="str">
            <v>NULL</v>
          </cell>
          <cell r="DP80" t="str">
            <v>NULL</v>
          </cell>
          <cell r="DQ80" t="str">
            <v>NULL</v>
          </cell>
          <cell r="DR80">
            <v>2858494000</v>
          </cell>
          <cell r="DS80">
            <v>7.8481161610799255</v>
          </cell>
          <cell r="DT80">
            <v>2.0148799999999998</v>
          </cell>
          <cell r="DU80">
            <v>1.1473500000000001</v>
          </cell>
          <cell r="DV80">
            <v>1.0180899999999999</v>
          </cell>
          <cell r="DW80">
            <v>0.95174000000000003</v>
          </cell>
          <cell r="DX80">
            <v>5.1320600000000001</v>
          </cell>
          <cell r="DY80">
            <v>9.8303605179986207</v>
          </cell>
          <cell r="DZ80">
            <v>3.7234603833453526</v>
          </cell>
          <cell r="EA80">
            <v>2607994260</v>
          </cell>
          <cell r="EB80">
            <v>8.6019334098342686</v>
          </cell>
          <cell r="EC80">
            <v>9.8498458708588696</v>
          </cell>
          <cell r="ED80">
            <v>1.3397277336200599</v>
          </cell>
          <cell r="EE80">
            <v>1.2865297438591401</v>
          </cell>
          <cell r="EG80">
            <v>0.51962636067445322</v>
          </cell>
          <cell r="EH80">
            <v>0.16949627331402373</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451.5</v>
          </cell>
          <cell r="L81">
            <v>0</v>
          </cell>
          <cell r="M81">
            <v>5.2063199999999998</v>
          </cell>
          <cell r="N81">
            <v>2.2475700000000001</v>
          </cell>
          <cell r="O81">
            <v>0</v>
          </cell>
          <cell r="P81">
            <v>7.4538899999999995</v>
          </cell>
          <cell r="Q81">
            <v>1.6509169435215947E-2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19.024379757091001</v>
          </cell>
          <cell r="DH81">
            <v>1180536830</v>
          </cell>
          <cell r="DI81">
            <v>465.8</v>
          </cell>
          <cell r="DJ81">
            <v>549894055414</v>
          </cell>
          <cell r="DK81">
            <v>521019839920.11401</v>
          </cell>
          <cell r="DM81">
            <v>236304988310</v>
          </cell>
          <cell r="DN81" t="str">
            <v>NULL</v>
          </cell>
          <cell r="DO81" t="str">
            <v>NULL</v>
          </cell>
          <cell r="DP81">
            <v>32895636350</v>
          </cell>
          <cell r="DQ81" t="str">
            <v>NULL</v>
          </cell>
          <cell r="DR81">
            <v>203409351960</v>
          </cell>
          <cell r="DS81">
            <v>2.7033863001644853</v>
          </cell>
          <cell r="DT81">
            <v>4.0028955000000002</v>
          </cell>
          <cell r="DU81">
            <v>2.52376362</v>
          </cell>
          <cell r="DV81">
            <v>1.5356089799999999</v>
          </cell>
          <cell r="DW81">
            <v>1.0483367800000001</v>
          </cell>
          <cell r="DX81">
            <v>9.1106048799999986</v>
          </cell>
          <cell r="DY81">
            <v>49.557631567488201</v>
          </cell>
          <cell r="DZ81">
            <v>4.9882194050937594</v>
          </cell>
          <cell r="EA81">
            <v>-8439168795</v>
          </cell>
          <cell r="EB81">
            <v>-65.159741293455198</v>
          </cell>
          <cell r="EC81">
            <v>36.775259761819697</v>
          </cell>
          <cell r="ED81">
            <v>0.52958257488238403</v>
          </cell>
          <cell r="EE81">
            <v>0.48621420253433301</v>
          </cell>
          <cell r="EG81">
            <v>0.41412309351728671</v>
          </cell>
          <cell r="EH81">
            <v>-4.1636775407736248E-2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293</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P82" t="e">
            <v>#DIV/0!</v>
          </cell>
          <cell r="AQ82">
            <v>11077000000</v>
          </cell>
          <cell r="AR82" t="str">
            <v>NULL</v>
          </cell>
          <cell r="AS82" t="str">
            <v>NULL</v>
          </cell>
          <cell r="AT82" t="str">
            <v>NULL</v>
          </cell>
          <cell r="AU82">
            <v>77.133283928576319</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6.1935416430715904</v>
          </cell>
          <cell r="DH82">
            <v>121106082</v>
          </cell>
          <cell r="DI82">
            <v>296.95</v>
          </cell>
          <cell r="DJ82">
            <v>53641814131</v>
          </cell>
          <cell r="DK82">
            <v>150761197160.39999</v>
          </cell>
          <cell r="DM82">
            <v>46744000000</v>
          </cell>
          <cell r="DN82" t="str">
            <v>NULL</v>
          </cell>
          <cell r="DO82" t="str">
            <v>NULL</v>
          </cell>
          <cell r="DP82">
            <v>42336000000</v>
          </cell>
          <cell r="DQ82">
            <v>63291000000</v>
          </cell>
          <cell r="DR82">
            <v>-58883000000</v>
          </cell>
          <cell r="DS82">
            <v>-0.91098982950936602</v>
          </cell>
          <cell r="DT82">
            <v>1.2178899999999999</v>
          </cell>
          <cell r="DU82">
            <v>-2.0257399999999999</v>
          </cell>
          <cell r="DV82">
            <v>3.9696099999999999</v>
          </cell>
          <cell r="DW82" t="str">
            <v>NULL</v>
          </cell>
          <cell r="DX82">
            <v>3.1617600000000001</v>
          </cell>
          <cell r="DY82">
            <v>92.669905369161469</v>
          </cell>
          <cell r="DZ82">
            <v>1.0233642905169023</v>
          </cell>
          <cell r="EA82" t="e">
            <v>#VALUE!</v>
          </cell>
          <cell r="EB82" t="e">
            <v>#VALUE!</v>
          </cell>
          <cell r="EC82">
            <v>52.686905987590997</v>
          </cell>
          <cell r="ED82">
            <v>0.61733738886631895</v>
          </cell>
          <cell r="EE82">
            <v>0.54236851814978704</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64.25</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10.0463899453219</v>
          </cell>
          <cell r="DH83">
            <v>596026490</v>
          </cell>
          <cell r="DI83">
            <v>64.5</v>
          </cell>
          <cell r="DJ83">
            <v>38443708605</v>
          </cell>
          <cell r="DK83">
            <v>41156674173.5</v>
          </cell>
          <cell r="DM83">
            <v>4391302650</v>
          </cell>
          <cell r="DN83" t="str">
            <v>NULL</v>
          </cell>
          <cell r="DO83" t="str">
            <v>NULL</v>
          </cell>
          <cell r="DP83">
            <v>73456400</v>
          </cell>
          <cell r="DQ83">
            <v>39347430</v>
          </cell>
          <cell r="DR83">
            <v>4278498820</v>
          </cell>
          <cell r="DS83">
            <v>8.9853264479806487</v>
          </cell>
          <cell r="DT83">
            <v>0.88273000000000001</v>
          </cell>
          <cell r="DU83">
            <v>1.1351800000000001</v>
          </cell>
          <cell r="DV83">
            <v>0.52</v>
          </cell>
          <cell r="DW83">
            <v>0.48784</v>
          </cell>
          <cell r="DX83">
            <v>3.0257499999999999</v>
          </cell>
          <cell r="DY83">
            <v>21.23440469305131</v>
          </cell>
          <cell r="DZ83">
            <v>2.313313747629929</v>
          </cell>
          <cell r="EA83">
            <v>238427770</v>
          </cell>
          <cell r="EB83">
            <v>161.23838513022204</v>
          </cell>
          <cell r="EC83">
            <v>21.2013550359415</v>
          </cell>
          <cell r="ED83">
            <v>0.67448966936401</v>
          </cell>
          <cell r="EE83">
            <v>0.73710653409971005</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28</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2.7990094340628202</v>
          </cell>
          <cell r="DH84">
            <v>16646081</v>
          </cell>
          <cell r="DI84">
            <v>28.5</v>
          </cell>
          <cell r="DJ84">
            <v>2301417379.5</v>
          </cell>
          <cell r="DK84">
            <v>722133098.00000095</v>
          </cell>
          <cell r="DM84">
            <v>169873610</v>
          </cell>
          <cell r="DN84" t="str">
            <v>NULL</v>
          </cell>
          <cell r="DO84" t="str">
            <v>NULL</v>
          </cell>
          <cell r="DP84">
            <v>27735440</v>
          </cell>
          <cell r="DQ84">
            <v>39782730</v>
          </cell>
          <cell r="DR84">
            <v>102355440</v>
          </cell>
          <cell r="DS84">
            <v>22.48456339496953</v>
          </cell>
          <cell r="DT84">
            <v>0.26508999999999999</v>
          </cell>
          <cell r="DU84">
            <v>3.5729999999999998E-2</v>
          </cell>
          <cell r="DV84">
            <v>0.15964999999999999</v>
          </cell>
          <cell r="DW84">
            <v>1.04532</v>
          </cell>
          <cell r="DX84">
            <v>1.50579</v>
          </cell>
          <cell r="DY84">
            <v>18.594890389762185</v>
          </cell>
          <cell r="DZ84">
            <v>2.1962666968903153</v>
          </cell>
          <cell r="EA84">
            <v>134096170</v>
          </cell>
          <cell r="EB84">
            <v>17.162439311279361</v>
          </cell>
          <cell r="EC84">
            <v>18.594890389762199</v>
          </cell>
          <cell r="ED84">
            <v>0.77224250379773995</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6.07</v>
          </cell>
          <cell r="L85">
            <v>0.17252999999999999</v>
          </cell>
          <cell r="M85">
            <v>0</v>
          </cell>
          <cell r="N85">
            <v>0</v>
          </cell>
          <cell r="O85">
            <v>0</v>
          </cell>
          <cell r="P85">
            <v>0.17252999999999999</v>
          </cell>
          <cell r="Q85">
            <v>2.8423393739703456E-2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-2.0231275471687402</v>
          </cell>
          <cell r="DH85">
            <v>858453000</v>
          </cell>
          <cell r="DI85">
            <v>6.03</v>
          </cell>
          <cell r="DJ85">
            <v>5176471590</v>
          </cell>
          <cell r="DK85">
            <v>-1195582620</v>
          </cell>
          <cell r="DM85">
            <v>1570644000</v>
          </cell>
          <cell r="DN85" t="str">
            <v>NULL</v>
          </cell>
          <cell r="DO85" t="str">
            <v>NULL</v>
          </cell>
          <cell r="DP85">
            <v>13673010</v>
          </cell>
          <cell r="DQ85" t="str">
            <v>NULL</v>
          </cell>
          <cell r="DR85">
            <v>1556970990</v>
          </cell>
          <cell r="DS85">
            <v>3.3247065123544788</v>
          </cell>
          <cell r="DT85">
            <v>0.11491999999999999</v>
          </cell>
          <cell r="DU85">
            <v>0.26467000000000002</v>
          </cell>
          <cell r="DV85">
            <v>0.14806</v>
          </cell>
          <cell r="DW85">
            <v>6.9040000000000004E-2</v>
          </cell>
          <cell r="DX85">
            <v>0.59668999999999994</v>
          </cell>
          <cell r="DY85">
            <v>10.172786539073892</v>
          </cell>
          <cell r="DZ85">
            <v>4.1154545943055769</v>
          </cell>
          <cell r="EA85">
            <v>775096500</v>
          </cell>
          <cell r="EB85">
            <v>6.6784866013457682</v>
          </cell>
          <cell r="EC85">
            <v>10.1057500544671</v>
          </cell>
          <cell r="ED85">
            <v>1.26755539963714</v>
          </cell>
          <cell r="EE85">
            <v>1.0786365905969799</v>
          </cell>
          <cell r="EG85">
            <v>0.37455500025470312</v>
          </cell>
          <cell r="EH85">
            <v>3.6843141287349113E-2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452</v>
          </cell>
          <cell r="L86">
            <v>0</v>
          </cell>
          <cell r="M86">
            <v>1.82</v>
          </cell>
          <cell r="N86">
            <v>1.8204</v>
          </cell>
          <cell r="O86">
            <v>0</v>
          </cell>
          <cell r="P86">
            <v>3.6404000000000001</v>
          </cell>
          <cell r="Q86">
            <v>8.0539823008849553E-3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3.6357606532417299</v>
          </cell>
          <cell r="DH86">
            <v>3932609830</v>
          </cell>
          <cell r="DI86">
            <v>451.90000000000003</v>
          </cell>
          <cell r="DJ86">
            <v>177738051156.70001</v>
          </cell>
          <cell r="DK86">
            <v>338820171036.25</v>
          </cell>
          <cell r="DM86">
            <v>171628000000</v>
          </cell>
          <cell r="DN86" t="str">
            <v>NULL</v>
          </cell>
          <cell r="DO86" t="str">
            <v>NULL</v>
          </cell>
          <cell r="DP86">
            <v>10662000000</v>
          </cell>
          <cell r="DQ86" t="str">
            <v>NULL</v>
          </cell>
          <cell r="DR86">
            <v>160966000000</v>
          </cell>
          <cell r="DS86">
            <v>1.1041962349607992</v>
          </cell>
          <cell r="DT86">
            <v>15.468870000000001</v>
          </cell>
          <cell r="DU86">
            <v>30.614280000000001</v>
          </cell>
          <cell r="DV86">
            <v>0.23707</v>
          </cell>
          <cell r="DW86">
            <v>0.54</v>
          </cell>
          <cell r="DX86">
            <v>46.860220000000005</v>
          </cell>
          <cell r="DY86">
            <v>9.6457080227109468</v>
          </cell>
          <cell r="DZ86">
            <v>0.65433158400010316</v>
          </cell>
          <cell r="EA86">
            <v>2790000000</v>
          </cell>
          <cell r="EB86">
            <v>63.705394679820792</v>
          </cell>
          <cell r="EC86">
            <v>0.96830531312059498</v>
          </cell>
          <cell r="ED86">
            <v>0.81250273100581805</v>
          </cell>
          <cell r="EE86">
            <v>0.83319747234687402</v>
          </cell>
          <cell r="EG86">
            <v>0.45361380981476485</v>
          </cell>
          <cell r="EH86">
            <v>-6.5641927888529294E-2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BW424"/>
  <sheetViews>
    <sheetView tabSelected="1" view="pageBreakPreview" zoomScale="85" zoomScaleNormal="100" zoomScaleSheetLayoutView="85" workbookViewId="0">
      <pane ySplit="13" topLeftCell="A35" activePane="bottomLeft" state="frozen"/>
      <selection activeCell="BJ15" sqref="BJ15:BL15"/>
      <selection pane="bottomLeft" activeCell="BZ10" sqref="BZ10"/>
    </sheetView>
  </sheetViews>
  <sheetFormatPr baseColWidth="10" defaultRowHeight="12.75" x14ac:dyDescent="0.2"/>
  <cols>
    <col min="1" max="1" width="3.140625" style="362" customWidth="1"/>
    <col min="2" max="2" width="3.85546875" style="362" customWidth="1"/>
    <col min="3" max="3" width="3" style="362" customWidth="1"/>
    <col min="4" max="4" width="3.7109375" style="362" customWidth="1"/>
    <col min="5" max="5" width="4.7109375" style="362" customWidth="1"/>
    <col min="6" max="6" width="2.140625" style="362" customWidth="1"/>
    <col min="7" max="7" width="1.5703125" style="362" customWidth="1"/>
    <col min="8" max="8" width="2.28515625" style="362" customWidth="1"/>
    <col min="9" max="10" width="2.140625" style="362" customWidth="1"/>
    <col min="11" max="11" width="5.85546875" style="362" customWidth="1"/>
    <col min="12" max="12" width="2.140625" style="362" customWidth="1"/>
    <col min="13" max="13" width="1.85546875" style="362" customWidth="1"/>
    <col min="14" max="14" width="1.28515625" style="362" customWidth="1"/>
    <col min="15" max="16" width="2.140625" style="362" customWidth="1"/>
    <col min="17" max="17" width="1.5703125" style="362" customWidth="1"/>
    <col min="18" max="18" width="3" style="362" customWidth="1"/>
    <col min="19" max="19" width="1.5703125" style="366" customWidth="1"/>
    <col min="20" max="20" width="1" style="362" customWidth="1"/>
    <col min="21" max="21" width="2.140625" style="362" customWidth="1"/>
    <col min="22" max="22" width="0.5703125" style="362" customWidth="1"/>
    <col min="23" max="24" width="1.5703125" style="362" customWidth="1"/>
    <col min="25" max="25" width="1.85546875" style="362" customWidth="1"/>
    <col min="26" max="26" width="3.42578125" style="362" customWidth="1"/>
    <col min="27" max="27" width="2.140625" style="362" customWidth="1"/>
    <col min="28" max="28" width="1.7109375" style="362" customWidth="1"/>
    <col min="29" max="29" width="2.5703125" style="362" customWidth="1"/>
    <col min="30" max="30" width="2.140625" style="362" customWidth="1"/>
    <col min="31" max="31" width="1.5703125" style="362" customWidth="1"/>
    <col min="32" max="33" width="2.140625" style="362" customWidth="1"/>
    <col min="34" max="34" width="1.5703125" style="362" customWidth="1"/>
    <col min="35" max="35" width="3" style="362" customWidth="1"/>
    <col min="36" max="36" width="1.85546875" style="362" customWidth="1"/>
    <col min="37" max="37" width="2.85546875" style="362" customWidth="1"/>
    <col min="38" max="38" width="1.7109375" style="362" customWidth="1"/>
    <col min="39" max="40" width="1.42578125" style="362" customWidth="1"/>
    <col min="41" max="41" width="4.5703125" style="362" customWidth="1"/>
    <col min="42" max="42" width="1.85546875" style="362" customWidth="1"/>
    <col min="43" max="43" width="1.5703125" style="362" customWidth="1"/>
    <col min="44" max="44" width="3.42578125" style="362" customWidth="1"/>
    <col min="45" max="45" width="8.140625" style="362" customWidth="1"/>
    <col min="46" max="46" width="8.42578125" style="362" customWidth="1"/>
    <col min="47" max="47" width="6" style="366" bestFit="1" customWidth="1"/>
    <col min="48" max="48" width="9.85546875" style="366" customWidth="1"/>
    <col min="49" max="49" width="8.7109375" style="366" bestFit="1" customWidth="1"/>
    <col min="50" max="50" width="3.140625" style="362" customWidth="1"/>
    <col min="51" max="51" width="1.28515625" style="362" customWidth="1"/>
    <col min="52" max="52" width="3.140625" style="362" customWidth="1"/>
    <col min="53" max="54" width="2.140625" style="362" customWidth="1"/>
    <col min="55" max="55" width="2.42578125" style="362" customWidth="1"/>
    <col min="56" max="56" width="1.42578125" style="362" customWidth="1"/>
    <col min="57" max="57" width="2.140625" style="362" customWidth="1"/>
    <col min="58" max="58" width="3.42578125" style="362" customWidth="1"/>
    <col min="59" max="59" width="0.5703125" style="362" customWidth="1"/>
    <col min="60" max="60" width="1.28515625" style="362" customWidth="1"/>
    <col min="61" max="61" width="3.140625" style="362" customWidth="1"/>
    <col min="62" max="62" width="2.140625" style="362" customWidth="1"/>
    <col min="63" max="63" width="1.5703125" style="362" customWidth="1"/>
    <col min="64" max="64" width="2.42578125" style="362" customWidth="1"/>
    <col min="65" max="65" width="1.7109375" style="362" customWidth="1"/>
    <col min="66" max="66" width="1.28515625" style="362" customWidth="1"/>
    <col min="67" max="67" width="2.140625" style="362" customWidth="1"/>
    <col min="68" max="68" width="7.140625" style="362" customWidth="1"/>
    <col min="69" max="69" width="5.85546875" style="362" hidden="1" customWidth="1"/>
    <col min="70" max="70" width="4.5703125" style="362" hidden="1" customWidth="1"/>
    <col min="71" max="71" width="4.5703125" style="362" customWidth="1"/>
    <col min="72" max="72" width="6.42578125" style="362" customWidth="1"/>
    <col min="73" max="73" width="6.140625" style="362" customWidth="1"/>
    <col min="74" max="75" width="7.28515625" style="362" customWidth="1"/>
    <col min="76" max="16384" width="11.42578125" style="6"/>
  </cols>
  <sheetData>
    <row r="1" spans="1:75"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row>
    <row r="2" spans="1:75"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row>
    <row r="3" spans="1:75"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row>
    <row r="4" spans="1:75" ht="12.75" customHeight="1" x14ac:dyDescent="0.25">
      <c r="A4" s="7" t="s">
        <v>273</v>
      </c>
      <c r="B4" s="8"/>
      <c r="C4" s="8"/>
      <c r="D4" s="8"/>
      <c r="E4" s="8"/>
      <c r="F4" s="8"/>
      <c r="G4" s="8"/>
      <c r="H4" s="8"/>
      <c r="I4" s="8"/>
      <c r="J4" s="8"/>
      <c r="K4" s="8"/>
      <c r="L4" s="8"/>
      <c r="M4" s="8"/>
      <c r="N4" s="8"/>
      <c r="O4" s="8"/>
      <c r="P4" s="8"/>
      <c r="Q4" s="8"/>
      <c r="R4" s="9"/>
      <c r="S4" s="9">
        <v>0</v>
      </c>
      <c r="T4" s="9">
        <v>0</v>
      </c>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1"/>
      <c r="AV4" s="11"/>
      <c r="AW4" s="11"/>
      <c r="AX4" s="12"/>
      <c r="AY4" s="12"/>
      <c r="AZ4" s="12"/>
      <c r="BA4" s="12"/>
      <c r="BB4" s="12"/>
      <c r="BC4" s="12"/>
      <c r="BD4" s="12"/>
      <c r="BE4" s="12"/>
      <c r="BF4" s="12"/>
      <c r="BG4" s="12"/>
      <c r="BH4" s="12"/>
      <c r="BI4" s="13"/>
      <c r="BJ4" s="13"/>
      <c r="BK4" s="12"/>
      <c r="BL4" s="12"/>
      <c r="BM4" s="12"/>
      <c r="BN4" s="12"/>
      <c r="BO4" s="12"/>
      <c r="BP4" s="12"/>
      <c r="BQ4" s="12"/>
      <c r="BR4" s="12"/>
      <c r="BS4" s="12"/>
      <c r="BT4" s="12"/>
      <c r="BU4" s="13"/>
      <c r="BV4" s="14"/>
      <c r="BW4" s="14"/>
    </row>
    <row r="5" spans="1:75" x14ac:dyDescent="0.2">
      <c r="A5" s="15">
        <v>22</v>
      </c>
      <c r="B5" s="16">
        <v>2018</v>
      </c>
      <c r="C5" s="17"/>
      <c r="D5" s="17"/>
      <c r="E5" s="17"/>
      <c r="F5" s="17"/>
      <c r="G5" s="17"/>
      <c r="H5" s="17"/>
      <c r="I5" s="17"/>
      <c r="J5" s="17"/>
      <c r="K5" s="17"/>
      <c r="L5" s="17"/>
      <c r="M5" s="17"/>
      <c r="N5" s="17"/>
      <c r="O5" s="17"/>
      <c r="P5" s="17"/>
      <c r="Q5" s="17"/>
      <c r="R5" s="17"/>
      <c r="S5" s="18"/>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20"/>
      <c r="AV5" s="20"/>
      <c r="AW5" s="20"/>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row>
    <row r="6" spans="1:75" ht="12.75" customHeight="1" x14ac:dyDescent="0.2">
      <c r="A6" s="21" t="s">
        <v>3</v>
      </c>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2"/>
    </row>
    <row r="7" spans="1:75" ht="27" customHeight="1" x14ac:dyDescent="0.2">
      <c r="A7" s="21"/>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2"/>
    </row>
    <row r="8" spans="1:75" ht="9.75" customHeight="1" x14ac:dyDescent="0.2">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4"/>
      <c r="AV8" s="24"/>
      <c r="AW8" s="24"/>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row>
    <row r="9" spans="1:75" ht="15" x14ac:dyDescent="0.2">
      <c r="A9" s="25" t="s">
        <v>4</v>
      </c>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4"/>
      <c r="AV9" s="24"/>
      <c r="AW9" s="24"/>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row>
    <row r="10" spans="1:75" ht="15" x14ac:dyDescent="0.2">
      <c r="A10" s="25" t="s">
        <v>5</v>
      </c>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4"/>
      <c r="AV10" s="24"/>
      <c r="AW10" s="24"/>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row>
    <row r="11" spans="1:75" ht="8.25" customHeight="1" x14ac:dyDescent="0.2">
      <c r="A11" s="26"/>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7"/>
      <c r="AV11" s="27"/>
      <c r="AW11" s="27"/>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row>
    <row r="12" spans="1:75" ht="13.5" customHeight="1" x14ac:dyDescent="0.2">
      <c r="A12" s="28" t="s">
        <v>6</v>
      </c>
      <c r="B12" s="29"/>
      <c r="C12" s="28" t="s">
        <v>7</v>
      </c>
      <c r="D12" s="29"/>
      <c r="E12" s="30" t="s">
        <v>8</v>
      </c>
      <c r="F12" s="31" t="s">
        <v>9</v>
      </c>
      <c r="G12" s="32"/>
      <c r="H12" s="32"/>
      <c r="I12" s="32"/>
      <c r="J12" s="32"/>
      <c r="K12" s="33"/>
      <c r="L12" s="31" t="s">
        <v>10</v>
      </c>
      <c r="M12" s="32"/>
      <c r="N12" s="32"/>
      <c r="O12" s="32"/>
      <c r="P12" s="32"/>
      <c r="Q12" s="32"/>
      <c r="R12" s="32"/>
      <c r="S12" s="32"/>
      <c r="T12" s="33"/>
      <c r="U12" s="31" t="s">
        <v>11</v>
      </c>
      <c r="V12" s="32"/>
      <c r="W12" s="32"/>
      <c r="X12" s="32"/>
      <c r="Y12" s="32"/>
      <c r="Z12" s="33"/>
      <c r="AA12" s="28" t="s">
        <v>12</v>
      </c>
      <c r="AB12" s="34"/>
      <c r="AC12" s="34"/>
      <c r="AD12" s="34"/>
      <c r="AE12" s="34"/>
      <c r="AF12" s="34"/>
      <c r="AG12" s="34"/>
      <c r="AH12" s="34"/>
      <c r="AI12" s="34"/>
      <c r="AJ12" s="34"/>
      <c r="AK12" s="34"/>
      <c r="AL12" s="34"/>
      <c r="AM12" s="34"/>
      <c r="AN12" s="34"/>
      <c r="AO12" s="34"/>
      <c r="AP12" s="34"/>
      <c r="AQ12" s="34"/>
      <c r="AR12" s="34"/>
      <c r="AS12" s="34"/>
      <c r="AT12" s="34"/>
      <c r="AU12" s="34"/>
      <c r="AV12" s="34"/>
      <c r="AW12" s="29"/>
      <c r="AX12" s="32" t="s">
        <v>13</v>
      </c>
      <c r="AY12" s="32"/>
      <c r="AZ12" s="32"/>
      <c r="BA12" s="32"/>
      <c r="BB12" s="32"/>
      <c r="BC12" s="32"/>
      <c r="BD12" s="32"/>
      <c r="BE12" s="32"/>
      <c r="BF12" s="33"/>
      <c r="BG12" s="31" t="s">
        <v>14</v>
      </c>
      <c r="BH12" s="32"/>
      <c r="BI12" s="32"/>
      <c r="BJ12" s="32"/>
      <c r="BK12" s="32"/>
      <c r="BL12" s="32"/>
      <c r="BM12" s="32"/>
      <c r="BN12" s="32"/>
      <c r="BO12" s="32"/>
      <c r="BP12" s="32"/>
      <c r="BQ12" s="32"/>
      <c r="BR12" s="32"/>
      <c r="BS12" s="33"/>
      <c r="BT12" s="35" t="s">
        <v>15</v>
      </c>
      <c r="BU12" s="35" t="s">
        <v>16</v>
      </c>
      <c r="BV12" s="36" t="s">
        <v>17</v>
      </c>
      <c r="BW12" s="28" t="s">
        <v>6</v>
      </c>
    </row>
    <row r="13" spans="1:75" ht="60" customHeight="1" x14ac:dyDescent="0.2">
      <c r="A13" s="37"/>
      <c r="B13" s="38"/>
      <c r="C13" s="37"/>
      <c r="D13" s="38"/>
      <c r="E13" s="39"/>
      <c r="F13" s="40" t="s">
        <v>18</v>
      </c>
      <c r="G13" s="41"/>
      <c r="H13" s="42"/>
      <c r="I13" s="43" t="s">
        <v>19</v>
      </c>
      <c r="J13" s="44"/>
      <c r="K13" s="45"/>
      <c r="L13" s="43" t="s">
        <v>20</v>
      </c>
      <c r="M13" s="44"/>
      <c r="N13" s="45"/>
      <c r="O13" s="43" t="s">
        <v>21</v>
      </c>
      <c r="P13" s="44"/>
      <c r="Q13" s="45"/>
      <c r="R13" s="43" t="s">
        <v>22</v>
      </c>
      <c r="S13" s="44"/>
      <c r="T13" s="45"/>
      <c r="U13" s="43" t="s">
        <v>23</v>
      </c>
      <c r="V13" s="44"/>
      <c r="W13" s="45"/>
      <c r="X13" s="43" t="s">
        <v>24</v>
      </c>
      <c r="Y13" s="44"/>
      <c r="Z13" s="45"/>
      <c r="AA13" s="43" t="s">
        <v>25</v>
      </c>
      <c r="AB13" s="44"/>
      <c r="AC13" s="45"/>
      <c r="AD13" s="43" t="s">
        <v>26</v>
      </c>
      <c r="AE13" s="44"/>
      <c r="AF13" s="45"/>
      <c r="AG13" s="43" t="s">
        <v>27</v>
      </c>
      <c r="AH13" s="44"/>
      <c r="AI13" s="45"/>
      <c r="AJ13" s="43" t="s">
        <v>28</v>
      </c>
      <c r="AK13" s="44"/>
      <c r="AL13" s="45"/>
      <c r="AM13" s="43" t="s">
        <v>29</v>
      </c>
      <c r="AN13" s="44"/>
      <c r="AO13" s="45"/>
      <c r="AP13" s="43" t="s">
        <v>30</v>
      </c>
      <c r="AQ13" s="44"/>
      <c r="AR13" s="45"/>
      <c r="AS13" s="46" t="s">
        <v>31</v>
      </c>
      <c r="AT13" s="46" t="s">
        <v>32</v>
      </c>
      <c r="AU13" s="47" t="s">
        <v>33</v>
      </c>
      <c r="AV13" s="46" t="s">
        <v>34</v>
      </c>
      <c r="AW13" s="46" t="s">
        <v>35</v>
      </c>
      <c r="AX13" s="43" t="s">
        <v>36</v>
      </c>
      <c r="AY13" s="44"/>
      <c r="AZ13" s="45"/>
      <c r="BA13" s="43" t="s">
        <v>37</v>
      </c>
      <c r="BB13" s="44"/>
      <c r="BC13" s="45"/>
      <c r="BD13" s="43" t="s">
        <v>38</v>
      </c>
      <c r="BE13" s="44"/>
      <c r="BF13" s="45"/>
      <c r="BG13" s="43" t="s">
        <v>39</v>
      </c>
      <c r="BH13" s="44"/>
      <c r="BI13" s="45"/>
      <c r="BJ13" s="43" t="s">
        <v>40</v>
      </c>
      <c r="BK13" s="44"/>
      <c r="BL13" s="45"/>
      <c r="BM13" s="43" t="s">
        <v>41</v>
      </c>
      <c r="BN13" s="44"/>
      <c r="BO13" s="45"/>
      <c r="BP13" s="43" t="s">
        <v>42</v>
      </c>
      <c r="BQ13" s="44"/>
      <c r="BR13" s="45"/>
      <c r="BS13" s="48" t="s">
        <v>43</v>
      </c>
      <c r="BT13" s="49"/>
      <c r="BU13" s="49"/>
      <c r="BV13" s="36"/>
      <c r="BW13" s="37"/>
    </row>
    <row r="14" spans="1:75" s="53" customFormat="1" ht="12.75" customHeight="1" x14ac:dyDescent="0.2">
      <c r="A14" s="50" t="s">
        <v>44</v>
      </c>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1"/>
      <c r="BW14" s="52"/>
    </row>
    <row r="15" spans="1:75" s="81" customFormat="1" ht="11.25" customHeight="1" x14ac:dyDescent="0.2">
      <c r="A15" s="54" t="s">
        <v>45</v>
      </c>
      <c r="B15" s="55"/>
      <c r="C15" s="56">
        <v>150</v>
      </c>
      <c r="D15" s="57"/>
      <c r="E15" s="58">
        <v>1</v>
      </c>
      <c r="F15" s="59">
        <v>5.2175678400000003E-3</v>
      </c>
      <c r="G15" s="60"/>
      <c r="H15" s="61"/>
      <c r="I15" s="62">
        <v>6.2841975705488258</v>
      </c>
      <c r="J15" s="63"/>
      <c r="K15" s="64"/>
      <c r="L15" s="62">
        <v>0.93918000000000001</v>
      </c>
      <c r="M15" s="63"/>
      <c r="N15" s="64"/>
      <c r="O15" s="62">
        <v>0.73858000000000001</v>
      </c>
      <c r="P15" s="63"/>
      <c r="Q15" s="64"/>
      <c r="R15" s="65" t="s">
        <v>47</v>
      </c>
      <c r="S15" s="66"/>
      <c r="T15" s="67"/>
      <c r="U15" s="62">
        <v>4.8306664064463813</v>
      </c>
      <c r="V15" s="63"/>
      <c r="W15" s="64"/>
      <c r="X15" s="68">
        <v>18.344427547418395</v>
      </c>
      <c r="Y15" s="69"/>
      <c r="Z15" s="70"/>
      <c r="AA15" s="71">
        <v>0.15124589999999999</v>
      </c>
      <c r="AB15" s="72"/>
      <c r="AC15" s="73"/>
      <c r="AD15" s="71">
        <v>2.61582E-2</v>
      </c>
      <c r="AE15" s="72"/>
      <c r="AF15" s="73"/>
      <c r="AG15" s="71">
        <v>6.0289405972573261E-3</v>
      </c>
      <c r="AH15" s="72"/>
      <c r="AI15" s="73"/>
      <c r="AJ15" s="71">
        <v>-1.2278114811838402E-2</v>
      </c>
      <c r="AK15" s="72"/>
      <c r="AL15" s="73"/>
      <c r="AM15" s="71">
        <v>0.14645223668915794</v>
      </c>
      <c r="AN15" s="72"/>
      <c r="AO15" s="73"/>
      <c r="AP15" s="71">
        <v>2.3299075824951113E-2</v>
      </c>
      <c r="AQ15" s="72"/>
      <c r="AR15" s="73"/>
      <c r="AS15" s="74">
        <v>-0.76718973318423833</v>
      </c>
      <c r="AT15" s="74" t="s">
        <v>47</v>
      </c>
      <c r="AU15" s="75" t="s">
        <v>47</v>
      </c>
      <c r="AV15" s="76">
        <v>5625.8383999999996</v>
      </c>
      <c r="AW15" s="74">
        <v>0.14522781747308233</v>
      </c>
      <c r="AX15" s="62">
        <v>4.9358030488000004</v>
      </c>
      <c r="AY15" s="63"/>
      <c r="AZ15" s="64"/>
      <c r="BA15" s="62">
        <v>7.3623035999999997</v>
      </c>
      <c r="BB15" s="63"/>
      <c r="BC15" s="64"/>
      <c r="BD15" s="62">
        <v>2.08831303978446</v>
      </c>
      <c r="BE15" s="63"/>
      <c r="BF15" s="64"/>
      <c r="BG15" s="62">
        <v>6.6574885971924314</v>
      </c>
      <c r="BH15" s="63"/>
      <c r="BI15" s="64"/>
      <c r="BJ15" s="62">
        <v>44.277436513535605</v>
      </c>
      <c r="BK15" s="63"/>
      <c r="BL15" s="64"/>
      <c r="BM15" s="62">
        <v>0.26694546487712528</v>
      </c>
      <c r="BN15" s="63"/>
      <c r="BO15" s="64"/>
      <c r="BP15" s="62" t="s">
        <v>47</v>
      </c>
      <c r="BQ15" s="63"/>
      <c r="BR15" s="64"/>
      <c r="BS15" s="77">
        <v>0.38404135514418702</v>
      </c>
      <c r="BT15" s="74" t="s">
        <v>47</v>
      </c>
      <c r="BU15" s="78" t="s">
        <v>47</v>
      </c>
      <c r="BV15" s="79">
        <v>43100</v>
      </c>
      <c r="BW15" s="80" t="s">
        <v>45</v>
      </c>
    </row>
    <row r="16" spans="1:75" s="112" customFormat="1" ht="11.25" customHeight="1" x14ac:dyDescent="0.2">
      <c r="A16" s="82" t="s">
        <v>46</v>
      </c>
      <c r="B16" s="83"/>
      <c r="C16" s="84">
        <v>12</v>
      </c>
      <c r="D16" s="85"/>
      <c r="E16" s="86">
        <v>1</v>
      </c>
      <c r="F16" s="87">
        <v>2.746061470666</v>
      </c>
      <c r="G16" s="88"/>
      <c r="H16" s="89"/>
      <c r="I16" s="90">
        <v>7.773264912962059</v>
      </c>
      <c r="J16" s="91"/>
      <c r="K16" s="92"/>
      <c r="L16" s="90">
        <v>0.80557999999999996</v>
      </c>
      <c r="M16" s="91"/>
      <c r="N16" s="92"/>
      <c r="O16" s="90">
        <v>0.54732999999999998</v>
      </c>
      <c r="P16" s="91"/>
      <c r="Q16" s="92"/>
      <c r="R16" s="93" t="s">
        <v>47</v>
      </c>
      <c r="S16" s="94"/>
      <c r="T16" s="95"/>
      <c r="U16" s="90">
        <v>2.1843930266090772</v>
      </c>
      <c r="V16" s="91"/>
      <c r="W16" s="92"/>
      <c r="X16" s="96">
        <v>24.503018184141119</v>
      </c>
      <c r="Y16" s="97"/>
      <c r="Z16" s="98"/>
      <c r="AA16" s="99">
        <v>0.11192669999999999</v>
      </c>
      <c r="AB16" s="100"/>
      <c r="AC16" s="101"/>
      <c r="AD16" s="99" t="s">
        <v>47</v>
      </c>
      <c r="AE16" s="100"/>
      <c r="AF16" s="101"/>
      <c r="AG16" s="99" t="s">
        <v>47</v>
      </c>
      <c r="AH16" s="100"/>
      <c r="AI16" s="101"/>
      <c r="AJ16" s="99">
        <v>-1.4185202782400399E-2</v>
      </c>
      <c r="AK16" s="100"/>
      <c r="AL16" s="101"/>
      <c r="AM16" s="102">
        <v>-2.0615400256885583</v>
      </c>
      <c r="AN16" s="103"/>
      <c r="AO16" s="104"/>
      <c r="AP16" s="99">
        <v>-0.21379503042065237</v>
      </c>
      <c r="AQ16" s="100"/>
      <c r="AR16" s="101"/>
      <c r="AS16" s="105">
        <v>0.58488339207240136</v>
      </c>
      <c r="AT16" s="105">
        <v>-2.0523902809524097</v>
      </c>
      <c r="AU16" s="106">
        <v>1.8078949896526433</v>
      </c>
      <c r="AV16" s="107">
        <v>1032.7100000000003</v>
      </c>
      <c r="AW16" s="108">
        <v>0.10761802382691135</v>
      </c>
      <c r="AX16" s="90">
        <v>2.9944556360000001</v>
      </c>
      <c r="AY16" s="91"/>
      <c r="AZ16" s="92"/>
      <c r="BA16" s="90">
        <v>1.7499426360000001</v>
      </c>
      <c r="BB16" s="91"/>
      <c r="BC16" s="92"/>
      <c r="BD16" s="90">
        <v>26.123703487864901</v>
      </c>
      <c r="BE16" s="91"/>
      <c r="BF16" s="92"/>
      <c r="BG16" s="90">
        <v>10.826240177184962</v>
      </c>
      <c r="BH16" s="91"/>
      <c r="BI16" s="92"/>
      <c r="BJ16" s="90" t="s">
        <v>47</v>
      </c>
      <c r="BK16" s="91"/>
      <c r="BL16" s="92"/>
      <c r="BM16" s="90">
        <v>0.28155813199523944</v>
      </c>
      <c r="BN16" s="91"/>
      <c r="BO16" s="92"/>
      <c r="BP16" s="90" t="s">
        <v>47</v>
      </c>
      <c r="BQ16" s="91"/>
      <c r="BR16" s="92"/>
      <c r="BS16" s="109">
        <v>0.62690103717039403</v>
      </c>
      <c r="BT16" s="105">
        <v>0.5236423906011739</v>
      </c>
      <c r="BU16" s="108">
        <v>-0.146449618745076</v>
      </c>
      <c r="BV16" s="110">
        <v>43190</v>
      </c>
      <c r="BW16" s="111" t="s">
        <v>46</v>
      </c>
    </row>
    <row r="17" spans="1:75" s="81" customFormat="1" ht="11.25" customHeight="1" x14ac:dyDescent="0.2">
      <c r="A17" s="113" t="s">
        <v>48</v>
      </c>
      <c r="B17" s="114"/>
      <c r="C17" s="115">
        <v>25.7</v>
      </c>
      <c r="D17" s="116"/>
      <c r="E17" s="117">
        <v>1</v>
      </c>
      <c r="F17" s="118">
        <v>1.051520967506</v>
      </c>
      <c r="G17" s="119"/>
      <c r="H17" s="120"/>
      <c r="I17" s="121">
        <v>3.921734323171695</v>
      </c>
      <c r="J17" s="122"/>
      <c r="K17" s="123"/>
      <c r="L17" s="121">
        <v>1.23607</v>
      </c>
      <c r="M17" s="122"/>
      <c r="N17" s="123"/>
      <c r="O17" s="121">
        <v>0.62783999999999995</v>
      </c>
      <c r="P17" s="122"/>
      <c r="Q17" s="123"/>
      <c r="R17" s="124">
        <v>5.3076923076923101E-3</v>
      </c>
      <c r="S17" s="125"/>
      <c r="T17" s="126"/>
      <c r="U17" s="121">
        <v>4.4693086157545645</v>
      </c>
      <c r="V17" s="122"/>
      <c r="W17" s="123"/>
      <c r="X17" s="127">
        <v>29.907161170768966</v>
      </c>
      <c r="Y17" s="128"/>
      <c r="Z17" s="129"/>
      <c r="AA17" s="130">
        <v>0.31228590000000001</v>
      </c>
      <c r="AB17" s="131"/>
      <c r="AC17" s="132"/>
      <c r="AD17" s="130">
        <v>2.0658599999999999E-2</v>
      </c>
      <c r="AE17" s="131"/>
      <c r="AF17" s="132"/>
      <c r="AG17" s="130">
        <v>2.2735844877277284E-3</v>
      </c>
      <c r="AH17" s="131"/>
      <c r="AI17" s="132"/>
      <c r="AJ17" s="130">
        <v>1.5314689858229494E-2</v>
      </c>
      <c r="AK17" s="131"/>
      <c r="AL17" s="132"/>
      <c r="AM17" s="130">
        <v>3.0055052602224856E-2</v>
      </c>
      <c r="AN17" s="131"/>
      <c r="AO17" s="132"/>
      <c r="AP17" s="130">
        <v>8.1290896020686475E-3</v>
      </c>
      <c r="AQ17" s="131"/>
      <c r="AR17" s="132"/>
      <c r="AS17" s="133">
        <v>-0.32961814230135589</v>
      </c>
      <c r="AT17" s="133">
        <v>0.27063404161498239</v>
      </c>
      <c r="AU17" s="75">
        <v>0.6599680330045038</v>
      </c>
      <c r="AV17" s="76">
        <v>5141.8469045000002</v>
      </c>
      <c r="AW17" s="74">
        <v>7.4342478445905594E-2</v>
      </c>
      <c r="AX17" s="121">
        <v>15.487821</v>
      </c>
      <c r="AY17" s="122"/>
      <c r="AZ17" s="123"/>
      <c r="BA17" s="121">
        <v>13</v>
      </c>
      <c r="BB17" s="122"/>
      <c r="BC17" s="123"/>
      <c r="BD17" s="121">
        <v>21.0507286561249</v>
      </c>
      <c r="BE17" s="122"/>
      <c r="BF17" s="123"/>
      <c r="BG17" s="121">
        <v>4.8873889199885561</v>
      </c>
      <c r="BH17" s="122"/>
      <c r="BI17" s="123"/>
      <c r="BJ17" s="121">
        <v>162.26796312665738</v>
      </c>
      <c r="BK17" s="122"/>
      <c r="BL17" s="123"/>
      <c r="BM17" s="121">
        <v>0.37324121204284016</v>
      </c>
      <c r="BN17" s="122"/>
      <c r="BO17" s="123"/>
      <c r="BP17" s="121" t="s">
        <v>47</v>
      </c>
      <c r="BQ17" s="122"/>
      <c r="BR17" s="123"/>
      <c r="BS17" s="134">
        <v>3.7117534278264003E-2</v>
      </c>
      <c r="BT17" s="133">
        <v>0.31988301609138337</v>
      </c>
      <c r="BU17" s="135">
        <v>5.9506158585111768E-2</v>
      </c>
      <c r="BV17" s="79">
        <v>43190</v>
      </c>
      <c r="BW17" s="80" t="s">
        <v>48</v>
      </c>
    </row>
    <row r="18" spans="1:75" s="112" customFormat="1" ht="11.25" customHeight="1" x14ac:dyDescent="0.2">
      <c r="A18" s="82" t="s">
        <v>49</v>
      </c>
      <c r="B18" s="83"/>
      <c r="C18" s="84">
        <v>12.5</v>
      </c>
      <c r="D18" s="85"/>
      <c r="E18" s="86">
        <v>1</v>
      </c>
      <c r="F18" s="87">
        <v>7.7256219020100003</v>
      </c>
      <c r="G18" s="88"/>
      <c r="H18" s="89"/>
      <c r="I18" s="90">
        <v>11.852735446898436</v>
      </c>
      <c r="J18" s="91"/>
      <c r="K18" s="92"/>
      <c r="L18" s="90">
        <v>1.26261</v>
      </c>
      <c r="M18" s="91"/>
      <c r="N18" s="92"/>
      <c r="O18" s="90">
        <v>0.55701999999999996</v>
      </c>
      <c r="P18" s="91"/>
      <c r="Q18" s="92"/>
      <c r="R18" s="93">
        <v>7.6258374999999996E-3</v>
      </c>
      <c r="S18" s="94"/>
      <c r="T18" s="95"/>
      <c r="U18" s="90">
        <v>1.6633033902141394</v>
      </c>
      <c r="V18" s="91"/>
      <c r="W18" s="92"/>
      <c r="X18" s="96">
        <v>177.91738865563946</v>
      </c>
      <c r="Y18" s="97"/>
      <c r="Z18" s="98"/>
      <c r="AA18" s="99">
        <v>0.3817236</v>
      </c>
      <c r="AB18" s="100"/>
      <c r="AC18" s="101"/>
      <c r="AD18" s="99">
        <v>6.7893800000000004E-2</v>
      </c>
      <c r="AE18" s="100"/>
      <c r="AF18" s="101"/>
      <c r="AG18" s="99" t="s">
        <v>47</v>
      </c>
      <c r="AH18" s="100"/>
      <c r="AI18" s="101"/>
      <c r="AJ18" s="99">
        <v>-9.2360787693284624E-2</v>
      </c>
      <c r="AK18" s="100"/>
      <c r="AL18" s="101"/>
      <c r="AM18" s="102">
        <v>-0.39847459414023945</v>
      </c>
      <c r="AN18" s="103"/>
      <c r="AO18" s="104"/>
      <c r="AP18" s="99">
        <v>-4.5012168137956686E-2</v>
      </c>
      <c r="AQ18" s="100"/>
      <c r="AR18" s="101"/>
      <c r="AS18" s="105" t="s">
        <v>47</v>
      </c>
      <c r="AT18" s="105">
        <v>-0.88388584154294247</v>
      </c>
      <c r="AU18" s="106">
        <v>0.92409620673672288</v>
      </c>
      <c r="AV18" s="107">
        <v>1726.5605499999997</v>
      </c>
      <c r="AW18" s="108">
        <v>0.1836242449879773</v>
      </c>
      <c r="AX18" s="90">
        <v>11.828951</v>
      </c>
      <c r="AY18" s="91"/>
      <c r="AZ18" s="92"/>
      <c r="BA18" s="90">
        <v>5.6319999999999997</v>
      </c>
      <c r="BB18" s="91"/>
      <c r="BC18" s="92"/>
      <c r="BD18" s="90">
        <v>9.9903727508055091</v>
      </c>
      <c r="BE18" s="91"/>
      <c r="BF18" s="92"/>
      <c r="BG18" s="90">
        <v>7.0361213381123653</v>
      </c>
      <c r="BH18" s="91"/>
      <c r="BI18" s="92"/>
      <c r="BJ18" s="90" t="s">
        <v>47</v>
      </c>
      <c r="BK18" s="91"/>
      <c r="BL18" s="92"/>
      <c r="BM18" s="90">
        <v>0.45616425152857953</v>
      </c>
      <c r="BN18" s="91"/>
      <c r="BO18" s="92"/>
      <c r="BP18" s="90" t="s">
        <v>47</v>
      </c>
      <c r="BQ18" s="91"/>
      <c r="BR18" s="92"/>
      <c r="BS18" s="109">
        <v>0.54288812241558604</v>
      </c>
      <c r="BT18" s="105">
        <v>0.41214336350455699</v>
      </c>
      <c r="BU18" s="108">
        <v>-8.9298344420322806E-2</v>
      </c>
      <c r="BV18" s="110">
        <v>43159</v>
      </c>
      <c r="BW18" s="111" t="s">
        <v>49</v>
      </c>
    </row>
    <row r="19" spans="1:75" s="81" customFormat="1" ht="11.25" customHeight="1" x14ac:dyDescent="0.2">
      <c r="A19" s="136" t="s">
        <v>50</v>
      </c>
      <c r="B19" s="55"/>
      <c r="C19" s="56">
        <v>43</v>
      </c>
      <c r="D19" s="57"/>
      <c r="E19" s="58">
        <v>1</v>
      </c>
      <c r="F19" s="59">
        <v>1.3947155965039999</v>
      </c>
      <c r="G19" s="60"/>
      <c r="H19" s="61"/>
      <c r="I19" s="62">
        <v>3.9434673842257881</v>
      </c>
      <c r="J19" s="63"/>
      <c r="K19" s="64"/>
      <c r="L19" s="62">
        <v>1.51888</v>
      </c>
      <c r="M19" s="63"/>
      <c r="N19" s="64"/>
      <c r="O19" s="62">
        <v>0.75802000000000003</v>
      </c>
      <c r="P19" s="63"/>
      <c r="Q19" s="64"/>
      <c r="R19" s="65" t="s">
        <v>47</v>
      </c>
      <c r="S19" s="66"/>
      <c r="T19" s="67"/>
      <c r="U19" s="62">
        <v>1.7974507742511243</v>
      </c>
      <c r="V19" s="63"/>
      <c r="W19" s="64"/>
      <c r="X19" s="68">
        <v>121.98278594856568</v>
      </c>
      <c r="Y19" s="69"/>
      <c r="Z19" s="70"/>
      <c r="AA19" s="71">
        <v>0.31808399999999998</v>
      </c>
      <c r="AB19" s="72"/>
      <c r="AC19" s="73"/>
      <c r="AD19" s="71">
        <v>4.3004999999999996E-3</v>
      </c>
      <c r="AE19" s="72"/>
      <c r="AF19" s="73"/>
      <c r="AG19" s="71" t="s">
        <v>47</v>
      </c>
      <c r="AH19" s="72"/>
      <c r="AI19" s="73"/>
      <c r="AJ19" s="71">
        <v>-8.0826573536709648E-2</v>
      </c>
      <c r="AK19" s="72"/>
      <c r="AL19" s="73"/>
      <c r="AM19" s="71">
        <v>-8.4477626352977134E-2</v>
      </c>
      <c r="AN19" s="72"/>
      <c r="AO19" s="73"/>
      <c r="AP19" s="71">
        <v>-2.4497566293458062E-2</v>
      </c>
      <c r="AQ19" s="72"/>
      <c r="AR19" s="73"/>
      <c r="AS19" s="74">
        <v>-0.82593709607927623</v>
      </c>
      <c r="AT19" s="74">
        <v>-15.603264832066372</v>
      </c>
      <c r="AU19" s="75">
        <v>33.395049769244906</v>
      </c>
      <c r="AV19" s="76">
        <v>4698.5466500000002</v>
      </c>
      <c r="AW19" s="74">
        <v>0.59957894814112844</v>
      </c>
      <c r="AX19" s="62">
        <v>11.520262461</v>
      </c>
      <c r="AY19" s="63"/>
      <c r="AZ19" s="64"/>
      <c r="BA19" s="62">
        <v>8.3587277704999998</v>
      </c>
      <c r="BB19" s="63"/>
      <c r="BC19" s="64"/>
      <c r="BD19" s="62">
        <v>31.938537628118599</v>
      </c>
      <c r="BE19" s="63"/>
      <c r="BF19" s="64"/>
      <c r="BG19" s="62">
        <v>3.523986897922049</v>
      </c>
      <c r="BH19" s="63"/>
      <c r="BI19" s="64"/>
      <c r="BJ19" s="62" t="s">
        <v>47</v>
      </c>
      <c r="BK19" s="63"/>
      <c r="BL19" s="64"/>
      <c r="BM19" s="62">
        <v>0.64722520512070225</v>
      </c>
      <c r="BN19" s="63"/>
      <c r="BO19" s="64"/>
      <c r="BP19" s="62" t="s">
        <v>47</v>
      </c>
      <c r="BQ19" s="63"/>
      <c r="BR19" s="64"/>
      <c r="BS19" s="77">
        <v>0.71647188874990697</v>
      </c>
      <c r="BT19" s="74">
        <v>0.438994804572655</v>
      </c>
      <c r="BU19" s="78">
        <v>-1.6673508295107831E-2</v>
      </c>
      <c r="BV19" s="79">
        <v>43190</v>
      </c>
      <c r="BW19" s="80" t="s">
        <v>50</v>
      </c>
    </row>
    <row r="20" spans="1:75" s="81" customFormat="1" ht="11.25" customHeight="1" x14ac:dyDescent="0.2">
      <c r="A20" s="82" t="s">
        <v>51</v>
      </c>
      <c r="B20" s="83"/>
      <c r="C20" s="84">
        <v>3.09</v>
      </c>
      <c r="D20" s="85"/>
      <c r="E20" s="86">
        <v>1</v>
      </c>
      <c r="F20" s="87">
        <v>0.54060166314999991</v>
      </c>
      <c r="G20" s="88"/>
      <c r="H20" s="89"/>
      <c r="I20" s="90">
        <v>2.1018834402422946</v>
      </c>
      <c r="J20" s="91"/>
      <c r="K20" s="92"/>
      <c r="L20" s="90">
        <v>1.4980199999999999</v>
      </c>
      <c r="M20" s="91"/>
      <c r="N20" s="92"/>
      <c r="O20" s="90">
        <v>0.99875999999999998</v>
      </c>
      <c r="P20" s="91"/>
      <c r="Q20" s="92"/>
      <c r="R20" s="93">
        <v>8.22615567213115E-3</v>
      </c>
      <c r="S20" s="94"/>
      <c r="T20" s="95"/>
      <c r="U20" s="90">
        <v>2.4508743475032384</v>
      </c>
      <c r="V20" s="91"/>
      <c r="W20" s="92"/>
      <c r="X20" s="96">
        <v>76.589342013529972</v>
      </c>
      <c r="Y20" s="97"/>
      <c r="Z20" s="98"/>
      <c r="AA20" s="99">
        <v>0.14601790000000001</v>
      </c>
      <c r="AB20" s="100"/>
      <c r="AC20" s="101"/>
      <c r="AD20" s="99">
        <v>4.5905100000000004E-2</v>
      </c>
      <c r="AE20" s="100"/>
      <c r="AF20" s="101"/>
      <c r="AG20" s="99">
        <v>2.3446780342474018E-2</v>
      </c>
      <c r="AH20" s="100"/>
      <c r="AI20" s="101"/>
      <c r="AJ20" s="99">
        <v>-6.3200230517452549E-2</v>
      </c>
      <c r="AK20" s="100"/>
      <c r="AL20" s="101"/>
      <c r="AM20" s="102">
        <v>8.9136989080096179E-2</v>
      </c>
      <c r="AN20" s="103"/>
      <c r="AO20" s="104"/>
      <c r="AP20" s="99">
        <v>4.5973494550629171E-2</v>
      </c>
      <c r="AQ20" s="100"/>
      <c r="AR20" s="101"/>
      <c r="AS20" s="105">
        <v>-0.5964645726807889</v>
      </c>
      <c r="AT20" s="105">
        <v>0.98459095209242187</v>
      </c>
      <c r="AU20" s="106">
        <v>2.958466105286393</v>
      </c>
      <c r="AV20" s="107">
        <v>104.55257950000002</v>
      </c>
      <c r="AW20" s="108">
        <v>0.36485326488593456</v>
      </c>
      <c r="AX20" s="90">
        <v>0.59869444000000094</v>
      </c>
      <c r="AY20" s="91"/>
      <c r="AZ20" s="92"/>
      <c r="BA20" s="90">
        <v>0.51209499999999997</v>
      </c>
      <c r="BB20" s="91"/>
      <c r="BC20" s="92"/>
      <c r="BD20" s="90">
        <v>11.8285163342521</v>
      </c>
      <c r="BE20" s="91"/>
      <c r="BF20" s="92"/>
      <c r="BG20" s="90">
        <v>2.7992881506358618</v>
      </c>
      <c r="BH20" s="91"/>
      <c r="BI20" s="92"/>
      <c r="BJ20" s="90">
        <v>32.017407522536523</v>
      </c>
      <c r="BK20" s="91"/>
      <c r="BL20" s="92"/>
      <c r="BM20" s="90">
        <v>0.7410905709363379</v>
      </c>
      <c r="BN20" s="91"/>
      <c r="BO20" s="92"/>
      <c r="BP20" s="90">
        <v>106.1866536767</v>
      </c>
      <c r="BQ20" s="91"/>
      <c r="BR20" s="92"/>
      <c r="BS20" s="109">
        <v>0.62338941574574103</v>
      </c>
      <c r="BT20" s="105">
        <v>0.49132754864157402</v>
      </c>
      <c r="BU20" s="108">
        <v>-6.9487670463486584E-2</v>
      </c>
      <c r="BV20" s="110">
        <v>43069</v>
      </c>
      <c r="BW20" s="111" t="s">
        <v>51</v>
      </c>
    </row>
    <row r="21" spans="1:75" s="137" customFormat="1" ht="11.25" customHeight="1" x14ac:dyDescent="0.2">
      <c r="A21" s="136" t="s">
        <v>52</v>
      </c>
      <c r="B21" s="55"/>
      <c r="C21" s="56">
        <v>9.15</v>
      </c>
      <c r="D21" s="57"/>
      <c r="E21" s="58">
        <v>1</v>
      </c>
      <c r="F21" s="59">
        <v>0.22467792707500001</v>
      </c>
      <c r="G21" s="60"/>
      <c r="H21" s="61"/>
      <c r="I21" s="62">
        <v>1.8182513364950386</v>
      </c>
      <c r="J21" s="63"/>
      <c r="K21" s="64"/>
      <c r="L21" s="62">
        <v>1.83928</v>
      </c>
      <c r="M21" s="63"/>
      <c r="N21" s="64"/>
      <c r="O21" s="62">
        <v>1.2865500000000001</v>
      </c>
      <c r="P21" s="63"/>
      <c r="Q21" s="64"/>
      <c r="R21" s="65">
        <v>1.1587470121816199E-2</v>
      </c>
      <c r="S21" s="66"/>
      <c r="T21" s="67"/>
      <c r="U21" s="62">
        <v>2.2965443678537656</v>
      </c>
      <c r="V21" s="63"/>
      <c r="W21" s="64"/>
      <c r="X21" s="68">
        <v>94.336035441809159</v>
      </c>
      <c r="Y21" s="69"/>
      <c r="Z21" s="70"/>
      <c r="AA21" s="71">
        <v>0.52823450000000005</v>
      </c>
      <c r="AB21" s="72"/>
      <c r="AC21" s="73"/>
      <c r="AD21" s="71">
        <v>0.14012370000000002</v>
      </c>
      <c r="AE21" s="72"/>
      <c r="AF21" s="73"/>
      <c r="AG21" s="71">
        <v>9.5124150235744123E-2</v>
      </c>
      <c r="AH21" s="72"/>
      <c r="AI21" s="73"/>
      <c r="AJ21" s="71">
        <v>-5.3326375812377112E-2</v>
      </c>
      <c r="AK21" s="72"/>
      <c r="AL21" s="73"/>
      <c r="AM21" s="71">
        <v>0.31325507253926083</v>
      </c>
      <c r="AN21" s="72"/>
      <c r="AO21" s="73"/>
      <c r="AP21" s="71">
        <v>0.17476881931511781</v>
      </c>
      <c r="AQ21" s="72"/>
      <c r="AR21" s="73"/>
      <c r="AS21" s="74">
        <v>0.22322187119819947</v>
      </c>
      <c r="AT21" s="74">
        <v>0.4932083904154535</v>
      </c>
      <c r="AU21" s="75">
        <v>0.29520911416038381</v>
      </c>
      <c r="AV21" s="76">
        <v>132.04361299999999</v>
      </c>
      <c r="AW21" s="74">
        <v>8.680963045417317E-2</v>
      </c>
      <c r="AX21" s="62">
        <v>0.802193724049999</v>
      </c>
      <c r="AY21" s="63"/>
      <c r="AZ21" s="64"/>
      <c r="BA21" s="62">
        <v>0.77735483721000009</v>
      </c>
      <c r="BB21" s="63"/>
      <c r="BC21" s="64"/>
      <c r="BD21" s="62">
        <v>5.2699526722094596</v>
      </c>
      <c r="BE21" s="63"/>
      <c r="BF21" s="64"/>
      <c r="BG21" s="62">
        <v>2.3738563959114041</v>
      </c>
      <c r="BH21" s="63"/>
      <c r="BI21" s="64"/>
      <c r="BJ21" s="62">
        <v>8.7051660165540863</v>
      </c>
      <c r="BK21" s="63"/>
      <c r="BL21" s="64"/>
      <c r="BM21" s="62">
        <v>0.75205275186468212</v>
      </c>
      <c r="BN21" s="63"/>
      <c r="BO21" s="64"/>
      <c r="BP21" s="62">
        <v>24.3130180056</v>
      </c>
      <c r="BQ21" s="63"/>
      <c r="BR21" s="64"/>
      <c r="BS21" s="77">
        <v>0.43152360816775798</v>
      </c>
      <c r="BT21" s="74">
        <v>0.40720810209405633</v>
      </c>
      <c r="BU21" s="78">
        <v>0.13344395786651697</v>
      </c>
      <c r="BV21" s="79">
        <v>43190</v>
      </c>
      <c r="BW21" s="80" t="s">
        <v>52</v>
      </c>
    </row>
    <row r="22" spans="1:75" s="81" customFormat="1" ht="11.25" customHeight="1" x14ac:dyDescent="0.2">
      <c r="A22" s="138" t="s">
        <v>53</v>
      </c>
      <c r="B22" s="138"/>
      <c r="C22" s="139">
        <v>4.03</v>
      </c>
      <c r="D22" s="139"/>
      <c r="E22" s="140">
        <v>1</v>
      </c>
      <c r="F22" s="87">
        <v>3.2662685377999998</v>
      </c>
      <c r="G22" s="88"/>
      <c r="H22" s="89"/>
      <c r="I22" s="141">
        <v>9.6299067451335443</v>
      </c>
      <c r="J22" s="141"/>
      <c r="K22" s="141"/>
      <c r="L22" s="90">
        <v>2.3401100000000001</v>
      </c>
      <c r="M22" s="91"/>
      <c r="N22" s="92"/>
      <c r="O22" s="90">
        <v>1.60504</v>
      </c>
      <c r="P22" s="91"/>
      <c r="Q22" s="92"/>
      <c r="R22" s="93" t="s">
        <v>47</v>
      </c>
      <c r="S22" s="94"/>
      <c r="T22" s="95"/>
      <c r="U22" s="141">
        <v>1.041317800665442</v>
      </c>
      <c r="V22" s="141"/>
      <c r="W22" s="141"/>
      <c r="X22" s="142">
        <v>-1.9869873694246678</v>
      </c>
      <c r="Y22" s="142"/>
      <c r="Z22" s="142"/>
      <c r="AA22" s="99">
        <v>2.4386E-3</v>
      </c>
      <c r="AB22" s="100"/>
      <c r="AC22" s="101"/>
      <c r="AD22" s="143" t="s">
        <v>47</v>
      </c>
      <c r="AE22" s="143"/>
      <c r="AF22" s="143"/>
      <c r="AG22" s="143" t="s">
        <v>47</v>
      </c>
      <c r="AH22" s="143"/>
      <c r="AI22" s="143"/>
      <c r="AJ22" s="143">
        <v>-0.66398814855510402</v>
      </c>
      <c r="AK22" s="143"/>
      <c r="AL22" s="143"/>
      <c r="AM22" s="144">
        <v>-2.6701486530281708</v>
      </c>
      <c r="AN22" s="144"/>
      <c r="AO22" s="144"/>
      <c r="AP22" s="143">
        <v>-0.28696919047073643</v>
      </c>
      <c r="AQ22" s="143"/>
      <c r="AR22" s="143"/>
      <c r="AS22" s="105">
        <v>-0.10060681087361845</v>
      </c>
      <c r="AT22" s="105">
        <v>-0.29184590814734845</v>
      </c>
      <c r="AU22" s="106">
        <v>0.38017710148331113</v>
      </c>
      <c r="AV22" s="107">
        <v>41.458547499999995</v>
      </c>
      <c r="AW22" s="108">
        <v>0.33181201389225518</v>
      </c>
      <c r="AX22" s="141">
        <v>0.24489118254</v>
      </c>
      <c r="AY22" s="141"/>
      <c r="AZ22" s="141"/>
      <c r="BA22" s="141">
        <v>0.18995317289999999</v>
      </c>
      <c r="BB22" s="141"/>
      <c r="BC22" s="141"/>
      <c r="BD22" s="141" t="s">
        <v>47</v>
      </c>
      <c r="BE22" s="141"/>
      <c r="BF22" s="141"/>
      <c r="BG22" s="141">
        <v>4.7099218356957762</v>
      </c>
      <c r="BH22" s="141"/>
      <c r="BI22" s="141"/>
      <c r="BJ22" s="90" t="s">
        <v>47</v>
      </c>
      <c r="BK22" s="91"/>
      <c r="BL22" s="92"/>
      <c r="BM22" s="141">
        <v>0.85371775128882488</v>
      </c>
      <c r="BN22" s="141"/>
      <c r="BO22" s="141"/>
      <c r="BP22" s="90" t="s">
        <v>47</v>
      </c>
      <c r="BQ22" s="91"/>
      <c r="BR22" s="92"/>
      <c r="BS22" s="109">
        <v>0.810409535568552</v>
      </c>
      <c r="BT22" s="105">
        <v>0.54785180176817205</v>
      </c>
      <c r="BU22" s="108">
        <v>-0.115617541565041</v>
      </c>
      <c r="BV22" s="110">
        <v>43159</v>
      </c>
      <c r="BW22" s="111" t="s">
        <v>53</v>
      </c>
    </row>
    <row r="23" spans="1:75" s="112" customFormat="1" ht="11.25" customHeight="1" x14ac:dyDescent="0.2">
      <c r="A23" s="136" t="s">
        <v>54</v>
      </c>
      <c r="B23" s="55"/>
      <c r="C23" s="145">
        <v>95.4</v>
      </c>
      <c r="D23" s="145"/>
      <c r="E23" s="146">
        <v>0.1</v>
      </c>
      <c r="F23" s="59">
        <v>1.679038743447</v>
      </c>
      <c r="G23" s="60"/>
      <c r="H23" s="61"/>
      <c r="I23" s="147">
        <v>3.0771401162255758</v>
      </c>
      <c r="J23" s="147"/>
      <c r="K23" s="147"/>
      <c r="L23" s="62">
        <v>0.90781000000000001</v>
      </c>
      <c r="M23" s="63"/>
      <c r="N23" s="64"/>
      <c r="O23" s="62">
        <v>0.39406999999999998</v>
      </c>
      <c r="P23" s="63"/>
      <c r="Q23" s="64"/>
      <c r="R23" s="65" t="s">
        <v>47</v>
      </c>
      <c r="S23" s="66"/>
      <c r="T23" s="67"/>
      <c r="U23" s="147">
        <v>0.64506861987031328</v>
      </c>
      <c r="V23" s="147"/>
      <c r="W23" s="147"/>
      <c r="X23" s="148">
        <v>141.22232974025121</v>
      </c>
      <c r="Y23" s="148"/>
      <c r="Z23" s="148"/>
      <c r="AA23" s="71">
        <v>0.1901322</v>
      </c>
      <c r="AB23" s="72"/>
      <c r="AC23" s="73"/>
      <c r="AD23" s="149" t="s">
        <v>47</v>
      </c>
      <c r="AE23" s="149"/>
      <c r="AF23" s="149"/>
      <c r="AG23" s="149">
        <v>8.4020285667913627E-2</v>
      </c>
      <c r="AH23" s="149"/>
      <c r="AI23" s="149"/>
      <c r="AJ23" s="149">
        <v>-0.69721085625696355</v>
      </c>
      <c r="AK23" s="149"/>
      <c r="AL23" s="149"/>
      <c r="AM23" s="149">
        <v>0.14464173819051765</v>
      </c>
      <c r="AN23" s="149"/>
      <c r="AO23" s="149"/>
      <c r="AP23" s="149">
        <v>4.3359140440173013E-2</v>
      </c>
      <c r="AQ23" s="149"/>
      <c r="AR23" s="149"/>
      <c r="AS23" s="74">
        <v>1.962001138898116</v>
      </c>
      <c r="AT23" s="74">
        <v>1.7688485366016586</v>
      </c>
      <c r="AU23" s="75">
        <v>2.463542187214224</v>
      </c>
      <c r="AV23" s="76">
        <v>736.26556700000015</v>
      </c>
      <c r="AW23" s="74">
        <v>3.4936847206320758</v>
      </c>
      <c r="AX23" s="147">
        <v>8.2063647619999998</v>
      </c>
      <c r="AY23" s="147"/>
      <c r="AZ23" s="147"/>
      <c r="BA23" s="147">
        <v>6.6348296309999997</v>
      </c>
      <c r="BB23" s="147"/>
      <c r="BC23" s="147"/>
      <c r="BD23" s="147">
        <v>227.01103059699301</v>
      </c>
      <c r="BE23" s="147"/>
      <c r="BF23" s="147"/>
      <c r="BG23" s="147">
        <v>2.4392370381644701</v>
      </c>
      <c r="BH23" s="147"/>
      <c r="BI23" s="147"/>
      <c r="BJ23" s="62">
        <v>206.75754751739237</v>
      </c>
      <c r="BK23" s="63"/>
      <c r="BL23" s="64"/>
      <c r="BM23" s="147">
        <v>1.6660190823569307</v>
      </c>
      <c r="BN23" s="147"/>
      <c r="BO23" s="147"/>
      <c r="BP23" s="62" t="s">
        <v>47</v>
      </c>
      <c r="BQ23" s="63"/>
      <c r="BR23" s="64"/>
      <c r="BS23" s="77">
        <v>0.78447138133323602</v>
      </c>
      <c r="BT23" s="74">
        <v>0.61115709324157907</v>
      </c>
      <c r="BU23" s="78">
        <v>0.24632039938255001</v>
      </c>
      <c r="BV23" s="79">
        <v>43190</v>
      </c>
      <c r="BW23" s="80" t="s">
        <v>54</v>
      </c>
    </row>
    <row r="24" spans="1:75" s="81" customFormat="1" ht="11.25" customHeight="1" x14ac:dyDescent="0.2">
      <c r="A24" s="138" t="s">
        <v>55</v>
      </c>
      <c r="B24" s="138"/>
      <c r="C24" s="139">
        <v>92</v>
      </c>
      <c r="D24" s="139"/>
      <c r="E24" s="150">
        <v>0.01</v>
      </c>
      <c r="F24" s="87">
        <v>7.863789316E-2</v>
      </c>
      <c r="G24" s="88"/>
      <c r="H24" s="89"/>
      <c r="I24" s="141">
        <v>1.8978539223970532</v>
      </c>
      <c r="J24" s="141"/>
      <c r="K24" s="141"/>
      <c r="L24" s="90">
        <v>2.3041800000000001</v>
      </c>
      <c r="M24" s="91"/>
      <c r="N24" s="92"/>
      <c r="O24" s="90">
        <v>1.43418</v>
      </c>
      <c r="P24" s="91"/>
      <c r="Q24" s="92"/>
      <c r="R24" s="93">
        <v>5.9259259260416699E-3</v>
      </c>
      <c r="S24" s="94"/>
      <c r="T24" s="95"/>
      <c r="U24" s="141">
        <v>1.3034111973884042</v>
      </c>
      <c r="V24" s="141"/>
      <c r="W24" s="141"/>
      <c r="X24" s="142">
        <v>166.99657461210552</v>
      </c>
      <c r="Y24" s="142"/>
      <c r="Z24" s="142"/>
      <c r="AA24" s="99">
        <v>0.41666350000000002</v>
      </c>
      <c r="AB24" s="100"/>
      <c r="AC24" s="101"/>
      <c r="AD24" s="143">
        <v>0.16901070000000001</v>
      </c>
      <c r="AE24" s="143"/>
      <c r="AF24" s="143"/>
      <c r="AG24" s="143">
        <v>0.11234125772961055</v>
      </c>
      <c r="AH24" s="143"/>
      <c r="AI24" s="143"/>
      <c r="AJ24" s="143">
        <v>5.7673184658676838E-2</v>
      </c>
      <c r="AK24" s="143"/>
      <c r="AL24" s="143"/>
      <c r="AM24" s="144">
        <v>0.2188754469933962</v>
      </c>
      <c r="AN24" s="144"/>
      <c r="AO24" s="144"/>
      <c r="AP24" s="143">
        <v>0.11714191856373388</v>
      </c>
      <c r="AQ24" s="143"/>
      <c r="AR24" s="143"/>
      <c r="AS24" s="105">
        <v>0.35878516937175542</v>
      </c>
      <c r="AT24" s="105">
        <v>0.47035630194950384</v>
      </c>
      <c r="AU24" s="106">
        <v>0.39440583686483288</v>
      </c>
      <c r="AV24" s="107">
        <v>414.933964</v>
      </c>
      <c r="AW24" s="108">
        <v>0.36181101210990824</v>
      </c>
      <c r="AX24" s="141">
        <v>4.9960667479999996</v>
      </c>
      <c r="AY24" s="141"/>
      <c r="AZ24" s="141"/>
      <c r="BA24" s="141">
        <v>5.6579427840000003</v>
      </c>
      <c r="BB24" s="141"/>
      <c r="BC24" s="141"/>
      <c r="BD24" s="141">
        <v>10.259174894089201</v>
      </c>
      <c r="BE24" s="141"/>
      <c r="BF24" s="141"/>
      <c r="BG24" s="141">
        <v>3.2670260370057207</v>
      </c>
      <c r="BH24" s="141"/>
      <c r="BI24" s="141"/>
      <c r="BJ24" s="90" t="s">
        <v>47</v>
      </c>
      <c r="BK24" s="91"/>
      <c r="BL24" s="92"/>
      <c r="BM24" s="141">
        <v>1.8741532592301937</v>
      </c>
      <c r="BN24" s="141"/>
      <c r="BO24" s="141"/>
      <c r="BP24" s="90">
        <v>16.726598922200001</v>
      </c>
      <c r="BQ24" s="91"/>
      <c r="BR24" s="92"/>
      <c r="BS24" s="109">
        <v>0.31415917279995098</v>
      </c>
      <c r="BT24" s="105">
        <v>0.34129075590232327</v>
      </c>
      <c r="BU24" s="108">
        <v>4.3780706289354265E-2</v>
      </c>
      <c r="BV24" s="110">
        <v>43100</v>
      </c>
      <c r="BW24" s="111" t="s">
        <v>55</v>
      </c>
    </row>
    <row r="25" spans="1:75" s="81" customFormat="1" ht="11.25" customHeight="1" x14ac:dyDescent="0.2">
      <c r="A25" s="136" t="s">
        <v>56</v>
      </c>
      <c r="B25" s="55"/>
      <c r="C25" s="145">
        <v>9.9</v>
      </c>
      <c r="D25" s="145"/>
      <c r="E25" s="146">
        <v>1</v>
      </c>
      <c r="F25" s="59">
        <v>0.28304467841300002</v>
      </c>
      <c r="G25" s="60"/>
      <c r="H25" s="61"/>
      <c r="I25" s="147">
        <v>1.6127690433225286</v>
      </c>
      <c r="J25" s="147"/>
      <c r="K25" s="147"/>
      <c r="L25" s="62" t="s">
        <v>47</v>
      </c>
      <c r="M25" s="63"/>
      <c r="N25" s="64"/>
      <c r="O25" s="62" t="s">
        <v>47</v>
      </c>
      <c r="P25" s="63"/>
      <c r="Q25" s="64"/>
      <c r="R25" s="65" t="s">
        <v>47</v>
      </c>
      <c r="S25" s="66"/>
      <c r="T25" s="67"/>
      <c r="U25" s="147">
        <v>0.62361128536726529</v>
      </c>
      <c r="V25" s="147"/>
      <c r="W25" s="147"/>
      <c r="X25" s="148">
        <v>214.78239710663829</v>
      </c>
      <c r="Y25" s="148"/>
      <c r="Z25" s="148"/>
      <c r="AA25" s="71">
        <v>0.24398069999999999</v>
      </c>
      <c r="AB25" s="72"/>
      <c r="AC25" s="73"/>
      <c r="AD25" s="149">
        <v>6.7732700000000007E-2</v>
      </c>
      <c r="AE25" s="149"/>
      <c r="AF25" s="149"/>
      <c r="AG25" s="149">
        <v>5.2428434842711653E-2</v>
      </c>
      <c r="AH25" s="149"/>
      <c r="AI25" s="149"/>
      <c r="AJ25" s="149">
        <v>-0.16117331663835954</v>
      </c>
      <c r="AK25" s="149"/>
      <c r="AL25" s="149"/>
      <c r="AM25" s="149">
        <v>4.7418593364324212E-2</v>
      </c>
      <c r="AN25" s="149"/>
      <c r="AO25" s="149"/>
      <c r="AP25" s="149">
        <v>2.6156025627462737E-2</v>
      </c>
      <c r="AQ25" s="149"/>
      <c r="AR25" s="149"/>
      <c r="AS25" s="74">
        <v>0.84291955489344939</v>
      </c>
      <c r="AT25" s="74">
        <v>-7.3303017147781002</v>
      </c>
      <c r="AU25" s="75">
        <v>22.519596894554695</v>
      </c>
      <c r="AV25" s="76">
        <v>339.9219195</v>
      </c>
      <c r="AW25" s="74">
        <v>0.4246477548922859</v>
      </c>
      <c r="AX25" s="147">
        <v>4.9349063408000005</v>
      </c>
      <c r="AY25" s="147"/>
      <c r="AZ25" s="147"/>
      <c r="BA25" s="147">
        <v>5.46924644</v>
      </c>
      <c r="BB25" s="147"/>
      <c r="BC25" s="147"/>
      <c r="BD25" s="147">
        <v>11.432099904411</v>
      </c>
      <c r="BE25" s="147"/>
      <c r="BF25" s="147"/>
      <c r="BG25" s="147">
        <v>1.599483778100562</v>
      </c>
      <c r="BH25" s="147"/>
      <c r="BI25" s="147"/>
      <c r="BJ25" s="62">
        <v>37.290944703932496</v>
      </c>
      <c r="BK25" s="63"/>
      <c r="BL25" s="64"/>
      <c r="BM25" s="147">
        <v>2.123858531843414</v>
      </c>
      <c r="BN25" s="147"/>
      <c r="BO25" s="147"/>
      <c r="BP25" s="62" t="s">
        <v>47</v>
      </c>
      <c r="BQ25" s="63"/>
      <c r="BR25" s="64"/>
      <c r="BS25" s="77">
        <v>0.60527061414910399</v>
      </c>
      <c r="BT25" s="74" t="s">
        <v>47</v>
      </c>
      <c r="BU25" s="78" t="s">
        <v>47</v>
      </c>
      <c r="BV25" s="79">
        <v>43190</v>
      </c>
      <c r="BW25" s="80" t="s">
        <v>56</v>
      </c>
    </row>
    <row r="26" spans="1:75" s="81" customFormat="1" ht="11.25" customHeight="1" x14ac:dyDescent="0.2">
      <c r="A26" s="151" t="s">
        <v>57</v>
      </c>
      <c r="B26" s="152"/>
      <c r="C26" s="153"/>
      <c r="D26" s="154"/>
      <c r="E26" s="155"/>
      <c r="F26" s="156">
        <v>1.7268551770519087</v>
      </c>
      <c r="G26" s="157"/>
      <c r="H26" s="158"/>
      <c r="I26" s="156">
        <v>4.9012003856020776</v>
      </c>
      <c r="J26" s="157"/>
      <c r="K26" s="158"/>
      <c r="L26" s="156">
        <v>1.4651720000000001</v>
      </c>
      <c r="M26" s="157"/>
      <c r="N26" s="158"/>
      <c r="O26" s="156">
        <v>0.89473900000000006</v>
      </c>
      <c r="P26" s="157"/>
      <c r="Q26" s="158"/>
      <c r="R26" s="159">
        <v>7.7346163055362653E-3</v>
      </c>
      <c r="S26" s="160"/>
      <c r="T26" s="161"/>
      <c r="U26" s="156">
        <v>2.1187227119930649</v>
      </c>
      <c r="V26" s="157"/>
      <c r="W26" s="158"/>
      <c r="X26" s="156">
        <v>96.781315731949363</v>
      </c>
      <c r="Y26" s="157"/>
      <c r="Z26" s="158"/>
      <c r="AA26" s="162">
        <v>0.2547939545454545</v>
      </c>
      <c r="AB26" s="163"/>
      <c r="AC26" s="164"/>
      <c r="AD26" s="162">
        <v>6.772291250000001E-2</v>
      </c>
      <c r="AE26" s="163"/>
      <c r="AF26" s="164"/>
      <c r="AG26" s="162">
        <v>5.3666204843348435E-2</v>
      </c>
      <c r="AH26" s="163"/>
      <c r="AI26" s="164"/>
      <c r="AJ26" s="162">
        <v>-0.16050561200796212</v>
      </c>
      <c r="AK26" s="163"/>
      <c r="AL26" s="164"/>
      <c r="AM26" s="162">
        <v>-0.38407325179554253</v>
      </c>
      <c r="AN26" s="163"/>
      <c r="AO26" s="164"/>
      <c r="AP26" s="162">
        <v>-1.1949671945333383E-2</v>
      </c>
      <c r="AQ26" s="163"/>
      <c r="AR26" s="164"/>
      <c r="AS26" s="165">
        <v>0.13519947713146438</v>
      </c>
      <c r="AT26" s="165">
        <v>-2.2174050354813155</v>
      </c>
      <c r="AU26" s="166">
        <v>6.579840623820262</v>
      </c>
      <c r="AV26" s="167">
        <v>1817.698063181818</v>
      </c>
      <c r="AW26" s="165">
        <v>0.56127362815833071</v>
      </c>
      <c r="AX26" s="168">
        <v>6.0500373039263629</v>
      </c>
      <c r="AY26" s="169"/>
      <c r="AZ26" s="170"/>
      <c r="BA26" s="168">
        <v>5.0313087156009093</v>
      </c>
      <c r="BB26" s="169"/>
      <c r="BC26" s="170"/>
      <c r="BD26" s="168">
        <v>35.699242996465316</v>
      </c>
      <c r="BE26" s="169"/>
      <c r="BF26" s="170"/>
      <c r="BG26" s="168">
        <v>4.5563671969012871</v>
      </c>
      <c r="BH26" s="169"/>
      <c r="BI26" s="170"/>
      <c r="BJ26" s="168">
        <v>81.886077566768066</v>
      </c>
      <c r="BK26" s="169"/>
      <c r="BL26" s="170"/>
      <c r="BM26" s="168">
        <v>0.91236601937135187</v>
      </c>
      <c r="BN26" s="169"/>
      <c r="BO26" s="170"/>
      <c r="BP26" s="168">
        <v>49.075423534833334</v>
      </c>
      <c r="BQ26" s="169"/>
      <c r="BR26" s="170"/>
      <c r="BS26" s="171">
        <v>0.53424033322933451</v>
      </c>
      <c r="BT26" s="165">
        <v>0.45483320849083042</v>
      </c>
      <c r="BU26" s="165">
        <v>5.0582820704998654E-3</v>
      </c>
      <c r="BV26" s="172"/>
      <c r="BW26" s="172"/>
    </row>
    <row r="27" spans="1:75" s="178" customFormat="1" ht="11.25" customHeight="1" x14ac:dyDescent="0.25">
      <c r="A27" s="173" t="s">
        <v>58</v>
      </c>
      <c r="B27" s="173"/>
      <c r="C27" s="173"/>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3"/>
      <c r="AB27" s="173"/>
      <c r="AC27" s="173"/>
      <c r="AD27" s="173"/>
      <c r="AE27" s="173"/>
      <c r="AF27" s="173"/>
      <c r="AG27" s="173"/>
      <c r="AH27" s="173"/>
      <c r="AI27" s="173"/>
      <c r="AJ27" s="173"/>
      <c r="AK27" s="173"/>
      <c r="AL27" s="173"/>
      <c r="AM27" s="173"/>
      <c r="AN27" s="173"/>
      <c r="AO27" s="173"/>
      <c r="AP27" s="173"/>
      <c r="AQ27" s="173"/>
      <c r="AR27" s="173"/>
      <c r="AS27" s="173"/>
      <c r="AT27" s="173"/>
      <c r="AU27" s="173"/>
      <c r="AV27" s="174"/>
      <c r="AW27" s="175"/>
      <c r="AX27" s="173"/>
      <c r="AY27" s="173"/>
      <c r="AZ27" s="173"/>
      <c r="BA27" s="173"/>
      <c r="BB27" s="173"/>
      <c r="BC27" s="173"/>
      <c r="BD27" s="173"/>
      <c r="BE27" s="173"/>
      <c r="BF27" s="173"/>
      <c r="BG27" s="173"/>
      <c r="BH27" s="173"/>
      <c r="BI27" s="173"/>
      <c r="BJ27" s="173"/>
      <c r="BK27" s="173"/>
      <c r="BL27" s="173"/>
      <c r="BM27" s="173"/>
      <c r="BN27" s="173"/>
      <c r="BO27" s="173"/>
      <c r="BP27" s="173"/>
      <c r="BQ27" s="173"/>
      <c r="BR27" s="173"/>
      <c r="BS27" s="173"/>
      <c r="BT27" s="173"/>
      <c r="BU27" s="173"/>
      <c r="BV27" s="176"/>
      <c r="BW27" s="177"/>
    </row>
    <row r="28" spans="1:75" s="81" customFormat="1" ht="11.25" customHeight="1" x14ac:dyDescent="0.2">
      <c r="A28" s="138" t="s">
        <v>59</v>
      </c>
      <c r="B28" s="138"/>
      <c r="C28" s="84">
        <v>446</v>
      </c>
      <c r="D28" s="85"/>
      <c r="E28" s="179">
        <v>0.1</v>
      </c>
      <c r="F28" s="87">
        <v>0.19967708383499999</v>
      </c>
      <c r="G28" s="88"/>
      <c r="H28" s="89"/>
      <c r="I28" s="90">
        <v>4.2461042216382374</v>
      </c>
      <c r="J28" s="91"/>
      <c r="K28" s="92"/>
      <c r="L28" s="90">
        <v>1.1515500000000001</v>
      </c>
      <c r="M28" s="91"/>
      <c r="N28" s="92"/>
      <c r="O28" s="90">
        <v>0.64027000000000001</v>
      </c>
      <c r="P28" s="91"/>
      <c r="Q28" s="92"/>
      <c r="R28" s="93">
        <v>1.2366289371174199E-3</v>
      </c>
      <c r="S28" s="94"/>
      <c r="T28" s="95"/>
      <c r="U28" s="141">
        <v>2.9010044124384295</v>
      </c>
      <c r="V28" s="141"/>
      <c r="W28" s="141"/>
      <c r="X28" s="142">
        <v>17.760663775517713</v>
      </c>
      <c r="Y28" s="142"/>
      <c r="Z28" s="142"/>
      <c r="AA28" s="143">
        <v>0.154138</v>
      </c>
      <c r="AB28" s="143"/>
      <c r="AC28" s="143"/>
      <c r="AD28" s="143">
        <v>5.4199299999999999E-2</v>
      </c>
      <c r="AE28" s="143"/>
      <c r="AF28" s="143"/>
      <c r="AG28" s="143">
        <v>4.4962704235755567E-2</v>
      </c>
      <c r="AH28" s="143"/>
      <c r="AI28" s="143"/>
      <c r="AJ28" s="143">
        <v>-3.1518410152231264E-3</v>
      </c>
      <c r="AK28" s="143"/>
      <c r="AL28" s="143"/>
      <c r="AM28" s="143">
        <v>0.43483822229000391</v>
      </c>
      <c r="AN28" s="143"/>
      <c r="AO28" s="143"/>
      <c r="AP28" s="143">
        <v>0.10434971552620143</v>
      </c>
      <c r="AQ28" s="143"/>
      <c r="AR28" s="143"/>
      <c r="AS28" s="105">
        <v>1.3394230353358418</v>
      </c>
      <c r="AT28" s="105">
        <v>0.76612237755700574</v>
      </c>
      <c r="AU28" s="106">
        <v>1.2858351316725649</v>
      </c>
      <c r="AV28" s="107">
        <v>3079.5625499999996</v>
      </c>
      <c r="AW28" s="108">
        <v>0.49779954734195309</v>
      </c>
      <c r="AX28" s="141">
        <v>7.8738979999999907</v>
      </c>
      <c r="AY28" s="141"/>
      <c r="AZ28" s="141"/>
      <c r="BA28" s="141">
        <v>8.0864999999999991</v>
      </c>
      <c r="BB28" s="141"/>
      <c r="BC28" s="141"/>
      <c r="BD28" s="90">
        <v>3.5071870650201</v>
      </c>
      <c r="BE28" s="91"/>
      <c r="BF28" s="92"/>
      <c r="BG28" s="141">
        <v>2.9124650551014688</v>
      </c>
      <c r="BH28" s="141"/>
      <c r="BI28" s="141"/>
      <c r="BJ28" s="141">
        <v>77.034815936879809</v>
      </c>
      <c r="BK28" s="141"/>
      <c r="BL28" s="141"/>
      <c r="BM28" s="141">
        <v>0.348893423446337</v>
      </c>
      <c r="BN28" s="141"/>
      <c r="BO28" s="141"/>
      <c r="BP28" s="141">
        <v>7.5691058223000001</v>
      </c>
      <c r="BQ28" s="141"/>
      <c r="BR28" s="90"/>
      <c r="BS28" s="109">
        <v>0.93469447572994002</v>
      </c>
      <c r="BT28" s="105">
        <v>0.49276648188017191</v>
      </c>
      <c r="BU28" s="108">
        <v>0.10119780127171585</v>
      </c>
      <c r="BV28" s="110">
        <v>43190</v>
      </c>
      <c r="BW28" s="111" t="s">
        <v>59</v>
      </c>
    </row>
    <row r="29" spans="1:75" s="81" customFormat="1" ht="11.25" customHeight="1" x14ac:dyDescent="0.2">
      <c r="A29" s="180" t="s">
        <v>60</v>
      </c>
      <c r="B29" s="180"/>
      <c r="C29" s="56">
        <v>55</v>
      </c>
      <c r="D29" s="57"/>
      <c r="E29" s="58">
        <v>1</v>
      </c>
      <c r="F29" s="59">
        <v>0.278695324124</v>
      </c>
      <c r="G29" s="60"/>
      <c r="H29" s="61"/>
      <c r="I29" s="62">
        <v>2.4325649084530956</v>
      </c>
      <c r="J29" s="63"/>
      <c r="K29" s="64"/>
      <c r="L29" s="62">
        <v>1.4601999999999999</v>
      </c>
      <c r="M29" s="63"/>
      <c r="N29" s="64"/>
      <c r="O29" s="62">
        <v>1.2993699999999999</v>
      </c>
      <c r="P29" s="63"/>
      <c r="Q29" s="64"/>
      <c r="R29" s="65">
        <v>7.8935768026338907E-2</v>
      </c>
      <c r="S29" s="66"/>
      <c r="T29" s="67"/>
      <c r="U29" s="147">
        <v>1.8720232438978408</v>
      </c>
      <c r="V29" s="147"/>
      <c r="W29" s="147"/>
      <c r="X29" s="148" t="s">
        <v>47</v>
      </c>
      <c r="Y29" s="148"/>
      <c r="Z29" s="148"/>
      <c r="AA29" s="149">
        <v>0.3812103</v>
      </c>
      <c r="AB29" s="149"/>
      <c r="AC29" s="149"/>
      <c r="AD29" s="149">
        <v>8.1906300000000001E-2</v>
      </c>
      <c r="AE29" s="149"/>
      <c r="AF29" s="149"/>
      <c r="AG29" s="149">
        <v>1.3269292192835208E-2</v>
      </c>
      <c r="AH29" s="149"/>
      <c r="AI29" s="149"/>
      <c r="AJ29" s="149">
        <v>-9.8240931409757801E-2</v>
      </c>
      <c r="AK29" s="149"/>
      <c r="AL29" s="149"/>
      <c r="AM29" s="149">
        <v>4.6554477970851126E-2</v>
      </c>
      <c r="AN29" s="149"/>
      <c r="AO29" s="149"/>
      <c r="AP29" s="149">
        <v>1.9872360809657943E-2</v>
      </c>
      <c r="AQ29" s="149"/>
      <c r="AR29" s="149"/>
      <c r="AS29" s="74">
        <v>1.0212655151695924</v>
      </c>
      <c r="AT29" s="74">
        <v>4.8967934992707898</v>
      </c>
      <c r="AU29" s="75">
        <v>12.414269386851881</v>
      </c>
      <c r="AV29" s="76">
        <v>3866.0683859999999</v>
      </c>
      <c r="AW29" s="74">
        <v>0.28494728715035827</v>
      </c>
      <c r="AX29" s="147">
        <v>3.6411821900000101</v>
      </c>
      <c r="AY29" s="147"/>
      <c r="AZ29" s="147"/>
      <c r="BA29" s="147">
        <v>6.0808934278000004</v>
      </c>
      <c r="BB29" s="147"/>
      <c r="BC29" s="147"/>
      <c r="BD29" s="62">
        <v>2.3098515797645902</v>
      </c>
      <c r="BE29" s="63"/>
      <c r="BF29" s="64"/>
      <c r="BG29" s="147">
        <v>1.6441851642023724</v>
      </c>
      <c r="BH29" s="147"/>
      <c r="BI29" s="147"/>
      <c r="BJ29" s="147">
        <v>30.406395294195697</v>
      </c>
      <c r="BK29" s="147"/>
      <c r="BL29" s="147"/>
      <c r="BM29" s="147">
        <v>0.41777798740403194</v>
      </c>
      <c r="BN29" s="147"/>
      <c r="BO29" s="147"/>
      <c r="BP29" s="147">
        <v>30.043491528499999</v>
      </c>
      <c r="BQ29" s="147"/>
      <c r="BR29" s="62"/>
      <c r="BS29" s="77">
        <v>0.65512625875545205</v>
      </c>
      <c r="BT29" s="133">
        <v>0.49848441537071403</v>
      </c>
      <c r="BU29" s="135">
        <v>5.6734240446651096E-2</v>
      </c>
      <c r="BV29" s="79">
        <v>43190</v>
      </c>
      <c r="BW29" s="80" t="s">
        <v>60</v>
      </c>
    </row>
    <row r="30" spans="1:75" s="81" customFormat="1" ht="11.25" customHeight="1" x14ac:dyDescent="0.2">
      <c r="A30" s="138" t="s">
        <v>61</v>
      </c>
      <c r="B30" s="138"/>
      <c r="C30" s="84">
        <v>38.800000000000004</v>
      </c>
      <c r="D30" s="85"/>
      <c r="E30" s="179">
        <v>1</v>
      </c>
      <c r="F30" s="87">
        <v>1.474043928693</v>
      </c>
      <c r="G30" s="88"/>
      <c r="H30" s="89"/>
      <c r="I30" s="90">
        <v>3.4380318267116636</v>
      </c>
      <c r="J30" s="91"/>
      <c r="K30" s="92"/>
      <c r="L30" s="90">
        <v>1.6096200000000001</v>
      </c>
      <c r="M30" s="91"/>
      <c r="N30" s="92"/>
      <c r="O30" s="90">
        <v>1.12408</v>
      </c>
      <c r="P30" s="91"/>
      <c r="Q30" s="92"/>
      <c r="R30" s="93">
        <v>6.3985795850515503E-3</v>
      </c>
      <c r="S30" s="94"/>
      <c r="T30" s="95"/>
      <c r="U30" s="141">
        <v>2.4526222977798335</v>
      </c>
      <c r="V30" s="141"/>
      <c r="W30" s="141"/>
      <c r="X30" s="142">
        <v>106.86340869669939</v>
      </c>
      <c r="Y30" s="142"/>
      <c r="Z30" s="142"/>
      <c r="AA30" s="143">
        <v>0.43465760000000003</v>
      </c>
      <c r="AB30" s="143"/>
      <c r="AC30" s="143"/>
      <c r="AD30" s="143">
        <v>0.1198888</v>
      </c>
      <c r="AE30" s="143"/>
      <c r="AF30" s="143"/>
      <c r="AG30" s="143">
        <v>2.7370439670195437E-2</v>
      </c>
      <c r="AH30" s="143"/>
      <c r="AI30" s="143"/>
      <c r="AJ30" s="143">
        <v>-5.6287048487209904E-2</v>
      </c>
      <c r="AK30" s="143"/>
      <c r="AL30" s="143"/>
      <c r="AM30" s="143">
        <v>0.18497176155129919</v>
      </c>
      <c r="AN30" s="143"/>
      <c r="AO30" s="143"/>
      <c r="AP30" s="143">
        <v>5.3703772459428895E-2</v>
      </c>
      <c r="AQ30" s="143"/>
      <c r="AR30" s="143"/>
      <c r="AS30" s="105">
        <v>1.8847484746329211</v>
      </c>
      <c r="AT30" s="105">
        <v>0.57700525861304119</v>
      </c>
      <c r="AU30" s="106">
        <v>0.83222623753229019</v>
      </c>
      <c r="AV30" s="107">
        <v>656.75433850000002</v>
      </c>
      <c r="AW30" s="108">
        <v>0.13108319367653756</v>
      </c>
      <c r="AX30" s="141">
        <v>2.1298935731999999</v>
      </c>
      <c r="AY30" s="141"/>
      <c r="AZ30" s="141"/>
      <c r="BA30" s="141">
        <v>1.7191315432000001</v>
      </c>
      <c r="BB30" s="141"/>
      <c r="BC30" s="141"/>
      <c r="BD30" s="90">
        <v>3.8129822657926402</v>
      </c>
      <c r="BE30" s="91"/>
      <c r="BF30" s="92"/>
      <c r="BG30" s="141">
        <v>2.7323568390331383</v>
      </c>
      <c r="BH30" s="141"/>
      <c r="BI30" s="141"/>
      <c r="BJ30" s="141">
        <v>16.11717351300382</v>
      </c>
      <c r="BK30" s="141"/>
      <c r="BL30" s="141"/>
      <c r="BM30" s="141">
        <v>0.44113433198726493</v>
      </c>
      <c r="BN30" s="141"/>
      <c r="BO30" s="141"/>
      <c r="BP30" s="141">
        <v>19.3059263671</v>
      </c>
      <c r="BQ30" s="141"/>
      <c r="BR30" s="90"/>
      <c r="BS30" s="109">
        <v>0.54958426816497796</v>
      </c>
      <c r="BT30" s="105">
        <v>0.48037463165798283</v>
      </c>
      <c r="BU30" s="108">
        <v>0.15927324336216198</v>
      </c>
      <c r="BV30" s="110">
        <v>43190</v>
      </c>
      <c r="BW30" s="111" t="s">
        <v>61</v>
      </c>
    </row>
    <row r="31" spans="1:75" s="81" customFormat="1" ht="11.25" customHeight="1" x14ac:dyDescent="0.2">
      <c r="A31" s="180" t="s">
        <v>62</v>
      </c>
      <c r="B31" s="180"/>
      <c r="C31" s="56">
        <v>3.85</v>
      </c>
      <c r="D31" s="57"/>
      <c r="E31" s="58">
        <v>1</v>
      </c>
      <c r="F31" s="59">
        <v>1.219260502852</v>
      </c>
      <c r="G31" s="60"/>
      <c r="H31" s="61"/>
      <c r="I31" s="62">
        <v>3.1410313780636674</v>
      </c>
      <c r="J31" s="63"/>
      <c r="K31" s="64"/>
      <c r="L31" s="62">
        <v>1.6694800000000001</v>
      </c>
      <c r="M31" s="63"/>
      <c r="N31" s="64"/>
      <c r="O31" s="62">
        <v>0.76712999999999998</v>
      </c>
      <c r="P31" s="63"/>
      <c r="Q31" s="64"/>
      <c r="R31" s="65" t="s">
        <v>47</v>
      </c>
      <c r="S31" s="66"/>
      <c r="T31" s="67"/>
      <c r="U31" s="147">
        <v>1.8169549749390363</v>
      </c>
      <c r="V31" s="147"/>
      <c r="W31" s="147"/>
      <c r="X31" s="148">
        <v>158.57628049525681</v>
      </c>
      <c r="Y31" s="148"/>
      <c r="Z31" s="148"/>
      <c r="AA31" s="149">
        <v>0.19927869999999998</v>
      </c>
      <c r="AB31" s="149"/>
      <c r="AC31" s="149"/>
      <c r="AD31" s="149">
        <v>1.6721200000000002E-2</v>
      </c>
      <c r="AE31" s="149"/>
      <c r="AF31" s="149"/>
      <c r="AG31" s="149" t="s">
        <v>47</v>
      </c>
      <c r="AH31" s="149"/>
      <c r="AI31" s="149"/>
      <c r="AJ31" s="149">
        <v>-6.5826942047511897E-2</v>
      </c>
      <c r="AK31" s="149"/>
      <c r="AL31" s="149"/>
      <c r="AM31" s="149">
        <v>-2.5756465733982169E-2</v>
      </c>
      <c r="AN31" s="149"/>
      <c r="AO31" s="149"/>
      <c r="AP31" s="149">
        <v>-9.3027596479524181E-3</v>
      </c>
      <c r="AQ31" s="149"/>
      <c r="AR31" s="149"/>
      <c r="AS31" s="74">
        <v>-1.4957629558848309</v>
      </c>
      <c r="AT31" s="74">
        <v>0.28875420822772396</v>
      </c>
      <c r="AU31" s="75">
        <v>1.2958212047448447</v>
      </c>
      <c r="AV31" s="76">
        <v>228.56167199999999</v>
      </c>
      <c r="AW31" s="74">
        <v>0.44819152938631424</v>
      </c>
      <c r="AX31" s="147">
        <v>0.89853553504999994</v>
      </c>
      <c r="AY31" s="147"/>
      <c r="AZ31" s="147"/>
      <c r="BA31" s="147">
        <v>0.57615567374999999</v>
      </c>
      <c r="BB31" s="147"/>
      <c r="BC31" s="147"/>
      <c r="BD31" s="62">
        <v>19.5417544136847</v>
      </c>
      <c r="BE31" s="63"/>
      <c r="BF31" s="64"/>
      <c r="BG31" s="147">
        <v>1.9508798706631698</v>
      </c>
      <c r="BH31" s="147"/>
      <c r="BI31" s="147"/>
      <c r="BJ31" s="147" t="s">
        <v>47</v>
      </c>
      <c r="BK31" s="147"/>
      <c r="BL31" s="147"/>
      <c r="BM31" s="147">
        <v>0.46175146568882591</v>
      </c>
      <c r="BN31" s="147"/>
      <c r="BO31" s="147"/>
      <c r="BP31" s="147" t="s">
        <v>47</v>
      </c>
      <c r="BQ31" s="147"/>
      <c r="BR31" s="62"/>
      <c r="BS31" s="77">
        <v>0.79021110938397299</v>
      </c>
      <c r="BT31" s="133">
        <v>0.44224491630265345</v>
      </c>
      <c r="BU31" s="135">
        <v>-1.8407563528748061E-2</v>
      </c>
      <c r="BV31" s="79">
        <v>43190</v>
      </c>
      <c r="BW31" s="80" t="s">
        <v>62</v>
      </c>
    </row>
    <row r="32" spans="1:75" s="81" customFormat="1" ht="11.25" customHeight="1" x14ac:dyDescent="0.2">
      <c r="A32" s="138" t="s">
        <v>63</v>
      </c>
      <c r="B32" s="138"/>
      <c r="C32" s="84">
        <v>9.7000000000000011</v>
      </c>
      <c r="D32" s="85"/>
      <c r="E32" s="179">
        <v>1</v>
      </c>
      <c r="F32" s="87">
        <v>0.10304168155999999</v>
      </c>
      <c r="G32" s="88"/>
      <c r="H32" s="89"/>
      <c r="I32" s="90">
        <v>2.2639340080590706</v>
      </c>
      <c r="J32" s="91"/>
      <c r="K32" s="92"/>
      <c r="L32" s="90">
        <v>1.7481599999999999</v>
      </c>
      <c r="M32" s="91"/>
      <c r="N32" s="92"/>
      <c r="O32" s="90">
        <v>1.02756</v>
      </c>
      <c r="P32" s="91"/>
      <c r="Q32" s="92"/>
      <c r="R32" s="93">
        <v>0</v>
      </c>
      <c r="S32" s="94"/>
      <c r="T32" s="95"/>
      <c r="U32" s="141">
        <v>2.2825386973153474</v>
      </c>
      <c r="V32" s="141"/>
      <c r="W32" s="141"/>
      <c r="X32" s="142">
        <v>200.05228571064788</v>
      </c>
      <c r="Y32" s="142"/>
      <c r="Z32" s="142"/>
      <c r="AA32" s="143">
        <v>0.25213830000000004</v>
      </c>
      <c r="AB32" s="143"/>
      <c r="AC32" s="143"/>
      <c r="AD32" s="143">
        <v>6.6638599999999992E-2</v>
      </c>
      <c r="AE32" s="143"/>
      <c r="AF32" s="143"/>
      <c r="AG32" s="143">
        <v>3.9977049781149188E-2</v>
      </c>
      <c r="AH32" s="143"/>
      <c r="AI32" s="143"/>
      <c r="AJ32" s="143" t="s">
        <v>47</v>
      </c>
      <c r="AK32" s="143"/>
      <c r="AL32" s="143"/>
      <c r="AM32" s="143">
        <v>0.1726261580926671</v>
      </c>
      <c r="AN32" s="143"/>
      <c r="AO32" s="143"/>
      <c r="AP32" s="143">
        <v>7.3003698058945604E-2</v>
      </c>
      <c r="AQ32" s="143"/>
      <c r="AR32" s="143"/>
      <c r="AS32" s="105">
        <v>1.4970370715398431</v>
      </c>
      <c r="AT32" s="105">
        <v>9.9656440448035163E-2</v>
      </c>
      <c r="AU32" s="106">
        <v>0.53256479039687343</v>
      </c>
      <c r="AV32" s="107">
        <v>43.725413000000003</v>
      </c>
      <c r="AW32" s="108">
        <v>0.45306800498934552</v>
      </c>
      <c r="AX32" s="141">
        <v>0.19024611999999999</v>
      </c>
      <c r="AY32" s="141"/>
      <c r="AZ32" s="141"/>
      <c r="BA32" s="141">
        <v>0.18429999999999999</v>
      </c>
      <c r="BB32" s="141"/>
      <c r="BC32" s="141"/>
      <c r="BD32" s="90">
        <v>5.3316514584220798</v>
      </c>
      <c r="BE32" s="91"/>
      <c r="BF32" s="92"/>
      <c r="BG32" s="141">
        <v>2.2788160493440954</v>
      </c>
      <c r="BH32" s="141"/>
      <c r="BI32" s="141"/>
      <c r="BJ32" s="141">
        <v>14.007624768946398</v>
      </c>
      <c r="BK32" s="141"/>
      <c r="BL32" s="141"/>
      <c r="BM32" s="141">
        <v>0.55999117383417385</v>
      </c>
      <c r="BN32" s="141"/>
      <c r="BO32" s="141"/>
      <c r="BP32" s="141">
        <v>13.392425685799999</v>
      </c>
      <c r="BQ32" s="141"/>
      <c r="BR32" s="90"/>
      <c r="BS32" s="109" t="s">
        <v>47</v>
      </c>
      <c r="BT32" s="105">
        <v>0.40151255842471628</v>
      </c>
      <c r="BU32" s="108">
        <v>-7.3708086689985186E-2</v>
      </c>
      <c r="BV32" s="110">
        <v>43131</v>
      </c>
      <c r="BW32" s="111" t="s">
        <v>63</v>
      </c>
    </row>
    <row r="33" spans="1:75" s="81" customFormat="1" ht="11.25" customHeight="1" x14ac:dyDescent="0.2">
      <c r="A33" s="181" t="s">
        <v>64</v>
      </c>
      <c r="B33" s="181"/>
      <c r="C33" s="182">
        <v>52.6</v>
      </c>
      <c r="D33" s="183"/>
      <c r="E33" s="184">
        <v>1</v>
      </c>
      <c r="F33" s="185">
        <v>0.35208755527000002</v>
      </c>
      <c r="G33" s="186"/>
      <c r="H33" s="187"/>
      <c r="I33" s="188">
        <v>2.1527157130920362</v>
      </c>
      <c r="J33" s="189"/>
      <c r="K33" s="190"/>
      <c r="L33" s="188">
        <v>1.22343</v>
      </c>
      <c r="M33" s="189"/>
      <c r="N33" s="190"/>
      <c r="O33" s="188">
        <v>0.80867999999999995</v>
      </c>
      <c r="P33" s="189"/>
      <c r="Q33" s="190"/>
      <c r="R33" s="191">
        <v>3.7332386811650499E-2</v>
      </c>
      <c r="S33" s="192"/>
      <c r="T33" s="193"/>
      <c r="U33" s="194">
        <v>2.6091409414799558</v>
      </c>
      <c r="V33" s="194"/>
      <c r="W33" s="194"/>
      <c r="X33" s="195">
        <v>97.631050356896679</v>
      </c>
      <c r="Y33" s="195"/>
      <c r="Z33" s="195"/>
      <c r="AA33" s="196">
        <v>0.55305000000000004</v>
      </c>
      <c r="AB33" s="196"/>
      <c r="AC33" s="196"/>
      <c r="AD33" s="196">
        <v>0.12756040000000002</v>
      </c>
      <c r="AE33" s="196"/>
      <c r="AF33" s="196"/>
      <c r="AG33" s="196">
        <v>7.456174085097432E-2</v>
      </c>
      <c r="AH33" s="196"/>
      <c r="AI33" s="196"/>
      <c r="AJ33" s="196">
        <v>0.1291820136884686</v>
      </c>
      <c r="AK33" s="196"/>
      <c r="AL33" s="196"/>
      <c r="AM33" s="196">
        <v>0.32397412696993355</v>
      </c>
      <c r="AN33" s="196"/>
      <c r="AO33" s="196"/>
      <c r="AP33" s="196">
        <v>0.15563641784983012</v>
      </c>
      <c r="AQ33" s="196"/>
      <c r="AR33" s="196"/>
      <c r="AS33" s="197">
        <v>-0.14467163332140665</v>
      </c>
      <c r="AT33" s="197">
        <v>0.36894921459719798</v>
      </c>
      <c r="AU33" s="198">
        <v>0.20946250230719551</v>
      </c>
      <c r="AV33" s="199">
        <v>261.39280230769231</v>
      </c>
      <c r="AW33" s="200">
        <v>0.36532170826505894</v>
      </c>
      <c r="AX33" s="194" t="s">
        <v>47</v>
      </c>
      <c r="AY33" s="194"/>
      <c r="AZ33" s="194"/>
      <c r="BA33" s="194">
        <v>2.4192709524999998</v>
      </c>
      <c r="BB33" s="194"/>
      <c r="BC33" s="194"/>
      <c r="BD33" s="188" t="s">
        <v>47</v>
      </c>
      <c r="BE33" s="189"/>
      <c r="BF33" s="190"/>
      <c r="BG33" s="194">
        <v>9.5256762344695023</v>
      </c>
      <c r="BH33" s="194"/>
      <c r="BI33" s="194"/>
      <c r="BJ33" s="194">
        <v>26.009988626811058</v>
      </c>
      <c r="BK33" s="194"/>
      <c r="BL33" s="194"/>
      <c r="BM33" s="194">
        <v>1.8973779914168594</v>
      </c>
      <c r="BN33" s="194"/>
      <c r="BO33" s="194"/>
      <c r="BP33" s="194" t="s">
        <v>47</v>
      </c>
      <c r="BQ33" s="194"/>
      <c r="BR33" s="188"/>
      <c r="BS33" s="201">
        <v>0.130211022154611</v>
      </c>
      <c r="BT33" s="197" t="s">
        <v>47</v>
      </c>
      <c r="BU33" s="200" t="s">
        <v>47</v>
      </c>
      <c r="BV33" s="202">
        <v>43100</v>
      </c>
      <c r="BW33" s="203" t="s">
        <v>64</v>
      </c>
    </row>
    <row r="34" spans="1:75" s="81" customFormat="1" ht="11.25" customHeight="1" x14ac:dyDescent="0.2">
      <c r="A34" s="204" t="s">
        <v>57</v>
      </c>
      <c r="B34" s="204"/>
      <c r="C34" s="205"/>
      <c r="D34" s="206"/>
      <c r="E34" s="207"/>
      <c r="F34" s="208">
        <v>0.60446767938900015</v>
      </c>
      <c r="G34" s="209"/>
      <c r="H34" s="210"/>
      <c r="I34" s="211">
        <v>2.9457303426696284</v>
      </c>
      <c r="J34" s="212"/>
      <c r="K34" s="213"/>
      <c r="L34" s="211">
        <v>1.4770733333333335</v>
      </c>
      <c r="M34" s="212"/>
      <c r="N34" s="213"/>
      <c r="O34" s="211">
        <v>0.94451499999999999</v>
      </c>
      <c r="P34" s="212"/>
      <c r="Q34" s="213"/>
      <c r="R34" s="214">
        <v>2.4780672672031673E-2</v>
      </c>
      <c r="S34" s="215"/>
      <c r="T34" s="216"/>
      <c r="U34" s="217">
        <v>2.3223807613084073</v>
      </c>
      <c r="V34" s="217"/>
      <c r="W34" s="217"/>
      <c r="X34" s="218">
        <v>116.1767378070037</v>
      </c>
      <c r="Y34" s="218"/>
      <c r="Z34" s="218"/>
      <c r="AA34" s="219">
        <v>0.32907881666666666</v>
      </c>
      <c r="AB34" s="219"/>
      <c r="AC34" s="219"/>
      <c r="AD34" s="219">
        <v>7.7819100000000002E-2</v>
      </c>
      <c r="AE34" s="219"/>
      <c r="AF34" s="219"/>
      <c r="AG34" s="219">
        <v>4.0028245346181948E-2</v>
      </c>
      <c r="AH34" s="219"/>
      <c r="AI34" s="219"/>
      <c r="AJ34" s="219">
        <v>-1.8864949854246825E-2</v>
      </c>
      <c r="AK34" s="219"/>
      <c r="AL34" s="219"/>
      <c r="AM34" s="219">
        <v>0.1895347135234621</v>
      </c>
      <c r="AN34" s="219"/>
      <c r="AO34" s="219"/>
      <c r="AP34" s="219">
        <v>6.621053417601859E-2</v>
      </c>
      <c r="AQ34" s="219"/>
      <c r="AR34" s="219"/>
      <c r="AS34" s="220">
        <v>0.68367325124532685</v>
      </c>
      <c r="AT34" s="220">
        <v>1.1662134997856322</v>
      </c>
      <c r="AU34" s="221">
        <v>2.7616965422509421</v>
      </c>
      <c r="AV34" s="222">
        <v>1356.010860301282</v>
      </c>
      <c r="AW34" s="220">
        <v>0.36340187846826127</v>
      </c>
      <c r="AX34" s="217">
        <v>2.9467510836500002</v>
      </c>
      <c r="AY34" s="217"/>
      <c r="AZ34" s="217"/>
      <c r="BA34" s="217">
        <v>3.177708599541667</v>
      </c>
      <c r="BB34" s="217"/>
      <c r="BC34" s="217"/>
      <c r="BD34" s="211">
        <v>6.9006853565368216</v>
      </c>
      <c r="BE34" s="212"/>
      <c r="BF34" s="213"/>
      <c r="BG34" s="217">
        <v>3.507396535468958</v>
      </c>
      <c r="BH34" s="217"/>
      <c r="BI34" s="217"/>
      <c r="BJ34" s="217">
        <v>32.715199627967351</v>
      </c>
      <c r="BK34" s="217"/>
      <c r="BL34" s="217"/>
      <c r="BM34" s="217">
        <v>0.68782106229624895</v>
      </c>
      <c r="BN34" s="217"/>
      <c r="BO34" s="217"/>
      <c r="BP34" s="217">
        <v>17.577737350924998</v>
      </c>
      <c r="BQ34" s="217"/>
      <c r="BR34" s="211"/>
      <c r="BS34" s="223">
        <v>0.61196542683779076</v>
      </c>
      <c r="BT34" s="224">
        <v>0.46307660072724771</v>
      </c>
      <c r="BU34" s="225">
        <v>4.5017926972359137E-2</v>
      </c>
      <c r="BV34" s="226"/>
      <c r="BW34" s="227"/>
    </row>
    <row r="35" spans="1:75" s="228" customFormat="1" ht="11.25" customHeight="1" x14ac:dyDescent="0.2">
      <c r="A35" s="173" t="s">
        <v>65</v>
      </c>
      <c r="B35" s="173"/>
      <c r="C35" s="173"/>
      <c r="D35" s="173"/>
      <c r="E35" s="173"/>
      <c r="F35" s="173"/>
      <c r="G35" s="173"/>
      <c r="H35" s="173"/>
      <c r="I35" s="173"/>
      <c r="J35" s="173"/>
      <c r="K35" s="173"/>
      <c r="L35" s="173"/>
      <c r="M35" s="173"/>
      <c r="N35" s="173"/>
      <c r="O35" s="173"/>
      <c r="P35" s="173"/>
      <c r="Q35" s="173"/>
      <c r="R35" s="173"/>
      <c r="S35" s="173"/>
      <c r="T35" s="173"/>
      <c r="U35" s="173"/>
      <c r="V35" s="173"/>
      <c r="W35" s="173"/>
      <c r="X35" s="173"/>
      <c r="Y35" s="173"/>
      <c r="Z35" s="173"/>
      <c r="AA35" s="173"/>
      <c r="AB35" s="173"/>
      <c r="AC35" s="173"/>
      <c r="AD35" s="173"/>
      <c r="AE35" s="173"/>
      <c r="AF35" s="173"/>
      <c r="AG35" s="173"/>
      <c r="AH35" s="173"/>
      <c r="AI35" s="173"/>
      <c r="AJ35" s="173"/>
      <c r="AK35" s="173"/>
      <c r="AL35" s="173"/>
      <c r="AM35" s="173"/>
      <c r="AN35" s="173"/>
      <c r="AO35" s="173"/>
      <c r="AP35" s="173"/>
      <c r="AQ35" s="173"/>
      <c r="AR35" s="173"/>
      <c r="AS35" s="173"/>
      <c r="AT35" s="173"/>
      <c r="AU35" s="173"/>
      <c r="AV35" s="174"/>
      <c r="AW35" s="175"/>
      <c r="AX35" s="173"/>
      <c r="AY35" s="173"/>
      <c r="AZ35" s="173"/>
      <c r="BA35" s="173"/>
      <c r="BB35" s="173"/>
      <c r="BC35" s="173"/>
      <c r="BD35" s="173"/>
      <c r="BE35" s="173"/>
      <c r="BF35" s="173"/>
      <c r="BG35" s="173"/>
      <c r="BH35" s="173"/>
      <c r="BI35" s="173"/>
      <c r="BJ35" s="173"/>
      <c r="BK35" s="173"/>
      <c r="BL35" s="173"/>
      <c r="BM35" s="173"/>
      <c r="BN35" s="173"/>
      <c r="BO35" s="173"/>
      <c r="BP35" s="173"/>
      <c r="BQ35" s="173"/>
      <c r="BR35" s="173"/>
      <c r="BS35" s="173"/>
      <c r="BT35" s="173"/>
      <c r="BU35" s="173"/>
      <c r="BV35" s="176"/>
      <c r="BW35" s="177"/>
    </row>
    <row r="36" spans="1:75" s="229" customFormat="1" ht="11.25" customHeight="1" x14ac:dyDescent="0.2">
      <c r="A36" s="138" t="s">
        <v>66</v>
      </c>
      <c r="B36" s="138"/>
      <c r="C36" s="84">
        <v>8.39</v>
      </c>
      <c r="D36" s="85"/>
      <c r="E36" s="179">
        <v>1</v>
      </c>
      <c r="F36" s="87">
        <v>0.718104299891</v>
      </c>
      <c r="G36" s="88"/>
      <c r="H36" s="89"/>
      <c r="I36" s="90">
        <v>3.1303252418986212</v>
      </c>
      <c r="J36" s="91"/>
      <c r="K36" s="92"/>
      <c r="L36" s="90">
        <v>1.47719</v>
      </c>
      <c r="M36" s="91"/>
      <c r="N36" s="92"/>
      <c r="O36" s="90">
        <v>0.93030000000000002</v>
      </c>
      <c r="P36" s="91"/>
      <c r="Q36" s="92"/>
      <c r="R36" s="93" t="s">
        <v>47</v>
      </c>
      <c r="S36" s="94"/>
      <c r="T36" s="95"/>
      <c r="U36" s="141">
        <v>0.96373443102195344</v>
      </c>
      <c r="V36" s="141"/>
      <c r="W36" s="141"/>
      <c r="X36" s="142">
        <v>295.02265512267303</v>
      </c>
      <c r="Y36" s="142"/>
      <c r="Z36" s="142"/>
      <c r="AA36" s="143">
        <v>0.33270710000000003</v>
      </c>
      <c r="AB36" s="143"/>
      <c r="AC36" s="143"/>
      <c r="AD36" s="143">
        <v>4.2233000000000001E-3</v>
      </c>
      <c r="AE36" s="143"/>
      <c r="AF36" s="143"/>
      <c r="AG36" s="143" t="s">
        <v>47</v>
      </c>
      <c r="AH36" s="143"/>
      <c r="AI36" s="143"/>
      <c r="AJ36" s="143">
        <v>-0.11256068581084132</v>
      </c>
      <c r="AK36" s="143"/>
      <c r="AL36" s="143"/>
      <c r="AM36" s="143">
        <v>-5.2432361532053502E-2</v>
      </c>
      <c r="AN36" s="143"/>
      <c r="AO36" s="143"/>
      <c r="AP36" s="143">
        <v>-1.8901740515560882E-2</v>
      </c>
      <c r="AQ36" s="143"/>
      <c r="AR36" s="143"/>
      <c r="AS36" s="105">
        <v>-2.0236701450750827</v>
      </c>
      <c r="AT36" s="105">
        <v>2.5617208176944217</v>
      </c>
      <c r="AU36" s="106">
        <v>7.0902392727767003</v>
      </c>
      <c r="AV36" s="107">
        <v>34.007844999999996</v>
      </c>
      <c r="AW36" s="108">
        <v>0.48355480869800138</v>
      </c>
      <c r="AX36" s="141">
        <v>0.41461666135000003</v>
      </c>
      <c r="AY36" s="141"/>
      <c r="AZ36" s="141"/>
      <c r="BA36" s="141">
        <v>0.33645677349999997</v>
      </c>
      <c r="BB36" s="141"/>
      <c r="BC36" s="141"/>
      <c r="BD36" s="90">
        <v>30.9880702480142</v>
      </c>
      <c r="BE36" s="91"/>
      <c r="BF36" s="92"/>
      <c r="BG36" s="141">
        <v>4.3878435705594603</v>
      </c>
      <c r="BH36" s="141"/>
      <c r="BI36" s="141"/>
      <c r="BJ36" s="141" t="s">
        <v>47</v>
      </c>
      <c r="BK36" s="141"/>
      <c r="BL36" s="141"/>
      <c r="BM36" s="141">
        <v>1.9984488707936898</v>
      </c>
      <c r="BN36" s="141"/>
      <c r="BO36" s="141"/>
      <c r="BP36" s="141">
        <v>614.58456399099998</v>
      </c>
      <c r="BQ36" s="141"/>
      <c r="BR36" s="90"/>
      <c r="BS36" s="109">
        <v>0.36233731370560701</v>
      </c>
      <c r="BT36" s="105">
        <v>0.41407919832749729</v>
      </c>
      <c r="BU36" s="108">
        <v>-6.7409690336296402E-2</v>
      </c>
      <c r="BV36" s="110">
        <v>43190</v>
      </c>
      <c r="BW36" s="111" t="s">
        <v>66</v>
      </c>
    </row>
    <row r="37" spans="1:75" s="229" customFormat="1" ht="11.25" customHeight="1" x14ac:dyDescent="0.2">
      <c r="A37" s="230" t="s">
        <v>67</v>
      </c>
      <c r="B37" s="230"/>
      <c r="C37" s="231">
        <v>28</v>
      </c>
      <c r="D37" s="232"/>
      <c r="E37" s="233">
        <v>1</v>
      </c>
      <c r="F37" s="234">
        <v>1.3323284293500002</v>
      </c>
      <c r="G37" s="235"/>
      <c r="H37" s="236"/>
      <c r="I37" s="237">
        <v>5.3709958833511573</v>
      </c>
      <c r="J37" s="238"/>
      <c r="K37" s="239"/>
      <c r="L37" s="237">
        <v>1.1874899999999999</v>
      </c>
      <c r="M37" s="238"/>
      <c r="N37" s="239"/>
      <c r="O37" s="237">
        <v>0.69504999999999995</v>
      </c>
      <c r="P37" s="238"/>
      <c r="Q37" s="239"/>
      <c r="R37" s="240">
        <v>0</v>
      </c>
      <c r="S37" s="241"/>
      <c r="T37" s="242"/>
      <c r="U37" s="243">
        <v>1.5978763600818435</v>
      </c>
      <c r="V37" s="243"/>
      <c r="W37" s="243"/>
      <c r="X37" s="244" t="s">
        <v>47</v>
      </c>
      <c r="Y37" s="244"/>
      <c r="Z37" s="244"/>
      <c r="AA37" s="245">
        <v>0.55327389999999999</v>
      </c>
      <c r="AB37" s="245"/>
      <c r="AC37" s="245"/>
      <c r="AD37" s="245">
        <v>0.28097759999999999</v>
      </c>
      <c r="AE37" s="245"/>
      <c r="AF37" s="245"/>
      <c r="AG37" s="245">
        <v>9.5681457884069815E-2</v>
      </c>
      <c r="AH37" s="245"/>
      <c r="AI37" s="245"/>
      <c r="AJ37" s="245">
        <v>0.12796937877280082</v>
      </c>
      <c r="AK37" s="245"/>
      <c r="AL37" s="245"/>
      <c r="AM37" s="245">
        <v>0.61672253312624481</v>
      </c>
      <c r="AN37" s="245"/>
      <c r="AO37" s="245"/>
      <c r="AP37" s="245">
        <v>0.12231131599562117</v>
      </c>
      <c r="AQ37" s="245"/>
      <c r="AR37" s="245"/>
      <c r="AS37" s="246">
        <v>-0.13124633321389623</v>
      </c>
      <c r="AT37" s="246">
        <v>18.534964102686569</v>
      </c>
      <c r="AU37" s="247">
        <v>28.595483936070764</v>
      </c>
      <c r="AV37" s="248">
        <v>209.80065800000003</v>
      </c>
      <c r="AW37" s="246">
        <v>0.1606250035903812</v>
      </c>
      <c r="AX37" s="243">
        <v>0.72213309800000092</v>
      </c>
      <c r="AY37" s="243"/>
      <c r="AZ37" s="243"/>
      <c r="BA37" s="243">
        <v>2.3014173795000001</v>
      </c>
      <c r="BB37" s="243"/>
      <c r="BC37" s="243"/>
      <c r="BD37" s="237">
        <v>2.7990094340628202</v>
      </c>
      <c r="BE37" s="238"/>
      <c r="BF37" s="239"/>
      <c r="BG37" s="243">
        <v>22.48456339496953</v>
      </c>
      <c r="BH37" s="243"/>
      <c r="BI37" s="243"/>
      <c r="BJ37" s="243">
        <v>18.594890389762185</v>
      </c>
      <c r="BK37" s="243"/>
      <c r="BL37" s="243"/>
      <c r="BM37" s="243">
        <v>2.1962666968903153</v>
      </c>
      <c r="BN37" s="243"/>
      <c r="BO37" s="243"/>
      <c r="BP37" s="243">
        <v>0</v>
      </c>
      <c r="BQ37" s="243"/>
      <c r="BR37" s="237"/>
      <c r="BS37" s="249" t="s">
        <v>47</v>
      </c>
      <c r="BT37" s="250" t="s">
        <v>47</v>
      </c>
      <c r="BU37" s="251" t="s">
        <v>47</v>
      </c>
      <c r="BV37" s="252">
        <v>43008</v>
      </c>
      <c r="BW37" s="253" t="s">
        <v>67</v>
      </c>
    </row>
    <row r="38" spans="1:75" s="81" customFormat="1" ht="11.25" customHeight="1" x14ac:dyDescent="0.2">
      <c r="A38" s="254" t="s">
        <v>57</v>
      </c>
      <c r="B38" s="254"/>
      <c r="C38" s="255"/>
      <c r="D38" s="256"/>
      <c r="E38" s="257"/>
      <c r="F38" s="258">
        <v>1.0252163646205001</v>
      </c>
      <c r="G38" s="259"/>
      <c r="H38" s="260"/>
      <c r="I38" s="261">
        <v>4.2506605626248888</v>
      </c>
      <c r="J38" s="262"/>
      <c r="K38" s="263"/>
      <c r="L38" s="261">
        <v>1.3323399999999999</v>
      </c>
      <c r="M38" s="262"/>
      <c r="N38" s="263"/>
      <c r="O38" s="261">
        <v>0.81267500000000004</v>
      </c>
      <c r="P38" s="262"/>
      <c r="Q38" s="263"/>
      <c r="R38" s="264">
        <v>0</v>
      </c>
      <c r="S38" s="265"/>
      <c r="T38" s="266"/>
      <c r="U38" s="267">
        <v>1.2808053955518985</v>
      </c>
      <c r="V38" s="267"/>
      <c r="W38" s="267"/>
      <c r="X38" s="268">
        <v>295.02265512267303</v>
      </c>
      <c r="Y38" s="268"/>
      <c r="Z38" s="268"/>
      <c r="AA38" s="269">
        <v>0.44299050000000001</v>
      </c>
      <c r="AB38" s="269"/>
      <c r="AC38" s="269"/>
      <c r="AD38" s="269">
        <v>0.14260044999999999</v>
      </c>
      <c r="AE38" s="269"/>
      <c r="AF38" s="269"/>
      <c r="AG38" s="269">
        <v>9.5681457884069815E-2</v>
      </c>
      <c r="AH38" s="269"/>
      <c r="AI38" s="269"/>
      <c r="AJ38" s="269">
        <v>7.7043464809797499E-3</v>
      </c>
      <c r="AK38" s="269"/>
      <c r="AL38" s="269"/>
      <c r="AM38" s="269">
        <v>0.28214508579709563</v>
      </c>
      <c r="AN38" s="269"/>
      <c r="AO38" s="269"/>
      <c r="AP38" s="269">
        <v>5.1704787740030143E-2</v>
      </c>
      <c r="AQ38" s="269"/>
      <c r="AR38" s="269"/>
      <c r="AS38" s="270">
        <v>-1.0774582391444896</v>
      </c>
      <c r="AT38" s="270">
        <v>10.548342460190495</v>
      </c>
      <c r="AU38" s="271">
        <v>17.842861604423732</v>
      </c>
      <c r="AV38" s="272">
        <v>121.90425150000002</v>
      </c>
      <c r="AW38" s="273">
        <v>0.32208990614419131</v>
      </c>
      <c r="AX38" s="267">
        <v>0.56837487967500044</v>
      </c>
      <c r="AY38" s="267"/>
      <c r="AZ38" s="267"/>
      <c r="BA38" s="267">
        <v>1.3189370765000001</v>
      </c>
      <c r="BB38" s="267"/>
      <c r="BC38" s="267"/>
      <c r="BD38" s="261">
        <v>16.89353984103851</v>
      </c>
      <c r="BE38" s="262"/>
      <c r="BF38" s="263"/>
      <c r="BG38" s="267">
        <v>13.436203482764496</v>
      </c>
      <c r="BH38" s="267"/>
      <c r="BI38" s="267"/>
      <c r="BJ38" s="267">
        <v>18.594890389762185</v>
      </c>
      <c r="BK38" s="267"/>
      <c r="BL38" s="267"/>
      <c r="BM38" s="267">
        <v>2.0973577838420026</v>
      </c>
      <c r="BN38" s="267"/>
      <c r="BO38" s="267"/>
      <c r="BP38" s="267">
        <v>307.29228199549999</v>
      </c>
      <c r="BQ38" s="267"/>
      <c r="BR38" s="261"/>
      <c r="BS38" s="274">
        <v>0.36233731370560701</v>
      </c>
      <c r="BT38" s="270">
        <v>0.41407919832749729</v>
      </c>
      <c r="BU38" s="273">
        <v>-6.7409690336296402E-2</v>
      </c>
      <c r="BV38" s="275"/>
      <c r="BW38" s="111"/>
    </row>
    <row r="39" spans="1:75" s="228" customFormat="1" ht="11.25" customHeight="1" x14ac:dyDescent="0.2">
      <c r="A39" s="173" t="s">
        <v>68</v>
      </c>
      <c r="B39" s="173"/>
      <c r="C39" s="17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73"/>
      <c r="AD39" s="173"/>
      <c r="AE39" s="173"/>
      <c r="AF39" s="173"/>
      <c r="AG39" s="173"/>
      <c r="AH39" s="173"/>
      <c r="AI39" s="173"/>
      <c r="AJ39" s="173"/>
      <c r="AK39" s="173"/>
      <c r="AL39" s="173"/>
      <c r="AM39" s="173"/>
      <c r="AN39" s="173"/>
      <c r="AO39" s="173"/>
      <c r="AP39" s="173"/>
      <c r="AQ39" s="173"/>
      <c r="AR39" s="173"/>
      <c r="AS39" s="173"/>
      <c r="AT39" s="173"/>
      <c r="AU39" s="173"/>
      <c r="AV39" s="174"/>
      <c r="AW39" s="175"/>
      <c r="AX39" s="173"/>
      <c r="AY39" s="173"/>
      <c r="AZ39" s="173"/>
      <c r="BA39" s="173"/>
      <c r="BB39" s="173"/>
      <c r="BC39" s="173"/>
      <c r="BD39" s="173"/>
      <c r="BE39" s="173"/>
      <c r="BF39" s="173"/>
      <c r="BG39" s="173"/>
      <c r="BH39" s="173"/>
      <c r="BI39" s="173"/>
      <c r="BJ39" s="173"/>
      <c r="BK39" s="173"/>
      <c r="BL39" s="173"/>
      <c r="BM39" s="173"/>
      <c r="BN39" s="173"/>
      <c r="BO39" s="173"/>
      <c r="BP39" s="173"/>
      <c r="BQ39" s="173"/>
      <c r="BR39" s="173"/>
      <c r="BS39" s="173"/>
      <c r="BT39" s="173"/>
      <c r="BU39" s="173"/>
      <c r="BV39" s="176"/>
      <c r="BW39" s="177"/>
    </row>
    <row r="40" spans="1:75" s="229" customFormat="1" ht="11.25" customHeight="1" x14ac:dyDescent="0.2">
      <c r="A40" s="180" t="s">
        <v>69</v>
      </c>
      <c r="B40" s="180"/>
      <c r="C40" s="145">
        <v>104.95</v>
      </c>
      <c r="D40" s="145"/>
      <c r="E40" s="276">
        <v>1</v>
      </c>
      <c r="F40" s="59" t="s">
        <v>47</v>
      </c>
      <c r="G40" s="60"/>
      <c r="H40" s="61"/>
      <c r="I40" s="147">
        <v>5.1942621320604614</v>
      </c>
      <c r="J40" s="147"/>
      <c r="K40" s="147"/>
      <c r="L40" s="62">
        <v>0.87694000000000005</v>
      </c>
      <c r="M40" s="63"/>
      <c r="N40" s="64"/>
      <c r="O40" s="62">
        <v>0.87434000000000001</v>
      </c>
      <c r="P40" s="63"/>
      <c r="Q40" s="64"/>
      <c r="R40" s="65" t="s">
        <v>47</v>
      </c>
      <c r="S40" s="66"/>
      <c r="T40" s="67"/>
      <c r="U40" s="147">
        <v>2.0519946732799017</v>
      </c>
      <c r="V40" s="147"/>
      <c r="W40" s="147"/>
      <c r="X40" s="148" t="s">
        <v>47</v>
      </c>
      <c r="Y40" s="148"/>
      <c r="Z40" s="148"/>
      <c r="AA40" s="149" t="s">
        <v>47</v>
      </c>
      <c r="AB40" s="149"/>
      <c r="AC40" s="149"/>
      <c r="AD40" s="71" t="s">
        <v>47</v>
      </c>
      <c r="AE40" s="72"/>
      <c r="AF40" s="73"/>
      <c r="AG40" s="149">
        <v>1.7195774922041034E-2</v>
      </c>
      <c r="AH40" s="149"/>
      <c r="AI40" s="149"/>
      <c r="AJ40" s="149" t="s">
        <v>47</v>
      </c>
      <c r="AK40" s="149"/>
      <c r="AL40" s="149"/>
      <c r="AM40" s="149">
        <v>0.13796410669112449</v>
      </c>
      <c r="AN40" s="149"/>
      <c r="AO40" s="149"/>
      <c r="AP40" s="149">
        <v>2.8228520751762947E-2</v>
      </c>
      <c r="AQ40" s="149"/>
      <c r="AR40" s="149"/>
      <c r="AS40" s="74" t="s">
        <v>47</v>
      </c>
      <c r="AT40" s="74" t="s">
        <v>47</v>
      </c>
      <c r="AU40" s="75" t="s">
        <v>47</v>
      </c>
      <c r="AV40" s="76">
        <v>2783.4162900000001</v>
      </c>
      <c r="AW40" s="74">
        <v>0.61732187768726743</v>
      </c>
      <c r="AX40" s="147">
        <v>14.733210590000001</v>
      </c>
      <c r="AY40" s="147"/>
      <c r="AZ40" s="147"/>
      <c r="BA40" s="147">
        <v>12.4176</v>
      </c>
      <c r="BB40" s="147"/>
      <c r="BC40" s="147"/>
      <c r="BD40" s="62">
        <v>5.3216051607093302</v>
      </c>
      <c r="BE40" s="63"/>
      <c r="BF40" s="64"/>
      <c r="BG40" s="147">
        <v>0.61742243436754174</v>
      </c>
      <c r="BH40" s="147"/>
      <c r="BI40" s="147"/>
      <c r="BJ40" s="147">
        <v>14.474105212057019</v>
      </c>
      <c r="BK40" s="147"/>
      <c r="BL40" s="147"/>
      <c r="BM40" s="147">
        <v>0.24664031620553359</v>
      </c>
      <c r="BN40" s="147"/>
      <c r="BO40" s="147"/>
      <c r="BP40" s="147">
        <v>14.4828392288</v>
      </c>
      <c r="BQ40" s="147"/>
      <c r="BR40" s="62"/>
      <c r="BS40" s="77">
        <v>0.98687236271016199</v>
      </c>
      <c r="BT40" s="74" t="s">
        <v>47</v>
      </c>
      <c r="BU40" s="78" t="s">
        <v>47</v>
      </c>
      <c r="BV40" s="79">
        <v>43100</v>
      </c>
      <c r="BW40" s="80" t="s">
        <v>69</v>
      </c>
    </row>
    <row r="41" spans="1:75" s="229" customFormat="1" ht="11.25" customHeight="1" x14ac:dyDescent="0.2">
      <c r="A41" s="138" t="s">
        <v>70</v>
      </c>
      <c r="B41" s="138"/>
      <c r="C41" s="139">
        <v>452</v>
      </c>
      <c r="D41" s="139"/>
      <c r="E41" s="150">
        <v>10</v>
      </c>
      <c r="F41" s="87">
        <v>1.1802619619200001</v>
      </c>
      <c r="G41" s="88"/>
      <c r="H41" s="89"/>
      <c r="I41" s="141">
        <v>3.2177674971449881</v>
      </c>
      <c r="J41" s="141"/>
      <c r="K41" s="141"/>
      <c r="L41" s="90">
        <v>1.20922</v>
      </c>
      <c r="M41" s="91"/>
      <c r="N41" s="92"/>
      <c r="O41" s="90">
        <v>0.92466999999999999</v>
      </c>
      <c r="P41" s="91"/>
      <c r="Q41" s="92"/>
      <c r="R41" s="93">
        <v>5.3228070175438602E-3</v>
      </c>
      <c r="S41" s="94"/>
      <c r="T41" s="95"/>
      <c r="U41" s="141">
        <v>0.69521281266636425</v>
      </c>
      <c r="V41" s="141"/>
      <c r="W41" s="141"/>
      <c r="X41" s="142">
        <v>9.5176109477845188</v>
      </c>
      <c r="Y41" s="142"/>
      <c r="Z41" s="142"/>
      <c r="AA41" s="143">
        <v>0.1561352</v>
      </c>
      <c r="AB41" s="143"/>
      <c r="AC41" s="143"/>
      <c r="AD41" s="99">
        <v>6.3576599999999997E-2</v>
      </c>
      <c r="AE41" s="100"/>
      <c r="AF41" s="101"/>
      <c r="AG41" s="143">
        <v>6.7672190050546144E-2</v>
      </c>
      <c r="AH41" s="143"/>
      <c r="AI41" s="143"/>
      <c r="AJ41" s="143">
        <v>1.0271211524372959E-2</v>
      </c>
      <c r="AK41" s="143"/>
      <c r="AL41" s="143"/>
      <c r="AM41" s="144">
        <v>0.12704841552337837</v>
      </c>
      <c r="AN41" s="144"/>
      <c r="AO41" s="144"/>
      <c r="AP41" s="143">
        <v>3.7637259699548932E-2</v>
      </c>
      <c r="AQ41" s="143"/>
      <c r="AR41" s="143"/>
      <c r="AS41" s="105">
        <v>241.68</v>
      </c>
      <c r="AT41" s="105">
        <v>-1.0302066896292119</v>
      </c>
      <c r="AU41" s="106">
        <v>3.5011032203637495</v>
      </c>
      <c r="AV41" s="107">
        <v>44902.9</v>
      </c>
      <c r="AW41" s="108">
        <v>0.10073215117123295</v>
      </c>
      <c r="AX41" s="141">
        <v>338.82017103624997</v>
      </c>
      <c r="AY41" s="141"/>
      <c r="AZ41" s="141"/>
      <c r="BA41" s="141">
        <v>177.73805115670001</v>
      </c>
      <c r="BB41" s="141"/>
      <c r="BC41" s="141"/>
      <c r="BD41" s="90">
        <v>3.6357606532417299</v>
      </c>
      <c r="BE41" s="91"/>
      <c r="BF41" s="92"/>
      <c r="BG41" s="141">
        <v>1.1041962349607992</v>
      </c>
      <c r="BH41" s="141"/>
      <c r="BI41" s="141"/>
      <c r="BJ41" s="141">
        <v>9.6457080227109468</v>
      </c>
      <c r="BK41" s="141"/>
      <c r="BL41" s="141"/>
      <c r="BM41" s="141">
        <v>0.65433158400010316</v>
      </c>
      <c r="BN41" s="141"/>
      <c r="BO41" s="141"/>
      <c r="BP41" s="141" t="s">
        <v>47</v>
      </c>
      <c r="BQ41" s="141"/>
      <c r="BR41" s="90"/>
      <c r="BS41" s="109">
        <v>0.83319747234687402</v>
      </c>
      <c r="BT41" s="105">
        <v>0.45361380981476485</v>
      </c>
      <c r="BU41" s="108">
        <v>-6.5641927888529294E-2</v>
      </c>
      <c r="BV41" s="110">
        <v>43190</v>
      </c>
      <c r="BW41" s="111" t="s">
        <v>70</v>
      </c>
    </row>
    <row r="42" spans="1:75" s="229" customFormat="1" ht="11.25" customHeight="1" x14ac:dyDescent="0.2">
      <c r="A42" s="180" t="s">
        <v>71</v>
      </c>
      <c r="B42" s="180"/>
      <c r="C42" s="145">
        <v>149.55000000000001</v>
      </c>
      <c r="D42" s="145"/>
      <c r="E42" s="276">
        <v>1</v>
      </c>
      <c r="F42" s="59">
        <v>1.25376981428</v>
      </c>
      <c r="G42" s="60"/>
      <c r="H42" s="61"/>
      <c r="I42" s="147">
        <v>3.0303864863970462</v>
      </c>
      <c r="J42" s="147"/>
      <c r="K42" s="147"/>
      <c r="L42" s="62">
        <v>1.8614900000000001</v>
      </c>
      <c r="M42" s="63"/>
      <c r="N42" s="64"/>
      <c r="O42" s="62">
        <v>1.4856199999999999</v>
      </c>
      <c r="P42" s="63"/>
      <c r="Q42" s="64"/>
      <c r="R42" s="65">
        <v>2.22004336874034E-3</v>
      </c>
      <c r="S42" s="66"/>
      <c r="T42" s="67"/>
      <c r="U42" s="147">
        <v>0.44434983714652992</v>
      </c>
      <c r="V42" s="147"/>
      <c r="W42" s="147"/>
      <c r="X42" s="148">
        <v>37.148214367223687</v>
      </c>
      <c r="Y42" s="148"/>
      <c r="Z42" s="148"/>
      <c r="AA42" s="149">
        <v>0.32286430000000005</v>
      </c>
      <c r="AB42" s="149"/>
      <c r="AC42" s="149"/>
      <c r="AD42" s="71">
        <v>0.1331465</v>
      </c>
      <c r="AE42" s="72"/>
      <c r="AF42" s="73"/>
      <c r="AG42" s="149">
        <v>9.0915792535833581E-3</v>
      </c>
      <c r="AH42" s="149"/>
      <c r="AI42" s="149"/>
      <c r="AJ42" s="149">
        <v>0.1309411425733204</v>
      </c>
      <c r="AK42" s="149"/>
      <c r="AL42" s="149"/>
      <c r="AM42" s="149">
        <v>9.9905467084601945E-3</v>
      </c>
      <c r="AN42" s="149"/>
      <c r="AO42" s="149"/>
      <c r="AP42" s="149">
        <v>3.2318734162832836E-3</v>
      </c>
      <c r="AQ42" s="149"/>
      <c r="AR42" s="149"/>
      <c r="AS42" s="74">
        <v>0.93501926429496551</v>
      </c>
      <c r="AT42" s="74">
        <v>-0.21950270120323673</v>
      </c>
      <c r="AU42" s="75">
        <v>1.1815479446340222</v>
      </c>
      <c r="AV42" s="76">
        <v>293504.79711371672</v>
      </c>
      <c r="AW42" s="74">
        <v>0.20000275071675638</v>
      </c>
      <c r="AX42" s="147">
        <v>3666.9126186407902</v>
      </c>
      <c r="AY42" s="147"/>
      <c r="AZ42" s="147"/>
      <c r="BA42" s="147">
        <v>1664.6240691098001</v>
      </c>
      <c r="BB42" s="147"/>
      <c r="BC42" s="147"/>
      <c r="BD42" s="62">
        <v>6.7968647456924902</v>
      </c>
      <c r="BE42" s="63"/>
      <c r="BF42" s="64"/>
      <c r="BG42" s="147">
        <v>1.0355256815943217</v>
      </c>
      <c r="BH42" s="147"/>
      <c r="BI42" s="147"/>
      <c r="BJ42" s="147">
        <v>133.43390769405104</v>
      </c>
      <c r="BK42" s="147"/>
      <c r="BL42" s="147"/>
      <c r="BM42" s="147">
        <v>1.032688214994355</v>
      </c>
      <c r="BN42" s="147"/>
      <c r="BO42" s="147"/>
      <c r="BP42" s="147">
        <v>140.8795171392</v>
      </c>
      <c r="BQ42" s="147"/>
      <c r="BR42" s="62"/>
      <c r="BS42" s="77">
        <v>0.98899786480341201</v>
      </c>
      <c r="BT42" s="74">
        <v>0.54529995550174537</v>
      </c>
      <c r="BU42" s="78">
        <v>-0.15046696324178011</v>
      </c>
      <c r="BV42" s="79">
        <v>43190</v>
      </c>
      <c r="BW42" s="80" t="s">
        <v>71</v>
      </c>
    </row>
    <row r="43" spans="1:75" s="229" customFormat="1" ht="11.25" customHeight="1" x14ac:dyDescent="0.2">
      <c r="A43" s="138" t="s">
        <v>72</v>
      </c>
      <c r="B43" s="138"/>
      <c r="C43" s="139">
        <v>33.450000000000003</v>
      </c>
      <c r="D43" s="139"/>
      <c r="E43" s="150">
        <v>1</v>
      </c>
      <c r="F43" s="87">
        <v>0.38860355775599997</v>
      </c>
      <c r="G43" s="88"/>
      <c r="H43" s="89"/>
      <c r="I43" s="141">
        <v>1.9178282691067925</v>
      </c>
      <c r="J43" s="141"/>
      <c r="K43" s="141"/>
      <c r="L43" s="90">
        <v>1.2975000000000001</v>
      </c>
      <c r="M43" s="91"/>
      <c r="N43" s="92"/>
      <c r="O43" s="90">
        <v>1.27399</v>
      </c>
      <c r="P43" s="91"/>
      <c r="Q43" s="92"/>
      <c r="R43" s="93" t="s">
        <v>47</v>
      </c>
      <c r="S43" s="94"/>
      <c r="T43" s="95"/>
      <c r="U43" s="141">
        <v>0.42856840928713752</v>
      </c>
      <c r="V43" s="141"/>
      <c r="W43" s="141"/>
      <c r="X43" s="142">
        <v>29.575892738397371</v>
      </c>
      <c r="Y43" s="142"/>
      <c r="Z43" s="142"/>
      <c r="AA43" s="143" t="s">
        <v>47</v>
      </c>
      <c r="AB43" s="143"/>
      <c r="AC43" s="143"/>
      <c r="AD43" s="99">
        <v>0.52232250000000002</v>
      </c>
      <c r="AE43" s="100"/>
      <c r="AF43" s="101"/>
      <c r="AG43" s="143">
        <v>1.5428799145175467</v>
      </c>
      <c r="AH43" s="143"/>
      <c r="AI43" s="143"/>
      <c r="AJ43" s="143">
        <v>0.37341277183553473</v>
      </c>
      <c r="AK43" s="143"/>
      <c r="AL43" s="143"/>
      <c r="AM43" s="143">
        <v>1.134360742489481</v>
      </c>
      <c r="AN43" s="143"/>
      <c r="AO43" s="143"/>
      <c r="AP43" s="143">
        <v>0.52898399094301363</v>
      </c>
      <c r="AQ43" s="143"/>
      <c r="AR43" s="143"/>
      <c r="AS43" s="105">
        <v>16.038113893396094</v>
      </c>
      <c r="AT43" s="105">
        <v>2.0342461465099708</v>
      </c>
      <c r="AU43" s="106">
        <v>1.3859569620848144</v>
      </c>
      <c r="AV43" s="107">
        <v>1028.7339999999999</v>
      </c>
      <c r="AW43" s="108">
        <v>0.84190232047729996</v>
      </c>
      <c r="AX43" s="141">
        <v>52.949546350399899</v>
      </c>
      <c r="AY43" s="141"/>
      <c r="AZ43" s="141"/>
      <c r="BA43" s="141">
        <v>6.4716459192000002</v>
      </c>
      <c r="BB43" s="141"/>
      <c r="BC43" s="141"/>
      <c r="BD43" s="90">
        <v>4.4374859185423103</v>
      </c>
      <c r="BE43" s="91"/>
      <c r="BF43" s="92"/>
      <c r="BG43" s="141">
        <v>0.44944164093509531</v>
      </c>
      <c r="BH43" s="141"/>
      <c r="BI43" s="141"/>
      <c r="BJ43" s="141">
        <v>5.3368603944330726</v>
      </c>
      <c r="BK43" s="141"/>
      <c r="BL43" s="141"/>
      <c r="BM43" s="141">
        <v>1.0522142614050041</v>
      </c>
      <c r="BN43" s="141"/>
      <c r="BO43" s="141"/>
      <c r="BP43" s="141">
        <v>8.0362741282000005</v>
      </c>
      <c r="BQ43" s="141"/>
      <c r="BR43" s="90"/>
      <c r="BS43" s="109">
        <v>1.1101322222340999</v>
      </c>
      <c r="BT43" s="105">
        <v>0.42548554258168358</v>
      </c>
      <c r="BU43" s="108">
        <v>0.23295714182211258</v>
      </c>
      <c r="BV43" s="110">
        <v>43190</v>
      </c>
      <c r="BW43" s="111" t="s">
        <v>72</v>
      </c>
    </row>
    <row r="44" spans="1:75" s="229" customFormat="1" ht="11.25" customHeight="1" x14ac:dyDescent="0.2">
      <c r="A44" s="180" t="s">
        <v>73</v>
      </c>
      <c r="B44" s="180"/>
      <c r="C44" s="145">
        <v>470</v>
      </c>
      <c r="D44" s="145"/>
      <c r="E44" s="276">
        <v>1</v>
      </c>
      <c r="F44" s="59">
        <v>0.43452483540699999</v>
      </c>
      <c r="G44" s="60"/>
      <c r="H44" s="61"/>
      <c r="I44" s="147">
        <v>2.0057909068973898</v>
      </c>
      <c r="J44" s="147"/>
      <c r="K44" s="147"/>
      <c r="L44" s="62">
        <v>1.40191</v>
      </c>
      <c r="M44" s="63"/>
      <c r="N44" s="64"/>
      <c r="O44" s="62">
        <v>1.0501</v>
      </c>
      <c r="P44" s="63"/>
      <c r="Q44" s="64"/>
      <c r="R44" s="65">
        <v>4.8823893850666697E-2</v>
      </c>
      <c r="S44" s="66"/>
      <c r="T44" s="67"/>
      <c r="U44" s="147">
        <v>0.53473638637323828</v>
      </c>
      <c r="V44" s="147"/>
      <c r="W44" s="147"/>
      <c r="X44" s="148">
        <v>93.399133231419341</v>
      </c>
      <c r="Y44" s="148"/>
      <c r="Z44" s="148"/>
      <c r="AA44" s="149">
        <v>0.2789431</v>
      </c>
      <c r="AB44" s="149"/>
      <c r="AC44" s="149"/>
      <c r="AD44" s="71">
        <v>6.6597900000000002E-2</v>
      </c>
      <c r="AE44" s="72"/>
      <c r="AF44" s="73"/>
      <c r="AG44" s="149">
        <v>5.0603756844411742E-2</v>
      </c>
      <c r="AH44" s="149"/>
      <c r="AI44" s="149"/>
      <c r="AJ44" s="149">
        <v>8.3603891270743622E-2</v>
      </c>
      <c r="AK44" s="149"/>
      <c r="AL44" s="149"/>
      <c r="AM44" s="149" t="s">
        <v>47</v>
      </c>
      <c r="AN44" s="149"/>
      <c r="AO44" s="149"/>
      <c r="AP44" s="149">
        <v>1.8039780338429397E-2</v>
      </c>
      <c r="AQ44" s="149"/>
      <c r="AR44" s="149"/>
      <c r="AS44" s="74">
        <v>0.19108744091003027</v>
      </c>
      <c r="AT44" s="74">
        <v>0.11567511873306144</v>
      </c>
      <c r="AU44" s="75">
        <v>1.8828170218616374</v>
      </c>
      <c r="AV44" s="76">
        <v>141109.92823613269</v>
      </c>
      <c r="AW44" s="74" t="s">
        <v>47</v>
      </c>
      <c r="AX44" s="147">
        <v>992.28888760877294</v>
      </c>
      <c r="AY44" s="147"/>
      <c r="AZ44" s="147"/>
      <c r="BA44" s="147">
        <v>659.53984500000001</v>
      </c>
      <c r="BB44" s="147"/>
      <c r="BC44" s="147"/>
      <c r="BD44" s="62">
        <v>6.6421243443542197</v>
      </c>
      <c r="BE44" s="63"/>
      <c r="BF44" s="64"/>
      <c r="BG44" s="147">
        <v>1.0889537445028052</v>
      </c>
      <c r="BH44" s="147"/>
      <c r="BI44" s="147"/>
      <c r="BJ44" s="147">
        <v>30.375928501564225</v>
      </c>
      <c r="BK44" s="147"/>
      <c r="BL44" s="147"/>
      <c r="BM44" s="147">
        <v>1.3796139333249078</v>
      </c>
      <c r="BN44" s="147"/>
      <c r="BO44" s="147"/>
      <c r="BP44" s="147">
        <v>16.806729307499999</v>
      </c>
      <c r="BQ44" s="147"/>
      <c r="BR44" s="62"/>
      <c r="BS44" s="77">
        <v>0.318593366381139</v>
      </c>
      <c r="BT44" s="74">
        <v>0.37861407090599836</v>
      </c>
      <c r="BU44" s="78">
        <v>-5.6503858774445637E-2</v>
      </c>
      <c r="BV44" s="79">
        <v>43190</v>
      </c>
      <c r="BW44" s="80" t="s">
        <v>73</v>
      </c>
    </row>
    <row r="45" spans="1:75" s="229" customFormat="1" ht="11.25" customHeight="1" x14ac:dyDescent="0.2">
      <c r="A45" s="138" t="s">
        <v>74</v>
      </c>
      <c r="B45" s="138"/>
      <c r="C45" s="139" t="s">
        <v>274</v>
      </c>
      <c r="D45" s="139"/>
      <c r="E45" s="150">
        <v>1</v>
      </c>
      <c r="F45" s="87">
        <v>0.54891967553999998</v>
      </c>
      <c r="G45" s="88"/>
      <c r="H45" s="89"/>
      <c r="I45" s="141">
        <v>2.598162371689039</v>
      </c>
      <c r="J45" s="141"/>
      <c r="K45" s="141"/>
      <c r="L45" s="90">
        <v>2.0988199999999999</v>
      </c>
      <c r="M45" s="91"/>
      <c r="N45" s="92"/>
      <c r="O45" s="90">
        <v>1.7402599999999999</v>
      </c>
      <c r="P45" s="91"/>
      <c r="Q45" s="92"/>
      <c r="R45" s="93" t="s">
        <v>47</v>
      </c>
      <c r="S45" s="94"/>
      <c r="T45" s="95"/>
      <c r="U45" s="141">
        <v>1.0796059164639464</v>
      </c>
      <c r="V45" s="141"/>
      <c r="W45" s="141"/>
      <c r="X45" s="142">
        <v>30.923490275610305</v>
      </c>
      <c r="Y45" s="142"/>
      <c r="Z45" s="142"/>
      <c r="AA45" s="143">
        <v>0.2915509</v>
      </c>
      <c r="AB45" s="143"/>
      <c r="AC45" s="143"/>
      <c r="AD45" s="99">
        <v>8.74061E-2</v>
      </c>
      <c r="AE45" s="100"/>
      <c r="AF45" s="101"/>
      <c r="AG45" s="143" t="s">
        <v>47</v>
      </c>
      <c r="AH45" s="143"/>
      <c r="AI45" s="143"/>
      <c r="AJ45" s="143">
        <v>-6.0746488486546679E-2</v>
      </c>
      <c r="AK45" s="143"/>
      <c r="AL45" s="143"/>
      <c r="AM45" s="144">
        <v>-1.1577633459360697E-2</v>
      </c>
      <c r="AN45" s="144"/>
      <c r="AO45" s="144"/>
      <c r="AP45" s="143">
        <v>-4.9642419447417816E-3</v>
      </c>
      <c r="AQ45" s="143"/>
      <c r="AR45" s="143"/>
      <c r="AS45" s="105">
        <v>-2.1002277904328017</v>
      </c>
      <c r="AT45" s="105">
        <v>5.0718935781049739</v>
      </c>
      <c r="AU45" s="106">
        <v>11.565328761769361</v>
      </c>
      <c r="AV45" s="107" t="s">
        <v>47</v>
      </c>
      <c r="AW45" s="108" t="s">
        <v>47</v>
      </c>
      <c r="AX45" s="141">
        <v>25.932406359000002</v>
      </c>
      <c r="AY45" s="141"/>
      <c r="AZ45" s="141"/>
      <c r="BA45" s="141">
        <v>54.721317822000003</v>
      </c>
      <c r="BB45" s="141"/>
      <c r="BC45" s="141"/>
      <c r="BD45" s="90">
        <v>4.5194155383408896</v>
      </c>
      <c r="BE45" s="91"/>
      <c r="BF45" s="92"/>
      <c r="BG45" s="141">
        <v>3.9280251110473046</v>
      </c>
      <c r="BH45" s="141"/>
      <c r="BI45" s="141"/>
      <c r="BJ45" s="141" t="s">
        <v>47</v>
      </c>
      <c r="BK45" s="141"/>
      <c r="BL45" s="141"/>
      <c r="BM45" s="141">
        <v>1.9657764062937817</v>
      </c>
      <c r="BN45" s="141"/>
      <c r="BO45" s="141"/>
      <c r="BP45" s="141" t="s">
        <v>47</v>
      </c>
      <c r="BQ45" s="141"/>
      <c r="BR45" s="90"/>
      <c r="BS45" s="109">
        <v>0.99651264484237401</v>
      </c>
      <c r="BT45" s="105">
        <v>0.40949448336497979</v>
      </c>
      <c r="BU45" s="108">
        <v>-3.709214682419526E-2</v>
      </c>
      <c r="BV45" s="110">
        <v>42643</v>
      </c>
      <c r="BW45" s="111" t="s">
        <v>74</v>
      </c>
    </row>
    <row r="46" spans="1:75" s="229" customFormat="1" ht="11.25" customHeight="1" x14ac:dyDescent="0.2">
      <c r="A46" s="180" t="s">
        <v>75</v>
      </c>
      <c r="B46" s="180"/>
      <c r="C46" s="145">
        <v>3.87</v>
      </c>
      <c r="D46" s="145"/>
      <c r="E46" s="276">
        <v>10</v>
      </c>
      <c r="F46" s="59">
        <v>0.39500769041</v>
      </c>
      <c r="G46" s="60"/>
      <c r="H46" s="61"/>
      <c r="I46" s="147">
        <v>3.1119283813829441</v>
      </c>
      <c r="J46" s="147"/>
      <c r="K46" s="147"/>
      <c r="L46" s="62">
        <v>0.88904000000000005</v>
      </c>
      <c r="M46" s="63"/>
      <c r="N46" s="64"/>
      <c r="O46" s="62">
        <v>0.74836000000000003</v>
      </c>
      <c r="P46" s="63"/>
      <c r="Q46" s="64"/>
      <c r="R46" s="65" t="s">
        <v>47</v>
      </c>
      <c r="S46" s="66"/>
      <c r="T46" s="67"/>
      <c r="U46" s="147">
        <v>0.63108333607086875</v>
      </c>
      <c r="V46" s="147"/>
      <c r="W46" s="147"/>
      <c r="X46" s="148">
        <v>55.130932120989897</v>
      </c>
      <c r="Y46" s="148"/>
      <c r="Z46" s="148"/>
      <c r="AA46" s="149">
        <v>0.13844670000000001</v>
      </c>
      <c r="AB46" s="149"/>
      <c r="AC46" s="149"/>
      <c r="AD46" s="71" t="s">
        <v>47</v>
      </c>
      <c r="AE46" s="72"/>
      <c r="AF46" s="73"/>
      <c r="AG46" s="149" t="s">
        <v>47</v>
      </c>
      <c r="AH46" s="149"/>
      <c r="AI46" s="149"/>
      <c r="AJ46" s="149">
        <v>-0.16967475291039497</v>
      </c>
      <c r="AK46" s="149"/>
      <c r="AL46" s="149"/>
      <c r="AM46" s="149">
        <v>-0.14353217763711332</v>
      </c>
      <c r="AN46" s="149"/>
      <c r="AO46" s="149"/>
      <c r="AP46" s="149">
        <v>-5.2581348917473354E-2</v>
      </c>
      <c r="AQ46" s="149"/>
      <c r="AR46" s="149"/>
      <c r="AS46" s="74">
        <v>-0.31515672782874615</v>
      </c>
      <c r="AT46" s="74">
        <v>-1.9262301378201621</v>
      </c>
      <c r="AU46" s="75">
        <v>4.4756371942476294</v>
      </c>
      <c r="AV46" s="76">
        <v>487.31484210526304</v>
      </c>
      <c r="AW46" s="74">
        <v>73.544385951630872</v>
      </c>
      <c r="AX46" s="147">
        <v>11.939940475844999</v>
      </c>
      <c r="AY46" s="147"/>
      <c r="AZ46" s="147"/>
      <c r="BA46" s="147">
        <v>6.0474476153999994</v>
      </c>
      <c r="BB46" s="147"/>
      <c r="BC46" s="147"/>
      <c r="BD46" s="62" t="s">
        <v>47</v>
      </c>
      <c r="BE46" s="63"/>
      <c r="BF46" s="64"/>
      <c r="BG46" s="147">
        <v>3.8690565660649927</v>
      </c>
      <c r="BH46" s="147"/>
      <c r="BI46" s="147"/>
      <c r="BJ46" s="147" t="s">
        <v>47</v>
      </c>
      <c r="BK46" s="147"/>
      <c r="BL46" s="147"/>
      <c r="BM46" s="147">
        <v>2.7038115311463007</v>
      </c>
      <c r="BN46" s="147"/>
      <c r="BO46" s="147"/>
      <c r="BP46" s="147" t="s">
        <v>47</v>
      </c>
      <c r="BQ46" s="147"/>
      <c r="BR46" s="62"/>
      <c r="BS46" s="77">
        <v>0.902762502019681</v>
      </c>
      <c r="BT46" s="74">
        <v>0.51478122396089399</v>
      </c>
      <c r="BU46" s="78">
        <v>3.203883977949129E-3</v>
      </c>
      <c r="BV46" s="79">
        <v>43190</v>
      </c>
      <c r="BW46" s="80" t="s">
        <v>75</v>
      </c>
    </row>
    <row r="47" spans="1:75" s="229" customFormat="1" ht="11.25" customHeight="1" x14ac:dyDescent="0.2">
      <c r="A47" s="138" t="s">
        <v>76</v>
      </c>
      <c r="B47" s="138"/>
      <c r="C47" s="139">
        <v>84.600000000000009</v>
      </c>
      <c r="D47" s="139"/>
      <c r="E47" s="150">
        <v>1</v>
      </c>
      <c r="F47" s="87">
        <v>0.68024272644299999</v>
      </c>
      <c r="G47" s="88"/>
      <c r="H47" s="89"/>
      <c r="I47" s="141">
        <v>2.3298108193236513</v>
      </c>
      <c r="J47" s="141"/>
      <c r="K47" s="141"/>
      <c r="L47" s="90">
        <v>1.7096100000000001</v>
      </c>
      <c r="M47" s="91"/>
      <c r="N47" s="92"/>
      <c r="O47" s="90">
        <v>1.6792800000000001</v>
      </c>
      <c r="P47" s="91"/>
      <c r="Q47" s="92"/>
      <c r="R47" s="93">
        <v>0</v>
      </c>
      <c r="S47" s="94"/>
      <c r="T47" s="95"/>
      <c r="U47" s="141">
        <v>1.4080275010762069</v>
      </c>
      <c r="V47" s="141"/>
      <c r="W47" s="141"/>
      <c r="X47" s="142" t="s">
        <v>47</v>
      </c>
      <c r="Y47" s="142"/>
      <c r="Z47" s="142"/>
      <c r="AA47" s="143">
        <v>0.46730240000000001</v>
      </c>
      <c r="AB47" s="143"/>
      <c r="AC47" s="143"/>
      <c r="AD47" s="99">
        <v>0.38508980000000004</v>
      </c>
      <c r="AE47" s="100"/>
      <c r="AF47" s="101"/>
      <c r="AG47" s="143">
        <v>0.26391159209226506</v>
      </c>
      <c r="AH47" s="143"/>
      <c r="AI47" s="143"/>
      <c r="AJ47" s="143">
        <v>0.15338620066793812</v>
      </c>
      <c r="AK47" s="143"/>
      <c r="AL47" s="143"/>
      <c r="AM47" s="143">
        <v>0.75213901515357995</v>
      </c>
      <c r="AN47" s="143"/>
      <c r="AO47" s="143"/>
      <c r="AP47" s="143">
        <v>0.29727607060497507</v>
      </c>
      <c r="AQ47" s="143"/>
      <c r="AR47" s="143"/>
      <c r="AS47" s="105">
        <v>1.6095891338191826</v>
      </c>
      <c r="AT47" s="105">
        <v>1.0415695195696408</v>
      </c>
      <c r="AU47" s="106">
        <v>3.4239323333003608</v>
      </c>
      <c r="AV47" s="107">
        <v>1642.22405</v>
      </c>
      <c r="AW47" s="108">
        <v>0.45472977757540434</v>
      </c>
      <c r="AX47" s="141">
        <v>31.258143682700101</v>
      </c>
      <c r="AY47" s="141"/>
      <c r="AZ47" s="141"/>
      <c r="BA47" s="141">
        <v>66.459530422949996</v>
      </c>
      <c r="BB47" s="141"/>
      <c r="BC47" s="141"/>
      <c r="BD47" s="90">
        <v>4.6887803965989896</v>
      </c>
      <c r="BE47" s="91"/>
      <c r="BF47" s="92"/>
      <c r="BG47" s="141">
        <v>9.420835705042407</v>
      </c>
      <c r="BH47" s="141"/>
      <c r="BI47" s="141"/>
      <c r="BJ47" s="141">
        <v>17.397992444417941</v>
      </c>
      <c r="BK47" s="141"/>
      <c r="BL47" s="141"/>
      <c r="BM47" s="141">
        <v>4.5399634315828621</v>
      </c>
      <c r="BN47" s="141"/>
      <c r="BO47" s="141"/>
      <c r="BP47" s="141">
        <v>0</v>
      </c>
      <c r="BQ47" s="141"/>
      <c r="BR47" s="90"/>
      <c r="BS47" s="109">
        <v>1.0380012607584701</v>
      </c>
      <c r="BT47" s="105">
        <v>0.4912378066917954</v>
      </c>
      <c r="BU47" s="108">
        <v>0.22401899403778458</v>
      </c>
      <c r="BV47" s="110">
        <v>43190</v>
      </c>
      <c r="BW47" s="111" t="s">
        <v>76</v>
      </c>
    </row>
    <row r="48" spans="1:75" s="229" customFormat="1" ht="11.25" customHeight="1" x14ac:dyDescent="0.2">
      <c r="A48" s="180" t="s">
        <v>77</v>
      </c>
      <c r="B48" s="180"/>
      <c r="C48" s="145">
        <v>451.5</v>
      </c>
      <c r="D48" s="145"/>
      <c r="E48" s="276">
        <v>1</v>
      </c>
      <c r="F48" s="59">
        <v>8.557803030000001E-2</v>
      </c>
      <c r="G48" s="60"/>
      <c r="H48" s="61"/>
      <c r="I48" s="147">
        <v>1.2530484133561963</v>
      </c>
      <c r="J48" s="147"/>
      <c r="K48" s="147"/>
      <c r="L48" s="62">
        <v>2.57681</v>
      </c>
      <c r="M48" s="63"/>
      <c r="N48" s="64"/>
      <c r="O48" s="62">
        <v>1.4765200000000001</v>
      </c>
      <c r="P48" s="63"/>
      <c r="Q48" s="64"/>
      <c r="R48" s="65">
        <v>2.6465348512083101E-2</v>
      </c>
      <c r="S48" s="66"/>
      <c r="T48" s="67"/>
      <c r="U48" s="147">
        <v>0.5257786461164633</v>
      </c>
      <c r="V48" s="147"/>
      <c r="W48" s="147"/>
      <c r="X48" s="148">
        <v>170.34418449383247</v>
      </c>
      <c r="Y48" s="148"/>
      <c r="Z48" s="148"/>
      <c r="AA48" s="149">
        <v>0.30319479999999999</v>
      </c>
      <c r="AB48" s="149"/>
      <c r="AC48" s="149"/>
      <c r="AD48" s="71">
        <v>6.3267000000000004E-2</v>
      </c>
      <c r="AE48" s="72"/>
      <c r="AF48" s="73"/>
      <c r="AG48" s="149">
        <v>9.7563226814706625E-2</v>
      </c>
      <c r="AH48" s="149"/>
      <c r="AI48" s="149"/>
      <c r="AJ48" s="149">
        <v>-7.6553701811501645E-2</v>
      </c>
      <c r="AK48" s="149"/>
      <c r="AL48" s="149"/>
      <c r="AM48" s="149">
        <v>5.1405962403036888E-2</v>
      </c>
      <c r="AN48" s="149"/>
      <c r="AO48" s="149"/>
      <c r="AP48" s="149">
        <v>4.1037330734993285E-2</v>
      </c>
      <c r="AQ48" s="149"/>
      <c r="AR48" s="149"/>
      <c r="AS48" s="74">
        <v>1.7073128278033209</v>
      </c>
      <c r="AT48" s="74">
        <v>7.2419529614979368</v>
      </c>
      <c r="AU48" s="75">
        <v>16.092011594817361</v>
      </c>
      <c r="AV48" s="76">
        <v>18664.437942875</v>
      </c>
      <c r="AW48" s="74">
        <v>0.17151411632426447</v>
      </c>
      <c r="AX48" s="147">
        <v>521.01983992011401</v>
      </c>
      <c r="AY48" s="147"/>
      <c r="AZ48" s="147"/>
      <c r="BA48" s="147">
        <v>549.89405541400004</v>
      </c>
      <c r="BB48" s="147"/>
      <c r="BC48" s="147"/>
      <c r="BD48" s="62">
        <v>19.024379757091001</v>
      </c>
      <c r="BE48" s="63"/>
      <c r="BF48" s="64"/>
      <c r="BG48" s="147">
        <v>2.7033863001644853</v>
      </c>
      <c r="BH48" s="147"/>
      <c r="BI48" s="147"/>
      <c r="BJ48" s="147">
        <v>49.557631567488201</v>
      </c>
      <c r="BK48" s="147"/>
      <c r="BL48" s="147"/>
      <c r="BM48" s="147">
        <v>4.9882194050937594</v>
      </c>
      <c r="BN48" s="147"/>
      <c r="BO48" s="147"/>
      <c r="BP48" s="147">
        <v>274.39504363050003</v>
      </c>
      <c r="BQ48" s="147"/>
      <c r="BR48" s="62"/>
      <c r="BS48" s="77">
        <v>0.48621420253433301</v>
      </c>
      <c r="BT48" s="74">
        <v>0.41412309351728671</v>
      </c>
      <c r="BU48" s="78">
        <v>-4.1636775407736248E-2</v>
      </c>
      <c r="BV48" s="79">
        <v>43190</v>
      </c>
      <c r="BW48" s="80" t="s">
        <v>77</v>
      </c>
    </row>
    <row r="49" spans="1:75" s="229" customFormat="1" ht="11.25" customHeight="1" x14ac:dyDescent="0.2">
      <c r="A49" s="138" t="s">
        <v>78</v>
      </c>
      <c r="B49" s="138"/>
      <c r="C49" s="139">
        <v>1.07</v>
      </c>
      <c r="D49" s="139"/>
      <c r="E49" s="150">
        <v>1</v>
      </c>
      <c r="F49" s="87" t="s">
        <v>47</v>
      </c>
      <c r="G49" s="88"/>
      <c r="H49" s="89"/>
      <c r="I49" s="141">
        <v>-0.66528020034580715</v>
      </c>
      <c r="J49" s="141"/>
      <c r="K49" s="141"/>
      <c r="L49" s="90">
        <v>0.15590999999999999</v>
      </c>
      <c r="M49" s="91"/>
      <c r="N49" s="92"/>
      <c r="O49" s="90">
        <v>0.11867999999999999</v>
      </c>
      <c r="P49" s="91"/>
      <c r="Q49" s="92"/>
      <c r="R49" s="93">
        <v>0</v>
      </c>
      <c r="S49" s="94"/>
      <c r="T49" s="95"/>
      <c r="U49" s="141">
        <v>0.53394487622952469</v>
      </c>
      <c r="V49" s="141"/>
      <c r="W49" s="141"/>
      <c r="X49" s="142">
        <v>93.439852947748605</v>
      </c>
      <c r="Y49" s="142"/>
      <c r="Z49" s="142"/>
      <c r="AA49" s="143">
        <v>0.28224749999999998</v>
      </c>
      <c r="AB49" s="143"/>
      <c r="AC49" s="143"/>
      <c r="AD49" s="99" t="s">
        <v>47</v>
      </c>
      <c r="AE49" s="100"/>
      <c r="AF49" s="101"/>
      <c r="AG49" s="143" t="s">
        <v>47</v>
      </c>
      <c r="AH49" s="143"/>
      <c r="AI49" s="143"/>
      <c r="AJ49" s="143">
        <v>-2.97207262443197</v>
      </c>
      <c r="AK49" s="143"/>
      <c r="AL49" s="143"/>
      <c r="AM49" s="143" t="s">
        <v>47</v>
      </c>
      <c r="AN49" s="143"/>
      <c r="AO49" s="143"/>
      <c r="AP49" s="143">
        <v>-0.23378467498773015</v>
      </c>
      <c r="AQ49" s="143"/>
      <c r="AR49" s="143"/>
      <c r="AS49" s="105" t="s">
        <v>47</v>
      </c>
      <c r="AT49" s="105">
        <v>-0.75821799053027006</v>
      </c>
      <c r="AU49" s="106">
        <v>1.3698024788125729</v>
      </c>
      <c r="AV49" s="107">
        <v>143.74499250000002</v>
      </c>
      <c r="AW49" s="108">
        <v>0.36899586081182806</v>
      </c>
      <c r="AX49" s="141">
        <v>0.45646026899000003</v>
      </c>
      <c r="AY49" s="141"/>
      <c r="AZ49" s="141"/>
      <c r="BA49" s="141">
        <v>0.49022312899000003</v>
      </c>
      <c r="BB49" s="141"/>
      <c r="BC49" s="141"/>
      <c r="BD49" s="90" t="s">
        <v>47</v>
      </c>
      <c r="BE49" s="91"/>
      <c r="BF49" s="92"/>
      <c r="BG49" s="141" t="s">
        <v>47</v>
      </c>
      <c r="BH49" s="141"/>
      <c r="BI49" s="141"/>
      <c r="BJ49" s="141" t="s">
        <v>47</v>
      </c>
      <c r="BK49" s="141"/>
      <c r="BL49" s="141"/>
      <c r="BM49" s="141">
        <v>5.1902150427399656</v>
      </c>
      <c r="BN49" s="141"/>
      <c r="BO49" s="141"/>
      <c r="BP49" s="141" t="s">
        <v>47</v>
      </c>
      <c r="BQ49" s="141"/>
      <c r="BR49" s="90"/>
      <c r="BS49" s="109">
        <v>0.70568162702091497</v>
      </c>
      <c r="BT49" s="105">
        <v>0.52938655161368775</v>
      </c>
      <c r="BU49" s="108">
        <v>-0.15600527719711188</v>
      </c>
      <c r="BV49" s="110">
        <v>43190</v>
      </c>
      <c r="BW49" s="111" t="s">
        <v>78</v>
      </c>
    </row>
    <row r="50" spans="1:75" s="229" customFormat="1" ht="11.25" customHeight="1" x14ac:dyDescent="0.2">
      <c r="A50" s="180" t="s">
        <v>79</v>
      </c>
      <c r="B50" s="180"/>
      <c r="C50" s="145">
        <v>59</v>
      </c>
      <c r="D50" s="145"/>
      <c r="E50" s="276">
        <v>1</v>
      </c>
      <c r="F50" s="59">
        <v>0.29473781335499999</v>
      </c>
      <c r="G50" s="60"/>
      <c r="H50" s="61"/>
      <c r="I50" s="147">
        <v>1.7038067127505221</v>
      </c>
      <c r="J50" s="147"/>
      <c r="K50" s="147"/>
      <c r="L50" s="62">
        <v>2.3898100000000002</v>
      </c>
      <c r="M50" s="63"/>
      <c r="N50" s="64"/>
      <c r="O50" s="62">
        <v>2.3467899999999999</v>
      </c>
      <c r="P50" s="63"/>
      <c r="Q50" s="64"/>
      <c r="R50" s="65">
        <v>1.4353344768439101E-2</v>
      </c>
      <c r="S50" s="66"/>
      <c r="T50" s="67"/>
      <c r="U50" s="147">
        <v>0.39136188487443563</v>
      </c>
      <c r="V50" s="147"/>
      <c r="W50" s="147"/>
      <c r="X50" s="148">
        <v>1.1488075380138412</v>
      </c>
      <c r="Y50" s="148"/>
      <c r="Z50" s="148"/>
      <c r="AA50" s="149">
        <v>0.56158710000000001</v>
      </c>
      <c r="AB50" s="149"/>
      <c r="AC50" s="149"/>
      <c r="AD50" s="71">
        <v>0.40717100000000001</v>
      </c>
      <c r="AE50" s="72"/>
      <c r="AF50" s="73"/>
      <c r="AG50" s="149">
        <v>0.16154376085597383</v>
      </c>
      <c r="AH50" s="149"/>
      <c r="AI50" s="149"/>
      <c r="AJ50" s="149">
        <v>0.23599572870844646</v>
      </c>
      <c r="AK50" s="149"/>
      <c r="AL50" s="149"/>
      <c r="AM50" s="149">
        <v>9.9390485031246534E-2</v>
      </c>
      <c r="AN50" s="149"/>
      <c r="AO50" s="149"/>
      <c r="AP50" s="149">
        <v>5.0577692187955874E-2</v>
      </c>
      <c r="AQ50" s="149"/>
      <c r="AR50" s="149"/>
      <c r="AS50" s="74">
        <v>-0.32575813728251579</v>
      </c>
      <c r="AT50" s="74">
        <v>-1.4034360417807368</v>
      </c>
      <c r="AU50" s="75">
        <v>5.1967682172970537</v>
      </c>
      <c r="AV50" s="76">
        <v>421.36475000000002</v>
      </c>
      <c r="AW50" s="74">
        <v>0.78840473433859648</v>
      </c>
      <c r="AX50" s="147">
        <v>8.2336961744999897</v>
      </c>
      <c r="AY50" s="147"/>
      <c r="AZ50" s="147"/>
      <c r="BA50" s="147">
        <v>25.615500643699999</v>
      </c>
      <c r="BB50" s="147"/>
      <c r="BC50" s="147"/>
      <c r="BD50" s="62">
        <v>3.3546320705941</v>
      </c>
      <c r="BE50" s="63"/>
      <c r="BF50" s="64"/>
      <c r="BG50" s="147">
        <v>1.6882219013561202</v>
      </c>
      <c r="BH50" s="147"/>
      <c r="BI50" s="147"/>
      <c r="BJ50" s="147">
        <v>33.408833522083803</v>
      </c>
      <c r="BK50" s="147"/>
      <c r="BL50" s="147"/>
      <c r="BM50" s="147">
        <v>5.3329728767365134</v>
      </c>
      <c r="BN50" s="147"/>
      <c r="BO50" s="147"/>
      <c r="BP50" s="147">
        <v>10.5713480005</v>
      </c>
      <c r="BQ50" s="147"/>
      <c r="BR50" s="62"/>
      <c r="BS50" s="77">
        <v>1.2075757950144299</v>
      </c>
      <c r="BT50" s="74">
        <v>0.51616201130197414</v>
      </c>
      <c r="BU50" s="78">
        <v>0.19537877281421823</v>
      </c>
      <c r="BV50" s="79">
        <v>43190</v>
      </c>
      <c r="BW50" s="80" t="s">
        <v>79</v>
      </c>
    </row>
    <row r="51" spans="1:75" s="229" customFormat="1" ht="11.25" customHeight="1" x14ac:dyDescent="0.2">
      <c r="A51" s="138" t="s">
        <v>80</v>
      </c>
      <c r="B51" s="138"/>
      <c r="C51" s="139">
        <v>7.4</v>
      </c>
      <c r="D51" s="139"/>
      <c r="E51" s="150">
        <v>0.1</v>
      </c>
      <c r="F51" s="87" t="s">
        <v>47</v>
      </c>
      <c r="G51" s="88"/>
      <c r="H51" s="89"/>
      <c r="I51" s="141" t="s">
        <v>47</v>
      </c>
      <c r="J51" s="141"/>
      <c r="K51" s="141"/>
      <c r="L51" s="90" t="s">
        <v>47</v>
      </c>
      <c r="M51" s="91"/>
      <c r="N51" s="92"/>
      <c r="O51" s="90" t="s">
        <v>47</v>
      </c>
      <c r="P51" s="91"/>
      <c r="Q51" s="92"/>
      <c r="R51" s="93">
        <v>0</v>
      </c>
      <c r="S51" s="94"/>
      <c r="T51" s="95"/>
      <c r="U51" s="141" t="s">
        <v>47</v>
      </c>
      <c r="V51" s="141"/>
      <c r="W51" s="141"/>
      <c r="X51" s="142" t="s">
        <v>47</v>
      </c>
      <c r="Y51" s="142"/>
      <c r="Z51" s="142"/>
      <c r="AA51" s="143">
        <v>0.25961519999999999</v>
      </c>
      <c r="AB51" s="143"/>
      <c r="AC51" s="143"/>
      <c r="AD51" s="99">
        <v>0.1556737</v>
      </c>
      <c r="AE51" s="100"/>
      <c r="AF51" s="101"/>
      <c r="AG51" s="143" t="s">
        <v>47</v>
      </c>
      <c r="AH51" s="143"/>
      <c r="AI51" s="143"/>
      <c r="AJ51" s="143" t="s">
        <v>47</v>
      </c>
      <c r="AK51" s="143"/>
      <c r="AL51" s="143"/>
      <c r="AM51" s="143">
        <v>0</v>
      </c>
      <c r="AN51" s="143"/>
      <c r="AO51" s="143"/>
      <c r="AP51" s="143" t="s">
        <v>47</v>
      </c>
      <c r="AQ51" s="143"/>
      <c r="AR51" s="143"/>
      <c r="AS51" s="105" t="s">
        <v>47</v>
      </c>
      <c r="AT51" s="105">
        <v>-6.5876581469756559</v>
      </c>
      <c r="AU51" s="106">
        <v>14.504116845457022</v>
      </c>
      <c r="AV51" s="107" t="s">
        <v>47</v>
      </c>
      <c r="AW51" s="108" t="s">
        <v>47</v>
      </c>
      <c r="AX51" s="141">
        <v>21.499979784701001</v>
      </c>
      <c r="AY51" s="141"/>
      <c r="AZ51" s="141"/>
      <c r="BA51" s="141">
        <v>4.6384162695200004</v>
      </c>
      <c r="BB51" s="141"/>
      <c r="BC51" s="141"/>
      <c r="BD51" s="90">
        <v>24.432488204098401</v>
      </c>
      <c r="BE51" s="91"/>
      <c r="BF51" s="92"/>
      <c r="BG51" s="141" t="s">
        <v>47</v>
      </c>
      <c r="BH51" s="141"/>
      <c r="BI51" s="141"/>
      <c r="BJ51" s="141" t="s">
        <v>47</v>
      </c>
      <c r="BK51" s="141"/>
      <c r="BL51" s="141"/>
      <c r="BM51" s="141" t="s">
        <v>47</v>
      </c>
      <c r="BN51" s="141"/>
      <c r="BO51" s="141"/>
      <c r="BP51" s="141" t="s">
        <v>47</v>
      </c>
      <c r="BQ51" s="141"/>
      <c r="BR51" s="90"/>
      <c r="BS51" s="109">
        <v>1.0267106228001499</v>
      </c>
      <c r="BT51" s="105" t="s">
        <v>47</v>
      </c>
      <c r="BU51" s="108" t="s">
        <v>47</v>
      </c>
      <c r="BV51" s="110" t="s">
        <v>47</v>
      </c>
      <c r="BW51" s="111" t="s">
        <v>80</v>
      </c>
    </row>
    <row r="52" spans="1:75" s="81" customFormat="1" ht="11.25" customHeight="1" x14ac:dyDescent="0.2">
      <c r="A52" s="151" t="s">
        <v>57</v>
      </c>
      <c r="B52" s="152"/>
      <c r="C52" s="153"/>
      <c r="D52" s="154"/>
      <c r="E52" s="155"/>
      <c r="F52" s="156">
        <v>0.5846273450456666</v>
      </c>
      <c r="G52" s="157"/>
      <c r="H52" s="158"/>
      <c r="I52" s="156">
        <v>2.3361374354330202</v>
      </c>
      <c r="J52" s="157"/>
      <c r="K52" s="158"/>
      <c r="L52" s="156">
        <v>1.4970054545454545</v>
      </c>
      <c r="M52" s="157"/>
      <c r="N52" s="158"/>
      <c r="O52" s="156">
        <v>1.2471463636363638</v>
      </c>
      <c r="P52" s="157"/>
      <c r="Q52" s="158"/>
      <c r="R52" s="159">
        <v>1.2148179689684138E-2</v>
      </c>
      <c r="S52" s="160"/>
      <c r="T52" s="161"/>
      <c r="U52" s="156">
        <v>0.79315129814405616</v>
      </c>
      <c r="V52" s="157"/>
      <c r="W52" s="158"/>
      <c r="X52" s="156">
        <v>57.847568740113353</v>
      </c>
      <c r="Y52" s="157"/>
      <c r="Z52" s="158"/>
      <c r="AA52" s="162">
        <v>0.30618872000000003</v>
      </c>
      <c r="AB52" s="163"/>
      <c r="AC52" s="164"/>
      <c r="AD52" s="162">
        <v>0.20936123333333334</v>
      </c>
      <c r="AE52" s="163"/>
      <c r="AF52" s="164"/>
      <c r="AG52" s="162">
        <v>0.27630772441888429</v>
      </c>
      <c r="AH52" s="163"/>
      <c r="AI52" s="164"/>
      <c r="AJ52" s="162">
        <v>-0.22914366210600573</v>
      </c>
      <c r="AK52" s="163"/>
      <c r="AL52" s="164"/>
      <c r="AM52" s="162">
        <v>0.21571894629038332</v>
      </c>
      <c r="AN52" s="163"/>
      <c r="AO52" s="164"/>
      <c r="AP52" s="162">
        <v>6.4880204802456098E-2</v>
      </c>
      <c r="AQ52" s="163"/>
      <c r="AR52" s="164"/>
      <c r="AS52" s="165">
        <v>28.824442211631055</v>
      </c>
      <c r="AT52" s="165">
        <v>0.32546232877057368</v>
      </c>
      <c r="AU52" s="166">
        <v>5.8708202340586899</v>
      </c>
      <c r="AV52" s="167">
        <v>50468.886221732966</v>
      </c>
      <c r="AW52" s="165">
        <v>8.5653321711926136</v>
      </c>
      <c r="AX52" s="168">
        <v>473.83707507433866</v>
      </c>
      <c r="AY52" s="169"/>
      <c r="AZ52" s="170"/>
      <c r="BA52" s="168">
        <v>269.05480854185504</v>
      </c>
      <c r="BB52" s="169"/>
      <c r="BC52" s="170"/>
      <c r="BD52" s="168">
        <v>8.2853536789263451</v>
      </c>
      <c r="BE52" s="169"/>
      <c r="BF52" s="170"/>
      <c r="BG52" s="168">
        <v>2.5905065320035874</v>
      </c>
      <c r="BH52" s="169"/>
      <c r="BI52" s="170"/>
      <c r="BJ52" s="168">
        <v>36.703870919850786</v>
      </c>
      <c r="BK52" s="169"/>
      <c r="BL52" s="170"/>
      <c r="BM52" s="168">
        <v>2.6442224548657349</v>
      </c>
      <c r="BN52" s="169"/>
      <c r="BO52" s="170"/>
      <c r="BP52" s="168">
        <v>66.453107347814296</v>
      </c>
      <c r="BQ52" s="169"/>
      <c r="BR52" s="170"/>
      <c r="BS52" s="171">
        <v>0.88343766195550344</v>
      </c>
      <c r="BT52" s="165">
        <v>0.46781985492548106</v>
      </c>
      <c r="BU52" s="165">
        <v>1.4821184331826609E-2</v>
      </c>
      <c r="BV52" s="172"/>
      <c r="BW52" s="172"/>
    </row>
    <row r="53" spans="1:75" s="228" customFormat="1" ht="11.25" customHeight="1" x14ac:dyDescent="0.2">
      <c r="A53" s="173" t="s">
        <v>81</v>
      </c>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K53" s="173"/>
      <c r="AL53" s="173"/>
      <c r="AM53" s="173"/>
      <c r="AN53" s="173"/>
      <c r="AO53" s="173"/>
      <c r="AP53" s="173"/>
      <c r="AQ53" s="173"/>
      <c r="AR53" s="173"/>
      <c r="AS53" s="173"/>
      <c r="AT53" s="173"/>
      <c r="AU53" s="173"/>
      <c r="AV53" s="173"/>
      <c r="AW53" s="175"/>
      <c r="AX53" s="173"/>
      <c r="AY53" s="173"/>
      <c r="AZ53" s="173"/>
      <c r="BA53" s="173"/>
      <c r="BB53" s="173"/>
      <c r="BC53" s="173"/>
      <c r="BD53" s="173"/>
      <c r="BE53" s="173"/>
      <c r="BF53" s="173"/>
      <c r="BG53" s="173"/>
      <c r="BH53" s="173"/>
      <c r="BI53" s="173"/>
      <c r="BJ53" s="173"/>
      <c r="BK53" s="173"/>
      <c r="BL53" s="173"/>
      <c r="BM53" s="173"/>
      <c r="BN53" s="173"/>
      <c r="BO53" s="173"/>
      <c r="BP53" s="173"/>
      <c r="BQ53" s="173"/>
      <c r="BR53" s="173"/>
      <c r="BS53" s="173"/>
      <c r="BT53" s="173"/>
      <c r="BU53" s="173"/>
      <c r="BV53" s="176"/>
      <c r="BW53" s="177"/>
    </row>
    <row r="54" spans="1:75" s="229" customFormat="1" ht="11.25" customHeight="1" x14ac:dyDescent="0.2">
      <c r="A54" s="277" t="s">
        <v>82</v>
      </c>
      <c r="B54" s="180"/>
      <c r="C54" s="145">
        <v>136</v>
      </c>
      <c r="D54" s="145"/>
      <c r="E54" s="278">
        <v>0.5</v>
      </c>
      <c r="F54" s="279">
        <v>2.3585312947500001</v>
      </c>
      <c r="G54" s="279"/>
      <c r="H54" s="279"/>
      <c r="I54" s="147">
        <v>15.1468915845337</v>
      </c>
      <c r="J54" s="147"/>
      <c r="K54" s="147"/>
      <c r="L54" s="62" t="s">
        <v>47</v>
      </c>
      <c r="M54" s="63"/>
      <c r="N54" s="64"/>
      <c r="O54" s="62" t="s">
        <v>47</v>
      </c>
      <c r="P54" s="63"/>
      <c r="Q54" s="64"/>
      <c r="R54" s="65">
        <v>3.9944118459245399E-2</v>
      </c>
      <c r="S54" s="66"/>
      <c r="T54" s="67"/>
      <c r="U54" s="147" t="s">
        <v>47</v>
      </c>
      <c r="V54" s="147"/>
      <c r="W54" s="147"/>
      <c r="X54" s="148" t="s">
        <v>47</v>
      </c>
      <c r="Y54" s="148"/>
      <c r="Z54" s="148"/>
      <c r="AA54" s="149" t="s">
        <v>47</v>
      </c>
      <c r="AB54" s="149"/>
      <c r="AC54" s="149"/>
      <c r="AD54" s="71" t="s">
        <v>47</v>
      </c>
      <c r="AE54" s="72"/>
      <c r="AF54" s="73"/>
      <c r="AG54" s="149" t="s">
        <v>47</v>
      </c>
      <c r="AH54" s="149"/>
      <c r="AI54" s="149"/>
      <c r="AJ54" s="149" t="s">
        <v>47</v>
      </c>
      <c r="AK54" s="149"/>
      <c r="AL54" s="149"/>
      <c r="AM54" s="149" t="s">
        <v>47</v>
      </c>
      <c r="AN54" s="149"/>
      <c r="AO54" s="149"/>
      <c r="AP54" s="149">
        <v>2.781615444055115E-3</v>
      </c>
      <c r="AQ54" s="149"/>
      <c r="AR54" s="149"/>
      <c r="AS54" s="74">
        <v>0.66578789590865717</v>
      </c>
      <c r="AT54" s="74">
        <v>0.65471904538243175</v>
      </c>
      <c r="AU54" s="75">
        <v>0.55326285764565264</v>
      </c>
      <c r="AV54" s="76" t="s">
        <v>47</v>
      </c>
      <c r="AW54" s="74" t="s">
        <v>47</v>
      </c>
      <c r="AX54" s="147">
        <v>4586.1885785389004</v>
      </c>
      <c r="AY54" s="147"/>
      <c r="AZ54" s="147"/>
      <c r="BA54" s="147">
        <v>2194.3504474127999</v>
      </c>
      <c r="BB54" s="147"/>
      <c r="BC54" s="147"/>
      <c r="BD54" s="62">
        <v>9.5673076186469306</v>
      </c>
      <c r="BE54" s="63"/>
      <c r="BF54" s="64"/>
      <c r="BG54" s="147">
        <v>1.3328594379862311</v>
      </c>
      <c r="BH54" s="147"/>
      <c r="BI54" s="147"/>
      <c r="BJ54" s="147">
        <v>28.28299986017165</v>
      </c>
      <c r="BK54" s="147"/>
      <c r="BL54" s="147"/>
      <c r="BM54" s="147" t="s">
        <v>47</v>
      </c>
      <c r="BN54" s="147"/>
      <c r="BO54" s="147"/>
      <c r="BP54" s="147" t="s">
        <v>47</v>
      </c>
      <c r="BQ54" s="147"/>
      <c r="BR54" s="62"/>
      <c r="BS54" s="77">
        <v>0.19600451741667399</v>
      </c>
      <c r="BT54" s="74">
        <v>0.47120778034502958</v>
      </c>
      <c r="BU54" s="78">
        <v>-9.6764178579305193E-2</v>
      </c>
      <c r="BV54" s="79">
        <v>43190</v>
      </c>
      <c r="BW54" s="80" t="s">
        <v>82</v>
      </c>
    </row>
    <row r="55" spans="1:75" s="229" customFormat="1" ht="11.25" customHeight="1" x14ac:dyDescent="0.2">
      <c r="A55" s="138" t="s">
        <v>83</v>
      </c>
      <c r="B55" s="138"/>
      <c r="C55" s="139">
        <v>87</v>
      </c>
      <c r="D55" s="139"/>
      <c r="E55" s="280">
        <v>1</v>
      </c>
      <c r="F55" s="281">
        <v>0.81900458494000006</v>
      </c>
      <c r="G55" s="281"/>
      <c r="H55" s="281"/>
      <c r="I55" s="141">
        <v>6.2048551588472822</v>
      </c>
      <c r="J55" s="141"/>
      <c r="K55" s="141"/>
      <c r="L55" s="90" t="s">
        <v>47</v>
      </c>
      <c r="M55" s="91"/>
      <c r="N55" s="92"/>
      <c r="O55" s="90" t="s">
        <v>47</v>
      </c>
      <c r="P55" s="91"/>
      <c r="Q55" s="92"/>
      <c r="R55" s="93">
        <v>6.4678479248484796E-3</v>
      </c>
      <c r="S55" s="94"/>
      <c r="T55" s="95"/>
      <c r="U55" s="141" t="s">
        <v>47</v>
      </c>
      <c r="V55" s="141"/>
      <c r="W55" s="141"/>
      <c r="X55" s="142" t="s">
        <v>47</v>
      </c>
      <c r="Y55" s="142"/>
      <c r="Z55" s="142"/>
      <c r="AA55" s="143" t="s">
        <v>47</v>
      </c>
      <c r="AB55" s="143"/>
      <c r="AC55" s="143"/>
      <c r="AD55" s="99" t="s">
        <v>47</v>
      </c>
      <c r="AE55" s="100"/>
      <c r="AF55" s="101"/>
      <c r="AG55" s="143" t="s">
        <v>47</v>
      </c>
      <c r="AH55" s="143"/>
      <c r="AI55" s="143"/>
      <c r="AJ55" s="143" t="s">
        <v>47</v>
      </c>
      <c r="AK55" s="143"/>
      <c r="AL55" s="143"/>
      <c r="AM55" s="144">
        <v>0.21863913130325641</v>
      </c>
      <c r="AN55" s="144"/>
      <c r="AO55" s="144"/>
      <c r="AP55" s="143">
        <v>3.2000118070617777E-2</v>
      </c>
      <c r="AQ55" s="143"/>
      <c r="AR55" s="143"/>
      <c r="AS55" s="105">
        <v>0.59953030473828584</v>
      </c>
      <c r="AT55" s="105">
        <v>0.65855040114497643</v>
      </c>
      <c r="AU55" s="106">
        <v>0.45887993371235269</v>
      </c>
      <c r="AV55" s="107" t="s">
        <v>47</v>
      </c>
      <c r="AW55" s="108" t="s">
        <v>47</v>
      </c>
      <c r="AX55" s="141">
        <v>16.731936177600002</v>
      </c>
      <c r="AY55" s="141"/>
      <c r="AZ55" s="141"/>
      <c r="BA55" s="141">
        <v>37.679591565000003</v>
      </c>
      <c r="BB55" s="141"/>
      <c r="BC55" s="141"/>
      <c r="BD55" s="90">
        <v>4.04104730898118</v>
      </c>
      <c r="BE55" s="91"/>
      <c r="BF55" s="92"/>
      <c r="BG55" s="141">
        <v>2.5424316101762332</v>
      </c>
      <c r="BH55" s="141"/>
      <c r="BI55" s="141"/>
      <c r="BJ55" s="141">
        <v>14.811258599467815</v>
      </c>
      <c r="BK55" s="141"/>
      <c r="BL55" s="141"/>
      <c r="BM55" s="141" t="s">
        <v>47</v>
      </c>
      <c r="BN55" s="141"/>
      <c r="BO55" s="141"/>
      <c r="BP55" s="141">
        <v>11.9593923108</v>
      </c>
      <c r="BQ55" s="141"/>
      <c r="BR55" s="90"/>
      <c r="BS55" s="109">
        <v>1.03231721680955</v>
      </c>
      <c r="BT55" s="105" t="s">
        <v>47</v>
      </c>
      <c r="BU55" s="108" t="s">
        <v>47</v>
      </c>
      <c r="BV55" s="110">
        <v>43100</v>
      </c>
      <c r="BW55" s="111" t="s">
        <v>83</v>
      </c>
    </row>
    <row r="56" spans="1:75" s="229" customFormat="1" ht="11.25" customHeight="1" x14ac:dyDescent="0.2">
      <c r="A56" s="180" t="s">
        <v>84</v>
      </c>
      <c r="B56" s="180"/>
      <c r="C56" s="145">
        <v>196.5</v>
      </c>
      <c r="D56" s="145"/>
      <c r="E56" s="278">
        <v>1</v>
      </c>
      <c r="F56" s="279">
        <v>0.27287297930900001</v>
      </c>
      <c r="G56" s="279"/>
      <c r="H56" s="279"/>
      <c r="I56" s="147">
        <v>4.6253950377946094</v>
      </c>
      <c r="J56" s="147"/>
      <c r="K56" s="147"/>
      <c r="L56" s="62" t="s">
        <v>47</v>
      </c>
      <c r="M56" s="63"/>
      <c r="N56" s="64"/>
      <c r="O56" s="62" t="s">
        <v>47</v>
      </c>
      <c r="P56" s="63"/>
      <c r="Q56" s="64"/>
      <c r="R56" s="65">
        <v>2.6954461700447498E-2</v>
      </c>
      <c r="S56" s="66"/>
      <c r="T56" s="67"/>
      <c r="U56" s="147" t="s">
        <v>47</v>
      </c>
      <c r="V56" s="147"/>
      <c r="W56" s="147"/>
      <c r="X56" s="148" t="s">
        <v>47</v>
      </c>
      <c r="Y56" s="148"/>
      <c r="Z56" s="148"/>
      <c r="AA56" s="149" t="s">
        <v>47</v>
      </c>
      <c r="AB56" s="149"/>
      <c r="AC56" s="149"/>
      <c r="AD56" s="71" t="s">
        <v>47</v>
      </c>
      <c r="AE56" s="72"/>
      <c r="AF56" s="73"/>
      <c r="AG56" s="149" t="s">
        <v>47</v>
      </c>
      <c r="AH56" s="149"/>
      <c r="AI56" s="149"/>
      <c r="AJ56" s="149" t="s">
        <v>47</v>
      </c>
      <c r="AK56" s="149"/>
      <c r="AL56" s="149"/>
      <c r="AM56" s="149">
        <v>0.26425925176483056</v>
      </c>
      <c r="AN56" s="149"/>
      <c r="AO56" s="149"/>
      <c r="AP56" s="149">
        <v>5.2590180511972985E-2</v>
      </c>
      <c r="AQ56" s="149"/>
      <c r="AR56" s="149"/>
      <c r="AS56" s="74">
        <v>0.7639004380226293</v>
      </c>
      <c r="AT56" s="74">
        <v>0.44815433500241814</v>
      </c>
      <c r="AU56" s="75">
        <v>0.11877595403933269</v>
      </c>
      <c r="AV56" s="76" t="s">
        <v>47</v>
      </c>
      <c r="AW56" s="74" t="s">
        <v>47</v>
      </c>
      <c r="AX56" s="147">
        <v>118.01987277755001</v>
      </c>
      <c r="AY56" s="147"/>
      <c r="AZ56" s="147"/>
      <c r="BA56" s="147">
        <v>127.20249083895</v>
      </c>
      <c r="BB56" s="147"/>
      <c r="BC56" s="147"/>
      <c r="BD56" s="62">
        <v>5.5694033383304804</v>
      </c>
      <c r="BE56" s="63"/>
      <c r="BF56" s="64"/>
      <c r="BG56" s="147">
        <v>2.5886557200885618</v>
      </c>
      <c r="BH56" s="147"/>
      <c r="BI56" s="147"/>
      <c r="BJ56" s="147">
        <v>12.051022742395745</v>
      </c>
      <c r="BK56" s="147"/>
      <c r="BL56" s="147"/>
      <c r="BM56" s="147" t="s">
        <v>47</v>
      </c>
      <c r="BN56" s="147"/>
      <c r="BO56" s="147"/>
      <c r="BP56" s="147">
        <v>10.6228579739</v>
      </c>
      <c r="BQ56" s="147"/>
      <c r="BR56" s="62"/>
      <c r="BS56" s="77">
        <v>1.05296722921982</v>
      </c>
      <c r="BT56" s="74">
        <v>0.47410734015948508</v>
      </c>
      <c r="BU56" s="78">
        <v>0.15027805846903508</v>
      </c>
      <c r="BV56" s="79">
        <v>43190</v>
      </c>
      <c r="BW56" s="80" t="s">
        <v>84</v>
      </c>
    </row>
    <row r="57" spans="1:75" s="229" customFormat="1" ht="11.25" customHeight="1" x14ac:dyDescent="0.2">
      <c r="A57" s="138" t="s">
        <v>85</v>
      </c>
      <c r="B57" s="138"/>
      <c r="C57" s="139">
        <v>49</v>
      </c>
      <c r="D57" s="139"/>
      <c r="E57" s="280">
        <v>1</v>
      </c>
      <c r="F57" s="281">
        <v>0.53839289414500002</v>
      </c>
      <c r="G57" s="281"/>
      <c r="H57" s="281"/>
      <c r="I57" s="141">
        <v>7.1227000840535268</v>
      </c>
      <c r="J57" s="141"/>
      <c r="K57" s="141"/>
      <c r="L57" s="90" t="s">
        <v>47</v>
      </c>
      <c r="M57" s="91"/>
      <c r="N57" s="92"/>
      <c r="O57" s="90" t="s">
        <v>47</v>
      </c>
      <c r="P57" s="91"/>
      <c r="Q57" s="92"/>
      <c r="R57" s="93">
        <v>4.8850419604743102E-2</v>
      </c>
      <c r="S57" s="94"/>
      <c r="T57" s="95"/>
      <c r="U57" s="141" t="s">
        <v>47</v>
      </c>
      <c r="V57" s="141"/>
      <c r="W57" s="141"/>
      <c r="X57" s="142" t="s">
        <v>47</v>
      </c>
      <c r="Y57" s="142"/>
      <c r="Z57" s="142"/>
      <c r="AA57" s="143" t="s">
        <v>47</v>
      </c>
      <c r="AB57" s="143"/>
      <c r="AC57" s="143"/>
      <c r="AD57" s="99" t="s">
        <v>47</v>
      </c>
      <c r="AE57" s="100"/>
      <c r="AF57" s="101"/>
      <c r="AG57" s="143" t="s">
        <v>47</v>
      </c>
      <c r="AH57" s="143"/>
      <c r="AI57" s="143"/>
      <c r="AJ57" s="143" t="s">
        <v>47</v>
      </c>
      <c r="AK57" s="143"/>
      <c r="AL57" s="143"/>
      <c r="AM57" s="144">
        <v>0.31975177962536505</v>
      </c>
      <c r="AN57" s="144"/>
      <c r="AO57" s="144"/>
      <c r="AP57" s="143">
        <v>3.9348461421712853E-2</v>
      </c>
      <c r="AQ57" s="143"/>
      <c r="AR57" s="143"/>
      <c r="AS57" s="105">
        <v>9.292933589808694E-2</v>
      </c>
      <c r="AT57" s="105">
        <v>0.34231445897457558</v>
      </c>
      <c r="AU57" s="106">
        <v>0.27661379060006563</v>
      </c>
      <c r="AV57" s="107" t="s">
        <v>47</v>
      </c>
      <c r="AW57" s="108" t="s">
        <v>47</v>
      </c>
      <c r="AX57" s="141">
        <v>27.131742531</v>
      </c>
      <c r="AY57" s="141"/>
      <c r="AZ57" s="141"/>
      <c r="BA57" s="141">
        <v>36.3887489922</v>
      </c>
      <c r="BB57" s="141"/>
      <c r="BC57" s="141"/>
      <c r="BD57" s="90">
        <v>3.6711890155282898</v>
      </c>
      <c r="BE57" s="91"/>
      <c r="BF57" s="92"/>
      <c r="BG57" s="141">
        <v>2.7711510284453693</v>
      </c>
      <c r="BH57" s="141"/>
      <c r="BI57" s="141"/>
      <c r="BJ57" s="141">
        <v>9.7394595196260045</v>
      </c>
      <c r="BK57" s="141"/>
      <c r="BL57" s="141"/>
      <c r="BM57" s="141" t="s">
        <v>47</v>
      </c>
      <c r="BN57" s="141"/>
      <c r="BO57" s="141"/>
      <c r="BP57" s="141">
        <v>9.5912013864999999</v>
      </c>
      <c r="BQ57" s="141"/>
      <c r="BR57" s="90"/>
      <c r="BS57" s="109">
        <v>0.863577393628715</v>
      </c>
      <c r="BT57" s="105">
        <v>0.44572835563582197</v>
      </c>
      <c r="BU57" s="108">
        <v>0.15639219930057857</v>
      </c>
      <c r="BV57" s="110">
        <v>43190</v>
      </c>
      <c r="BW57" s="111" t="s">
        <v>85</v>
      </c>
    </row>
    <row r="58" spans="1:75" s="229" customFormat="1" ht="11.25" customHeight="1" x14ac:dyDescent="0.2">
      <c r="A58" s="180" t="s">
        <v>86</v>
      </c>
      <c r="B58" s="180"/>
      <c r="C58" s="145">
        <v>16.100000000000001</v>
      </c>
      <c r="D58" s="145"/>
      <c r="E58" s="278">
        <v>1</v>
      </c>
      <c r="F58" s="279">
        <v>8.5195824515999996E-2</v>
      </c>
      <c r="G58" s="279"/>
      <c r="H58" s="279"/>
      <c r="I58" s="147">
        <v>8.7161014668074088</v>
      </c>
      <c r="J58" s="147"/>
      <c r="K58" s="147"/>
      <c r="L58" s="62" t="s">
        <v>47</v>
      </c>
      <c r="M58" s="63"/>
      <c r="N58" s="64"/>
      <c r="O58" s="62" t="s">
        <v>47</v>
      </c>
      <c r="P58" s="63"/>
      <c r="Q58" s="64"/>
      <c r="R58" s="65">
        <v>8.4656084634920602E-3</v>
      </c>
      <c r="S58" s="66"/>
      <c r="T58" s="67"/>
      <c r="U58" s="147" t="s">
        <v>47</v>
      </c>
      <c r="V58" s="147"/>
      <c r="W58" s="147"/>
      <c r="X58" s="148" t="s">
        <v>47</v>
      </c>
      <c r="Y58" s="148"/>
      <c r="Z58" s="148"/>
      <c r="AA58" s="149" t="s">
        <v>47</v>
      </c>
      <c r="AB58" s="149"/>
      <c r="AC58" s="149"/>
      <c r="AD58" s="71" t="s">
        <v>47</v>
      </c>
      <c r="AE58" s="72"/>
      <c r="AF58" s="73"/>
      <c r="AG58" s="149" t="s">
        <v>47</v>
      </c>
      <c r="AH58" s="149"/>
      <c r="AI58" s="149"/>
      <c r="AJ58" s="149" t="s">
        <v>47</v>
      </c>
      <c r="AK58" s="149"/>
      <c r="AL58" s="149"/>
      <c r="AM58" s="149">
        <v>0.24799267515527013</v>
      </c>
      <c r="AN58" s="149"/>
      <c r="AO58" s="149"/>
      <c r="AP58" s="149">
        <v>2.9754190813071232E-2</v>
      </c>
      <c r="AQ58" s="149"/>
      <c r="AR58" s="149"/>
      <c r="AS58" s="74">
        <v>1.3976383637298873</v>
      </c>
      <c r="AT58" s="74">
        <v>0.532435048414029</v>
      </c>
      <c r="AU58" s="75">
        <v>0.77313562929157897</v>
      </c>
      <c r="AV58" s="76" t="s">
        <v>47</v>
      </c>
      <c r="AW58" s="74" t="s">
        <v>47</v>
      </c>
      <c r="AX58" s="147">
        <v>6.7673347065000096</v>
      </c>
      <c r="AY58" s="147"/>
      <c r="AZ58" s="147"/>
      <c r="BA58" s="147">
        <v>23.625</v>
      </c>
      <c r="BB58" s="147"/>
      <c r="BC58" s="147"/>
      <c r="BD58" s="62">
        <v>1.8082902833052901</v>
      </c>
      <c r="BE58" s="63"/>
      <c r="BF58" s="64"/>
      <c r="BG58" s="147">
        <v>2.8465683398705002</v>
      </c>
      <c r="BH58" s="147"/>
      <c r="BI58" s="147"/>
      <c r="BJ58" s="147">
        <v>12.585007425936059</v>
      </c>
      <c r="BK58" s="147"/>
      <c r="BL58" s="147"/>
      <c r="BM58" s="147" t="s">
        <v>47</v>
      </c>
      <c r="BN58" s="147"/>
      <c r="BO58" s="147"/>
      <c r="BP58" s="147" t="s">
        <v>47</v>
      </c>
      <c r="BQ58" s="147"/>
      <c r="BR58" s="62"/>
      <c r="BS58" s="77">
        <v>1.2436627544660801</v>
      </c>
      <c r="BT58" s="74">
        <v>0.5394528640489672</v>
      </c>
      <c r="BU58" s="78">
        <v>5.619987747420252E-2</v>
      </c>
      <c r="BV58" s="79">
        <v>43190</v>
      </c>
      <c r="BW58" s="80" t="s">
        <v>86</v>
      </c>
    </row>
    <row r="59" spans="1:75" s="229" customFormat="1" ht="11.25" customHeight="1" x14ac:dyDescent="0.2">
      <c r="A59" s="138" t="s">
        <v>87</v>
      </c>
      <c r="B59" s="138"/>
      <c r="C59" s="139">
        <v>121.7</v>
      </c>
      <c r="D59" s="139"/>
      <c r="E59" s="280">
        <v>1</v>
      </c>
      <c r="F59" s="281">
        <v>0.18213283662999999</v>
      </c>
      <c r="G59" s="281"/>
      <c r="H59" s="281"/>
      <c r="I59" s="141">
        <v>8.6597345895549935</v>
      </c>
      <c r="J59" s="141"/>
      <c r="K59" s="141"/>
      <c r="L59" s="90" t="s">
        <v>47</v>
      </c>
      <c r="M59" s="91"/>
      <c r="N59" s="92"/>
      <c r="O59" s="90" t="s">
        <v>47</v>
      </c>
      <c r="P59" s="91"/>
      <c r="Q59" s="92"/>
      <c r="R59" s="93">
        <v>1.3293541729639001E-2</v>
      </c>
      <c r="S59" s="94"/>
      <c r="T59" s="95"/>
      <c r="U59" s="141" t="s">
        <v>47</v>
      </c>
      <c r="V59" s="141"/>
      <c r="W59" s="141"/>
      <c r="X59" s="142" t="s">
        <v>47</v>
      </c>
      <c r="Y59" s="142"/>
      <c r="Z59" s="142"/>
      <c r="AA59" s="143" t="s">
        <v>47</v>
      </c>
      <c r="AB59" s="143"/>
      <c r="AC59" s="143"/>
      <c r="AD59" s="99" t="s">
        <v>47</v>
      </c>
      <c r="AE59" s="100"/>
      <c r="AF59" s="101"/>
      <c r="AG59" s="143" t="s">
        <v>47</v>
      </c>
      <c r="AH59" s="143"/>
      <c r="AI59" s="143"/>
      <c r="AJ59" s="143" t="s">
        <v>47</v>
      </c>
      <c r="AK59" s="143"/>
      <c r="AL59" s="143"/>
      <c r="AM59" s="144">
        <v>0.18310550479966975</v>
      </c>
      <c r="AN59" s="144"/>
      <c r="AO59" s="144"/>
      <c r="AP59" s="143">
        <v>1.9824699700634645E-2</v>
      </c>
      <c r="AQ59" s="143"/>
      <c r="AR59" s="143"/>
      <c r="AS59" s="105">
        <v>1.4397283677166235</v>
      </c>
      <c r="AT59" s="105">
        <v>0.27861838481145823</v>
      </c>
      <c r="AU59" s="106">
        <v>0.2967938002163697</v>
      </c>
      <c r="AV59" s="107" t="s">
        <v>47</v>
      </c>
      <c r="AW59" s="108" t="s">
        <v>47</v>
      </c>
      <c r="AX59" s="141">
        <v>42.711922596199898</v>
      </c>
      <c r="AY59" s="141"/>
      <c r="AZ59" s="141"/>
      <c r="BA59" s="141">
        <v>72.967762885799999</v>
      </c>
      <c r="BB59" s="141"/>
      <c r="BC59" s="141"/>
      <c r="BD59" s="90">
        <v>4.6264153714640601</v>
      </c>
      <c r="BE59" s="91"/>
      <c r="BF59" s="92"/>
      <c r="BG59" s="141">
        <v>2.8480020298364388</v>
      </c>
      <c r="BH59" s="141"/>
      <c r="BI59" s="141"/>
      <c r="BJ59" s="141">
        <v>18.342208028069457</v>
      </c>
      <c r="BK59" s="141"/>
      <c r="BL59" s="141"/>
      <c r="BM59" s="141" t="s">
        <v>47</v>
      </c>
      <c r="BN59" s="141"/>
      <c r="BO59" s="141"/>
      <c r="BP59" s="141">
        <v>27.361023388300001</v>
      </c>
      <c r="BQ59" s="141"/>
      <c r="BR59" s="90"/>
      <c r="BS59" s="109">
        <v>0.97888846168129795</v>
      </c>
      <c r="BT59" s="105">
        <v>0.48056999581887833</v>
      </c>
      <c r="BU59" s="108">
        <v>0.13217247070223426</v>
      </c>
      <c r="BV59" s="110">
        <v>43100</v>
      </c>
      <c r="BW59" s="111" t="s">
        <v>87</v>
      </c>
    </row>
    <row r="60" spans="1:75" s="229" customFormat="1" ht="11.25" customHeight="1" x14ac:dyDescent="0.2">
      <c r="A60" s="180" t="s">
        <v>88</v>
      </c>
      <c r="B60" s="180"/>
      <c r="C60" s="145">
        <v>6.07</v>
      </c>
      <c r="D60" s="145"/>
      <c r="E60" s="278">
        <v>1</v>
      </c>
      <c r="F60" s="279">
        <v>0</v>
      </c>
      <c r="G60" s="279"/>
      <c r="H60" s="279"/>
      <c r="I60" s="147">
        <v>5.4465282775727664</v>
      </c>
      <c r="J60" s="147"/>
      <c r="K60" s="147"/>
      <c r="L60" s="62">
        <v>1.1602399999999999</v>
      </c>
      <c r="M60" s="63"/>
      <c r="N60" s="64"/>
      <c r="O60" s="62">
        <v>1.1602399999999999</v>
      </c>
      <c r="P60" s="63"/>
      <c r="Q60" s="64"/>
      <c r="R60" s="65">
        <v>0</v>
      </c>
      <c r="S60" s="66"/>
      <c r="T60" s="67"/>
      <c r="U60" s="147">
        <v>0.18702260118733435</v>
      </c>
      <c r="V60" s="147"/>
      <c r="W60" s="147"/>
      <c r="X60" s="148" t="s">
        <v>47</v>
      </c>
      <c r="Y60" s="148"/>
      <c r="Z60" s="148"/>
      <c r="AA60" s="149">
        <v>0.97767939999999998</v>
      </c>
      <c r="AB60" s="149"/>
      <c r="AC60" s="149"/>
      <c r="AD60" s="71">
        <v>0.57028120000000004</v>
      </c>
      <c r="AE60" s="72"/>
      <c r="AF60" s="73"/>
      <c r="AG60" s="149">
        <v>0.40898263058741419</v>
      </c>
      <c r="AH60" s="149"/>
      <c r="AI60" s="149"/>
      <c r="AJ60" s="149">
        <v>0.6162256271467671</v>
      </c>
      <c r="AK60" s="149"/>
      <c r="AL60" s="149"/>
      <c r="AM60" s="149">
        <v>0.38346986167287372</v>
      </c>
      <c r="AN60" s="149"/>
      <c r="AO60" s="149"/>
      <c r="AP60" s="149">
        <v>6.1191274758985482E-2</v>
      </c>
      <c r="AQ60" s="149"/>
      <c r="AR60" s="149"/>
      <c r="AS60" s="74">
        <v>1.3768764651497651</v>
      </c>
      <c r="AT60" s="74">
        <v>0.68194314701275671</v>
      </c>
      <c r="AU60" s="75">
        <v>0.92532448485427288</v>
      </c>
      <c r="AV60" s="76">
        <v>222.51037649999998</v>
      </c>
      <c r="AW60" s="74">
        <v>0.44053134944996375</v>
      </c>
      <c r="AX60" s="147">
        <v>-1.1955826199999999</v>
      </c>
      <c r="AY60" s="147"/>
      <c r="AZ60" s="147"/>
      <c r="BA60" s="147">
        <v>5.1764715900000002</v>
      </c>
      <c r="BB60" s="147"/>
      <c r="BC60" s="147"/>
      <c r="BD60" s="62">
        <v>-2.0231275471687402</v>
      </c>
      <c r="BE60" s="63"/>
      <c r="BF60" s="64"/>
      <c r="BG60" s="147">
        <v>3.3247065123544788</v>
      </c>
      <c r="BH60" s="147"/>
      <c r="BI60" s="147"/>
      <c r="BJ60" s="147">
        <v>10.172786539073892</v>
      </c>
      <c r="BK60" s="147"/>
      <c r="BL60" s="147"/>
      <c r="BM60" s="147">
        <v>4.1154545943055769</v>
      </c>
      <c r="BN60" s="147"/>
      <c r="BO60" s="147"/>
      <c r="BP60" s="147">
        <v>0</v>
      </c>
      <c r="BQ60" s="147"/>
      <c r="BR60" s="62"/>
      <c r="BS60" s="77">
        <v>1.0786365905969799</v>
      </c>
      <c r="BT60" s="74">
        <v>0.37455500025470312</v>
      </c>
      <c r="BU60" s="78">
        <v>3.6843141287349113E-2</v>
      </c>
      <c r="BV60" s="79">
        <v>43100</v>
      </c>
      <c r="BW60" s="80" t="s">
        <v>88</v>
      </c>
    </row>
    <row r="61" spans="1:75" s="229" customFormat="1" ht="11.25" customHeight="1" x14ac:dyDescent="0.2">
      <c r="A61" s="82" t="s">
        <v>89</v>
      </c>
      <c r="B61" s="83"/>
      <c r="C61" s="84">
        <v>105.8</v>
      </c>
      <c r="D61" s="85"/>
      <c r="E61" s="280">
        <v>1</v>
      </c>
      <c r="F61" s="87">
        <v>0.41152477803699999</v>
      </c>
      <c r="G61" s="88"/>
      <c r="H61" s="89"/>
      <c r="I61" s="90">
        <v>7.332962434016304</v>
      </c>
      <c r="J61" s="91"/>
      <c r="K61" s="92"/>
      <c r="L61" s="90" t="s">
        <v>47</v>
      </c>
      <c r="M61" s="91"/>
      <c r="N61" s="92"/>
      <c r="O61" s="90" t="s">
        <v>47</v>
      </c>
      <c r="P61" s="91"/>
      <c r="Q61" s="92"/>
      <c r="R61" s="93">
        <v>8.0407625468451212E-3</v>
      </c>
      <c r="S61" s="94"/>
      <c r="T61" s="95"/>
      <c r="U61" s="90" t="s">
        <v>47</v>
      </c>
      <c r="V61" s="91"/>
      <c r="W61" s="92"/>
      <c r="X61" s="96" t="s">
        <v>47</v>
      </c>
      <c r="Y61" s="97"/>
      <c r="Z61" s="98"/>
      <c r="AA61" s="99" t="s">
        <v>47</v>
      </c>
      <c r="AB61" s="100"/>
      <c r="AC61" s="101"/>
      <c r="AD61" s="99" t="s">
        <v>47</v>
      </c>
      <c r="AE61" s="100"/>
      <c r="AF61" s="101"/>
      <c r="AG61" s="99" t="s">
        <v>47</v>
      </c>
      <c r="AH61" s="100"/>
      <c r="AI61" s="101"/>
      <c r="AJ61" s="99" t="s">
        <v>47</v>
      </c>
      <c r="AK61" s="100"/>
      <c r="AL61" s="101"/>
      <c r="AM61" s="102">
        <v>0.26765331739691228</v>
      </c>
      <c r="AN61" s="103"/>
      <c r="AO61" s="104"/>
      <c r="AP61" s="99">
        <v>3.28152022028858E-2</v>
      </c>
      <c r="AQ61" s="100"/>
      <c r="AR61" s="101"/>
      <c r="AS61" s="105">
        <v>0.82720729991259456</v>
      </c>
      <c r="AT61" s="105">
        <v>0.45321782008758882</v>
      </c>
      <c r="AU61" s="106">
        <v>0.21370488875665247</v>
      </c>
      <c r="AV61" s="107" t="s">
        <v>47</v>
      </c>
      <c r="AW61" s="108" t="s">
        <v>47</v>
      </c>
      <c r="AX61" s="90">
        <v>95.239633792599903</v>
      </c>
      <c r="AY61" s="91"/>
      <c r="AZ61" s="92"/>
      <c r="BA61" s="90">
        <v>149.23957684620001</v>
      </c>
      <c r="BB61" s="91"/>
      <c r="BC61" s="92"/>
      <c r="BD61" s="90">
        <v>4.1514874074014001</v>
      </c>
      <c r="BE61" s="91"/>
      <c r="BF61" s="92"/>
      <c r="BG61" s="90">
        <v>3.4228443501199894</v>
      </c>
      <c r="BH61" s="91"/>
      <c r="BI61" s="92"/>
      <c r="BJ61" s="90">
        <v>14.997476795019363</v>
      </c>
      <c r="BK61" s="91"/>
      <c r="BL61" s="92"/>
      <c r="BM61" s="90" t="s">
        <v>47</v>
      </c>
      <c r="BN61" s="91"/>
      <c r="BO61" s="92"/>
      <c r="BP61" s="90">
        <v>11.208007927900001</v>
      </c>
      <c r="BQ61" s="91"/>
      <c r="BR61" s="92"/>
      <c r="BS61" s="109">
        <v>1.1030149498127499</v>
      </c>
      <c r="BT61" s="105">
        <v>0.47620360220459701</v>
      </c>
      <c r="BU61" s="108">
        <v>0.22480361706879481</v>
      </c>
      <c r="BV61" s="110">
        <v>43190</v>
      </c>
      <c r="BW61" s="111" t="s">
        <v>89</v>
      </c>
    </row>
    <row r="62" spans="1:75" s="229" customFormat="1" ht="11.25" customHeight="1" x14ac:dyDescent="0.2">
      <c r="A62" s="180" t="s">
        <v>90</v>
      </c>
      <c r="B62" s="180"/>
      <c r="C62" s="145">
        <v>43.5</v>
      </c>
      <c r="D62" s="145"/>
      <c r="E62" s="278">
        <v>1</v>
      </c>
      <c r="F62" s="279">
        <v>1.8160288687299999</v>
      </c>
      <c r="G62" s="279"/>
      <c r="H62" s="279"/>
      <c r="I62" s="147">
        <v>13.121425207699179</v>
      </c>
      <c r="J62" s="147"/>
      <c r="K62" s="147"/>
      <c r="L62" s="62" t="s">
        <v>47</v>
      </c>
      <c r="M62" s="63"/>
      <c r="N62" s="64"/>
      <c r="O62" s="62" t="s">
        <v>47</v>
      </c>
      <c r="P62" s="63"/>
      <c r="Q62" s="64"/>
      <c r="R62" s="65">
        <v>1.64318181818182E-2</v>
      </c>
      <c r="S62" s="66"/>
      <c r="T62" s="67"/>
      <c r="U62" s="147" t="s">
        <v>47</v>
      </c>
      <c r="V62" s="147"/>
      <c r="W62" s="147"/>
      <c r="X62" s="148" t="s">
        <v>47</v>
      </c>
      <c r="Y62" s="148"/>
      <c r="Z62" s="148"/>
      <c r="AA62" s="149" t="s">
        <v>47</v>
      </c>
      <c r="AB62" s="149"/>
      <c r="AC62" s="149"/>
      <c r="AD62" s="71" t="s">
        <v>47</v>
      </c>
      <c r="AE62" s="72"/>
      <c r="AF62" s="73"/>
      <c r="AG62" s="149" t="s">
        <v>47</v>
      </c>
      <c r="AH62" s="149"/>
      <c r="AI62" s="149"/>
      <c r="AJ62" s="149" t="s">
        <v>47</v>
      </c>
      <c r="AK62" s="149"/>
      <c r="AL62" s="149"/>
      <c r="AM62" s="149">
        <v>0.23287796797612387</v>
      </c>
      <c r="AN62" s="149"/>
      <c r="AO62" s="149"/>
      <c r="AP62" s="149">
        <v>1.9521838560184527E-2</v>
      </c>
      <c r="AQ62" s="149"/>
      <c r="AR62" s="149"/>
      <c r="AS62" s="74">
        <v>-4.7343666501403536E-2</v>
      </c>
      <c r="AT62" s="74">
        <v>0.2395332461183631</v>
      </c>
      <c r="AU62" s="75">
        <v>0.12621584070722022</v>
      </c>
      <c r="AV62" s="76" t="s">
        <v>47</v>
      </c>
      <c r="AW62" s="74" t="s">
        <v>47</v>
      </c>
      <c r="AX62" s="147">
        <v>58.940967467500101</v>
      </c>
      <c r="AY62" s="147"/>
      <c r="AZ62" s="147"/>
      <c r="BA62" s="147">
        <v>97.491752099999999</v>
      </c>
      <c r="BB62" s="147"/>
      <c r="BC62" s="147"/>
      <c r="BD62" s="62">
        <v>4.7159976245572297</v>
      </c>
      <c r="BE62" s="63"/>
      <c r="BF62" s="64"/>
      <c r="BG62" s="147">
        <v>4.4187243808446821</v>
      </c>
      <c r="BH62" s="147"/>
      <c r="BI62" s="147"/>
      <c r="BJ62" s="147">
        <v>16.756871280263486</v>
      </c>
      <c r="BK62" s="147"/>
      <c r="BL62" s="147"/>
      <c r="BM62" s="147" t="s">
        <v>47</v>
      </c>
      <c r="BN62" s="147"/>
      <c r="BO62" s="147"/>
      <c r="BP62" s="147">
        <v>22.978280568900001</v>
      </c>
      <c r="BQ62" s="147"/>
      <c r="BR62" s="62"/>
      <c r="BS62" s="77">
        <v>0.64872331508018799</v>
      </c>
      <c r="BT62" s="74">
        <v>0.4439319861189911</v>
      </c>
      <c r="BU62" s="78">
        <v>0.13629195900816171</v>
      </c>
      <c r="BV62" s="79">
        <v>43100</v>
      </c>
      <c r="BW62" s="80" t="s">
        <v>90</v>
      </c>
    </row>
    <row r="63" spans="1:75" s="229" customFormat="1" ht="11.25" customHeight="1" x14ac:dyDescent="0.2">
      <c r="A63" s="181" t="s">
        <v>91</v>
      </c>
      <c r="B63" s="181"/>
      <c r="C63" s="282">
        <v>330</v>
      </c>
      <c r="D63" s="282"/>
      <c r="E63" s="283">
        <v>1</v>
      </c>
      <c r="F63" s="284">
        <v>0.94890164593999993</v>
      </c>
      <c r="G63" s="284"/>
      <c r="H63" s="284"/>
      <c r="I63" s="194">
        <v>3.5750432781025854</v>
      </c>
      <c r="J63" s="194"/>
      <c r="K63" s="194"/>
      <c r="L63" s="188">
        <v>1.2455400000000001</v>
      </c>
      <c r="M63" s="189"/>
      <c r="N63" s="190"/>
      <c r="O63" s="188">
        <v>1.2455400000000001</v>
      </c>
      <c r="P63" s="189"/>
      <c r="Q63" s="190"/>
      <c r="R63" s="191">
        <v>5.0897736143637792E-3</v>
      </c>
      <c r="S63" s="192"/>
      <c r="T63" s="193"/>
      <c r="U63" s="194">
        <v>7.1890731855288464E-2</v>
      </c>
      <c r="V63" s="194"/>
      <c r="W63" s="194"/>
      <c r="X63" s="195" t="s">
        <v>47</v>
      </c>
      <c r="Y63" s="195"/>
      <c r="Z63" s="195"/>
      <c r="AA63" s="196">
        <v>0.99055809999999989</v>
      </c>
      <c r="AB63" s="196"/>
      <c r="AC63" s="196"/>
      <c r="AD63" s="285">
        <v>1.5872769</v>
      </c>
      <c r="AE63" s="286"/>
      <c r="AF63" s="287"/>
      <c r="AG63" s="196">
        <v>1.4227586276892679</v>
      </c>
      <c r="AH63" s="196"/>
      <c r="AI63" s="196"/>
      <c r="AJ63" s="196">
        <v>-1.2477747698385302</v>
      </c>
      <c r="AK63" s="196"/>
      <c r="AL63" s="196"/>
      <c r="AM63" s="288">
        <v>0.32226998284008662</v>
      </c>
      <c r="AN63" s="288"/>
      <c r="AO63" s="288"/>
      <c r="AP63" s="196">
        <v>8.1826576835568543E-2</v>
      </c>
      <c r="AQ63" s="196"/>
      <c r="AR63" s="196"/>
      <c r="AS63" s="197">
        <v>2.4971063487519478</v>
      </c>
      <c r="AT63" s="197" t="s">
        <v>47</v>
      </c>
      <c r="AU63" s="198" t="s">
        <v>47</v>
      </c>
      <c r="AV63" s="199">
        <v>233.79484799999994</v>
      </c>
      <c r="AW63" s="200">
        <v>6.6304850146375799E-2</v>
      </c>
      <c r="AX63" s="194">
        <v>18.842257010000001</v>
      </c>
      <c r="AY63" s="194"/>
      <c r="AZ63" s="194"/>
      <c r="BA63" s="194">
        <v>24.419062499999999</v>
      </c>
      <c r="BB63" s="194"/>
      <c r="BC63" s="194"/>
      <c r="BD63" s="188">
        <v>33.853963142373203</v>
      </c>
      <c r="BE63" s="189"/>
      <c r="BF63" s="190"/>
      <c r="BG63" s="194">
        <v>6.1858795323018905</v>
      </c>
      <c r="BH63" s="194"/>
      <c r="BI63" s="194"/>
      <c r="BJ63" s="194">
        <v>17.93755123073344</v>
      </c>
      <c r="BK63" s="194"/>
      <c r="BL63" s="194"/>
      <c r="BM63" s="194">
        <v>23.85368321602429</v>
      </c>
      <c r="BN63" s="194"/>
      <c r="BO63" s="194"/>
      <c r="BP63" s="194">
        <v>17.372593819799999</v>
      </c>
      <c r="BQ63" s="194"/>
      <c r="BR63" s="188"/>
      <c r="BS63" s="201">
        <v>0.88250354139864395</v>
      </c>
      <c r="BT63" s="197" t="s">
        <v>47</v>
      </c>
      <c r="BU63" s="200" t="s">
        <v>47</v>
      </c>
      <c r="BV63" s="202">
        <v>43190</v>
      </c>
      <c r="BW63" s="203" t="s">
        <v>91</v>
      </c>
    </row>
    <row r="64" spans="1:75" s="229" customFormat="1" ht="11.25" customHeight="1" x14ac:dyDescent="0.2">
      <c r="A64" s="204" t="s">
        <v>57</v>
      </c>
      <c r="B64" s="204"/>
      <c r="C64" s="289"/>
      <c r="D64" s="289"/>
      <c r="E64" s="290"/>
      <c r="F64" s="291">
        <v>0.74325857069970014</v>
      </c>
      <c r="G64" s="291"/>
      <c r="H64" s="291"/>
      <c r="I64" s="217">
        <v>7.9951637118982344</v>
      </c>
      <c r="J64" s="217"/>
      <c r="K64" s="217"/>
      <c r="L64" s="211"/>
      <c r="M64" s="212"/>
      <c r="N64" s="213"/>
      <c r="O64" s="211"/>
      <c r="P64" s="212"/>
      <c r="Q64" s="213"/>
      <c r="R64" s="214">
        <v>1.7353835222544266E-2</v>
      </c>
      <c r="S64" s="215"/>
      <c r="T64" s="216"/>
      <c r="U64" s="217"/>
      <c r="V64" s="217"/>
      <c r="W64" s="217"/>
      <c r="X64" s="218"/>
      <c r="Y64" s="218"/>
      <c r="Z64" s="218"/>
      <c r="AA64" s="219"/>
      <c r="AB64" s="219"/>
      <c r="AC64" s="219"/>
      <c r="AD64" s="292"/>
      <c r="AE64" s="293"/>
      <c r="AF64" s="294"/>
      <c r="AG64" s="219"/>
      <c r="AH64" s="219"/>
      <c r="AI64" s="219"/>
      <c r="AJ64" s="219"/>
      <c r="AK64" s="219"/>
      <c r="AL64" s="219"/>
      <c r="AM64" s="219">
        <v>0.27111327472604319</v>
      </c>
      <c r="AN64" s="219"/>
      <c r="AO64" s="219"/>
      <c r="AP64" s="219">
        <v>3.7165415831968897E-2</v>
      </c>
      <c r="AQ64" s="219"/>
      <c r="AR64" s="219"/>
      <c r="AS64" s="220">
        <v>0.96133611533270735</v>
      </c>
      <c r="AT64" s="220">
        <v>0.47660954299428859</v>
      </c>
      <c r="AU64" s="221">
        <v>0.41585635331372195</v>
      </c>
      <c r="AV64" s="222">
        <v>228.15261224999995</v>
      </c>
      <c r="AW64" s="220">
        <v>0.25341809979816976</v>
      </c>
      <c r="AX64" s="217">
        <v>496.93786629778498</v>
      </c>
      <c r="AY64" s="217"/>
      <c r="AZ64" s="217"/>
      <c r="BA64" s="217">
        <v>276.85409047309497</v>
      </c>
      <c r="BB64" s="217"/>
      <c r="BC64" s="217"/>
      <c r="BD64" s="211">
        <v>6.9981973563419331</v>
      </c>
      <c r="BE64" s="212"/>
      <c r="BF64" s="213"/>
      <c r="BG64" s="217">
        <v>3.2281822942024379</v>
      </c>
      <c r="BH64" s="217"/>
      <c r="BI64" s="217"/>
      <c r="BJ64" s="217">
        <v>15.567664202075694</v>
      </c>
      <c r="BK64" s="217"/>
      <c r="BL64" s="217"/>
      <c r="BM64" s="217"/>
      <c r="BN64" s="217"/>
      <c r="BO64" s="217"/>
      <c r="BP64" s="217">
        <v>13.8866696720125</v>
      </c>
      <c r="BQ64" s="217"/>
      <c r="BR64" s="211"/>
      <c r="BS64" s="223">
        <v>0.90802959701106967</v>
      </c>
      <c r="BT64" s="220">
        <v>0.46321961557330926</v>
      </c>
      <c r="BU64" s="295">
        <v>9.9527143091381359E-2</v>
      </c>
      <c r="BV64" s="226"/>
      <c r="BW64" s="80"/>
    </row>
    <row r="65" spans="1:75" s="228" customFormat="1" ht="11.25" customHeight="1" x14ac:dyDescent="0.2">
      <c r="A65" s="173" t="s">
        <v>92</v>
      </c>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173"/>
      <c r="AM65" s="173"/>
      <c r="AN65" s="173"/>
      <c r="AO65" s="173"/>
      <c r="AP65" s="173"/>
      <c r="AQ65" s="173"/>
      <c r="AR65" s="173"/>
      <c r="AS65" s="173"/>
      <c r="AT65" s="173"/>
      <c r="AU65" s="173"/>
      <c r="AV65" s="173"/>
      <c r="AW65" s="175"/>
      <c r="AX65" s="173"/>
      <c r="AY65" s="173"/>
      <c r="AZ65" s="173"/>
      <c r="BA65" s="173"/>
      <c r="BB65" s="173"/>
      <c r="BC65" s="173"/>
      <c r="BD65" s="173"/>
      <c r="BE65" s="173"/>
      <c r="BF65" s="173"/>
      <c r="BG65" s="173"/>
      <c r="BH65" s="173"/>
      <c r="BI65" s="173"/>
      <c r="BJ65" s="173"/>
      <c r="BK65" s="173"/>
      <c r="BL65" s="173"/>
      <c r="BM65" s="173"/>
      <c r="BN65" s="173"/>
      <c r="BO65" s="173"/>
      <c r="BP65" s="173"/>
      <c r="BQ65" s="173"/>
      <c r="BR65" s="173"/>
      <c r="BS65" s="173"/>
      <c r="BT65" s="173"/>
      <c r="BU65" s="173"/>
      <c r="BV65" s="176"/>
      <c r="BW65" s="177"/>
    </row>
    <row r="66" spans="1:75" s="229" customFormat="1" ht="11.25" customHeight="1" x14ac:dyDescent="0.2">
      <c r="A66" s="180" t="s">
        <v>93</v>
      </c>
      <c r="B66" s="180"/>
      <c r="C66" s="145">
        <v>8.35</v>
      </c>
      <c r="D66" s="145"/>
      <c r="E66" s="276">
        <v>1</v>
      </c>
      <c r="F66" s="59">
        <v>1.58521239E-4</v>
      </c>
      <c r="G66" s="60"/>
      <c r="H66" s="61"/>
      <c r="I66" s="147">
        <v>1.2034123300305601</v>
      </c>
      <c r="J66" s="147"/>
      <c r="K66" s="147"/>
      <c r="L66" s="62">
        <v>1.56084</v>
      </c>
      <c r="M66" s="63"/>
      <c r="N66" s="64"/>
      <c r="O66" s="62">
        <v>0.83933000000000002</v>
      </c>
      <c r="P66" s="63"/>
      <c r="Q66" s="64"/>
      <c r="R66" s="65">
        <v>1.9392889518545498E-2</v>
      </c>
      <c r="S66" s="66"/>
      <c r="T66" s="67"/>
      <c r="U66" s="147">
        <v>0.14740343805245901</v>
      </c>
      <c r="V66" s="147"/>
      <c r="W66" s="147"/>
      <c r="X66" s="148">
        <v>59.96283327785855</v>
      </c>
      <c r="Y66" s="148"/>
      <c r="Z66" s="148"/>
      <c r="AA66" s="149">
        <v>0</v>
      </c>
      <c r="AB66" s="149"/>
      <c r="AC66" s="149"/>
      <c r="AD66" s="149">
        <v>0.1153238</v>
      </c>
      <c r="AE66" s="149"/>
      <c r="AF66" s="149"/>
      <c r="AG66" s="149">
        <v>3.6467904786393386</v>
      </c>
      <c r="AH66" s="149"/>
      <c r="AI66" s="149"/>
      <c r="AJ66" s="71" t="s">
        <v>47</v>
      </c>
      <c r="AK66" s="72"/>
      <c r="AL66" s="73"/>
      <c r="AM66" s="71">
        <v>0.50630923755925505</v>
      </c>
      <c r="AN66" s="72"/>
      <c r="AO66" s="73"/>
      <c r="AP66" s="71">
        <v>0.43004524305299413</v>
      </c>
      <c r="AQ66" s="72"/>
      <c r="AR66" s="73"/>
      <c r="AS66" s="74">
        <v>425.64737909386372</v>
      </c>
      <c r="AT66" s="74">
        <v>-0.1172932603730715</v>
      </c>
      <c r="AU66" s="75">
        <v>0.31071918403161647</v>
      </c>
      <c r="AV66" s="76">
        <v>13.764454999999998</v>
      </c>
      <c r="AW66" s="74">
        <v>37.404046662620459</v>
      </c>
      <c r="AX66" s="62">
        <v>1.0113289599999999</v>
      </c>
      <c r="AY66" s="63"/>
      <c r="AZ66" s="64"/>
      <c r="BA66" s="62">
        <v>1.0164</v>
      </c>
      <c r="BB66" s="63"/>
      <c r="BC66" s="64"/>
      <c r="BD66" s="62">
        <v>80.340781967573804</v>
      </c>
      <c r="BE66" s="63"/>
      <c r="BF66" s="64"/>
      <c r="BG66" s="62">
        <v>1.3117397025239181</v>
      </c>
      <c r="BH66" s="63"/>
      <c r="BI66" s="64"/>
      <c r="BJ66" s="62">
        <v>2.9473015424799685</v>
      </c>
      <c r="BK66" s="63"/>
      <c r="BL66" s="64"/>
      <c r="BM66" s="62">
        <v>10.542456257467444</v>
      </c>
      <c r="BN66" s="63"/>
      <c r="BO66" s="64"/>
      <c r="BP66" s="62" t="s">
        <v>47</v>
      </c>
      <c r="BQ66" s="63"/>
      <c r="BR66" s="64"/>
      <c r="BS66" s="77">
        <v>0.53290294323748399</v>
      </c>
      <c r="BT66" s="74">
        <v>0.33699365925902458</v>
      </c>
      <c r="BU66" s="78">
        <v>-4.6026963648016284E-2</v>
      </c>
      <c r="BV66" s="79">
        <v>43190</v>
      </c>
      <c r="BW66" s="80" t="s">
        <v>93</v>
      </c>
    </row>
    <row r="67" spans="1:75" s="229" customFormat="1" ht="11.25" customHeight="1" x14ac:dyDescent="0.2">
      <c r="A67" s="138" t="s">
        <v>94</v>
      </c>
      <c r="B67" s="138"/>
      <c r="C67" s="139">
        <v>28.35</v>
      </c>
      <c r="D67" s="139"/>
      <c r="E67" s="150">
        <v>1</v>
      </c>
      <c r="F67" s="87">
        <v>0</v>
      </c>
      <c r="G67" s="88"/>
      <c r="H67" s="89"/>
      <c r="I67" s="141">
        <v>2.0213333383883234</v>
      </c>
      <c r="J67" s="141"/>
      <c r="K67" s="141"/>
      <c r="L67" s="90">
        <v>2.1321500000000002</v>
      </c>
      <c r="M67" s="91"/>
      <c r="N67" s="92"/>
      <c r="O67" s="90">
        <v>2.1009199999999999</v>
      </c>
      <c r="P67" s="91"/>
      <c r="Q67" s="92"/>
      <c r="R67" s="93">
        <v>8.7654555755395713E-2</v>
      </c>
      <c r="S67" s="94"/>
      <c r="T67" s="95"/>
      <c r="U67" s="141">
        <v>2.5015648309124563</v>
      </c>
      <c r="V67" s="141"/>
      <c r="W67" s="141"/>
      <c r="X67" s="142">
        <v>-3.0011881653056811</v>
      </c>
      <c r="Y67" s="142"/>
      <c r="Z67" s="142"/>
      <c r="AA67" s="143">
        <v>0.41534329999999997</v>
      </c>
      <c r="AB67" s="143"/>
      <c r="AC67" s="143"/>
      <c r="AD67" s="143">
        <v>0.26131319999999997</v>
      </c>
      <c r="AE67" s="143"/>
      <c r="AF67" s="143"/>
      <c r="AG67" s="143">
        <v>0.25050700950321253</v>
      </c>
      <c r="AH67" s="143"/>
      <c r="AI67" s="143"/>
      <c r="AJ67" s="99">
        <v>0.22808390903996231</v>
      </c>
      <c r="AK67" s="100"/>
      <c r="AL67" s="101"/>
      <c r="AM67" s="102">
        <v>1.1875956193176163</v>
      </c>
      <c r="AN67" s="103"/>
      <c r="AO67" s="104"/>
      <c r="AP67" s="99">
        <v>0.50133286967631119</v>
      </c>
      <c r="AQ67" s="100"/>
      <c r="AR67" s="101"/>
      <c r="AS67" s="105">
        <v>1.6979649204970007</v>
      </c>
      <c r="AT67" s="105">
        <v>0.71918961421436234</v>
      </c>
      <c r="AU67" s="106">
        <v>0.89166425532497628</v>
      </c>
      <c r="AV67" s="107">
        <v>270.535641</v>
      </c>
      <c r="AW67" s="108">
        <v>8.8907636987192021E-2</v>
      </c>
      <c r="AX67" s="90">
        <v>3.59499149</v>
      </c>
      <c r="AY67" s="91"/>
      <c r="AZ67" s="92"/>
      <c r="BA67" s="90">
        <v>4.4480000000000004</v>
      </c>
      <c r="BB67" s="91"/>
      <c r="BC67" s="92"/>
      <c r="BD67" s="90">
        <v>4.7113757097615796</v>
      </c>
      <c r="BE67" s="91"/>
      <c r="BF67" s="92"/>
      <c r="BG67" s="90">
        <v>8.1802745662813088</v>
      </c>
      <c r="BH67" s="91"/>
      <c r="BI67" s="92"/>
      <c r="BJ67" s="90">
        <v>8.7749435896483536</v>
      </c>
      <c r="BK67" s="91"/>
      <c r="BL67" s="92"/>
      <c r="BM67" s="90">
        <v>2.1555333522482032</v>
      </c>
      <c r="BN67" s="91"/>
      <c r="BO67" s="92"/>
      <c r="BP67" s="90">
        <v>7.1723504751</v>
      </c>
      <c r="BQ67" s="91"/>
      <c r="BR67" s="92"/>
      <c r="BS67" s="109">
        <v>1.2967276161718799</v>
      </c>
      <c r="BT67" s="105">
        <v>0.41968960404136491</v>
      </c>
      <c r="BU67" s="108">
        <v>0.22526952236376774</v>
      </c>
      <c r="BV67" s="110">
        <v>43190</v>
      </c>
      <c r="BW67" s="111" t="s">
        <v>94</v>
      </c>
    </row>
    <row r="68" spans="1:75" s="229" customFormat="1" ht="11.25" customHeight="1" x14ac:dyDescent="0.2">
      <c r="A68" s="180" t="s">
        <v>95</v>
      </c>
      <c r="B68" s="180"/>
      <c r="C68" s="145">
        <v>17.3</v>
      </c>
      <c r="D68" s="145"/>
      <c r="E68" s="296">
        <v>1</v>
      </c>
      <c r="F68" s="59">
        <v>9.2893893871E-2</v>
      </c>
      <c r="G68" s="60"/>
      <c r="H68" s="61"/>
      <c r="I68" s="147">
        <v>2.171389035419677</v>
      </c>
      <c r="J68" s="147"/>
      <c r="K68" s="147"/>
      <c r="L68" s="62">
        <v>1.45289</v>
      </c>
      <c r="M68" s="63"/>
      <c r="N68" s="64"/>
      <c r="O68" s="62">
        <v>1.4470799999999999</v>
      </c>
      <c r="P68" s="63"/>
      <c r="Q68" s="64"/>
      <c r="R68" s="65">
        <v>1.0324562716762999E-2</v>
      </c>
      <c r="S68" s="66"/>
      <c r="T68" s="67"/>
      <c r="U68" s="147">
        <v>2.0969942513176782</v>
      </c>
      <c r="V68" s="147"/>
      <c r="W68" s="147"/>
      <c r="X68" s="148">
        <v>66.1820324987861</v>
      </c>
      <c r="Y68" s="148"/>
      <c r="Z68" s="148"/>
      <c r="AA68" s="149">
        <v>0.14262169999999999</v>
      </c>
      <c r="AB68" s="149"/>
      <c r="AC68" s="149"/>
      <c r="AD68" s="149">
        <v>0.13281109999999999</v>
      </c>
      <c r="AE68" s="149"/>
      <c r="AF68" s="149"/>
      <c r="AG68" s="149">
        <v>0.13387143626541276</v>
      </c>
      <c r="AH68" s="149"/>
      <c r="AI68" s="149"/>
      <c r="AJ68" s="71">
        <v>3.4252635890772452E-2</v>
      </c>
      <c r="AK68" s="72"/>
      <c r="AL68" s="73"/>
      <c r="AM68" s="71">
        <v>0.55152540986356491</v>
      </c>
      <c r="AN68" s="72"/>
      <c r="AO68" s="73"/>
      <c r="AP68" s="71">
        <v>0.22458392103927058</v>
      </c>
      <c r="AQ68" s="72"/>
      <c r="AR68" s="73"/>
      <c r="AS68" s="74">
        <v>1.4324550397323295</v>
      </c>
      <c r="AT68" s="74">
        <v>0.66524122316770185</v>
      </c>
      <c r="AU68" s="75">
        <v>0.64403721214950937</v>
      </c>
      <c r="AV68" s="76">
        <v>331.01160700000003</v>
      </c>
      <c r="AW68" s="74">
        <v>0.34719988880318742</v>
      </c>
      <c r="AX68" s="62">
        <v>2.8309700840000001</v>
      </c>
      <c r="AY68" s="63"/>
      <c r="AZ68" s="64"/>
      <c r="BA68" s="62">
        <v>2.905692084</v>
      </c>
      <c r="BB68" s="63"/>
      <c r="BC68" s="64"/>
      <c r="BD68" s="62">
        <v>17.819076142579299</v>
      </c>
      <c r="BE68" s="63"/>
      <c r="BF68" s="64"/>
      <c r="BG68" s="62">
        <v>4.4501806970952833</v>
      </c>
      <c r="BH68" s="63"/>
      <c r="BI68" s="64"/>
      <c r="BJ68" s="62">
        <v>9.6850944716585037</v>
      </c>
      <c r="BK68" s="63"/>
      <c r="BL68" s="64"/>
      <c r="BM68" s="62">
        <v>1.2965571038645156</v>
      </c>
      <c r="BN68" s="63"/>
      <c r="BO68" s="64"/>
      <c r="BP68" s="62">
        <v>9.7912222937000006</v>
      </c>
      <c r="BQ68" s="63"/>
      <c r="BR68" s="64"/>
      <c r="BS68" s="77">
        <v>0.53734221284449801</v>
      </c>
      <c r="BT68" s="74">
        <v>0.54503257613965472</v>
      </c>
      <c r="BU68" s="78">
        <v>0.19898223453301522</v>
      </c>
      <c r="BV68" s="79">
        <v>43190</v>
      </c>
      <c r="BW68" s="80" t="s">
        <v>95</v>
      </c>
    </row>
    <row r="69" spans="1:75" s="229" customFormat="1" ht="11.25" customHeight="1" x14ac:dyDescent="0.2">
      <c r="A69" s="138" t="s">
        <v>96</v>
      </c>
      <c r="B69" s="138"/>
      <c r="C69" s="139">
        <v>38.5</v>
      </c>
      <c r="D69" s="139"/>
      <c r="E69" s="150">
        <v>1</v>
      </c>
      <c r="F69" s="87">
        <v>0.40522728451399997</v>
      </c>
      <c r="G69" s="88"/>
      <c r="H69" s="89"/>
      <c r="I69" s="141">
        <v>3.9961454043660827</v>
      </c>
      <c r="J69" s="141"/>
      <c r="K69" s="141"/>
      <c r="L69" s="90">
        <v>1.3877900000000001</v>
      </c>
      <c r="M69" s="91"/>
      <c r="N69" s="92"/>
      <c r="O69" s="90">
        <v>1.3409800000000001</v>
      </c>
      <c r="P69" s="91"/>
      <c r="Q69" s="92"/>
      <c r="R69" s="93" t="s">
        <v>47</v>
      </c>
      <c r="S69" s="94"/>
      <c r="T69" s="95"/>
      <c r="U69" s="141">
        <v>1.9607892122004393</v>
      </c>
      <c r="V69" s="141"/>
      <c r="W69" s="141"/>
      <c r="X69" s="142">
        <v>26.702691505832789</v>
      </c>
      <c r="Y69" s="142"/>
      <c r="Z69" s="142"/>
      <c r="AA69" s="143">
        <v>0.16300930000000002</v>
      </c>
      <c r="AB69" s="143"/>
      <c r="AC69" s="143"/>
      <c r="AD69" s="143">
        <v>6.8524599999999991E-2</v>
      </c>
      <c r="AE69" s="143"/>
      <c r="AF69" s="143"/>
      <c r="AG69" s="143">
        <v>3.5987268871116321E-2</v>
      </c>
      <c r="AH69" s="143"/>
      <c r="AI69" s="143"/>
      <c r="AJ69" s="99">
        <v>2.2580008493743042E-2</v>
      </c>
      <c r="AK69" s="100"/>
      <c r="AL69" s="101"/>
      <c r="AM69" s="102">
        <v>0.23908847069989558</v>
      </c>
      <c r="AN69" s="103"/>
      <c r="AO69" s="104"/>
      <c r="AP69" s="99">
        <v>5.6451150805485295E-2</v>
      </c>
      <c r="AQ69" s="100"/>
      <c r="AR69" s="101"/>
      <c r="AS69" s="105">
        <v>1.5194062729466067</v>
      </c>
      <c r="AT69" s="105">
        <v>1.9898820182631709</v>
      </c>
      <c r="AU69" s="106">
        <v>2.3225377473468987</v>
      </c>
      <c r="AV69" s="107">
        <v>349.75329399999998</v>
      </c>
      <c r="AW69" s="108">
        <v>0.41802089217284494</v>
      </c>
      <c r="AX69" s="90">
        <v>0.92892979999999903</v>
      </c>
      <c r="AY69" s="91"/>
      <c r="AZ69" s="92"/>
      <c r="BA69" s="90">
        <v>1.1685000000000001</v>
      </c>
      <c r="BB69" s="91"/>
      <c r="BC69" s="92"/>
      <c r="BD69" s="90">
        <v>6.7538785024305499</v>
      </c>
      <c r="BE69" s="91"/>
      <c r="BF69" s="92"/>
      <c r="BG69" s="90">
        <v>2.7697735759286788</v>
      </c>
      <c r="BH69" s="91"/>
      <c r="BI69" s="92"/>
      <c r="BJ69" s="90">
        <v>13.156455889991523</v>
      </c>
      <c r="BK69" s="91"/>
      <c r="BL69" s="92"/>
      <c r="BM69" s="90">
        <v>0.47899821170311635</v>
      </c>
      <c r="BN69" s="91"/>
      <c r="BO69" s="92"/>
      <c r="BP69" s="90">
        <v>19.014038945700001</v>
      </c>
      <c r="BQ69" s="91"/>
      <c r="BR69" s="92"/>
      <c r="BS69" s="109">
        <v>0.70411056599961297</v>
      </c>
      <c r="BT69" s="105">
        <v>0.43401506942187923</v>
      </c>
      <c r="BU69" s="108">
        <v>1.3739322651749042E-2</v>
      </c>
      <c r="BV69" s="110">
        <v>43190</v>
      </c>
      <c r="BW69" s="111" t="s">
        <v>96</v>
      </c>
    </row>
    <row r="70" spans="1:75" s="229" customFormat="1" ht="11.25" customHeight="1" x14ac:dyDescent="0.2">
      <c r="A70" s="180" t="s">
        <v>97</v>
      </c>
      <c r="B70" s="180"/>
      <c r="C70" s="145">
        <v>93.7</v>
      </c>
      <c r="D70" s="145"/>
      <c r="E70" s="276">
        <v>1</v>
      </c>
      <c r="F70" s="59">
        <v>0</v>
      </c>
      <c r="G70" s="60"/>
      <c r="H70" s="61"/>
      <c r="I70" s="147">
        <v>2.8348210660599644</v>
      </c>
      <c r="J70" s="147"/>
      <c r="K70" s="147"/>
      <c r="L70" s="62">
        <v>1.6543000000000001</v>
      </c>
      <c r="M70" s="63"/>
      <c r="N70" s="64"/>
      <c r="O70" s="62">
        <v>1.6543000000000001</v>
      </c>
      <c r="P70" s="63"/>
      <c r="Q70" s="64"/>
      <c r="R70" s="65">
        <v>6.2913847324022304E-2</v>
      </c>
      <c r="S70" s="66"/>
      <c r="T70" s="67"/>
      <c r="U70" s="147">
        <v>2.7532750746487822</v>
      </c>
      <c r="V70" s="147"/>
      <c r="W70" s="147"/>
      <c r="X70" s="148" t="s">
        <v>47</v>
      </c>
      <c r="Y70" s="148"/>
      <c r="Z70" s="148"/>
      <c r="AA70" s="149">
        <v>0.34793080000000004</v>
      </c>
      <c r="AB70" s="149"/>
      <c r="AC70" s="149"/>
      <c r="AD70" s="149">
        <v>0.23664380000000002</v>
      </c>
      <c r="AE70" s="149"/>
      <c r="AF70" s="149"/>
      <c r="AG70" s="149">
        <v>0.20048838077797146</v>
      </c>
      <c r="AH70" s="149"/>
      <c r="AI70" s="149"/>
      <c r="AJ70" s="71">
        <v>6.8793186886789107E-2</v>
      </c>
      <c r="AK70" s="72"/>
      <c r="AL70" s="73"/>
      <c r="AM70" s="71">
        <v>1.5001309676170629</v>
      </c>
      <c r="AN70" s="72"/>
      <c r="AO70" s="73"/>
      <c r="AP70" s="71">
        <v>0.4416037186368964</v>
      </c>
      <c r="AQ70" s="72"/>
      <c r="AR70" s="73"/>
      <c r="AS70" s="74">
        <v>0.80622721135906716</v>
      </c>
      <c r="AT70" s="74">
        <v>0.685599449190474</v>
      </c>
      <c r="AU70" s="75">
        <v>3.4543744603406297</v>
      </c>
      <c r="AV70" s="76">
        <v>397.40938850000009</v>
      </c>
      <c r="AW70" s="74">
        <v>0.11277245833346541</v>
      </c>
      <c r="AX70" s="62">
        <v>2.3786472595000001</v>
      </c>
      <c r="AY70" s="63"/>
      <c r="AZ70" s="64"/>
      <c r="BA70" s="62">
        <v>8.2607479700000006</v>
      </c>
      <c r="BB70" s="63"/>
      <c r="BC70" s="64"/>
      <c r="BD70" s="62">
        <v>2.9362596075693999</v>
      </c>
      <c r="BE70" s="63"/>
      <c r="BF70" s="64"/>
      <c r="BG70" s="62">
        <v>78.544289358345551</v>
      </c>
      <c r="BH70" s="63"/>
      <c r="BI70" s="64"/>
      <c r="BJ70" s="62">
        <v>15.690464149717506</v>
      </c>
      <c r="BK70" s="63"/>
      <c r="BL70" s="64"/>
      <c r="BM70" s="62">
        <v>3.1378404664575399</v>
      </c>
      <c r="BN70" s="63"/>
      <c r="BO70" s="64"/>
      <c r="BP70" s="62">
        <v>7.4203091346000001</v>
      </c>
      <c r="BQ70" s="63"/>
      <c r="BR70" s="64"/>
      <c r="BS70" s="77">
        <v>0.68398218530169197</v>
      </c>
      <c r="BT70" s="74">
        <v>0.63961499873619909</v>
      </c>
      <c r="BU70" s="78">
        <v>0.25808585807491458</v>
      </c>
      <c r="BV70" s="79">
        <v>43190</v>
      </c>
      <c r="BW70" s="80" t="s">
        <v>97</v>
      </c>
    </row>
    <row r="71" spans="1:75" s="229" customFormat="1" ht="11.25" customHeight="1" x14ac:dyDescent="0.2">
      <c r="A71" s="138" t="s">
        <v>98</v>
      </c>
      <c r="B71" s="138"/>
      <c r="C71" s="139">
        <v>14.200000000000001</v>
      </c>
      <c r="D71" s="139"/>
      <c r="E71" s="150">
        <v>1</v>
      </c>
      <c r="F71" s="87">
        <v>1.4763116806580001</v>
      </c>
      <c r="G71" s="88"/>
      <c r="H71" s="89"/>
      <c r="I71" s="141">
        <v>3.5822236717717022</v>
      </c>
      <c r="J71" s="141"/>
      <c r="K71" s="141"/>
      <c r="L71" s="90">
        <v>1.30884</v>
      </c>
      <c r="M71" s="91"/>
      <c r="N71" s="92"/>
      <c r="O71" s="90">
        <v>0.82201999999999997</v>
      </c>
      <c r="P71" s="91"/>
      <c r="Q71" s="92"/>
      <c r="R71" s="93">
        <v>0</v>
      </c>
      <c r="S71" s="94"/>
      <c r="T71" s="95"/>
      <c r="U71" s="141">
        <v>1.5579709395242545</v>
      </c>
      <c r="V71" s="141"/>
      <c r="W71" s="141"/>
      <c r="X71" s="142">
        <v>93.936002315267871</v>
      </c>
      <c r="Y71" s="142"/>
      <c r="Z71" s="142"/>
      <c r="AA71" s="143">
        <v>0.27405809999999997</v>
      </c>
      <c r="AB71" s="143"/>
      <c r="AC71" s="143"/>
      <c r="AD71" s="143">
        <v>0.15059229999999998</v>
      </c>
      <c r="AE71" s="143"/>
      <c r="AF71" s="143"/>
      <c r="AG71" s="143">
        <v>5.810048382731875E-2</v>
      </c>
      <c r="AH71" s="143"/>
      <c r="AI71" s="143"/>
      <c r="AJ71" s="99">
        <v>-0.13539301671757112</v>
      </c>
      <c r="AK71" s="100"/>
      <c r="AL71" s="101"/>
      <c r="AM71" s="102">
        <v>0.24108231679987696</v>
      </c>
      <c r="AN71" s="103"/>
      <c r="AO71" s="104"/>
      <c r="AP71" s="99">
        <v>7.2416299676498777E-2</v>
      </c>
      <c r="AQ71" s="100"/>
      <c r="AR71" s="101"/>
      <c r="AS71" s="105">
        <v>-2.0802693217764396</v>
      </c>
      <c r="AT71" s="105">
        <v>1.3108677764900258</v>
      </c>
      <c r="AU71" s="106">
        <v>5.5780301997533481</v>
      </c>
      <c r="AV71" s="107">
        <v>121.89477600000001</v>
      </c>
      <c r="AW71" s="108">
        <v>5.6081367109538798</v>
      </c>
      <c r="AX71" s="90">
        <v>1.3142440900000001</v>
      </c>
      <c r="AY71" s="91"/>
      <c r="AZ71" s="92"/>
      <c r="BA71" s="90">
        <v>1.0275000000000001</v>
      </c>
      <c r="BB71" s="91"/>
      <c r="BC71" s="92"/>
      <c r="BD71" s="90">
        <v>11.785871740979999</v>
      </c>
      <c r="BE71" s="91"/>
      <c r="BF71" s="92"/>
      <c r="BG71" s="90">
        <v>5.5540759701376121</v>
      </c>
      <c r="BH71" s="91"/>
      <c r="BI71" s="92"/>
      <c r="BJ71" s="90">
        <v>22.902117639469058</v>
      </c>
      <c r="BK71" s="91"/>
      <c r="BL71" s="92"/>
      <c r="BM71" s="90">
        <v>1.2729624461335565</v>
      </c>
      <c r="BN71" s="91"/>
      <c r="BO71" s="92"/>
      <c r="BP71" s="90">
        <v>24.257001219700001</v>
      </c>
      <c r="BQ71" s="91"/>
      <c r="BR71" s="92"/>
      <c r="BS71" s="109">
        <v>1.2383240443746899</v>
      </c>
      <c r="BT71" s="105">
        <v>0.49310770906459889</v>
      </c>
      <c r="BU71" s="108">
        <v>5.625103864572778E-2</v>
      </c>
      <c r="BV71" s="110">
        <v>43190</v>
      </c>
      <c r="BW71" s="111" t="s">
        <v>98</v>
      </c>
    </row>
    <row r="72" spans="1:75" s="229" customFormat="1" ht="11.25" customHeight="1" x14ac:dyDescent="0.2">
      <c r="A72" s="180" t="s">
        <v>99</v>
      </c>
      <c r="B72" s="180"/>
      <c r="C72" s="145">
        <v>26</v>
      </c>
      <c r="D72" s="145"/>
      <c r="E72" s="276">
        <v>0.1</v>
      </c>
      <c r="F72" s="59">
        <v>4.3015786959999996E-2</v>
      </c>
      <c r="G72" s="60"/>
      <c r="H72" s="61"/>
      <c r="I72" s="147">
        <v>13.275185772288255</v>
      </c>
      <c r="J72" s="147"/>
      <c r="K72" s="147"/>
      <c r="L72" s="62">
        <v>1.21167</v>
      </c>
      <c r="M72" s="63"/>
      <c r="N72" s="64"/>
      <c r="O72" s="62">
        <v>0.68615999999999999</v>
      </c>
      <c r="P72" s="63"/>
      <c r="Q72" s="64"/>
      <c r="R72" s="65">
        <v>5.7692307692307696E-3</v>
      </c>
      <c r="S72" s="66"/>
      <c r="T72" s="67"/>
      <c r="U72" s="147">
        <v>1.1467850240318271</v>
      </c>
      <c r="V72" s="147"/>
      <c r="W72" s="147"/>
      <c r="X72" s="148">
        <v>416.49481637443091</v>
      </c>
      <c r="Y72" s="148"/>
      <c r="Z72" s="148"/>
      <c r="AA72" s="149">
        <v>0.2136448</v>
      </c>
      <c r="AB72" s="149"/>
      <c r="AC72" s="149"/>
      <c r="AD72" s="149">
        <v>5.0478599999999998E-2</v>
      </c>
      <c r="AE72" s="149"/>
      <c r="AF72" s="149"/>
      <c r="AG72" s="149">
        <v>2.9679413762041779E-2</v>
      </c>
      <c r="AH72" s="149"/>
      <c r="AI72" s="149"/>
      <c r="AJ72" s="71">
        <v>1.4559978819488344E-3</v>
      </c>
      <c r="AK72" s="72"/>
      <c r="AL72" s="73"/>
      <c r="AM72" s="71">
        <v>0.33253768254078897</v>
      </c>
      <c r="AN72" s="72"/>
      <c r="AO72" s="73"/>
      <c r="AP72" s="71">
        <v>2.722945230799247E-2</v>
      </c>
      <c r="AQ72" s="72"/>
      <c r="AR72" s="73"/>
      <c r="AS72" s="74">
        <v>-8.9642374834493888E-2</v>
      </c>
      <c r="AT72" s="74">
        <v>0.34270439253761231</v>
      </c>
      <c r="AU72" s="75">
        <v>0.77316789712304979</v>
      </c>
      <c r="AV72" s="76">
        <v>65.194990499999989</v>
      </c>
      <c r="AW72" s="74">
        <v>0.66975552617381484</v>
      </c>
      <c r="AX72" s="62">
        <v>5.6220260000000001E-2</v>
      </c>
      <c r="AY72" s="63"/>
      <c r="AZ72" s="64"/>
      <c r="BA72" s="62">
        <v>5.7200000000000001E-2</v>
      </c>
      <c r="BB72" s="63"/>
      <c r="BC72" s="64"/>
      <c r="BD72" s="62">
        <v>1.54311450778937</v>
      </c>
      <c r="BE72" s="63"/>
      <c r="BF72" s="64"/>
      <c r="BG72" s="62">
        <v>1.747425525915512</v>
      </c>
      <c r="BH72" s="63"/>
      <c r="BI72" s="64"/>
      <c r="BJ72" s="62">
        <v>52.130325814536342</v>
      </c>
      <c r="BK72" s="63"/>
      <c r="BL72" s="64"/>
      <c r="BM72" s="62">
        <v>0.15472073799411704</v>
      </c>
      <c r="BN72" s="63"/>
      <c r="BO72" s="64"/>
      <c r="BP72" s="62">
        <v>5.5477910189999999</v>
      </c>
      <c r="BQ72" s="63"/>
      <c r="BR72" s="64"/>
      <c r="BS72" s="77" t="s">
        <v>47</v>
      </c>
      <c r="BT72" s="74">
        <v>0.35256671019569696</v>
      </c>
      <c r="BU72" s="78">
        <v>-1.0535379005556456E-2</v>
      </c>
      <c r="BV72" s="79">
        <v>43008</v>
      </c>
      <c r="BW72" s="80" t="s">
        <v>99</v>
      </c>
    </row>
    <row r="73" spans="1:75" s="229" customFormat="1" ht="11.25" customHeight="1" x14ac:dyDescent="0.2">
      <c r="A73" s="138" t="s">
        <v>100</v>
      </c>
      <c r="B73" s="138"/>
      <c r="C73" s="139">
        <v>9.6</v>
      </c>
      <c r="D73" s="139"/>
      <c r="E73" s="150">
        <v>1</v>
      </c>
      <c r="F73" s="87">
        <v>0.40474791915300001</v>
      </c>
      <c r="G73" s="88"/>
      <c r="H73" s="89"/>
      <c r="I73" s="141">
        <v>3.9539649917970054</v>
      </c>
      <c r="J73" s="141"/>
      <c r="K73" s="141"/>
      <c r="L73" s="90">
        <v>1.1969399999999999</v>
      </c>
      <c r="M73" s="91"/>
      <c r="N73" s="92"/>
      <c r="O73" s="90">
        <v>0.80694999999999995</v>
      </c>
      <c r="P73" s="91"/>
      <c r="Q73" s="92"/>
      <c r="R73" s="93" t="s">
        <v>47</v>
      </c>
      <c r="S73" s="94"/>
      <c r="T73" s="95"/>
      <c r="U73" s="141">
        <v>2.3917108640229623</v>
      </c>
      <c r="V73" s="141"/>
      <c r="W73" s="141"/>
      <c r="X73" s="142">
        <v>44.435319907326374</v>
      </c>
      <c r="Y73" s="142"/>
      <c r="Z73" s="142"/>
      <c r="AA73" s="143">
        <v>0.35204979999999997</v>
      </c>
      <c r="AB73" s="143"/>
      <c r="AC73" s="143"/>
      <c r="AD73" s="143">
        <v>0.12574439999999998</v>
      </c>
      <c r="AE73" s="143"/>
      <c r="AF73" s="143"/>
      <c r="AG73" s="143">
        <v>6.9453188066954177E-3</v>
      </c>
      <c r="AH73" s="143"/>
      <c r="AI73" s="143"/>
      <c r="AJ73" s="99">
        <v>-7.5571621427338606E-4</v>
      </c>
      <c r="AK73" s="100"/>
      <c r="AL73" s="101"/>
      <c r="AM73" s="102">
        <v>4.7578084252708673E-2</v>
      </c>
      <c r="AN73" s="103"/>
      <c r="AO73" s="104"/>
      <c r="AP73" s="99">
        <v>1.3289192225176062E-2</v>
      </c>
      <c r="AQ73" s="100"/>
      <c r="AR73" s="101"/>
      <c r="AS73" s="105">
        <v>1.3361796925538152</v>
      </c>
      <c r="AT73" s="105">
        <v>0.45792441166253794</v>
      </c>
      <c r="AU73" s="106">
        <v>2.2392683078560869</v>
      </c>
      <c r="AV73" s="107">
        <v>202.90613100000002</v>
      </c>
      <c r="AW73" s="108">
        <v>0.35057173116570495</v>
      </c>
      <c r="AX73" s="90">
        <v>0.54585897000000005</v>
      </c>
      <c r="AY73" s="91"/>
      <c r="AZ73" s="92"/>
      <c r="BA73" s="90">
        <v>0.4466</v>
      </c>
      <c r="BB73" s="91"/>
      <c r="BC73" s="92"/>
      <c r="BD73" s="90">
        <v>3.0807563100003201</v>
      </c>
      <c r="BE73" s="91"/>
      <c r="BF73" s="92"/>
      <c r="BG73" s="90">
        <v>3.3681557092501802</v>
      </c>
      <c r="BH73" s="91"/>
      <c r="BI73" s="92"/>
      <c r="BJ73" s="90">
        <v>52.427502594069139</v>
      </c>
      <c r="BK73" s="91"/>
      <c r="BL73" s="92"/>
      <c r="BM73" s="90">
        <v>0.38498278861429525</v>
      </c>
      <c r="BN73" s="91"/>
      <c r="BO73" s="92"/>
      <c r="BP73" s="90">
        <v>29.5987560674</v>
      </c>
      <c r="BQ73" s="91"/>
      <c r="BR73" s="92"/>
      <c r="BS73" s="109">
        <v>0.66710264135123998</v>
      </c>
      <c r="BT73" s="105">
        <v>0.45622394714487602</v>
      </c>
      <c r="BU73" s="108">
        <v>6.2404557434361463E-2</v>
      </c>
      <c r="BV73" s="110">
        <v>43190</v>
      </c>
      <c r="BW73" s="111" t="s">
        <v>100</v>
      </c>
    </row>
    <row r="74" spans="1:75" s="229" customFormat="1" ht="11.25" customHeight="1" x14ac:dyDescent="0.2">
      <c r="A74" s="180" t="s">
        <v>101</v>
      </c>
      <c r="B74" s="180"/>
      <c r="C74" s="145">
        <v>6.3500000000000005</v>
      </c>
      <c r="D74" s="145"/>
      <c r="E74" s="276">
        <v>0.1</v>
      </c>
      <c r="F74" s="59">
        <v>0.27684448726200001</v>
      </c>
      <c r="G74" s="60"/>
      <c r="H74" s="61"/>
      <c r="I74" s="147">
        <v>1.71831800812219</v>
      </c>
      <c r="J74" s="147"/>
      <c r="K74" s="147"/>
      <c r="L74" s="62">
        <v>1.94964</v>
      </c>
      <c r="M74" s="63"/>
      <c r="N74" s="64"/>
      <c r="O74" s="62">
        <v>0.80186999999999997</v>
      </c>
      <c r="P74" s="63"/>
      <c r="Q74" s="64"/>
      <c r="R74" s="65">
        <v>1.1966023278688501E-3</v>
      </c>
      <c r="S74" s="66"/>
      <c r="T74" s="67"/>
      <c r="U74" s="147">
        <v>1.9412102398305415</v>
      </c>
      <c r="V74" s="147"/>
      <c r="W74" s="147"/>
      <c r="X74" s="148">
        <v>156.96445541884214</v>
      </c>
      <c r="Y74" s="148"/>
      <c r="Z74" s="148"/>
      <c r="AA74" s="149">
        <v>0.35846299999999998</v>
      </c>
      <c r="AB74" s="149"/>
      <c r="AC74" s="149"/>
      <c r="AD74" s="149">
        <v>7.0296799999999993E-2</v>
      </c>
      <c r="AE74" s="149"/>
      <c r="AF74" s="149"/>
      <c r="AG74" s="149">
        <v>4.0382748516628993E-2</v>
      </c>
      <c r="AH74" s="149"/>
      <c r="AI74" s="149"/>
      <c r="AJ74" s="71">
        <v>3.2467382546454662E-2</v>
      </c>
      <c r="AK74" s="72"/>
      <c r="AL74" s="73"/>
      <c r="AM74" s="71">
        <v>0.10869023154742907</v>
      </c>
      <c r="AN74" s="72"/>
      <c r="AO74" s="73"/>
      <c r="AP74" s="71">
        <v>6.2713528798469836E-2</v>
      </c>
      <c r="AQ74" s="72"/>
      <c r="AR74" s="73"/>
      <c r="AS74" s="74">
        <v>2.5258769307021374</v>
      </c>
      <c r="AT74" s="74">
        <v>0.3359834213615101</v>
      </c>
      <c r="AU74" s="75">
        <v>0.59165128585079774</v>
      </c>
      <c r="AV74" s="76">
        <v>412.5187315</v>
      </c>
      <c r="AW74" s="74">
        <v>0.14174893657330317</v>
      </c>
      <c r="AX74" s="62">
        <v>2.7042903636500002</v>
      </c>
      <c r="AY74" s="63"/>
      <c r="AZ74" s="64"/>
      <c r="BA74" s="62">
        <v>2.5070999999999999</v>
      </c>
      <c r="BB74" s="63"/>
      <c r="BC74" s="64"/>
      <c r="BD74" s="62">
        <v>13.295745241393901</v>
      </c>
      <c r="BE74" s="63"/>
      <c r="BF74" s="64"/>
      <c r="BG74" s="62">
        <v>2.4951539017614586</v>
      </c>
      <c r="BH74" s="63"/>
      <c r="BI74" s="64"/>
      <c r="BJ74" s="62">
        <v>248.82445141065833</v>
      </c>
      <c r="BK74" s="63"/>
      <c r="BL74" s="64"/>
      <c r="BM74" s="62">
        <v>0.96520824846310582</v>
      </c>
      <c r="BN74" s="63"/>
      <c r="BO74" s="64"/>
      <c r="BP74" s="62">
        <v>26.4592506517</v>
      </c>
      <c r="BQ74" s="63"/>
      <c r="BR74" s="64"/>
      <c r="BS74" s="77">
        <v>0.82934078942908795</v>
      </c>
      <c r="BT74" s="74">
        <v>0.44609750857237263</v>
      </c>
      <c r="BU74" s="78">
        <v>2.021224557248269E-2</v>
      </c>
      <c r="BV74" s="79">
        <v>43190</v>
      </c>
      <c r="BW74" s="80" t="s">
        <v>101</v>
      </c>
    </row>
    <row r="75" spans="1:75" s="229" customFormat="1" ht="11.25" customHeight="1" x14ac:dyDescent="0.2">
      <c r="A75" s="297" t="s">
        <v>102</v>
      </c>
      <c r="B75" s="297"/>
      <c r="C75" s="298">
        <v>8.35</v>
      </c>
      <c r="D75" s="298"/>
      <c r="E75" s="299">
        <v>1</v>
      </c>
      <c r="F75" s="300" t="s">
        <v>47</v>
      </c>
      <c r="G75" s="301"/>
      <c r="H75" s="302"/>
      <c r="I75" s="303">
        <v>-7.5436830520525938E-2</v>
      </c>
      <c r="J75" s="303"/>
      <c r="K75" s="303"/>
      <c r="L75" s="304">
        <v>2.4309999999999998E-2</v>
      </c>
      <c r="M75" s="305"/>
      <c r="N75" s="306"/>
      <c r="O75" s="304">
        <v>2.4309999999999998E-2</v>
      </c>
      <c r="P75" s="305"/>
      <c r="Q75" s="306"/>
      <c r="R75" s="307" t="s">
        <v>47</v>
      </c>
      <c r="S75" s="308"/>
      <c r="T75" s="309"/>
      <c r="U75" s="303" t="s">
        <v>47</v>
      </c>
      <c r="V75" s="303"/>
      <c r="W75" s="303"/>
      <c r="X75" s="310" t="s">
        <v>47</v>
      </c>
      <c r="Y75" s="310"/>
      <c r="Z75" s="310"/>
      <c r="AA75" s="311" t="s">
        <v>47</v>
      </c>
      <c r="AB75" s="311"/>
      <c r="AC75" s="311"/>
      <c r="AD75" s="311" t="s">
        <v>47</v>
      </c>
      <c r="AE75" s="311"/>
      <c r="AF75" s="311"/>
      <c r="AG75" s="311" t="s">
        <v>47</v>
      </c>
      <c r="AH75" s="311"/>
      <c r="AI75" s="311"/>
      <c r="AJ75" s="312" t="s">
        <v>47</v>
      </c>
      <c r="AK75" s="313"/>
      <c r="AL75" s="314"/>
      <c r="AM75" s="315" t="s">
        <v>47</v>
      </c>
      <c r="AN75" s="316"/>
      <c r="AO75" s="317"/>
      <c r="AP75" s="312">
        <v>-1.5617487275140822</v>
      </c>
      <c r="AQ75" s="313"/>
      <c r="AR75" s="314"/>
      <c r="AS75" s="318">
        <v>0.62014237036154363</v>
      </c>
      <c r="AT75" s="318">
        <v>-115.49278425185574</v>
      </c>
      <c r="AU75" s="319">
        <v>260.86414056878345</v>
      </c>
      <c r="AV75" s="320">
        <v>0</v>
      </c>
      <c r="AW75" s="321" t="s">
        <v>47</v>
      </c>
      <c r="AX75" s="304">
        <v>5.3354629900000103E-2</v>
      </c>
      <c r="AY75" s="305"/>
      <c r="AZ75" s="306"/>
      <c r="BA75" s="304">
        <v>5.4573349E-2</v>
      </c>
      <c r="BB75" s="305"/>
      <c r="BC75" s="306"/>
      <c r="BD75" s="304" t="s">
        <v>47</v>
      </c>
      <c r="BE75" s="305"/>
      <c r="BF75" s="306"/>
      <c r="BG75" s="304" t="s">
        <v>47</v>
      </c>
      <c r="BH75" s="305"/>
      <c r="BI75" s="306"/>
      <c r="BJ75" s="304" t="s">
        <v>47</v>
      </c>
      <c r="BK75" s="305"/>
      <c r="BL75" s="306"/>
      <c r="BM75" s="304" t="s">
        <v>47</v>
      </c>
      <c r="BN75" s="305"/>
      <c r="BO75" s="306"/>
      <c r="BP75" s="304" t="s">
        <v>47</v>
      </c>
      <c r="BQ75" s="305"/>
      <c r="BR75" s="306"/>
      <c r="BS75" s="322">
        <v>0.356741225830706</v>
      </c>
      <c r="BT75" s="318">
        <v>0.6296381289110744</v>
      </c>
      <c r="BU75" s="321">
        <v>-0.21839376319382597</v>
      </c>
      <c r="BV75" s="323">
        <v>43190</v>
      </c>
      <c r="BW75" s="111" t="s">
        <v>102</v>
      </c>
    </row>
    <row r="76" spans="1:75" s="229" customFormat="1" ht="11.25" customHeight="1" x14ac:dyDescent="0.2">
      <c r="A76" s="151" t="s">
        <v>57</v>
      </c>
      <c r="B76" s="152"/>
      <c r="C76" s="153"/>
      <c r="D76" s="154"/>
      <c r="E76" s="155"/>
      <c r="F76" s="156">
        <v>0.29991106373966669</v>
      </c>
      <c r="G76" s="157"/>
      <c r="H76" s="158"/>
      <c r="I76" s="156">
        <v>3.4681356787723239</v>
      </c>
      <c r="J76" s="157"/>
      <c r="K76" s="158"/>
      <c r="L76" s="156">
        <v>1.387937</v>
      </c>
      <c r="M76" s="157"/>
      <c r="N76" s="158"/>
      <c r="O76" s="156">
        <v>1.0523919999999998</v>
      </c>
      <c r="P76" s="157"/>
      <c r="Q76" s="158"/>
      <c r="R76" s="159">
        <v>2.6750241201689451E-2</v>
      </c>
      <c r="S76" s="160"/>
      <c r="T76" s="161"/>
      <c r="U76" s="156">
        <v>1.8330782082823778</v>
      </c>
      <c r="V76" s="157"/>
      <c r="W76" s="158"/>
      <c r="X76" s="156">
        <v>107.70962039162988</v>
      </c>
      <c r="Y76" s="157"/>
      <c r="Z76" s="158"/>
      <c r="AA76" s="162">
        <v>0.25190231111111111</v>
      </c>
      <c r="AB76" s="163"/>
      <c r="AC76" s="164"/>
      <c r="AD76" s="162">
        <v>0.13463651111111108</v>
      </c>
      <c r="AE76" s="163"/>
      <c r="AF76" s="164"/>
      <c r="AG76" s="162">
        <v>0.4891947265521932</v>
      </c>
      <c r="AH76" s="163"/>
      <c r="AI76" s="164"/>
      <c r="AJ76" s="162">
        <v>3.1435548475978237E-2</v>
      </c>
      <c r="AK76" s="163"/>
      <c r="AL76" s="164"/>
      <c r="AM76" s="162">
        <v>0.52383755779979979</v>
      </c>
      <c r="AN76" s="163"/>
      <c r="AO76" s="164"/>
      <c r="AP76" s="162">
        <v>2.6791664870501265E-2</v>
      </c>
      <c r="AQ76" s="163"/>
      <c r="AR76" s="164"/>
      <c r="AS76" s="165">
        <v>43.341571983540511</v>
      </c>
      <c r="AT76" s="165">
        <v>-10.910268520534142</v>
      </c>
      <c r="AU76" s="166">
        <v>27.766959111856039</v>
      </c>
      <c r="AV76" s="167">
        <v>216.49890145000001</v>
      </c>
      <c r="AW76" s="165">
        <v>5.0156844937537626</v>
      </c>
      <c r="AX76" s="168">
        <v>1.5418835907049999</v>
      </c>
      <c r="AY76" s="169"/>
      <c r="AZ76" s="170"/>
      <c r="BA76" s="168">
        <v>2.1892313403000001</v>
      </c>
      <c r="BB76" s="169"/>
      <c r="BC76" s="170"/>
      <c r="BD76" s="168">
        <v>15.807428858897579</v>
      </c>
      <c r="BE76" s="169"/>
      <c r="BF76" s="170"/>
      <c r="BG76" s="168">
        <v>12.046785445248835</v>
      </c>
      <c r="BH76" s="169"/>
      <c r="BI76" s="170"/>
      <c r="BJ76" s="168">
        <v>47.393184122469862</v>
      </c>
      <c r="BK76" s="169"/>
      <c r="BL76" s="170"/>
      <c r="BM76" s="168">
        <v>2.2654732903273214</v>
      </c>
      <c r="BN76" s="169"/>
      <c r="BO76" s="170"/>
      <c r="BP76" s="168">
        <v>16.1575899758625</v>
      </c>
      <c r="BQ76" s="169"/>
      <c r="BR76" s="170"/>
      <c r="BS76" s="171">
        <v>0.76073046939343225</v>
      </c>
      <c r="BT76" s="165">
        <v>0.4752979911486741</v>
      </c>
      <c r="BU76" s="165">
        <v>5.5998867342861983E-2</v>
      </c>
      <c r="BV76" s="172"/>
      <c r="BW76" s="172"/>
    </row>
    <row r="77" spans="1:75" s="228" customFormat="1" ht="11.25" customHeight="1" x14ac:dyDescent="0.2">
      <c r="A77" s="173" t="s">
        <v>103</v>
      </c>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H77" s="173"/>
      <c r="AI77" s="173"/>
      <c r="AJ77" s="173"/>
      <c r="AK77" s="173"/>
      <c r="AL77" s="173"/>
      <c r="AM77" s="173"/>
      <c r="AN77" s="173"/>
      <c r="AO77" s="173"/>
      <c r="AP77" s="173"/>
      <c r="AQ77" s="173"/>
      <c r="AR77" s="173"/>
      <c r="AS77" s="173"/>
      <c r="AT77" s="173"/>
      <c r="AU77" s="173"/>
      <c r="AV77" s="173"/>
      <c r="AW77" s="175"/>
      <c r="AX77" s="173"/>
      <c r="AY77" s="173"/>
      <c r="AZ77" s="173"/>
      <c r="BA77" s="173"/>
      <c r="BB77" s="173"/>
      <c r="BC77" s="173"/>
      <c r="BD77" s="173"/>
      <c r="BE77" s="173"/>
      <c r="BF77" s="173"/>
      <c r="BG77" s="173"/>
      <c r="BH77" s="173"/>
      <c r="BI77" s="173"/>
      <c r="BJ77" s="173"/>
      <c r="BK77" s="173"/>
      <c r="BL77" s="173"/>
      <c r="BM77" s="173"/>
      <c r="BN77" s="173"/>
      <c r="BO77" s="173"/>
      <c r="BP77" s="173"/>
      <c r="BQ77" s="173"/>
      <c r="BR77" s="173"/>
      <c r="BS77" s="173"/>
      <c r="BT77" s="173"/>
      <c r="BU77" s="173"/>
      <c r="BV77" s="176"/>
      <c r="BW77" s="177"/>
    </row>
    <row r="78" spans="1:75" s="228" customFormat="1" ht="11.25" customHeight="1" x14ac:dyDescent="0.2">
      <c r="A78" s="138" t="s">
        <v>104</v>
      </c>
      <c r="B78" s="138"/>
      <c r="C78" s="139">
        <v>9.94</v>
      </c>
      <c r="D78" s="139"/>
      <c r="E78" s="150">
        <v>0.01</v>
      </c>
      <c r="F78" s="87">
        <v>3.62962767473</v>
      </c>
      <c r="G78" s="88"/>
      <c r="H78" s="89"/>
      <c r="I78" s="141">
        <v>7.2688669784332145</v>
      </c>
      <c r="J78" s="141"/>
      <c r="K78" s="141"/>
      <c r="L78" s="90">
        <v>0.75831999999999999</v>
      </c>
      <c r="M78" s="91"/>
      <c r="N78" s="92"/>
      <c r="O78" s="90">
        <v>0.50422999999999996</v>
      </c>
      <c r="P78" s="91"/>
      <c r="Q78" s="92"/>
      <c r="R78" s="93" t="s">
        <v>47</v>
      </c>
      <c r="S78" s="94"/>
      <c r="T78" s="95"/>
      <c r="U78" s="141">
        <v>0.88262487824145297</v>
      </c>
      <c r="V78" s="141"/>
      <c r="W78" s="141"/>
      <c r="X78" s="142">
        <v>122.86760099740961</v>
      </c>
      <c r="Y78" s="142"/>
      <c r="Z78" s="142"/>
      <c r="AA78" s="143">
        <v>9.8205899999999999E-2</v>
      </c>
      <c r="AB78" s="143"/>
      <c r="AC78" s="143"/>
      <c r="AD78" s="143" t="s">
        <v>47</v>
      </c>
      <c r="AE78" s="143"/>
      <c r="AF78" s="143"/>
      <c r="AG78" s="143" t="s">
        <v>47</v>
      </c>
      <c r="AH78" s="143"/>
      <c r="AI78" s="143"/>
      <c r="AJ78" s="143">
        <v>3.2999396279755677E-2</v>
      </c>
      <c r="AK78" s="143"/>
      <c r="AL78" s="143"/>
      <c r="AM78" s="144">
        <v>-1.2036913623476522</v>
      </c>
      <c r="AN78" s="144"/>
      <c r="AO78" s="144"/>
      <c r="AP78" s="143">
        <v>-0.23260271539629709</v>
      </c>
      <c r="AQ78" s="143"/>
      <c r="AR78" s="143"/>
      <c r="AS78" s="105">
        <v>-5.3833959012862334</v>
      </c>
      <c r="AT78" s="105">
        <v>-3.4979689407344141</v>
      </c>
      <c r="AU78" s="106">
        <v>4.8375015280321598</v>
      </c>
      <c r="AV78" s="107">
        <v>822.81060000000002</v>
      </c>
      <c r="AW78" s="108">
        <v>0.14525446041613468</v>
      </c>
      <c r="AX78" s="141">
        <v>4.4108263926000006</v>
      </c>
      <c r="AY78" s="141"/>
      <c r="AZ78" s="141"/>
      <c r="BA78" s="141">
        <v>1.0346536796000001</v>
      </c>
      <c r="BB78" s="141"/>
      <c r="BC78" s="141"/>
      <c r="BD78" s="141">
        <v>9.9608559595859205</v>
      </c>
      <c r="BE78" s="141"/>
      <c r="BF78" s="141"/>
      <c r="BG78" s="141">
        <v>1.1001301242021386</v>
      </c>
      <c r="BH78" s="141"/>
      <c r="BI78" s="141"/>
      <c r="BJ78" s="141" t="s">
        <v>47</v>
      </c>
      <c r="BK78" s="141"/>
      <c r="BL78" s="141"/>
      <c r="BM78" s="141">
        <v>0.22444893001812896</v>
      </c>
      <c r="BN78" s="141"/>
      <c r="BO78" s="141"/>
      <c r="BP78" s="141" t="s">
        <v>47</v>
      </c>
      <c r="BQ78" s="141"/>
      <c r="BR78" s="90"/>
      <c r="BS78" s="109">
        <v>0.95943192810815003</v>
      </c>
      <c r="BT78" s="105">
        <v>0.47040727852662512</v>
      </c>
      <c r="BU78" s="108">
        <v>-0.11925852922651925</v>
      </c>
      <c r="BV78" s="110">
        <v>43159</v>
      </c>
      <c r="BW78" s="111" t="s">
        <v>104</v>
      </c>
    </row>
    <row r="79" spans="1:75" s="229" customFormat="1" ht="11.25" customHeight="1" x14ac:dyDescent="0.2">
      <c r="A79" s="180" t="s">
        <v>105</v>
      </c>
      <c r="B79" s="180"/>
      <c r="C79" s="145">
        <v>11.700000000000001</v>
      </c>
      <c r="D79" s="145"/>
      <c r="E79" s="146">
        <v>0</v>
      </c>
      <c r="F79" s="59">
        <v>3.1509415084149999</v>
      </c>
      <c r="G79" s="60"/>
      <c r="H79" s="61"/>
      <c r="I79" s="147">
        <v>7.8297680747603708</v>
      </c>
      <c r="J79" s="147"/>
      <c r="K79" s="147"/>
      <c r="L79" s="62">
        <v>1.0841799999999999</v>
      </c>
      <c r="M79" s="63"/>
      <c r="N79" s="64"/>
      <c r="O79" s="62">
        <v>0.78703000000000001</v>
      </c>
      <c r="P79" s="63"/>
      <c r="Q79" s="64"/>
      <c r="R79" s="65" t="s">
        <v>47</v>
      </c>
      <c r="S79" s="66"/>
      <c r="T79" s="67"/>
      <c r="U79" s="147">
        <v>2.1564991478146553</v>
      </c>
      <c r="V79" s="147"/>
      <c r="W79" s="147"/>
      <c r="X79" s="148">
        <v>212.9768772661364</v>
      </c>
      <c r="Y79" s="148"/>
      <c r="Z79" s="148"/>
      <c r="AA79" s="149">
        <v>0.32077019999999995</v>
      </c>
      <c r="AB79" s="149"/>
      <c r="AC79" s="149"/>
      <c r="AD79" s="149" t="s">
        <v>47</v>
      </c>
      <c r="AE79" s="149"/>
      <c r="AF79" s="149"/>
      <c r="AG79" s="149" t="s">
        <v>47</v>
      </c>
      <c r="AH79" s="149"/>
      <c r="AI79" s="149"/>
      <c r="AJ79" s="149">
        <v>-0.14919326619034592</v>
      </c>
      <c r="AK79" s="149"/>
      <c r="AL79" s="149"/>
      <c r="AM79" s="149">
        <v>0</v>
      </c>
      <c r="AN79" s="149"/>
      <c r="AO79" s="149"/>
      <c r="AP79" s="149">
        <v>-0.2389442820077631</v>
      </c>
      <c r="AQ79" s="149"/>
      <c r="AR79" s="149"/>
      <c r="AS79" s="74">
        <v>0.34689104392470049</v>
      </c>
      <c r="AT79" s="74">
        <v>-5.6919863196042471</v>
      </c>
      <c r="AU79" s="75">
        <v>14.009411934822859</v>
      </c>
      <c r="AV79" s="76">
        <v>129.489</v>
      </c>
      <c r="AW79" s="74">
        <v>0.34619711211476384</v>
      </c>
      <c r="AX79" s="147">
        <v>0.32188880419999999</v>
      </c>
      <c r="AY79" s="147"/>
      <c r="AZ79" s="147"/>
      <c r="BA79" s="147">
        <v>0.15625178340000001</v>
      </c>
      <c r="BB79" s="147"/>
      <c r="BC79" s="147"/>
      <c r="BD79" s="147" t="s">
        <v>47</v>
      </c>
      <c r="BE79" s="147"/>
      <c r="BF79" s="147"/>
      <c r="BG79" s="147">
        <v>3.2186335310839205</v>
      </c>
      <c r="BH79" s="147"/>
      <c r="BI79" s="147"/>
      <c r="BJ79" s="147" t="s">
        <v>47</v>
      </c>
      <c r="BK79" s="147"/>
      <c r="BL79" s="147"/>
      <c r="BM79" s="147">
        <v>0.24852838424196924</v>
      </c>
      <c r="BN79" s="147"/>
      <c r="BO79" s="147"/>
      <c r="BP79" s="147" t="s">
        <v>47</v>
      </c>
      <c r="BQ79" s="147"/>
      <c r="BR79" s="62"/>
      <c r="BS79" s="77">
        <v>-6.569014869087E-3</v>
      </c>
      <c r="BT79" s="74">
        <v>1.4483151229337081</v>
      </c>
      <c r="BU79" s="78">
        <v>-0.19663639920137843</v>
      </c>
      <c r="BV79" s="79">
        <v>43190</v>
      </c>
      <c r="BW79" s="80" t="s">
        <v>105</v>
      </c>
    </row>
    <row r="80" spans="1:75" s="229" customFormat="1" ht="11.25" customHeight="1" x14ac:dyDescent="0.2">
      <c r="A80" s="138" t="s">
        <v>106</v>
      </c>
      <c r="B80" s="138"/>
      <c r="C80" s="139">
        <v>6.12</v>
      </c>
      <c r="D80" s="139"/>
      <c r="E80" s="150">
        <v>1</v>
      </c>
      <c r="F80" s="87">
        <v>1.479795586409</v>
      </c>
      <c r="G80" s="88"/>
      <c r="H80" s="89"/>
      <c r="I80" s="141">
        <v>3.7379375273761331</v>
      </c>
      <c r="J80" s="141"/>
      <c r="K80" s="141"/>
      <c r="L80" s="90">
        <v>1.00163</v>
      </c>
      <c r="M80" s="91"/>
      <c r="N80" s="92"/>
      <c r="O80" s="90">
        <v>0.68852999999999998</v>
      </c>
      <c r="P80" s="91"/>
      <c r="Q80" s="92"/>
      <c r="R80" s="93">
        <v>4.6237525682182997E-3</v>
      </c>
      <c r="S80" s="94"/>
      <c r="T80" s="95"/>
      <c r="U80" s="141">
        <v>1.6441332516149225</v>
      </c>
      <c r="V80" s="141"/>
      <c r="W80" s="141"/>
      <c r="X80" s="142">
        <v>74.186406292594569</v>
      </c>
      <c r="Y80" s="142"/>
      <c r="Z80" s="142"/>
      <c r="AA80" s="143">
        <v>0.18921779999999999</v>
      </c>
      <c r="AB80" s="143"/>
      <c r="AC80" s="143"/>
      <c r="AD80" s="143">
        <v>6.8310300000000004E-2</v>
      </c>
      <c r="AE80" s="143"/>
      <c r="AF80" s="143"/>
      <c r="AG80" s="143" t="s">
        <v>47</v>
      </c>
      <c r="AH80" s="143"/>
      <c r="AI80" s="143"/>
      <c r="AJ80" s="143">
        <v>9.8990420661658321E-2</v>
      </c>
      <c r="AK80" s="143"/>
      <c r="AL80" s="143"/>
      <c r="AM80" s="144">
        <v>-1.7296601088645634E-2</v>
      </c>
      <c r="AN80" s="144"/>
      <c r="AO80" s="144"/>
      <c r="AP80" s="143">
        <v>-4.8290294947749765E-3</v>
      </c>
      <c r="AQ80" s="143"/>
      <c r="AR80" s="143"/>
      <c r="AS80" s="105">
        <v>-1.0344765015423698</v>
      </c>
      <c r="AT80" s="105">
        <v>20.557726454300884</v>
      </c>
      <c r="AU80" s="106">
        <v>47.416149135945489</v>
      </c>
      <c r="AV80" s="107">
        <v>94.924872499999978</v>
      </c>
      <c r="AW80" s="108">
        <v>0.20269137219914635</v>
      </c>
      <c r="AX80" s="141">
        <v>0.58141083000000005</v>
      </c>
      <c r="AY80" s="141"/>
      <c r="AZ80" s="141"/>
      <c r="BA80" s="141">
        <v>0.43254890000000001</v>
      </c>
      <c r="BB80" s="141"/>
      <c r="BC80" s="141"/>
      <c r="BD80" s="141">
        <v>20.9274506959669</v>
      </c>
      <c r="BE80" s="141"/>
      <c r="BF80" s="141"/>
      <c r="BG80" s="141">
        <v>3.3297760718934777</v>
      </c>
      <c r="BH80" s="141"/>
      <c r="BI80" s="141"/>
      <c r="BJ80" s="141" t="s">
        <v>47</v>
      </c>
      <c r="BK80" s="141"/>
      <c r="BL80" s="141"/>
      <c r="BM80" s="141">
        <v>0.724405150154388</v>
      </c>
      <c r="BN80" s="141"/>
      <c r="BO80" s="141"/>
      <c r="BP80" s="141" t="s">
        <v>47</v>
      </c>
      <c r="BQ80" s="141"/>
      <c r="BR80" s="90"/>
      <c r="BS80" s="109">
        <v>0.49851986840212997</v>
      </c>
      <c r="BT80" s="105">
        <v>0.3912278296710362</v>
      </c>
      <c r="BU80" s="108">
        <v>-1.2890783351941049E-2</v>
      </c>
      <c r="BV80" s="110">
        <v>43190</v>
      </c>
      <c r="BW80" s="111" t="s">
        <v>106</v>
      </c>
    </row>
    <row r="81" spans="1:75" s="229" customFormat="1" ht="11.25" customHeight="1" x14ac:dyDescent="0.2">
      <c r="A81" s="180" t="s">
        <v>107</v>
      </c>
      <c r="B81" s="180"/>
      <c r="C81" s="145">
        <v>16.55</v>
      </c>
      <c r="D81" s="145"/>
      <c r="E81" s="276">
        <v>1</v>
      </c>
      <c r="F81" s="59">
        <v>0.264884324123</v>
      </c>
      <c r="G81" s="60"/>
      <c r="H81" s="61"/>
      <c r="I81" s="147">
        <v>1.9296504048175187</v>
      </c>
      <c r="J81" s="147"/>
      <c r="K81" s="147"/>
      <c r="L81" s="62">
        <v>1.61714</v>
      </c>
      <c r="M81" s="63"/>
      <c r="N81" s="64"/>
      <c r="O81" s="62">
        <v>0.54391</v>
      </c>
      <c r="P81" s="63"/>
      <c r="Q81" s="64"/>
      <c r="R81" s="65">
        <v>1.2982982984985E-2</v>
      </c>
      <c r="S81" s="66"/>
      <c r="T81" s="67"/>
      <c r="U81" s="147">
        <v>1.6871588305237271</v>
      </c>
      <c r="V81" s="147"/>
      <c r="W81" s="147"/>
      <c r="X81" s="148">
        <v>169.07065191768118</v>
      </c>
      <c r="Y81" s="148"/>
      <c r="Z81" s="148"/>
      <c r="AA81" s="149">
        <v>0.28514519999999999</v>
      </c>
      <c r="AB81" s="149"/>
      <c r="AC81" s="149"/>
      <c r="AD81" s="149">
        <v>0.213199</v>
      </c>
      <c r="AE81" s="149"/>
      <c r="AF81" s="149"/>
      <c r="AG81" s="149">
        <v>0.16256091590089247</v>
      </c>
      <c r="AH81" s="149"/>
      <c r="AI81" s="149"/>
      <c r="AJ81" s="149">
        <v>7.1251596661003197E-2</v>
      </c>
      <c r="AK81" s="149"/>
      <c r="AL81" s="149"/>
      <c r="AM81" s="149">
        <v>0.37081708146654119</v>
      </c>
      <c r="AN81" s="149"/>
      <c r="AO81" s="149"/>
      <c r="AP81" s="149">
        <v>0.21941302130544363</v>
      </c>
      <c r="AQ81" s="149"/>
      <c r="AR81" s="149"/>
      <c r="AS81" s="74">
        <v>1.0825874376920073</v>
      </c>
      <c r="AT81" s="74">
        <v>0.6433355320352423</v>
      </c>
      <c r="AU81" s="75">
        <v>0.95046869685030333</v>
      </c>
      <c r="AV81" s="76">
        <v>2524.0698305000001</v>
      </c>
      <c r="AW81" s="74">
        <v>0.27960785520520448</v>
      </c>
      <c r="AX81" s="147">
        <v>47.668594079999899</v>
      </c>
      <c r="AY81" s="147"/>
      <c r="AZ81" s="147"/>
      <c r="BA81" s="147">
        <v>46.62</v>
      </c>
      <c r="BB81" s="147"/>
      <c r="BC81" s="147"/>
      <c r="BD81" s="147">
        <v>8.0447195641541693</v>
      </c>
      <c r="BE81" s="147"/>
      <c r="BF81" s="147"/>
      <c r="BG81" s="147">
        <v>5.2151127806899797</v>
      </c>
      <c r="BH81" s="147"/>
      <c r="BI81" s="147"/>
      <c r="BJ81" s="147">
        <v>13.683792767019993</v>
      </c>
      <c r="BK81" s="147"/>
      <c r="BL81" s="147"/>
      <c r="BM81" s="147">
        <v>2.2379035298227241</v>
      </c>
      <c r="BN81" s="147"/>
      <c r="BO81" s="147"/>
      <c r="BP81" s="147" t="s">
        <v>47</v>
      </c>
      <c r="BQ81" s="147"/>
      <c r="BR81" s="62"/>
      <c r="BS81" s="77">
        <v>0.96161522199270599</v>
      </c>
      <c r="BT81" s="74">
        <v>0.39805201225396719</v>
      </c>
      <c r="BU81" s="78">
        <v>-3.6743762203973462E-2</v>
      </c>
      <c r="BV81" s="79">
        <v>43190</v>
      </c>
      <c r="BW81" s="80" t="s">
        <v>107</v>
      </c>
    </row>
    <row r="82" spans="1:75" s="229" customFormat="1" ht="11.25" customHeight="1" x14ac:dyDescent="0.2">
      <c r="A82" s="138" t="s">
        <v>108</v>
      </c>
      <c r="B82" s="138"/>
      <c r="C82" s="139">
        <v>64.25</v>
      </c>
      <c r="D82" s="139"/>
      <c r="E82" s="150">
        <v>0.1</v>
      </c>
      <c r="F82" s="87">
        <v>1.0381652264400001</v>
      </c>
      <c r="G82" s="88"/>
      <c r="H82" s="89"/>
      <c r="I82" s="141">
        <v>3.1125935034334287</v>
      </c>
      <c r="J82" s="141"/>
      <c r="K82" s="141"/>
      <c r="L82" s="90">
        <v>1.1684300000000001</v>
      </c>
      <c r="M82" s="91"/>
      <c r="N82" s="92"/>
      <c r="O82" s="90">
        <v>0.76424000000000003</v>
      </c>
      <c r="P82" s="91"/>
      <c r="Q82" s="92"/>
      <c r="R82" s="93">
        <v>0</v>
      </c>
      <c r="S82" s="94"/>
      <c r="T82" s="95"/>
      <c r="U82" s="141">
        <v>1.8114048603905202</v>
      </c>
      <c r="V82" s="141"/>
      <c r="W82" s="141"/>
      <c r="X82" s="142" t="s">
        <v>47</v>
      </c>
      <c r="Y82" s="142"/>
      <c r="Z82" s="142"/>
      <c r="AA82" s="143">
        <v>0.2902208</v>
      </c>
      <c r="AB82" s="143"/>
      <c r="AC82" s="143"/>
      <c r="AD82" s="143">
        <v>0.20462730000000001</v>
      </c>
      <c r="AE82" s="143"/>
      <c r="AF82" s="143"/>
      <c r="AG82" s="143">
        <v>0.10607725534572955</v>
      </c>
      <c r="AH82" s="143"/>
      <c r="AI82" s="143"/>
      <c r="AJ82" s="143">
        <v>1.4347165197428714E-2</v>
      </c>
      <c r="AK82" s="143"/>
      <c r="AL82" s="143"/>
      <c r="AM82" s="144">
        <v>0.67983571045022562</v>
      </c>
      <c r="AN82" s="144"/>
      <c r="AO82" s="144"/>
      <c r="AP82" s="143">
        <v>0.15371922946065447</v>
      </c>
      <c r="AQ82" s="143"/>
      <c r="AR82" s="143"/>
      <c r="AS82" s="105">
        <v>0.48569078350558836</v>
      </c>
      <c r="AT82" s="105">
        <v>1.0388415221605205</v>
      </c>
      <c r="AU82" s="106">
        <v>0.9792893111525609</v>
      </c>
      <c r="AV82" s="107">
        <v>3258.4238333333333</v>
      </c>
      <c r="AW82" s="108">
        <v>0.12855341173819973</v>
      </c>
      <c r="AX82" s="141">
        <v>41.156674173500001</v>
      </c>
      <c r="AY82" s="141"/>
      <c r="AZ82" s="141"/>
      <c r="BA82" s="141">
        <v>38.443708604999998</v>
      </c>
      <c r="BB82" s="141"/>
      <c r="BC82" s="141"/>
      <c r="BD82" s="141">
        <v>10.0463899453219</v>
      </c>
      <c r="BE82" s="141"/>
      <c r="BF82" s="141"/>
      <c r="BG82" s="141">
        <v>8.9853264479806487</v>
      </c>
      <c r="BH82" s="141"/>
      <c r="BI82" s="141"/>
      <c r="BJ82" s="141">
        <v>21.23440469305131</v>
      </c>
      <c r="BK82" s="141"/>
      <c r="BL82" s="141"/>
      <c r="BM82" s="141">
        <v>2.313313747629929</v>
      </c>
      <c r="BN82" s="141"/>
      <c r="BO82" s="141"/>
      <c r="BP82" s="141">
        <v>0</v>
      </c>
      <c r="BQ82" s="141"/>
      <c r="BR82" s="90"/>
      <c r="BS82" s="109">
        <v>0.73710653409971005</v>
      </c>
      <c r="BT82" s="105" t="s">
        <v>47</v>
      </c>
      <c r="BU82" s="108" t="s">
        <v>47</v>
      </c>
      <c r="BV82" s="110">
        <v>43190</v>
      </c>
      <c r="BW82" s="111" t="s">
        <v>108</v>
      </c>
    </row>
    <row r="83" spans="1:75" s="229" customFormat="1" ht="11.25" customHeight="1" x14ac:dyDescent="0.2">
      <c r="A83" s="180" t="s">
        <v>109</v>
      </c>
      <c r="B83" s="180"/>
      <c r="C83" s="145">
        <v>58.15</v>
      </c>
      <c r="D83" s="145"/>
      <c r="E83" s="276">
        <v>1</v>
      </c>
      <c r="F83" s="59">
        <v>0.16052124375599999</v>
      </c>
      <c r="G83" s="60"/>
      <c r="H83" s="61"/>
      <c r="I83" s="147">
        <v>3.7326326529835434</v>
      </c>
      <c r="J83" s="147"/>
      <c r="K83" s="147"/>
      <c r="L83" s="62">
        <v>0.72823000000000004</v>
      </c>
      <c r="M83" s="63"/>
      <c r="N83" s="64"/>
      <c r="O83" s="62">
        <v>0.43020999999999998</v>
      </c>
      <c r="P83" s="63"/>
      <c r="Q83" s="64"/>
      <c r="R83" s="65">
        <v>1.8596491228070201E-2</v>
      </c>
      <c r="S83" s="66"/>
      <c r="T83" s="67"/>
      <c r="U83" s="147">
        <v>2.6570220406348817</v>
      </c>
      <c r="V83" s="147"/>
      <c r="W83" s="147"/>
      <c r="X83" s="148">
        <v>-7.4023739735774114</v>
      </c>
      <c r="Y83" s="148"/>
      <c r="Z83" s="148"/>
      <c r="AA83" s="149">
        <v>0.44180100000000005</v>
      </c>
      <c r="AB83" s="149"/>
      <c r="AC83" s="149"/>
      <c r="AD83" s="149">
        <v>0.21554320000000002</v>
      </c>
      <c r="AE83" s="149"/>
      <c r="AF83" s="149"/>
      <c r="AG83" s="149">
        <v>0.13499341440078017</v>
      </c>
      <c r="AH83" s="149"/>
      <c r="AI83" s="149"/>
      <c r="AJ83" s="149">
        <v>0.14344407618682783</v>
      </c>
      <c r="AK83" s="149"/>
      <c r="AL83" s="149"/>
      <c r="AM83" s="149">
        <v>0.8262070166154547</v>
      </c>
      <c r="AN83" s="149"/>
      <c r="AO83" s="149"/>
      <c r="AP83" s="149">
        <v>0.28694518879492426</v>
      </c>
      <c r="AQ83" s="149"/>
      <c r="AR83" s="149"/>
      <c r="AS83" s="74">
        <v>0.18957167073554881</v>
      </c>
      <c r="AT83" s="74">
        <v>1.6161329314549495</v>
      </c>
      <c r="AU83" s="75">
        <v>2.0410956523495849</v>
      </c>
      <c r="AV83" s="76">
        <v>1205.5609975</v>
      </c>
      <c r="AW83" s="74">
        <v>0.14389543707724375</v>
      </c>
      <c r="AX83" s="147">
        <v>20.353571376849999</v>
      </c>
      <c r="AY83" s="147"/>
      <c r="AZ83" s="147"/>
      <c r="BA83" s="147">
        <v>20.067243243</v>
      </c>
      <c r="BB83" s="147"/>
      <c r="BC83" s="147"/>
      <c r="BD83" s="147">
        <v>11.3472130408404</v>
      </c>
      <c r="BE83" s="147"/>
      <c r="BF83" s="147"/>
      <c r="BG83" s="147">
        <v>18.727754813087568</v>
      </c>
      <c r="BH83" s="147"/>
      <c r="BI83" s="147"/>
      <c r="BJ83" s="147">
        <v>18.580055596383037</v>
      </c>
      <c r="BK83" s="147"/>
      <c r="BL83" s="147"/>
      <c r="BM83" s="147">
        <v>2.458584573813702</v>
      </c>
      <c r="BN83" s="147"/>
      <c r="BO83" s="147"/>
      <c r="BP83" s="147">
        <v>67.624266864600003</v>
      </c>
      <c r="BQ83" s="147"/>
      <c r="BR83" s="62"/>
      <c r="BS83" s="77">
        <v>1.2519188427211101</v>
      </c>
      <c r="BT83" s="74">
        <v>0.46965044806236594</v>
      </c>
      <c r="BU83" s="78">
        <v>0.18558751785566918</v>
      </c>
      <c r="BV83" s="79">
        <v>43190</v>
      </c>
      <c r="BW83" s="80" t="s">
        <v>109</v>
      </c>
    </row>
    <row r="84" spans="1:75" s="229" customFormat="1" ht="11.25" customHeight="1" x14ac:dyDescent="0.2">
      <c r="A84" s="138" t="s">
        <v>110</v>
      </c>
      <c r="B84" s="138"/>
      <c r="C84" s="139">
        <v>67</v>
      </c>
      <c r="D84" s="139"/>
      <c r="E84" s="150">
        <v>1</v>
      </c>
      <c r="F84" s="87">
        <v>1.17656626018</v>
      </c>
      <c r="G84" s="88"/>
      <c r="H84" s="89"/>
      <c r="I84" s="141">
        <v>3.5519489609316817</v>
      </c>
      <c r="J84" s="141"/>
      <c r="K84" s="141"/>
      <c r="L84" s="90">
        <v>1.2225600000000001</v>
      </c>
      <c r="M84" s="91"/>
      <c r="N84" s="92"/>
      <c r="O84" s="90">
        <v>0.55193999999999999</v>
      </c>
      <c r="P84" s="91"/>
      <c r="Q84" s="92"/>
      <c r="R84" s="93">
        <v>8.2089552238806002E-3</v>
      </c>
      <c r="S84" s="94"/>
      <c r="T84" s="95"/>
      <c r="U84" s="141">
        <v>1.2144414005918196</v>
      </c>
      <c r="V84" s="141"/>
      <c r="W84" s="141"/>
      <c r="X84" s="142">
        <v>195.35720959134474</v>
      </c>
      <c r="Y84" s="142"/>
      <c r="Z84" s="142"/>
      <c r="AA84" s="143">
        <v>0.24748110000000001</v>
      </c>
      <c r="AB84" s="143"/>
      <c r="AC84" s="143"/>
      <c r="AD84" s="143">
        <v>0.14956250000000001</v>
      </c>
      <c r="AE84" s="143"/>
      <c r="AF84" s="143"/>
      <c r="AG84" s="143">
        <v>4.0829675578143862E-2</v>
      </c>
      <c r="AH84" s="143"/>
      <c r="AI84" s="143"/>
      <c r="AJ84" s="143">
        <v>-6.8155729611428864E-2</v>
      </c>
      <c r="AK84" s="143"/>
      <c r="AL84" s="143"/>
      <c r="AM84" s="144">
        <v>0.13391317076390755</v>
      </c>
      <c r="AN84" s="144"/>
      <c r="AO84" s="144"/>
      <c r="AP84" s="143">
        <v>3.9668414781054762E-2</v>
      </c>
      <c r="AQ84" s="143"/>
      <c r="AR84" s="143"/>
      <c r="AS84" s="105">
        <v>0.75340760177045452</v>
      </c>
      <c r="AT84" s="105">
        <v>1.8836499393011706E-2</v>
      </c>
      <c r="AU84" s="106">
        <v>0.35915835756614378</v>
      </c>
      <c r="AV84" s="107">
        <v>375.57025400000003</v>
      </c>
      <c r="AW84" s="108">
        <v>0.17391059661158023</v>
      </c>
      <c r="AX84" s="141">
        <v>5.4428026070000097</v>
      </c>
      <c r="AY84" s="141"/>
      <c r="AZ84" s="141"/>
      <c r="BA84" s="141">
        <v>4.8596547870000002</v>
      </c>
      <c r="BB84" s="141"/>
      <c r="BC84" s="141"/>
      <c r="BD84" s="141">
        <v>16.0553147836346</v>
      </c>
      <c r="BE84" s="141"/>
      <c r="BF84" s="141"/>
      <c r="BG84" s="141">
        <v>7.8726002063253775</v>
      </c>
      <c r="BH84" s="141"/>
      <c r="BI84" s="141"/>
      <c r="BJ84" s="141">
        <v>61.842918985776123</v>
      </c>
      <c r="BK84" s="141"/>
      <c r="BL84" s="141"/>
      <c r="BM84" s="141">
        <v>2.5250352489564669</v>
      </c>
      <c r="BN84" s="141"/>
      <c r="BO84" s="141"/>
      <c r="BP84" s="141" t="s">
        <v>47</v>
      </c>
      <c r="BQ84" s="141"/>
      <c r="BR84" s="90"/>
      <c r="BS84" s="109">
        <v>0.17301292088769099</v>
      </c>
      <c r="BT84" s="105">
        <v>0.37899005391725132</v>
      </c>
      <c r="BU84" s="108">
        <v>6.7383933845534427E-2</v>
      </c>
      <c r="BV84" s="110">
        <v>43159</v>
      </c>
      <c r="BW84" s="111" t="s">
        <v>110</v>
      </c>
    </row>
    <row r="85" spans="1:75" s="229" customFormat="1" ht="11.25" customHeight="1" x14ac:dyDescent="0.2">
      <c r="A85" s="180" t="s">
        <v>111</v>
      </c>
      <c r="B85" s="180"/>
      <c r="C85" s="145">
        <v>15</v>
      </c>
      <c r="D85" s="145"/>
      <c r="E85" s="276">
        <v>1</v>
      </c>
      <c r="F85" s="59">
        <v>1.9693744359900001</v>
      </c>
      <c r="G85" s="60"/>
      <c r="H85" s="61"/>
      <c r="I85" s="147">
        <v>4.463178638582737</v>
      </c>
      <c r="J85" s="147"/>
      <c r="K85" s="147"/>
      <c r="L85" s="62">
        <v>1.1442600000000001</v>
      </c>
      <c r="M85" s="63"/>
      <c r="N85" s="64"/>
      <c r="O85" s="62">
        <v>0.92201999999999995</v>
      </c>
      <c r="P85" s="63"/>
      <c r="Q85" s="64"/>
      <c r="R85" s="65" t="s">
        <v>47</v>
      </c>
      <c r="S85" s="66"/>
      <c r="T85" s="67"/>
      <c r="U85" s="147">
        <v>1.7576286409103314</v>
      </c>
      <c r="V85" s="147"/>
      <c r="W85" s="147"/>
      <c r="X85" s="148">
        <v>21.968138262448363</v>
      </c>
      <c r="Y85" s="148"/>
      <c r="Z85" s="148"/>
      <c r="AA85" s="149">
        <v>0.14762819999999999</v>
      </c>
      <c r="AB85" s="149"/>
      <c r="AC85" s="149"/>
      <c r="AD85" s="149">
        <v>1.0839399999999999E-2</v>
      </c>
      <c r="AE85" s="149"/>
      <c r="AF85" s="149"/>
      <c r="AG85" s="149">
        <v>1.214986252683993E-2</v>
      </c>
      <c r="AH85" s="149"/>
      <c r="AI85" s="149"/>
      <c r="AJ85" s="149">
        <v>-6.8984996945989042E-3</v>
      </c>
      <c r="AK85" s="149"/>
      <c r="AL85" s="149"/>
      <c r="AM85" s="149">
        <v>8.2475806015606695E-2</v>
      </c>
      <c r="AN85" s="149"/>
      <c r="AO85" s="149"/>
      <c r="AP85" s="149">
        <v>1.708398157747856E-2</v>
      </c>
      <c r="AQ85" s="149"/>
      <c r="AR85" s="149"/>
      <c r="AS85" s="74">
        <v>131.19766309639726</v>
      </c>
      <c r="AT85" s="74">
        <v>-2.0723843978669096</v>
      </c>
      <c r="AU85" s="75">
        <v>3.5001906218445633</v>
      </c>
      <c r="AV85" s="76">
        <v>1454.2917999999997</v>
      </c>
      <c r="AW85" s="74">
        <v>0.20002663940625043</v>
      </c>
      <c r="AX85" s="147">
        <v>9.0106227899999993</v>
      </c>
      <c r="AY85" s="147"/>
      <c r="AZ85" s="147"/>
      <c r="BA85" s="147" t="s">
        <v>47</v>
      </c>
      <c r="BB85" s="147"/>
      <c r="BC85" s="147"/>
      <c r="BD85" s="147">
        <v>10.0243000607424</v>
      </c>
      <c r="BE85" s="147"/>
      <c r="BF85" s="147"/>
      <c r="BG85" s="147" t="s">
        <v>47</v>
      </c>
      <c r="BH85" s="147"/>
      <c r="BI85" s="147"/>
      <c r="BJ85" s="147">
        <v>48.495037341178737</v>
      </c>
      <c r="BK85" s="147"/>
      <c r="BL85" s="147"/>
      <c r="BM85" s="147" t="s">
        <v>47</v>
      </c>
      <c r="BN85" s="147"/>
      <c r="BO85" s="147"/>
      <c r="BP85" s="147">
        <v>56.221763939500001</v>
      </c>
      <c r="BQ85" s="147"/>
      <c r="BR85" s="62"/>
      <c r="BS85" s="77">
        <v>0.98970599624894795</v>
      </c>
      <c r="BT85" s="74">
        <v>0.52967946830545631</v>
      </c>
      <c r="BU85" s="78">
        <v>-0.10301503258465683</v>
      </c>
      <c r="BV85" s="79">
        <v>43008</v>
      </c>
      <c r="BW85" s="80" t="s">
        <v>111</v>
      </c>
    </row>
    <row r="86" spans="1:75" s="229" customFormat="1" ht="11.25" customHeight="1" x14ac:dyDescent="0.2">
      <c r="A86" s="181" t="s">
        <v>112</v>
      </c>
      <c r="B86" s="181"/>
      <c r="C86" s="282">
        <v>14.6</v>
      </c>
      <c r="D86" s="282"/>
      <c r="E86" s="324">
        <v>1</v>
      </c>
      <c r="F86" s="185">
        <v>0.18738103614000001</v>
      </c>
      <c r="G86" s="186"/>
      <c r="H86" s="187"/>
      <c r="I86" s="194">
        <v>1.3927199561981585</v>
      </c>
      <c r="J86" s="194"/>
      <c r="K86" s="194"/>
      <c r="L86" s="188">
        <v>1.52321</v>
      </c>
      <c r="M86" s="189"/>
      <c r="N86" s="190"/>
      <c r="O86" s="188">
        <v>0.44347999999999999</v>
      </c>
      <c r="P86" s="189"/>
      <c r="Q86" s="190"/>
      <c r="R86" s="191">
        <v>2.3142858299651601E-2</v>
      </c>
      <c r="S86" s="192"/>
      <c r="T86" s="193"/>
      <c r="U86" s="194">
        <v>1.0364954494129552</v>
      </c>
      <c r="V86" s="194"/>
      <c r="W86" s="194"/>
      <c r="X86" s="195">
        <v>101.26434513809969</v>
      </c>
      <c r="Y86" s="195"/>
      <c r="Z86" s="195"/>
      <c r="AA86" s="196">
        <v>0.24256419999999998</v>
      </c>
      <c r="AB86" s="196"/>
      <c r="AC86" s="196"/>
      <c r="AD86" s="196">
        <v>0.13523019999999999</v>
      </c>
      <c r="AE86" s="196"/>
      <c r="AF86" s="196"/>
      <c r="AG86" s="196">
        <v>0.14683312813847671</v>
      </c>
      <c r="AH86" s="196"/>
      <c r="AI86" s="196"/>
      <c r="AJ86" s="196">
        <v>-2.5675423795035231E-3</v>
      </c>
      <c r="AK86" s="196"/>
      <c r="AL86" s="196"/>
      <c r="AM86" s="288">
        <v>0.17461369485184186</v>
      </c>
      <c r="AN86" s="288"/>
      <c r="AO86" s="288"/>
      <c r="AP86" s="196">
        <v>0.12175352085250117</v>
      </c>
      <c r="AQ86" s="196"/>
      <c r="AR86" s="196"/>
      <c r="AS86" s="197">
        <v>0.37521117934173431</v>
      </c>
      <c r="AT86" s="197">
        <v>0.87539838956480465</v>
      </c>
      <c r="AU86" s="198">
        <v>1.2386004923278033</v>
      </c>
      <c r="AV86" s="199">
        <v>6716.9957499999991</v>
      </c>
      <c r="AW86" s="200">
        <v>8.1468259097182194E-2</v>
      </c>
      <c r="AX86" s="194">
        <v>70.010649931200106</v>
      </c>
      <c r="AY86" s="194"/>
      <c r="AZ86" s="194"/>
      <c r="BA86" s="194" t="s">
        <v>47</v>
      </c>
      <c r="BB86" s="194"/>
      <c r="BC86" s="194"/>
      <c r="BD86" s="194">
        <v>9.3260999468892898</v>
      </c>
      <c r="BE86" s="194"/>
      <c r="BF86" s="194"/>
      <c r="BG86" s="194" t="s">
        <v>47</v>
      </c>
      <c r="BH86" s="194"/>
      <c r="BI86" s="194"/>
      <c r="BJ86" s="194">
        <v>10.52381192650631</v>
      </c>
      <c r="BK86" s="194"/>
      <c r="BL86" s="194"/>
      <c r="BM86" s="194" t="s">
        <v>47</v>
      </c>
      <c r="BN86" s="194"/>
      <c r="BO86" s="194"/>
      <c r="BP86" s="194">
        <v>11.4563661765</v>
      </c>
      <c r="BQ86" s="194"/>
      <c r="BR86" s="188"/>
      <c r="BS86" s="201">
        <v>0.87882333566388005</v>
      </c>
      <c r="BT86" s="197">
        <v>0.42843726320157166</v>
      </c>
      <c r="BU86" s="200">
        <v>2.2682173037740672E-2</v>
      </c>
      <c r="BV86" s="202">
        <v>43190</v>
      </c>
      <c r="BW86" s="203" t="s">
        <v>112</v>
      </c>
    </row>
    <row r="87" spans="1:75" s="229" customFormat="1" ht="11.25" customHeight="1" x14ac:dyDescent="0.2">
      <c r="A87" s="204" t="s">
        <v>57</v>
      </c>
      <c r="B87" s="204"/>
      <c r="C87" s="289"/>
      <c r="D87" s="289"/>
      <c r="E87" s="325"/>
      <c r="F87" s="208">
        <v>1.4508063662425554</v>
      </c>
      <c r="G87" s="209"/>
      <c r="H87" s="210"/>
      <c r="I87" s="217">
        <v>4.1132551886129765</v>
      </c>
      <c r="J87" s="217"/>
      <c r="K87" s="217"/>
      <c r="L87" s="211">
        <v>1.1386622222222222</v>
      </c>
      <c r="M87" s="212"/>
      <c r="N87" s="213"/>
      <c r="O87" s="211">
        <v>0.6261766666666666</v>
      </c>
      <c r="P87" s="212"/>
      <c r="Q87" s="213"/>
      <c r="R87" s="214">
        <v>1.1259173384134284E-2</v>
      </c>
      <c r="S87" s="215"/>
      <c r="T87" s="216"/>
      <c r="U87" s="217">
        <v>1.6497120555705851</v>
      </c>
      <c r="V87" s="217"/>
      <c r="W87" s="217"/>
      <c r="X87" s="218">
        <v>111.28610693651714</v>
      </c>
      <c r="Y87" s="218"/>
      <c r="Z87" s="218"/>
      <c r="AA87" s="219">
        <v>0.25144826666666664</v>
      </c>
      <c r="AB87" s="219"/>
      <c r="AC87" s="219"/>
      <c r="AD87" s="219">
        <v>0.14247312857142858</v>
      </c>
      <c r="AE87" s="219"/>
      <c r="AF87" s="219"/>
      <c r="AG87" s="219">
        <v>0.10057404198181046</v>
      </c>
      <c r="AH87" s="219"/>
      <c r="AI87" s="219"/>
      <c r="AJ87" s="219">
        <v>1.491306856786628E-2</v>
      </c>
      <c r="AK87" s="219"/>
      <c r="AL87" s="219"/>
      <c r="AM87" s="219">
        <v>0.11631939074747552</v>
      </c>
      <c r="AN87" s="219"/>
      <c r="AO87" s="219"/>
      <c r="AP87" s="219">
        <v>4.0245258874802403E-2</v>
      </c>
      <c r="AQ87" s="219"/>
      <c r="AR87" s="219"/>
      <c r="AS87" s="220">
        <v>14.223683378948746</v>
      </c>
      <c r="AT87" s="220">
        <v>1.4986590745226493</v>
      </c>
      <c r="AU87" s="221">
        <v>8.3702073034323856</v>
      </c>
      <c r="AV87" s="222">
        <v>1842.4596597592588</v>
      </c>
      <c r="AW87" s="220">
        <v>0.18906723820730065</v>
      </c>
      <c r="AX87" s="217">
        <v>22.106337887261112</v>
      </c>
      <c r="AY87" s="217"/>
      <c r="AZ87" s="217"/>
      <c r="BA87" s="217">
        <v>15.944865856857144</v>
      </c>
      <c r="BB87" s="217"/>
      <c r="BC87" s="217"/>
      <c r="BD87" s="217">
        <v>11.966542999641948</v>
      </c>
      <c r="BE87" s="217"/>
      <c r="BF87" s="217"/>
      <c r="BG87" s="217">
        <v>6.9213334250375871</v>
      </c>
      <c r="BH87" s="217"/>
      <c r="BI87" s="217"/>
      <c r="BJ87" s="217">
        <v>29.060003551652585</v>
      </c>
      <c r="BK87" s="217"/>
      <c r="BL87" s="217"/>
      <c r="BM87" s="217">
        <v>1.5331742235196155</v>
      </c>
      <c r="BN87" s="217"/>
      <c r="BO87" s="217"/>
      <c r="BP87" s="217">
        <v>33.825599245150002</v>
      </c>
      <c r="BQ87" s="217"/>
      <c r="BR87" s="211"/>
      <c r="BS87" s="223">
        <v>0.7159517370283599</v>
      </c>
      <c r="BT87" s="220">
        <v>0.56434493460899771</v>
      </c>
      <c r="BU87" s="295">
        <v>-2.4111360228690593E-2</v>
      </c>
      <c r="BV87" s="226"/>
      <c r="BW87" s="80"/>
    </row>
    <row r="88" spans="1:75" s="326" customFormat="1" ht="11.25" customHeight="1" x14ac:dyDescent="0.2">
      <c r="A88" s="173" t="s">
        <v>113</v>
      </c>
      <c r="B88" s="173"/>
      <c r="C88" s="173"/>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73"/>
      <c r="AC88" s="173"/>
      <c r="AD88" s="173"/>
      <c r="AE88" s="173"/>
      <c r="AF88" s="173"/>
      <c r="AG88" s="173"/>
      <c r="AH88" s="173"/>
      <c r="AI88" s="173"/>
      <c r="AJ88" s="173"/>
      <c r="AK88" s="173"/>
      <c r="AL88" s="173"/>
      <c r="AM88" s="173"/>
      <c r="AN88" s="173"/>
      <c r="AO88" s="173"/>
      <c r="AP88" s="173"/>
      <c r="AQ88" s="173"/>
      <c r="AR88" s="173"/>
      <c r="AS88" s="173"/>
      <c r="AT88" s="173"/>
      <c r="AU88" s="173"/>
      <c r="AV88" s="173"/>
      <c r="AW88" s="175"/>
      <c r="AX88" s="173"/>
      <c r="AY88" s="173"/>
      <c r="AZ88" s="173"/>
      <c r="BA88" s="173"/>
      <c r="BB88" s="173"/>
      <c r="BC88" s="173"/>
      <c r="BD88" s="173"/>
      <c r="BE88" s="173"/>
      <c r="BF88" s="173"/>
      <c r="BG88" s="173"/>
      <c r="BH88" s="173"/>
      <c r="BI88" s="173"/>
      <c r="BJ88" s="173"/>
      <c r="BK88" s="173"/>
      <c r="BL88" s="173"/>
      <c r="BM88" s="173"/>
      <c r="BN88" s="173"/>
      <c r="BO88" s="173"/>
      <c r="BP88" s="173"/>
      <c r="BQ88" s="173"/>
      <c r="BR88" s="173"/>
      <c r="BS88" s="173"/>
      <c r="BT88" s="173"/>
      <c r="BU88" s="173"/>
      <c r="BV88" s="176"/>
      <c r="BW88" s="177"/>
    </row>
    <row r="89" spans="1:75" s="327" customFormat="1" ht="11.25" customHeight="1" x14ac:dyDescent="0.2">
      <c r="A89" s="180" t="s">
        <v>114</v>
      </c>
      <c r="B89" s="180"/>
      <c r="C89" s="145">
        <v>39.5</v>
      </c>
      <c r="D89" s="145"/>
      <c r="E89" s="276">
        <v>1</v>
      </c>
      <c r="F89" s="59">
        <v>0.579956750879</v>
      </c>
      <c r="G89" s="60"/>
      <c r="H89" s="61"/>
      <c r="I89" s="147">
        <v>2.4553300014646302</v>
      </c>
      <c r="J89" s="147"/>
      <c r="K89" s="147"/>
      <c r="L89" s="62">
        <v>0.95840000000000003</v>
      </c>
      <c r="M89" s="63"/>
      <c r="N89" s="64"/>
      <c r="O89" s="62">
        <v>0.95769000000000004</v>
      </c>
      <c r="P89" s="63"/>
      <c r="Q89" s="64"/>
      <c r="R89" s="65" t="s">
        <v>47</v>
      </c>
      <c r="S89" s="66"/>
      <c r="T89" s="67"/>
      <c r="U89" s="147">
        <v>0.85355960274124043</v>
      </c>
      <c r="V89" s="147"/>
      <c r="W89" s="147"/>
      <c r="X89" s="148">
        <v>-45.148309074207063</v>
      </c>
      <c r="Y89" s="148"/>
      <c r="Z89" s="148"/>
      <c r="AA89" s="149" t="s">
        <v>47</v>
      </c>
      <c r="AB89" s="149"/>
      <c r="AC89" s="149"/>
      <c r="AD89" s="149">
        <v>8.8327500000000003E-2</v>
      </c>
      <c r="AE89" s="149"/>
      <c r="AF89" s="149"/>
      <c r="AG89" s="149" t="s">
        <v>47</v>
      </c>
      <c r="AH89" s="149"/>
      <c r="AI89" s="149"/>
      <c r="AJ89" s="149">
        <v>-1.9242626830390453E-2</v>
      </c>
      <c r="AK89" s="149"/>
      <c r="AL89" s="149"/>
      <c r="AM89" s="149">
        <v>-1.7618408600974203E-2</v>
      </c>
      <c r="AN89" s="149"/>
      <c r="AO89" s="149"/>
      <c r="AP89" s="149">
        <v>-7.1220049514360484E-3</v>
      </c>
      <c r="AQ89" s="149"/>
      <c r="AR89" s="149"/>
      <c r="AS89" s="74">
        <v>-1.7793236864505146</v>
      </c>
      <c r="AT89" s="74">
        <v>0.25641701629354924</v>
      </c>
      <c r="AU89" s="75">
        <v>2.3926755461872289</v>
      </c>
      <c r="AV89" s="76">
        <v>1170.7583</v>
      </c>
      <c r="AW89" s="74">
        <v>0.54201470518677675</v>
      </c>
      <c r="AX89" s="147">
        <v>14.697779799999999</v>
      </c>
      <c r="AY89" s="147"/>
      <c r="AZ89" s="147"/>
      <c r="BA89" s="147">
        <v>17.3651895</v>
      </c>
      <c r="BB89" s="147"/>
      <c r="BC89" s="147"/>
      <c r="BD89" s="147">
        <v>7.7351158363844199</v>
      </c>
      <c r="BE89" s="147"/>
      <c r="BF89" s="147"/>
      <c r="BG89" s="147">
        <v>2.076188098078223</v>
      </c>
      <c r="BH89" s="147"/>
      <c r="BI89" s="147"/>
      <c r="BJ89" s="147" t="s">
        <v>47</v>
      </c>
      <c r="BK89" s="147"/>
      <c r="BL89" s="147"/>
      <c r="BM89" s="147">
        <v>1.2331328055691404</v>
      </c>
      <c r="BN89" s="147"/>
      <c r="BO89" s="147"/>
      <c r="BP89" s="147" t="s">
        <v>47</v>
      </c>
      <c r="BQ89" s="147"/>
      <c r="BR89" s="62"/>
      <c r="BS89" s="77">
        <v>1.3626691743630399</v>
      </c>
      <c r="BT89" s="74">
        <v>0.5937937193868017</v>
      </c>
      <c r="BU89" s="78">
        <v>0.1476496559072098</v>
      </c>
      <c r="BV89" s="79">
        <v>43190</v>
      </c>
      <c r="BW89" s="80" t="s">
        <v>114</v>
      </c>
    </row>
    <row r="90" spans="1:75" s="327" customFormat="1" ht="11.25" customHeight="1" x14ac:dyDescent="0.2">
      <c r="A90" s="138" t="s">
        <v>115</v>
      </c>
      <c r="B90" s="138"/>
      <c r="C90" s="139">
        <v>47.9</v>
      </c>
      <c r="D90" s="139"/>
      <c r="E90" s="280">
        <v>1</v>
      </c>
      <c r="F90" s="281">
        <v>2.2907705419359998</v>
      </c>
      <c r="G90" s="281"/>
      <c r="H90" s="281"/>
      <c r="I90" s="141">
        <v>5.858625357196571</v>
      </c>
      <c r="J90" s="141"/>
      <c r="K90" s="141"/>
      <c r="L90" s="90">
        <v>1.32846</v>
      </c>
      <c r="M90" s="91"/>
      <c r="N90" s="92"/>
      <c r="O90" s="90">
        <v>1.24017</v>
      </c>
      <c r="P90" s="91"/>
      <c r="Q90" s="92"/>
      <c r="R90" s="93">
        <v>0</v>
      </c>
      <c r="S90" s="94"/>
      <c r="T90" s="95"/>
      <c r="U90" s="141">
        <v>0.67530242949963648</v>
      </c>
      <c r="V90" s="141"/>
      <c r="W90" s="141"/>
      <c r="X90" s="142">
        <v>-43.171448435488259</v>
      </c>
      <c r="Y90" s="142"/>
      <c r="Z90" s="142"/>
      <c r="AA90" s="143">
        <v>0.32154850000000001</v>
      </c>
      <c r="AB90" s="143"/>
      <c r="AC90" s="143"/>
      <c r="AD90" s="143">
        <v>0.2017002</v>
      </c>
      <c r="AE90" s="143"/>
      <c r="AF90" s="143"/>
      <c r="AG90" s="143">
        <v>9.3309149536477232E-2</v>
      </c>
      <c r="AH90" s="143"/>
      <c r="AI90" s="143"/>
      <c r="AJ90" s="143">
        <v>2.3579201934703749E-2</v>
      </c>
      <c r="AK90" s="143"/>
      <c r="AL90" s="143"/>
      <c r="AM90" s="144">
        <v>0.31797465193232188</v>
      </c>
      <c r="AN90" s="144"/>
      <c r="AO90" s="144"/>
      <c r="AP90" s="143">
        <v>5.0409521688565558E-2</v>
      </c>
      <c r="AQ90" s="143"/>
      <c r="AR90" s="143"/>
      <c r="AS90" s="105">
        <v>0.54449284380833851</v>
      </c>
      <c r="AT90" s="105">
        <v>11.973005862698315</v>
      </c>
      <c r="AU90" s="106">
        <v>24.301042797514064</v>
      </c>
      <c r="AV90" s="107">
        <v>5504.2096839999995</v>
      </c>
      <c r="AW90" s="108">
        <v>0.6777828753815115</v>
      </c>
      <c r="AX90" s="141">
        <v>120.356095651</v>
      </c>
      <c r="AY90" s="141"/>
      <c r="AZ90" s="141"/>
      <c r="BA90" s="141">
        <v>94.689297854350002</v>
      </c>
      <c r="BB90" s="141"/>
      <c r="BC90" s="141"/>
      <c r="BD90" s="141">
        <v>6.6333826968143796</v>
      </c>
      <c r="BE90" s="141"/>
      <c r="BF90" s="141"/>
      <c r="BG90" s="141">
        <v>5.1545616687180189</v>
      </c>
      <c r="BH90" s="141"/>
      <c r="BI90" s="141"/>
      <c r="BJ90" s="141">
        <v>18.932282506017621</v>
      </c>
      <c r="BK90" s="141"/>
      <c r="BL90" s="141"/>
      <c r="BM90" s="141">
        <v>1.7348081392098129</v>
      </c>
      <c r="BN90" s="141"/>
      <c r="BO90" s="141"/>
      <c r="BP90" s="141">
        <v>71.869359192000005</v>
      </c>
      <c r="BQ90" s="141"/>
      <c r="BR90" s="90"/>
      <c r="BS90" s="109">
        <v>1.0523320587334499</v>
      </c>
      <c r="BT90" s="105">
        <v>0.44837295234061902</v>
      </c>
      <c r="BU90" s="108">
        <v>0.12488929955182626</v>
      </c>
      <c r="BV90" s="110">
        <v>43190</v>
      </c>
      <c r="BW90" s="111" t="s">
        <v>115</v>
      </c>
    </row>
    <row r="91" spans="1:75" s="327" customFormat="1" ht="11.25" customHeight="1" x14ac:dyDescent="0.2">
      <c r="A91" s="180" t="s">
        <v>116</v>
      </c>
      <c r="B91" s="180"/>
      <c r="C91" s="145">
        <v>55.4</v>
      </c>
      <c r="D91" s="145"/>
      <c r="E91" s="278">
        <v>1</v>
      </c>
      <c r="F91" s="279">
        <v>1.909493215356</v>
      </c>
      <c r="G91" s="279"/>
      <c r="H91" s="279"/>
      <c r="I91" s="147">
        <v>12.47863396266311</v>
      </c>
      <c r="J91" s="147"/>
      <c r="K91" s="147"/>
      <c r="L91" s="62">
        <v>0.92003000000000001</v>
      </c>
      <c r="M91" s="63"/>
      <c r="N91" s="64"/>
      <c r="O91" s="62">
        <v>0.88729000000000002</v>
      </c>
      <c r="P91" s="63"/>
      <c r="Q91" s="64"/>
      <c r="R91" s="65" t="s">
        <v>47</v>
      </c>
      <c r="S91" s="66"/>
      <c r="T91" s="67"/>
      <c r="U91" s="147">
        <v>1.5155206835727755</v>
      </c>
      <c r="V91" s="147"/>
      <c r="W91" s="147"/>
      <c r="X91" s="148">
        <v>-130.05415793661803</v>
      </c>
      <c r="Y91" s="148"/>
      <c r="Z91" s="148"/>
      <c r="AA91" s="149" t="s">
        <v>47</v>
      </c>
      <c r="AB91" s="149"/>
      <c r="AC91" s="149"/>
      <c r="AD91" s="149">
        <v>0.1024856</v>
      </c>
      <c r="AE91" s="149"/>
      <c r="AF91" s="149"/>
      <c r="AG91" s="149">
        <v>5.7083231545395199E-2</v>
      </c>
      <c r="AH91" s="149"/>
      <c r="AI91" s="149"/>
      <c r="AJ91" s="149">
        <v>5.6446640747914147E-2</v>
      </c>
      <c r="AK91" s="149"/>
      <c r="AL91" s="149"/>
      <c r="AM91" s="149">
        <v>1.2904046591401701</v>
      </c>
      <c r="AN91" s="149"/>
      <c r="AO91" s="149"/>
      <c r="AP91" s="149">
        <v>6.9208684689680347E-2</v>
      </c>
      <c r="AQ91" s="149"/>
      <c r="AR91" s="149"/>
      <c r="AS91" s="74">
        <v>2.4429912929567639</v>
      </c>
      <c r="AT91" s="74">
        <v>0.3876121521257711</v>
      </c>
      <c r="AU91" s="75">
        <v>2.1769314476166666</v>
      </c>
      <c r="AV91" s="76">
        <v>2694.1290999999997</v>
      </c>
      <c r="AW91" s="74">
        <v>0.71586458080649507</v>
      </c>
      <c r="AX91" s="147">
        <v>24.201636809749999</v>
      </c>
      <c r="AY91" s="147"/>
      <c r="AZ91" s="147"/>
      <c r="BA91" s="147">
        <v>52.075845495000003</v>
      </c>
      <c r="BB91" s="147"/>
      <c r="BC91" s="147"/>
      <c r="BD91" s="147">
        <v>5.1086349109257903</v>
      </c>
      <c r="BE91" s="147"/>
      <c r="BF91" s="147"/>
      <c r="BG91" s="147">
        <v>21.175671041342209</v>
      </c>
      <c r="BH91" s="147"/>
      <c r="BI91" s="147"/>
      <c r="BJ91" s="147">
        <v>29.084112934555495</v>
      </c>
      <c r="BK91" s="147"/>
      <c r="BL91" s="147"/>
      <c r="BM91" s="147">
        <v>1.7367458095747084</v>
      </c>
      <c r="BN91" s="147"/>
      <c r="BO91" s="147"/>
      <c r="BP91" s="147" t="s">
        <v>47</v>
      </c>
      <c r="BQ91" s="147"/>
      <c r="BR91" s="62"/>
      <c r="BS91" s="77">
        <v>0.89981353246777596</v>
      </c>
      <c r="BT91" s="74">
        <v>0.54811879147383991</v>
      </c>
      <c r="BU91" s="78">
        <v>9.9098595499939046E-2</v>
      </c>
      <c r="BV91" s="79">
        <v>43190</v>
      </c>
      <c r="BW91" s="80" t="s">
        <v>116</v>
      </c>
    </row>
    <row r="92" spans="1:75" ht="11.25" customHeight="1" x14ac:dyDescent="0.2">
      <c r="A92" s="138" t="s">
        <v>117</v>
      </c>
      <c r="B92" s="138"/>
      <c r="C92" s="139">
        <v>53.5</v>
      </c>
      <c r="D92" s="139"/>
      <c r="E92" s="280">
        <v>1</v>
      </c>
      <c r="F92" s="281">
        <v>0.29138578356699996</v>
      </c>
      <c r="G92" s="281"/>
      <c r="H92" s="281"/>
      <c r="I92" s="141">
        <v>3.2069783173772786</v>
      </c>
      <c r="J92" s="141"/>
      <c r="K92" s="141"/>
      <c r="L92" s="90">
        <v>0.86380999999999997</v>
      </c>
      <c r="M92" s="91"/>
      <c r="N92" s="92"/>
      <c r="O92" s="90">
        <v>0.85421000000000002</v>
      </c>
      <c r="P92" s="91"/>
      <c r="Q92" s="92"/>
      <c r="R92" s="93" t="s">
        <v>47</v>
      </c>
      <c r="S92" s="94"/>
      <c r="T92" s="95"/>
      <c r="U92" s="141">
        <v>1.7542933942185175</v>
      </c>
      <c r="V92" s="141"/>
      <c r="W92" s="141"/>
      <c r="X92" s="142">
        <v>-76.22462665041428</v>
      </c>
      <c r="Y92" s="142"/>
      <c r="Z92" s="142"/>
      <c r="AA92" s="143" t="s">
        <v>47</v>
      </c>
      <c r="AB92" s="143"/>
      <c r="AC92" s="143"/>
      <c r="AD92" s="143">
        <v>0.13845289999999999</v>
      </c>
      <c r="AE92" s="143"/>
      <c r="AF92" s="143"/>
      <c r="AG92" s="143">
        <v>7.7978694563715326E-2</v>
      </c>
      <c r="AH92" s="143"/>
      <c r="AI92" s="143"/>
      <c r="AJ92" s="143">
        <v>-6.9992466133233844E-2</v>
      </c>
      <c r="AK92" s="143"/>
      <c r="AL92" s="143"/>
      <c r="AM92" s="144">
        <v>0.3671402531142835</v>
      </c>
      <c r="AN92" s="144"/>
      <c r="AO92" s="144"/>
      <c r="AP92" s="143">
        <v>0.10943824429307492</v>
      </c>
      <c r="AQ92" s="143"/>
      <c r="AR92" s="143"/>
      <c r="AS92" s="105">
        <v>7.7998534289902E-2</v>
      </c>
      <c r="AT92" s="105">
        <v>2.0131031893458187</v>
      </c>
      <c r="AU92" s="106">
        <v>3.6576101405493784</v>
      </c>
      <c r="AV92" s="107">
        <v>863.13440549999973</v>
      </c>
      <c r="AW92" s="108">
        <v>1.079391080871799</v>
      </c>
      <c r="AX92" s="141">
        <v>8.7640344070000005</v>
      </c>
      <c r="AY92" s="141"/>
      <c r="AZ92" s="141"/>
      <c r="BA92" s="141">
        <v>18.555778062000002</v>
      </c>
      <c r="BB92" s="141"/>
      <c r="BC92" s="141"/>
      <c r="BD92" s="141">
        <v>8.0849971630664399</v>
      </c>
      <c r="BE92" s="141"/>
      <c r="BF92" s="141"/>
      <c r="BG92" s="141">
        <v>12.761575582112519</v>
      </c>
      <c r="BH92" s="141"/>
      <c r="BI92" s="141"/>
      <c r="BJ92" s="141">
        <v>31.956706129714362</v>
      </c>
      <c r="BK92" s="141"/>
      <c r="BL92" s="141"/>
      <c r="BM92" s="141">
        <v>2.6549771465630361</v>
      </c>
      <c r="BN92" s="141"/>
      <c r="BO92" s="141"/>
      <c r="BP92" s="141" t="s">
        <v>47</v>
      </c>
      <c r="BQ92" s="141"/>
      <c r="BR92" s="90"/>
      <c r="BS92" s="109">
        <v>0.92428928214621198</v>
      </c>
      <c r="BT92" s="105">
        <v>0.4231626006590678</v>
      </c>
      <c r="BU92" s="108">
        <v>0.13529746483016525</v>
      </c>
      <c r="BV92" s="110">
        <v>43190</v>
      </c>
      <c r="BW92" s="111" t="s">
        <v>117</v>
      </c>
    </row>
    <row r="93" spans="1:75" ht="11.25" customHeight="1" x14ac:dyDescent="0.2">
      <c r="A93" s="180" t="s">
        <v>118</v>
      </c>
      <c r="B93" s="180"/>
      <c r="C93" s="145">
        <v>57.5</v>
      </c>
      <c r="D93" s="145"/>
      <c r="E93" s="278">
        <v>1</v>
      </c>
      <c r="F93" s="279">
        <v>0</v>
      </c>
      <c r="G93" s="279"/>
      <c r="H93" s="279"/>
      <c r="I93" s="147">
        <v>4.6144722532774507</v>
      </c>
      <c r="J93" s="147"/>
      <c r="K93" s="147"/>
      <c r="L93" s="62">
        <v>1.20017</v>
      </c>
      <c r="M93" s="63"/>
      <c r="N93" s="64"/>
      <c r="O93" s="62">
        <v>1.1856500000000001</v>
      </c>
      <c r="P93" s="63"/>
      <c r="Q93" s="64"/>
      <c r="R93" s="65" t="s">
        <v>47</v>
      </c>
      <c r="S93" s="66"/>
      <c r="T93" s="67"/>
      <c r="U93" s="147">
        <v>1.4624226240673248</v>
      </c>
      <c r="V93" s="147"/>
      <c r="W93" s="147"/>
      <c r="X93" s="148">
        <v>-120.12051825949845</v>
      </c>
      <c r="Y93" s="148"/>
      <c r="Z93" s="148"/>
      <c r="AA93" s="149">
        <v>0.26665669999999997</v>
      </c>
      <c r="AB93" s="149"/>
      <c r="AC93" s="149"/>
      <c r="AD93" s="149">
        <v>0.18487200000000001</v>
      </c>
      <c r="AE93" s="149"/>
      <c r="AF93" s="149"/>
      <c r="AG93" s="149">
        <v>5.2892841555550012E-2</v>
      </c>
      <c r="AH93" s="149"/>
      <c r="AI93" s="149"/>
      <c r="AJ93" s="149">
        <v>9.9206198629761336E-2</v>
      </c>
      <c r="AK93" s="149"/>
      <c r="AL93" s="149"/>
      <c r="AM93" s="149">
        <v>0.28875879244864078</v>
      </c>
      <c r="AN93" s="149"/>
      <c r="AO93" s="149"/>
      <c r="AP93" s="149">
        <v>6.1881468006669903E-2</v>
      </c>
      <c r="AQ93" s="149"/>
      <c r="AR93" s="149"/>
      <c r="AS93" s="74">
        <v>-1.8276605877991394</v>
      </c>
      <c r="AT93" s="74">
        <v>-0.32950737307524269</v>
      </c>
      <c r="AU93" s="75">
        <v>4.6322390888215654</v>
      </c>
      <c r="AV93" s="76">
        <v>749.7835305000001</v>
      </c>
      <c r="AW93" s="74">
        <v>1.2420103894771848</v>
      </c>
      <c r="AX93" s="147">
        <v>17.7885902875</v>
      </c>
      <c r="AY93" s="147"/>
      <c r="AZ93" s="147"/>
      <c r="BA93" s="147">
        <v>18.730394953799998</v>
      </c>
      <c r="BB93" s="147"/>
      <c r="BC93" s="147"/>
      <c r="BD93" s="147">
        <v>29.229755106225898</v>
      </c>
      <c r="BE93" s="147"/>
      <c r="BF93" s="147"/>
      <c r="BG93" s="147">
        <v>18.627923862308869</v>
      </c>
      <c r="BH93" s="147"/>
      <c r="BI93" s="147"/>
      <c r="BJ93" s="147">
        <v>54.456430120561798</v>
      </c>
      <c r="BK93" s="147"/>
      <c r="BL93" s="147"/>
      <c r="BM93" s="147">
        <v>2.8152200678759445</v>
      </c>
      <c r="BN93" s="147"/>
      <c r="BO93" s="147"/>
      <c r="BP93" s="147">
        <v>723.8726709993</v>
      </c>
      <c r="BQ93" s="147"/>
      <c r="BR93" s="62"/>
      <c r="BS93" s="77">
        <v>1.1500336574026899</v>
      </c>
      <c r="BT93" s="74">
        <v>0.48494391854761631</v>
      </c>
      <c r="BU93" s="78">
        <v>0.17987924601924976</v>
      </c>
      <c r="BV93" s="79">
        <v>43190</v>
      </c>
      <c r="BW93" s="80" t="s">
        <v>118</v>
      </c>
    </row>
    <row r="94" spans="1:75" ht="11.25" customHeight="1" x14ac:dyDescent="0.2">
      <c r="A94" s="138" t="s">
        <v>119</v>
      </c>
      <c r="B94" s="138"/>
      <c r="C94" s="139">
        <v>47.300000000000004</v>
      </c>
      <c r="D94" s="139"/>
      <c r="E94" s="280">
        <v>1</v>
      </c>
      <c r="F94" s="281">
        <v>0</v>
      </c>
      <c r="G94" s="281"/>
      <c r="H94" s="281"/>
      <c r="I94" s="141">
        <v>3.7145256882214932</v>
      </c>
      <c r="J94" s="141"/>
      <c r="K94" s="141"/>
      <c r="L94" s="90">
        <v>0.93483000000000005</v>
      </c>
      <c r="M94" s="91"/>
      <c r="N94" s="92"/>
      <c r="O94" s="90">
        <v>0.93247999999999998</v>
      </c>
      <c r="P94" s="91"/>
      <c r="Q94" s="92"/>
      <c r="R94" s="93">
        <v>6.6608228704347794E-2</v>
      </c>
      <c r="S94" s="94"/>
      <c r="T94" s="95"/>
      <c r="U94" s="141">
        <v>1.4494303719752004</v>
      </c>
      <c r="V94" s="141"/>
      <c r="W94" s="141"/>
      <c r="X94" s="142">
        <v>-196.55891163456579</v>
      </c>
      <c r="Y94" s="142"/>
      <c r="Z94" s="142"/>
      <c r="AA94" s="143">
        <v>0.1928916</v>
      </c>
      <c r="AB94" s="143"/>
      <c r="AC94" s="143"/>
      <c r="AD94" s="143">
        <v>4.04471E-2</v>
      </c>
      <c r="AE94" s="143"/>
      <c r="AF94" s="143"/>
      <c r="AG94" s="143">
        <v>0.11121030349890478</v>
      </c>
      <c r="AH94" s="143"/>
      <c r="AI94" s="143"/>
      <c r="AJ94" s="143">
        <v>-0.15349186822938829</v>
      </c>
      <c r="AK94" s="143"/>
      <c r="AL94" s="143"/>
      <c r="AM94" s="144">
        <v>0.50228259967351907</v>
      </c>
      <c r="AN94" s="144"/>
      <c r="AO94" s="144"/>
      <c r="AP94" s="143">
        <v>0.12895380562205325</v>
      </c>
      <c r="AQ94" s="143"/>
      <c r="AR94" s="143"/>
      <c r="AS94" s="105">
        <v>12.547491687147607</v>
      </c>
      <c r="AT94" s="105">
        <v>2.0975224060243134</v>
      </c>
      <c r="AU94" s="106">
        <v>3.8039342837726449</v>
      </c>
      <c r="AV94" s="107">
        <v>215.0942</v>
      </c>
      <c r="AW94" s="108">
        <v>1.5008370786691501</v>
      </c>
      <c r="AX94" s="141">
        <v>2.5847884944000001</v>
      </c>
      <c r="AY94" s="141"/>
      <c r="AZ94" s="141"/>
      <c r="BA94" s="141">
        <v>9.3081592480000008</v>
      </c>
      <c r="BB94" s="141"/>
      <c r="BC94" s="141"/>
      <c r="BD94" s="141">
        <v>3.9928393255025099</v>
      </c>
      <c r="BE94" s="141"/>
      <c r="BF94" s="141"/>
      <c r="BG94" s="141">
        <v>11.889242448007806</v>
      </c>
      <c r="BH94" s="141"/>
      <c r="BI94" s="141"/>
      <c r="BJ94" s="141">
        <v>28.498439514622778</v>
      </c>
      <c r="BK94" s="141"/>
      <c r="BL94" s="141"/>
      <c r="BM94" s="141">
        <v>3.0822280697165017</v>
      </c>
      <c r="BN94" s="141"/>
      <c r="BO94" s="141"/>
      <c r="BP94" s="141">
        <v>18.766758333999999</v>
      </c>
      <c r="BQ94" s="141"/>
      <c r="BR94" s="90"/>
      <c r="BS94" s="109">
        <v>1.50910874960213</v>
      </c>
      <c r="BT94" s="105">
        <v>0.43491296694223525</v>
      </c>
      <c r="BU94" s="108">
        <v>8.7613457941196682E-2</v>
      </c>
      <c r="BV94" s="110">
        <v>43008</v>
      </c>
      <c r="BW94" s="111" t="s">
        <v>119</v>
      </c>
    </row>
    <row r="95" spans="1:75" ht="11.25" customHeight="1" x14ac:dyDescent="0.2">
      <c r="A95" s="180" t="s">
        <v>120</v>
      </c>
      <c r="B95" s="180"/>
      <c r="C95" s="145">
        <v>66.5</v>
      </c>
      <c r="D95" s="145"/>
      <c r="E95" s="278">
        <v>1</v>
      </c>
      <c r="F95" s="279">
        <v>1.21926374306</v>
      </c>
      <c r="G95" s="279"/>
      <c r="H95" s="279"/>
      <c r="I95" s="147">
        <v>2.6704526562538726</v>
      </c>
      <c r="J95" s="147"/>
      <c r="K95" s="147"/>
      <c r="L95" s="62">
        <v>4.53728</v>
      </c>
      <c r="M95" s="63"/>
      <c r="N95" s="64"/>
      <c r="O95" s="62">
        <v>4.4895800000000001</v>
      </c>
      <c r="P95" s="63"/>
      <c r="Q95" s="64"/>
      <c r="R95" s="65" t="s">
        <v>47</v>
      </c>
      <c r="S95" s="66"/>
      <c r="T95" s="67"/>
      <c r="U95" s="147">
        <v>0.39140533213805129</v>
      </c>
      <c r="V95" s="147"/>
      <c r="W95" s="147"/>
      <c r="X95" s="148">
        <v>14.748114112343373</v>
      </c>
      <c r="Y95" s="148"/>
      <c r="Z95" s="148"/>
      <c r="AA95" s="149" t="s">
        <v>47</v>
      </c>
      <c r="AB95" s="149"/>
      <c r="AC95" s="149"/>
      <c r="AD95" s="149">
        <v>0.45217480000000004</v>
      </c>
      <c r="AE95" s="149"/>
      <c r="AF95" s="149"/>
      <c r="AG95" s="149">
        <v>0.17498061676068341</v>
      </c>
      <c r="AH95" s="149"/>
      <c r="AI95" s="149"/>
      <c r="AJ95" s="149">
        <v>7.9896554395046282E-2</v>
      </c>
      <c r="AK95" s="149"/>
      <c r="AL95" s="149"/>
      <c r="AM95" s="149">
        <v>0.15488469921495263</v>
      </c>
      <c r="AN95" s="149"/>
      <c r="AO95" s="149"/>
      <c r="AP95" s="149">
        <v>5.4790726693420479E-2</v>
      </c>
      <c r="AQ95" s="149"/>
      <c r="AR95" s="149"/>
      <c r="AS95" s="74">
        <v>0.83002758928058729</v>
      </c>
      <c r="AT95" s="74">
        <v>-98.296060562605774</v>
      </c>
      <c r="AU95" s="75">
        <v>218.63366409159673</v>
      </c>
      <c r="AV95" s="76">
        <v>403.3100915</v>
      </c>
      <c r="AW95" s="74">
        <v>0.1799485205577426</v>
      </c>
      <c r="AX95" s="147">
        <v>14.263132683</v>
      </c>
      <c r="AY95" s="147"/>
      <c r="AZ95" s="147"/>
      <c r="BA95" s="147">
        <v>12.0287726658</v>
      </c>
      <c r="BB95" s="147"/>
      <c r="BC95" s="147"/>
      <c r="BD95" s="147">
        <v>6.1684978885103297</v>
      </c>
      <c r="BE95" s="147"/>
      <c r="BF95" s="147"/>
      <c r="BG95" s="147">
        <v>2.2982799572038388</v>
      </c>
      <c r="BH95" s="147"/>
      <c r="BI95" s="147"/>
      <c r="BJ95" s="147">
        <v>18.305288163773145</v>
      </c>
      <c r="BK95" s="147"/>
      <c r="BL95" s="147"/>
      <c r="BM95" s="147">
        <v>3.2223308101703534</v>
      </c>
      <c r="BN95" s="147"/>
      <c r="BO95" s="147"/>
      <c r="BP95" s="147">
        <v>30.502464635799999</v>
      </c>
      <c r="BQ95" s="147"/>
      <c r="BR95" s="62"/>
      <c r="BS95" s="77">
        <v>1.0407202680533401</v>
      </c>
      <c r="BT95" s="74">
        <v>0.51289881047061103</v>
      </c>
      <c r="BU95" s="78">
        <v>1.942307454018799E-3</v>
      </c>
      <c r="BV95" s="79">
        <v>43131</v>
      </c>
      <c r="BW95" s="80" t="s">
        <v>120</v>
      </c>
    </row>
    <row r="96" spans="1:75" ht="11.25" customHeight="1" x14ac:dyDescent="0.2">
      <c r="A96" s="138" t="s">
        <v>121</v>
      </c>
      <c r="B96" s="138"/>
      <c r="C96" s="139">
        <v>50.45</v>
      </c>
      <c r="D96" s="139"/>
      <c r="E96" s="280">
        <v>1</v>
      </c>
      <c r="F96" s="281">
        <v>0.64904456682</v>
      </c>
      <c r="G96" s="281"/>
      <c r="H96" s="281"/>
      <c r="I96" s="141">
        <v>2.5658829439558035</v>
      </c>
      <c r="J96" s="141"/>
      <c r="K96" s="141"/>
      <c r="L96" s="90">
        <v>2.1304599999999998</v>
      </c>
      <c r="M96" s="91"/>
      <c r="N96" s="92"/>
      <c r="O96" s="90">
        <v>2.1304599999999998</v>
      </c>
      <c r="P96" s="91"/>
      <c r="Q96" s="92"/>
      <c r="R96" s="93" t="s">
        <v>47</v>
      </c>
      <c r="S96" s="94"/>
      <c r="T96" s="95"/>
      <c r="U96" s="141">
        <v>1.4310766091476488</v>
      </c>
      <c r="V96" s="141"/>
      <c r="W96" s="141"/>
      <c r="X96" s="142" t="s">
        <v>47</v>
      </c>
      <c r="Y96" s="142"/>
      <c r="Z96" s="142"/>
      <c r="AA96" s="143">
        <v>0.65239369999999997</v>
      </c>
      <c r="AB96" s="143"/>
      <c r="AC96" s="143"/>
      <c r="AD96" s="143">
        <v>0.55865949999999998</v>
      </c>
      <c r="AE96" s="143"/>
      <c r="AF96" s="143"/>
      <c r="AG96" s="143">
        <v>0.37877156706614207</v>
      </c>
      <c r="AH96" s="143"/>
      <c r="AI96" s="143"/>
      <c r="AJ96" s="143">
        <v>0.43286319551003033</v>
      </c>
      <c r="AK96" s="143"/>
      <c r="AL96" s="143"/>
      <c r="AM96" s="144">
        <v>1.2436686202576483</v>
      </c>
      <c r="AN96" s="144"/>
      <c r="AO96" s="144"/>
      <c r="AP96" s="143">
        <v>0.43364179173251849</v>
      </c>
      <c r="AQ96" s="143"/>
      <c r="AR96" s="143"/>
      <c r="AS96" s="105">
        <v>0.84938602527895646</v>
      </c>
      <c r="AT96" s="105">
        <v>13.250191687380616</v>
      </c>
      <c r="AU96" s="106">
        <v>19.649991684999364</v>
      </c>
      <c r="AV96" s="107">
        <v>703.42011650000006</v>
      </c>
      <c r="AW96" s="108">
        <v>2.39700234555306</v>
      </c>
      <c r="AX96" s="141">
        <v>9.979604930849991</v>
      </c>
      <c r="AY96" s="141"/>
      <c r="AZ96" s="141"/>
      <c r="BA96" s="141">
        <v>22.433792957750001</v>
      </c>
      <c r="BB96" s="141"/>
      <c r="BC96" s="141"/>
      <c r="BD96" s="141">
        <v>2.8677290928303099</v>
      </c>
      <c r="BE96" s="141"/>
      <c r="BF96" s="141"/>
      <c r="BG96" s="141">
        <v>7.8481161610799255</v>
      </c>
      <c r="BH96" s="141"/>
      <c r="BI96" s="141"/>
      <c r="BJ96" s="141">
        <v>9.8303605179986207</v>
      </c>
      <c r="BK96" s="141"/>
      <c r="BL96" s="141"/>
      <c r="BM96" s="141">
        <v>3.7234603833453526</v>
      </c>
      <c r="BN96" s="141"/>
      <c r="BO96" s="141"/>
      <c r="BP96" s="141">
        <v>25.1922844403</v>
      </c>
      <c r="BQ96" s="141"/>
      <c r="BR96" s="90"/>
      <c r="BS96" s="109">
        <v>1.2865297438591401</v>
      </c>
      <c r="BT96" s="105">
        <v>0.51962636067445322</v>
      </c>
      <c r="BU96" s="108">
        <v>0.16949627331402373</v>
      </c>
      <c r="BV96" s="110">
        <v>43100</v>
      </c>
      <c r="BW96" s="111" t="s">
        <v>121</v>
      </c>
    </row>
    <row r="97" spans="1:75" ht="11.25" customHeight="1" x14ac:dyDescent="0.2">
      <c r="A97" s="180" t="s">
        <v>122</v>
      </c>
      <c r="B97" s="180"/>
      <c r="C97" s="145">
        <v>12.15</v>
      </c>
      <c r="D97" s="145"/>
      <c r="E97" s="278">
        <v>1</v>
      </c>
      <c r="F97" s="279">
        <v>1.0046626197800002</v>
      </c>
      <c r="G97" s="279"/>
      <c r="H97" s="279"/>
      <c r="I97" s="147">
        <v>5.977642056222618</v>
      </c>
      <c r="J97" s="147"/>
      <c r="K97" s="147"/>
      <c r="L97" s="62">
        <v>0.85787000000000002</v>
      </c>
      <c r="M97" s="63"/>
      <c r="N97" s="64"/>
      <c r="O97" s="62">
        <v>0.83243999999999996</v>
      </c>
      <c r="P97" s="63"/>
      <c r="Q97" s="64"/>
      <c r="R97" s="65" t="s">
        <v>47</v>
      </c>
      <c r="S97" s="66"/>
      <c r="T97" s="67"/>
      <c r="U97" s="147">
        <v>0.60259034049100402</v>
      </c>
      <c r="V97" s="147"/>
      <c r="W97" s="147"/>
      <c r="X97" s="148">
        <v>-147.58762134640918</v>
      </c>
      <c r="Y97" s="148"/>
      <c r="Z97" s="148"/>
      <c r="AA97" s="149">
        <v>0.31578810000000002</v>
      </c>
      <c r="AB97" s="149"/>
      <c r="AC97" s="149"/>
      <c r="AD97" s="149">
        <v>0.33229900000000001</v>
      </c>
      <c r="AE97" s="149"/>
      <c r="AF97" s="149"/>
      <c r="AG97" s="149">
        <v>0.20112970594021207</v>
      </c>
      <c r="AH97" s="149"/>
      <c r="AI97" s="149"/>
      <c r="AJ97" s="149">
        <v>0.27857122180409105</v>
      </c>
      <c r="AK97" s="149"/>
      <c r="AL97" s="149"/>
      <c r="AM97" s="149">
        <v>0.66599148001918951</v>
      </c>
      <c r="AN97" s="149"/>
      <c r="AO97" s="149"/>
      <c r="AP97" s="149">
        <v>9.6959241305807492E-2</v>
      </c>
      <c r="AQ97" s="149"/>
      <c r="AR97" s="149"/>
      <c r="AS97" s="74">
        <v>1.7216926251163227</v>
      </c>
      <c r="AT97" s="74">
        <v>1.5763634289289297</v>
      </c>
      <c r="AU97" s="75">
        <v>1.9547955829376784</v>
      </c>
      <c r="AV97" s="76">
        <v>419.58596450000005</v>
      </c>
      <c r="AW97" s="74">
        <v>0.55089801399803362</v>
      </c>
      <c r="AX97" s="147">
        <v>8.455202912699999</v>
      </c>
      <c r="AY97" s="147"/>
      <c r="AZ97" s="147"/>
      <c r="BA97" s="147" t="s">
        <v>47</v>
      </c>
      <c r="BB97" s="147"/>
      <c r="BC97" s="147"/>
      <c r="BD97" s="147">
        <v>6.0735055777686302</v>
      </c>
      <c r="BE97" s="147"/>
      <c r="BF97" s="147"/>
      <c r="BG97" s="147" t="s">
        <v>47</v>
      </c>
      <c r="BH97" s="147"/>
      <c r="BI97" s="147"/>
      <c r="BJ97" s="147">
        <v>15.705791106514996</v>
      </c>
      <c r="BK97" s="147"/>
      <c r="BL97" s="147"/>
      <c r="BM97" s="147" t="s">
        <v>47</v>
      </c>
      <c r="BN97" s="147"/>
      <c r="BO97" s="147"/>
      <c r="BP97" s="147">
        <v>64.324477671799997</v>
      </c>
      <c r="BQ97" s="147"/>
      <c r="BR97" s="62"/>
      <c r="BS97" s="77">
        <v>1.5209537843840599</v>
      </c>
      <c r="BT97" s="74">
        <v>0.54766065406652098</v>
      </c>
      <c r="BU97" s="78">
        <v>-7.6006061516081469E-2</v>
      </c>
      <c r="BV97" s="79">
        <v>43190</v>
      </c>
      <c r="BW97" s="80" t="s">
        <v>122</v>
      </c>
    </row>
    <row r="98" spans="1:75" ht="11.25" customHeight="1" x14ac:dyDescent="0.2">
      <c r="A98" s="151" t="s">
        <v>57</v>
      </c>
      <c r="B98" s="152"/>
      <c r="C98" s="153"/>
      <c r="D98" s="154"/>
      <c r="E98" s="155"/>
      <c r="F98" s="156">
        <v>0.88273080237755552</v>
      </c>
      <c r="G98" s="157"/>
      <c r="H98" s="158"/>
      <c r="I98" s="156">
        <v>4.83806035962587</v>
      </c>
      <c r="J98" s="157"/>
      <c r="K98" s="158"/>
      <c r="L98" s="156">
        <v>1.525701111111111</v>
      </c>
      <c r="M98" s="157"/>
      <c r="N98" s="158"/>
      <c r="O98" s="156">
        <v>1.5011077777777779</v>
      </c>
      <c r="P98" s="157"/>
      <c r="Q98" s="158"/>
      <c r="R98" s="159">
        <v>3.3304114352173897E-2</v>
      </c>
      <c r="S98" s="160"/>
      <c r="T98" s="161"/>
      <c r="U98" s="156">
        <v>1.1261779319834888</v>
      </c>
      <c r="V98" s="157"/>
      <c r="W98" s="158"/>
      <c r="X98" s="156">
        <v>-93.014684903107209</v>
      </c>
      <c r="Y98" s="157"/>
      <c r="Z98" s="158"/>
      <c r="AA98" s="162">
        <v>0.34985571999999998</v>
      </c>
      <c r="AB98" s="163"/>
      <c r="AC98" s="164"/>
      <c r="AD98" s="162">
        <v>0.23326873333333331</v>
      </c>
      <c r="AE98" s="163"/>
      <c r="AF98" s="164"/>
      <c r="AG98" s="162">
        <v>0.14341951380838502</v>
      </c>
      <c r="AH98" s="163"/>
      <c r="AI98" s="164"/>
      <c r="AJ98" s="162">
        <v>8.0870672425392698E-2</v>
      </c>
      <c r="AK98" s="163"/>
      <c r="AL98" s="164"/>
      <c r="AM98" s="162">
        <v>0.5348319274666391</v>
      </c>
      <c r="AN98" s="163"/>
      <c r="AO98" s="164"/>
      <c r="AP98" s="162">
        <v>0.11090683100892827</v>
      </c>
      <c r="AQ98" s="163"/>
      <c r="AR98" s="164"/>
      <c r="AS98" s="165">
        <v>1.7118995915143138</v>
      </c>
      <c r="AT98" s="165">
        <v>-7.4523724658759658</v>
      </c>
      <c r="AU98" s="166">
        <v>31.244764962666142</v>
      </c>
      <c r="AV98" s="167">
        <v>1413.7139324999998</v>
      </c>
      <c r="AW98" s="165">
        <v>0.98730551005575029</v>
      </c>
      <c r="AX98" s="168">
        <v>24.565651775133333</v>
      </c>
      <c r="AY98" s="169"/>
      <c r="AZ98" s="170"/>
      <c r="BA98" s="168">
        <v>30.6484038420875</v>
      </c>
      <c r="BB98" s="169"/>
      <c r="BC98" s="170"/>
      <c r="BD98" s="168">
        <v>8.4327175108920791</v>
      </c>
      <c r="BE98" s="169"/>
      <c r="BF98" s="170"/>
      <c r="BG98" s="168">
        <v>10.228944852356427</v>
      </c>
      <c r="BH98" s="169"/>
      <c r="BI98" s="170"/>
      <c r="BJ98" s="168">
        <v>25.846176374219855</v>
      </c>
      <c r="BK98" s="169"/>
      <c r="BL98" s="170"/>
      <c r="BM98" s="168">
        <v>2.525362904003106</v>
      </c>
      <c r="BN98" s="169"/>
      <c r="BO98" s="170"/>
      <c r="BP98" s="168">
        <v>155.75466921220001</v>
      </c>
      <c r="BQ98" s="169"/>
      <c r="BR98" s="170"/>
      <c r="BS98" s="171">
        <v>1.1940500278902042</v>
      </c>
      <c r="BT98" s="165">
        <v>0.50149897495130724</v>
      </c>
      <c r="BU98" s="165">
        <v>9.6651137666838652E-2</v>
      </c>
      <c r="BV98" s="172"/>
      <c r="BW98" s="172"/>
    </row>
    <row r="99" spans="1:75" s="328" customFormat="1" ht="11.25" customHeight="1" x14ac:dyDescent="0.2">
      <c r="A99" s="173" t="s">
        <v>123</v>
      </c>
      <c r="B99" s="173"/>
      <c r="C99" s="173"/>
      <c r="D99" s="173"/>
      <c r="E99" s="173"/>
      <c r="F99" s="173"/>
      <c r="G99" s="173"/>
      <c r="H99" s="173"/>
      <c r="I99" s="173"/>
      <c r="J99" s="173"/>
      <c r="K99" s="173"/>
      <c r="L99" s="173"/>
      <c r="M99" s="173"/>
      <c r="N99" s="173"/>
      <c r="O99" s="173"/>
      <c r="P99" s="173"/>
      <c r="Q99" s="173"/>
      <c r="R99" s="173"/>
      <c r="S99" s="173"/>
      <c r="T99" s="173"/>
      <c r="U99" s="173"/>
      <c r="V99" s="173"/>
      <c r="W99" s="173"/>
      <c r="X99" s="173"/>
      <c r="Y99" s="173"/>
      <c r="Z99" s="173"/>
      <c r="AA99" s="173"/>
      <c r="AB99" s="173"/>
      <c r="AC99" s="173"/>
      <c r="AD99" s="173"/>
      <c r="AE99" s="173"/>
      <c r="AF99" s="173"/>
      <c r="AG99" s="173"/>
      <c r="AH99" s="173"/>
      <c r="AI99" s="173"/>
      <c r="AJ99" s="173"/>
      <c r="AK99" s="173"/>
      <c r="AL99" s="173"/>
      <c r="AM99" s="173"/>
      <c r="AN99" s="173"/>
      <c r="AO99" s="173"/>
      <c r="AP99" s="173"/>
      <c r="AQ99" s="173"/>
      <c r="AR99" s="173"/>
      <c r="AS99" s="173"/>
      <c r="AT99" s="173"/>
      <c r="AU99" s="173"/>
      <c r="AV99" s="173"/>
      <c r="AW99" s="175"/>
      <c r="AX99" s="173"/>
      <c r="AY99" s="173"/>
      <c r="AZ99" s="173"/>
      <c r="BA99" s="173"/>
      <c r="BB99" s="173"/>
      <c r="BC99" s="173"/>
      <c r="BD99" s="173"/>
      <c r="BE99" s="173"/>
      <c r="BF99" s="173"/>
      <c r="BG99" s="173"/>
      <c r="BH99" s="173"/>
      <c r="BI99" s="173"/>
      <c r="BJ99" s="173"/>
      <c r="BK99" s="173"/>
      <c r="BL99" s="173"/>
      <c r="BM99" s="173"/>
      <c r="BN99" s="173"/>
      <c r="BO99" s="173"/>
      <c r="BP99" s="173"/>
      <c r="BQ99" s="173"/>
      <c r="BR99" s="173"/>
      <c r="BS99" s="173"/>
      <c r="BT99" s="173"/>
      <c r="BU99" s="173"/>
      <c r="BV99" s="176"/>
      <c r="BW99" s="177"/>
    </row>
    <row r="100" spans="1:75" ht="11.25" customHeight="1" x14ac:dyDescent="0.2">
      <c r="A100" s="180" t="s">
        <v>124</v>
      </c>
      <c r="B100" s="180"/>
      <c r="C100" s="145">
        <v>110</v>
      </c>
      <c r="D100" s="145"/>
      <c r="E100" s="276">
        <v>1</v>
      </c>
      <c r="F100" s="59">
        <v>0.34735203716699997</v>
      </c>
      <c r="G100" s="60"/>
      <c r="H100" s="61"/>
      <c r="I100" s="147">
        <v>1.7540464268027136</v>
      </c>
      <c r="J100" s="147"/>
      <c r="K100" s="147"/>
      <c r="L100" s="62">
        <v>0.49406</v>
      </c>
      <c r="M100" s="63"/>
      <c r="N100" s="64"/>
      <c r="O100" s="62">
        <v>0.45643</v>
      </c>
      <c r="P100" s="63"/>
      <c r="Q100" s="64"/>
      <c r="R100" s="65">
        <v>0.11448853222273399</v>
      </c>
      <c r="S100" s="66"/>
      <c r="T100" s="67"/>
      <c r="U100" s="147">
        <v>1.0395268508193054</v>
      </c>
      <c r="V100" s="147"/>
      <c r="W100" s="147"/>
      <c r="X100" s="148">
        <v>-229.07715999947047</v>
      </c>
      <c r="Y100" s="148"/>
      <c r="Z100" s="148"/>
      <c r="AA100" s="149">
        <v>0.83640289999999995</v>
      </c>
      <c r="AB100" s="149"/>
      <c r="AC100" s="149"/>
      <c r="AD100" s="149">
        <v>0.18542840000000002</v>
      </c>
      <c r="AE100" s="149"/>
      <c r="AF100" s="149"/>
      <c r="AG100" s="149">
        <v>0.11239618578898801</v>
      </c>
      <c r="AH100" s="149"/>
      <c r="AI100" s="149"/>
      <c r="AJ100" s="149">
        <v>8.5561365733620429E-2</v>
      </c>
      <c r="AK100" s="149"/>
      <c r="AL100" s="149"/>
      <c r="AM100" s="149">
        <v>0.18421145498817801</v>
      </c>
      <c r="AN100" s="149"/>
      <c r="AO100" s="149"/>
      <c r="AP100" s="149">
        <v>9.3471092772745526E-2</v>
      </c>
      <c r="AQ100" s="149"/>
      <c r="AR100" s="149"/>
      <c r="AS100" s="74">
        <v>0.76982097186700771</v>
      </c>
      <c r="AT100" s="74">
        <v>0.27074424405073927</v>
      </c>
      <c r="AU100" s="75">
        <v>0.37793259217108188</v>
      </c>
      <c r="AV100" s="76">
        <v>11529.45</v>
      </c>
      <c r="AW100" s="74">
        <v>6.406884312187619E-2</v>
      </c>
      <c r="AX100" s="147">
        <v>105.8385485977</v>
      </c>
      <c r="AY100" s="147"/>
      <c r="AZ100" s="147"/>
      <c r="BA100" s="147">
        <v>106.95299325969999</v>
      </c>
      <c r="BB100" s="147"/>
      <c r="BC100" s="147"/>
      <c r="BD100" s="147">
        <v>3.6550246433573901</v>
      </c>
      <c r="BE100" s="147"/>
      <c r="BF100" s="147"/>
      <c r="BG100" s="147">
        <v>5.0825924658888937</v>
      </c>
      <c r="BH100" s="147"/>
      <c r="BI100" s="147"/>
      <c r="BJ100" s="147">
        <v>14.741099391192597</v>
      </c>
      <c r="BK100" s="147"/>
      <c r="BL100" s="147"/>
      <c r="BM100" s="147">
        <v>1.3159396279261766</v>
      </c>
      <c r="BN100" s="147"/>
      <c r="BO100" s="147"/>
      <c r="BP100" s="147" t="s">
        <v>47</v>
      </c>
      <c r="BQ100" s="147"/>
      <c r="BR100" s="62"/>
      <c r="BS100" s="77">
        <v>0.57653421894154899</v>
      </c>
      <c r="BT100" s="74">
        <v>0.42566073167753959</v>
      </c>
      <c r="BU100" s="78">
        <v>5.0440800093869864E-2</v>
      </c>
      <c r="BV100" s="79">
        <v>43190</v>
      </c>
      <c r="BW100" s="80" t="s">
        <v>124</v>
      </c>
    </row>
    <row r="101" spans="1:75" ht="11.25" customHeight="1" x14ac:dyDescent="0.2">
      <c r="A101" s="297" t="s">
        <v>125</v>
      </c>
      <c r="B101" s="297"/>
      <c r="C101" s="298">
        <v>218.5</v>
      </c>
      <c r="D101" s="298"/>
      <c r="E101" s="299">
        <v>1</v>
      </c>
      <c r="F101" s="300">
        <v>3.1533731949499999</v>
      </c>
      <c r="G101" s="301"/>
      <c r="H101" s="302"/>
      <c r="I101" s="303">
        <v>6.4741087545126215</v>
      </c>
      <c r="J101" s="303"/>
      <c r="K101" s="303"/>
      <c r="L101" s="304">
        <v>0.80979000000000001</v>
      </c>
      <c r="M101" s="305"/>
      <c r="N101" s="306"/>
      <c r="O101" s="304">
        <v>0.76417000000000002</v>
      </c>
      <c r="P101" s="305"/>
      <c r="Q101" s="306"/>
      <c r="R101" s="307">
        <v>4.3680825066666699E-2</v>
      </c>
      <c r="S101" s="308"/>
      <c r="T101" s="309"/>
      <c r="U101" s="303">
        <v>0.54759513410935023</v>
      </c>
      <c r="V101" s="303"/>
      <c r="W101" s="303"/>
      <c r="X101" s="310">
        <v>-273.81615692378239</v>
      </c>
      <c r="Y101" s="310"/>
      <c r="Z101" s="310"/>
      <c r="AA101" s="311">
        <v>0.52691889999999997</v>
      </c>
      <c r="AB101" s="311"/>
      <c r="AC101" s="311"/>
      <c r="AD101" s="311">
        <v>0.1305761</v>
      </c>
      <c r="AE101" s="311"/>
      <c r="AF101" s="311"/>
      <c r="AG101" s="311">
        <v>6.2509352494720463E-2</v>
      </c>
      <c r="AH101" s="311"/>
      <c r="AI101" s="311"/>
      <c r="AJ101" s="311">
        <v>6.1724439655091529E-2</v>
      </c>
      <c r="AK101" s="311"/>
      <c r="AL101" s="311"/>
      <c r="AM101" s="329">
        <v>0.18479908570644832</v>
      </c>
      <c r="AN101" s="329"/>
      <c r="AO101" s="329"/>
      <c r="AP101" s="311">
        <v>2.7383853927498807E-2</v>
      </c>
      <c r="AQ101" s="311"/>
      <c r="AR101" s="311"/>
      <c r="AS101" s="318">
        <v>0.62492155785384673</v>
      </c>
      <c r="AT101" s="318">
        <v>0.78349385401301685</v>
      </c>
      <c r="AU101" s="319">
        <v>1.6713891817116791</v>
      </c>
      <c r="AV101" s="320">
        <v>180307.26663066092</v>
      </c>
      <c r="AW101" s="321">
        <v>0.20190486426909629</v>
      </c>
      <c r="AX101" s="303">
        <v>2813.3661136588798</v>
      </c>
      <c r="AY101" s="303"/>
      <c r="AZ101" s="303"/>
      <c r="BA101" s="303">
        <v>1119.4198193249999</v>
      </c>
      <c r="BB101" s="303"/>
      <c r="BC101" s="303"/>
      <c r="BD101" s="303">
        <v>6.0939773295299302</v>
      </c>
      <c r="BE101" s="303"/>
      <c r="BF101" s="303"/>
      <c r="BG101" s="303" t="s">
        <v>47</v>
      </c>
      <c r="BH101" s="303"/>
      <c r="BI101" s="303"/>
      <c r="BJ101" s="303">
        <v>17.576219668498783</v>
      </c>
      <c r="BK101" s="303"/>
      <c r="BL101" s="303"/>
      <c r="BM101" s="303">
        <v>1.0159000075907347</v>
      </c>
      <c r="BN101" s="303"/>
      <c r="BO101" s="303"/>
      <c r="BP101" s="303">
        <v>35.333649985800001</v>
      </c>
      <c r="BQ101" s="303"/>
      <c r="BR101" s="304"/>
      <c r="BS101" s="322">
        <v>0.1931917922036</v>
      </c>
      <c r="BT101" s="318">
        <v>0.35855761369486971</v>
      </c>
      <c r="BU101" s="321">
        <v>-0.10736501607280102</v>
      </c>
      <c r="BV101" s="323">
        <v>43190</v>
      </c>
      <c r="BW101" s="111" t="s">
        <v>125</v>
      </c>
    </row>
    <row r="102" spans="1:75" ht="11.25" customHeight="1" x14ac:dyDescent="0.2">
      <c r="A102" s="151" t="s">
        <v>57</v>
      </c>
      <c r="B102" s="152"/>
      <c r="C102" s="153"/>
      <c r="D102" s="154"/>
      <c r="E102" s="155"/>
      <c r="F102" s="156">
        <v>1.7503626160585</v>
      </c>
      <c r="G102" s="157"/>
      <c r="H102" s="158"/>
      <c r="I102" s="156">
        <v>4.1140775906576676</v>
      </c>
      <c r="J102" s="157"/>
      <c r="K102" s="158"/>
      <c r="L102" s="156">
        <v>0.65192499999999998</v>
      </c>
      <c r="M102" s="157"/>
      <c r="N102" s="158"/>
      <c r="O102" s="156">
        <v>0.61030000000000006</v>
      </c>
      <c r="P102" s="157"/>
      <c r="Q102" s="158"/>
      <c r="R102" s="159">
        <v>7.908467864470034E-2</v>
      </c>
      <c r="S102" s="160"/>
      <c r="T102" s="161"/>
      <c r="U102" s="156">
        <v>0.79356099246432787</v>
      </c>
      <c r="V102" s="157"/>
      <c r="W102" s="158"/>
      <c r="X102" s="156">
        <v>-251.44665846162644</v>
      </c>
      <c r="Y102" s="157"/>
      <c r="Z102" s="158"/>
      <c r="AA102" s="162">
        <v>0.68166090000000001</v>
      </c>
      <c r="AB102" s="163"/>
      <c r="AC102" s="164"/>
      <c r="AD102" s="162">
        <v>0.15800225000000001</v>
      </c>
      <c r="AE102" s="163"/>
      <c r="AF102" s="164"/>
      <c r="AG102" s="162">
        <v>8.7452769141854236E-2</v>
      </c>
      <c r="AH102" s="163"/>
      <c r="AI102" s="164"/>
      <c r="AJ102" s="162">
        <v>7.3642902694355972E-2</v>
      </c>
      <c r="AK102" s="163"/>
      <c r="AL102" s="164"/>
      <c r="AM102" s="162">
        <v>0.18450527034731318</v>
      </c>
      <c r="AN102" s="163"/>
      <c r="AO102" s="164"/>
      <c r="AP102" s="162">
        <v>6.0427473350122163E-2</v>
      </c>
      <c r="AQ102" s="163"/>
      <c r="AR102" s="164"/>
      <c r="AS102" s="165">
        <v>0.69737126486042722</v>
      </c>
      <c r="AT102" s="165">
        <v>0.52711904903187801</v>
      </c>
      <c r="AU102" s="166">
        <v>1.0246608869413805</v>
      </c>
      <c r="AV102" s="167">
        <v>95918.358315330464</v>
      </c>
      <c r="AW102" s="165">
        <v>0.13298685369548624</v>
      </c>
      <c r="AX102" s="168">
        <v>1459.60233112829</v>
      </c>
      <c r="AY102" s="169"/>
      <c r="AZ102" s="170"/>
      <c r="BA102" s="168">
        <v>613.18640629234994</v>
      </c>
      <c r="BB102" s="169"/>
      <c r="BC102" s="170"/>
      <c r="BD102" s="168">
        <v>4.8745009864436604</v>
      </c>
      <c r="BE102" s="169"/>
      <c r="BF102" s="170"/>
      <c r="BG102" s="168">
        <v>5.0825924658888937</v>
      </c>
      <c r="BH102" s="169"/>
      <c r="BI102" s="170"/>
      <c r="BJ102" s="168">
        <v>16.158659529845689</v>
      </c>
      <c r="BK102" s="169"/>
      <c r="BL102" s="170"/>
      <c r="BM102" s="168">
        <v>1.1659198177584558</v>
      </c>
      <c r="BN102" s="169"/>
      <c r="BO102" s="170"/>
      <c r="BP102" s="168">
        <v>35.333649985800001</v>
      </c>
      <c r="BQ102" s="169"/>
      <c r="BR102" s="170"/>
      <c r="BS102" s="171">
        <v>0.38486300557257447</v>
      </c>
      <c r="BT102" s="165">
        <v>0.39210917268620465</v>
      </c>
      <c r="BU102" s="165">
        <v>-2.8462107989465579E-2</v>
      </c>
      <c r="BV102" s="172"/>
      <c r="BW102" s="172"/>
    </row>
    <row r="103" spans="1:75" ht="11.25" customHeight="1" x14ac:dyDescent="0.2">
      <c r="A103" s="173" t="s">
        <v>126</v>
      </c>
      <c r="B103" s="173"/>
      <c r="C103" s="173"/>
      <c r="D103" s="173"/>
      <c r="E103" s="173"/>
      <c r="F103" s="173"/>
      <c r="G103" s="173"/>
      <c r="H103" s="173"/>
      <c r="I103" s="173"/>
      <c r="J103" s="173"/>
      <c r="K103" s="173"/>
      <c r="L103" s="173"/>
      <c r="M103" s="173"/>
      <c r="N103" s="173"/>
      <c r="O103" s="173"/>
      <c r="P103" s="173"/>
      <c r="Q103" s="17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c r="AP103" s="173"/>
      <c r="AQ103" s="173"/>
      <c r="AR103" s="173"/>
      <c r="AS103" s="173"/>
      <c r="AT103" s="173"/>
      <c r="AU103" s="173"/>
      <c r="AV103" s="173"/>
      <c r="AW103" s="175"/>
      <c r="AX103" s="173"/>
      <c r="AY103" s="173"/>
      <c r="AZ103" s="173"/>
      <c r="BA103" s="173"/>
      <c r="BB103" s="173"/>
      <c r="BC103" s="173"/>
      <c r="BD103" s="173"/>
      <c r="BE103" s="173"/>
      <c r="BF103" s="173"/>
      <c r="BG103" s="173"/>
      <c r="BH103" s="173"/>
      <c r="BI103" s="173"/>
      <c r="BJ103" s="173"/>
      <c r="BK103" s="173"/>
      <c r="BL103" s="173"/>
      <c r="BM103" s="173"/>
      <c r="BN103" s="173"/>
      <c r="BO103" s="173"/>
      <c r="BP103" s="173"/>
      <c r="BQ103" s="173"/>
      <c r="BR103" s="173"/>
      <c r="BS103" s="173"/>
      <c r="BT103" s="173"/>
      <c r="BU103" s="173"/>
      <c r="BV103" s="176"/>
      <c r="BW103" s="177"/>
    </row>
    <row r="104" spans="1:75" ht="11.25" customHeight="1" x14ac:dyDescent="0.2">
      <c r="A104" s="180" t="s">
        <v>127</v>
      </c>
      <c r="B104" s="180"/>
      <c r="C104" s="145">
        <v>42.1</v>
      </c>
      <c r="D104" s="145"/>
      <c r="E104" s="276">
        <v>1</v>
      </c>
      <c r="F104" s="59">
        <v>8.8582844688910001</v>
      </c>
      <c r="G104" s="60"/>
      <c r="H104" s="61"/>
      <c r="I104" s="147">
        <v>15.321363707124695</v>
      </c>
      <c r="J104" s="147"/>
      <c r="K104" s="147"/>
      <c r="L104" s="62">
        <v>1.51051</v>
      </c>
      <c r="M104" s="63"/>
      <c r="N104" s="64"/>
      <c r="O104" s="62">
        <v>1.34666</v>
      </c>
      <c r="P104" s="63"/>
      <c r="Q104" s="64"/>
      <c r="R104" s="65">
        <v>1.9042632887545402E-2</v>
      </c>
      <c r="S104" s="66"/>
      <c r="T104" s="67"/>
      <c r="U104" s="147">
        <v>0.42373559246928516</v>
      </c>
      <c r="V104" s="147"/>
      <c r="W104" s="147"/>
      <c r="X104" s="148">
        <v>-17.414692434603509</v>
      </c>
      <c r="Y104" s="148"/>
      <c r="Z104" s="148"/>
      <c r="AA104" s="149">
        <v>0.26988630000000002</v>
      </c>
      <c r="AB104" s="149"/>
      <c r="AC104" s="149"/>
      <c r="AD104" s="149">
        <v>0.1273775</v>
      </c>
      <c r="AE104" s="149"/>
      <c r="AF104" s="149"/>
      <c r="AG104" s="149">
        <v>5.70442527136098E-2</v>
      </c>
      <c r="AH104" s="149"/>
      <c r="AI104" s="149"/>
      <c r="AJ104" s="149">
        <v>3.6726969106596161E-2</v>
      </c>
      <c r="AK104" s="149"/>
      <c r="AL104" s="149"/>
      <c r="AM104" s="149">
        <v>0.2859734062591564</v>
      </c>
      <c r="AN104" s="149"/>
      <c r="AO104" s="149"/>
      <c r="AP104" s="149">
        <v>1.9337344964421774E-2</v>
      </c>
      <c r="AQ104" s="149"/>
      <c r="AR104" s="149"/>
      <c r="AS104" s="74">
        <v>-0.83914421553090335</v>
      </c>
      <c r="AT104" s="74">
        <v>0.9476304295279615</v>
      </c>
      <c r="AU104" s="75">
        <v>24.546349602045801</v>
      </c>
      <c r="AV104" s="76">
        <v>7207.9647999999997</v>
      </c>
      <c r="AW104" s="74">
        <v>2.700922519505506</v>
      </c>
      <c r="AX104" s="147">
        <v>178.21154616760001</v>
      </c>
      <c r="AY104" s="147"/>
      <c r="AZ104" s="147"/>
      <c r="BA104" s="147">
        <v>20.7429299454</v>
      </c>
      <c r="BB104" s="147"/>
      <c r="BC104" s="147"/>
      <c r="BD104" s="147">
        <v>14.9255901312898</v>
      </c>
      <c r="BE104" s="147"/>
      <c r="BF104" s="147"/>
      <c r="BG104" s="147">
        <v>3.8455561634037823</v>
      </c>
      <c r="BH104" s="147"/>
      <c r="BI104" s="147"/>
      <c r="BJ104" s="147">
        <v>4.0758909597513036</v>
      </c>
      <c r="BK104" s="147"/>
      <c r="BL104" s="147"/>
      <c r="BM104" s="147">
        <v>0.23092602221430561</v>
      </c>
      <c r="BN104" s="147"/>
      <c r="BO104" s="147"/>
      <c r="BP104" s="147">
        <v>2.0652703966999999</v>
      </c>
      <c r="BQ104" s="147"/>
      <c r="BR104" s="62"/>
      <c r="BS104" s="77">
        <v>0.79249749987708695</v>
      </c>
      <c r="BT104" s="74">
        <v>0.43968846912238174</v>
      </c>
      <c r="BU104" s="78">
        <v>5.3077409774702655E-2</v>
      </c>
      <c r="BV104" s="79">
        <v>43190</v>
      </c>
      <c r="BW104" s="80" t="s">
        <v>127</v>
      </c>
    </row>
    <row r="105" spans="1:75" ht="11.25" customHeight="1" x14ac:dyDescent="0.2">
      <c r="A105" s="138" t="s">
        <v>128</v>
      </c>
      <c r="B105" s="138"/>
      <c r="C105" s="139">
        <v>48.300000000000004</v>
      </c>
      <c r="D105" s="139"/>
      <c r="E105" s="280">
        <v>1</v>
      </c>
      <c r="F105" s="281">
        <v>5.2693549965700006</v>
      </c>
      <c r="G105" s="281"/>
      <c r="H105" s="281"/>
      <c r="I105" s="141">
        <v>9.127173664807021</v>
      </c>
      <c r="J105" s="141"/>
      <c r="K105" s="141"/>
      <c r="L105" s="90">
        <v>1.63863</v>
      </c>
      <c r="M105" s="91"/>
      <c r="N105" s="92"/>
      <c r="O105" s="90">
        <v>1.5549500000000001</v>
      </c>
      <c r="P105" s="91"/>
      <c r="Q105" s="92"/>
      <c r="R105" s="93">
        <v>5.0037515911065193E-2</v>
      </c>
      <c r="S105" s="94"/>
      <c r="T105" s="95"/>
      <c r="U105" s="141">
        <v>0.41877411304794093</v>
      </c>
      <c r="V105" s="141"/>
      <c r="W105" s="141"/>
      <c r="X105" s="142">
        <v>-24.035650497356727</v>
      </c>
      <c r="Y105" s="142"/>
      <c r="Z105" s="142"/>
      <c r="AA105" s="143">
        <v>0.30538480000000001</v>
      </c>
      <c r="AB105" s="143"/>
      <c r="AC105" s="143"/>
      <c r="AD105" s="143">
        <v>0.1287548</v>
      </c>
      <c r="AE105" s="143"/>
      <c r="AF105" s="143"/>
      <c r="AG105" s="143">
        <v>0.11985779583544946</v>
      </c>
      <c r="AH105" s="143"/>
      <c r="AI105" s="143"/>
      <c r="AJ105" s="143">
        <v>3.8291187829969174E-2</v>
      </c>
      <c r="AK105" s="143"/>
      <c r="AL105" s="143"/>
      <c r="AM105" s="144">
        <v>0.35856439972793203</v>
      </c>
      <c r="AN105" s="144"/>
      <c r="AO105" s="144"/>
      <c r="AP105" s="143">
        <v>4.0154675429893032E-2</v>
      </c>
      <c r="AQ105" s="143"/>
      <c r="AR105" s="143"/>
      <c r="AS105" s="105">
        <v>-0.565180102915952</v>
      </c>
      <c r="AT105" s="105">
        <v>0.85284239186932176</v>
      </c>
      <c r="AU105" s="106">
        <v>3.4217612187614685</v>
      </c>
      <c r="AV105" s="107">
        <v>6600.4322500000007</v>
      </c>
      <c r="AW105" s="108">
        <v>3.9757335196928381</v>
      </c>
      <c r="AX105" s="141">
        <v>163.33007301800001</v>
      </c>
      <c r="AY105" s="141"/>
      <c r="AZ105" s="141"/>
      <c r="BA105" s="141">
        <v>27.979006841</v>
      </c>
      <c r="BB105" s="141"/>
      <c r="BC105" s="141"/>
      <c r="BD105" s="141">
        <v>12.985377088408301</v>
      </c>
      <c r="BE105" s="141"/>
      <c r="BF105" s="141"/>
      <c r="BG105" s="141">
        <v>1.6617572513511909</v>
      </c>
      <c r="BH105" s="141"/>
      <c r="BI105" s="141"/>
      <c r="BJ105" s="141">
        <v>2.7544014822443756</v>
      </c>
      <c r="BK105" s="141"/>
      <c r="BL105" s="141"/>
      <c r="BM105" s="141">
        <v>0.33045940969917442</v>
      </c>
      <c r="BN105" s="141"/>
      <c r="BO105" s="141"/>
      <c r="BP105" s="141">
        <v>2.8115957164999998</v>
      </c>
      <c r="BQ105" s="141"/>
      <c r="BR105" s="90"/>
      <c r="BS105" s="109">
        <v>0.70693904347251701</v>
      </c>
      <c r="BT105" s="105">
        <v>0.42214282489815796</v>
      </c>
      <c r="BU105" s="108">
        <v>7.0215997093752813E-2</v>
      </c>
      <c r="BV105" s="110">
        <v>43190</v>
      </c>
      <c r="BW105" s="111" t="s">
        <v>128</v>
      </c>
    </row>
    <row r="106" spans="1:75" ht="11.25" customHeight="1" x14ac:dyDescent="0.2">
      <c r="A106" s="180" t="s">
        <v>129</v>
      </c>
      <c r="B106" s="180"/>
      <c r="C106" s="145">
        <v>11.5</v>
      </c>
      <c r="D106" s="145"/>
      <c r="E106" s="278">
        <v>1</v>
      </c>
      <c r="F106" s="279">
        <v>1.111337916531</v>
      </c>
      <c r="G106" s="279"/>
      <c r="H106" s="279"/>
      <c r="I106" s="147">
        <v>22.268994208861862</v>
      </c>
      <c r="J106" s="147"/>
      <c r="K106" s="147"/>
      <c r="L106" s="62">
        <v>1.0477099999999999</v>
      </c>
      <c r="M106" s="63"/>
      <c r="N106" s="64"/>
      <c r="O106" s="62">
        <v>0.62370000000000003</v>
      </c>
      <c r="P106" s="63"/>
      <c r="Q106" s="64"/>
      <c r="R106" s="65" t="s">
        <v>47</v>
      </c>
      <c r="S106" s="66"/>
      <c r="T106" s="67"/>
      <c r="U106" s="147">
        <v>0.28561997953141544</v>
      </c>
      <c r="V106" s="147"/>
      <c r="W106" s="147"/>
      <c r="X106" s="148">
        <v>48.067916345763557</v>
      </c>
      <c r="Y106" s="148"/>
      <c r="Z106" s="148"/>
      <c r="AA106" s="149">
        <v>9.036580000000001E-2</v>
      </c>
      <c r="AB106" s="149"/>
      <c r="AC106" s="149"/>
      <c r="AD106" s="149" t="s">
        <v>47</v>
      </c>
      <c r="AE106" s="149"/>
      <c r="AF106" s="149"/>
      <c r="AG106" s="149" t="s">
        <v>47</v>
      </c>
      <c r="AH106" s="149"/>
      <c r="AI106" s="149"/>
      <c r="AJ106" s="149">
        <v>-0.56812161229031477</v>
      </c>
      <c r="AK106" s="149"/>
      <c r="AL106" s="149"/>
      <c r="AM106" s="149">
        <v>-0.86675598003075782</v>
      </c>
      <c r="AN106" s="149"/>
      <c r="AO106" s="149"/>
      <c r="AP106" s="149">
        <v>-6.1110563046656075E-2</v>
      </c>
      <c r="AQ106" s="149"/>
      <c r="AR106" s="149"/>
      <c r="AS106" s="74">
        <v>-0.95274553183027177</v>
      </c>
      <c r="AT106" s="74">
        <v>-14.743550903953434</v>
      </c>
      <c r="AU106" s="75">
        <v>33.52398085204932</v>
      </c>
      <c r="AV106" s="76">
        <v>171.15641199999999</v>
      </c>
      <c r="AW106" s="74">
        <v>1.3538169973230607</v>
      </c>
      <c r="AX106" s="147">
        <v>0.67003607750000094</v>
      </c>
      <c r="AY106" s="147"/>
      <c r="AZ106" s="147"/>
      <c r="BA106" s="147">
        <v>0.89186856250000002</v>
      </c>
      <c r="BB106" s="147"/>
      <c r="BC106" s="147"/>
      <c r="BD106" s="147" t="s">
        <v>47</v>
      </c>
      <c r="BE106" s="147"/>
      <c r="BF106" s="147"/>
      <c r="BG106" s="147" t="s">
        <v>47</v>
      </c>
      <c r="BH106" s="147"/>
      <c r="BI106" s="147"/>
      <c r="BJ106" s="147" t="s">
        <v>47</v>
      </c>
      <c r="BK106" s="147"/>
      <c r="BL106" s="147"/>
      <c r="BM106" s="147">
        <v>0.61113220105824773</v>
      </c>
      <c r="BN106" s="147"/>
      <c r="BO106" s="147"/>
      <c r="BP106" s="147" t="s">
        <v>47</v>
      </c>
      <c r="BQ106" s="147"/>
      <c r="BR106" s="62"/>
      <c r="BS106" s="77">
        <v>0.95011205933887299</v>
      </c>
      <c r="BT106" s="74" t="s">
        <v>47</v>
      </c>
      <c r="BU106" s="78" t="s">
        <v>47</v>
      </c>
      <c r="BV106" s="79">
        <v>43190</v>
      </c>
      <c r="BW106" s="80" t="s">
        <v>129</v>
      </c>
    </row>
    <row r="107" spans="1:75" ht="11.25" customHeight="1" x14ac:dyDescent="0.2">
      <c r="A107" s="138" t="s">
        <v>130</v>
      </c>
      <c r="B107" s="138"/>
      <c r="C107" s="139">
        <v>39.450000000000003</v>
      </c>
      <c r="D107" s="139"/>
      <c r="E107" s="280">
        <v>1</v>
      </c>
      <c r="F107" s="281">
        <v>0</v>
      </c>
      <c r="G107" s="281"/>
      <c r="H107" s="281"/>
      <c r="I107" s="141">
        <v>1.7622427842968966</v>
      </c>
      <c r="J107" s="141"/>
      <c r="K107" s="141"/>
      <c r="L107" s="90">
        <v>2.6274199999999999</v>
      </c>
      <c r="M107" s="91"/>
      <c r="N107" s="92"/>
      <c r="O107" s="90">
        <v>1.3475900000000001</v>
      </c>
      <c r="P107" s="91"/>
      <c r="Q107" s="92"/>
      <c r="R107" s="93">
        <v>2.1738826064356398E-2</v>
      </c>
      <c r="S107" s="94"/>
      <c r="T107" s="95"/>
      <c r="U107" s="141">
        <v>0.21510631061090829</v>
      </c>
      <c r="V107" s="141"/>
      <c r="W107" s="141"/>
      <c r="X107" s="142">
        <v>802.39087967818671</v>
      </c>
      <c r="Y107" s="142"/>
      <c r="Z107" s="142"/>
      <c r="AA107" s="143">
        <v>0.56622399999999995</v>
      </c>
      <c r="AB107" s="143"/>
      <c r="AC107" s="143"/>
      <c r="AD107" s="143">
        <v>0.46149980000000002</v>
      </c>
      <c r="AE107" s="143"/>
      <c r="AF107" s="143"/>
      <c r="AG107" s="143">
        <v>0.5181246026606362</v>
      </c>
      <c r="AH107" s="143"/>
      <c r="AI107" s="143"/>
      <c r="AJ107" s="143">
        <v>-2.0284048186057815</v>
      </c>
      <c r="AK107" s="143"/>
      <c r="AL107" s="143"/>
      <c r="AM107" s="143">
        <v>0.18763134975316267</v>
      </c>
      <c r="AN107" s="143"/>
      <c r="AO107" s="143"/>
      <c r="AP107" s="143">
        <v>8.9161546473949277E-2</v>
      </c>
      <c r="AQ107" s="143"/>
      <c r="AR107" s="143"/>
      <c r="AS107" s="105">
        <v>-0.62879698217054081</v>
      </c>
      <c r="AT107" s="105">
        <v>2.8795123795472328</v>
      </c>
      <c r="AU107" s="106">
        <v>4.0616268668777673</v>
      </c>
      <c r="AV107" s="330">
        <v>1124.165753</v>
      </c>
      <c r="AW107" s="105">
        <v>36.627037753915666</v>
      </c>
      <c r="AX107" s="141">
        <v>16.642970459049998</v>
      </c>
      <c r="AY107" s="141"/>
      <c r="AZ107" s="141"/>
      <c r="BA107" s="141">
        <v>16.560231851600001</v>
      </c>
      <c r="BB107" s="141"/>
      <c r="BC107" s="141"/>
      <c r="BD107" s="141">
        <v>15.443690660786601</v>
      </c>
      <c r="BE107" s="141"/>
      <c r="BF107" s="141"/>
      <c r="BG107" s="141">
        <v>1.5615551864452872</v>
      </c>
      <c r="BH107" s="141"/>
      <c r="BI107" s="141"/>
      <c r="BJ107" s="141">
        <v>7.0378312419051561</v>
      </c>
      <c r="BK107" s="141"/>
      <c r="BL107" s="141"/>
      <c r="BM107" s="141">
        <v>4.908182368313029</v>
      </c>
      <c r="BN107" s="141"/>
      <c r="BO107" s="141"/>
      <c r="BP107" s="141">
        <v>7.6469711392999997</v>
      </c>
      <c r="BQ107" s="141"/>
      <c r="BR107" s="90"/>
      <c r="BS107" s="109">
        <v>0.88096180133040702</v>
      </c>
      <c r="BT107" s="105">
        <v>0.40878624151231013</v>
      </c>
      <c r="BU107" s="108">
        <v>5.942823375394557E-2</v>
      </c>
      <c r="BV107" s="110">
        <v>43190</v>
      </c>
      <c r="BW107" s="111" t="s">
        <v>130</v>
      </c>
    </row>
    <row r="108" spans="1:75" ht="11.25" customHeight="1" x14ac:dyDescent="0.2">
      <c r="A108" s="331" t="s">
        <v>131</v>
      </c>
      <c r="B108" s="331"/>
      <c r="C108" s="332">
        <v>220</v>
      </c>
      <c r="D108" s="332"/>
      <c r="E108" s="333">
        <v>0.1</v>
      </c>
      <c r="F108" s="334">
        <v>0.32503786024999998</v>
      </c>
      <c r="G108" s="334"/>
      <c r="H108" s="334"/>
      <c r="I108" s="335">
        <v>1.7485560050269566</v>
      </c>
      <c r="J108" s="335"/>
      <c r="K108" s="335"/>
      <c r="L108" s="336">
        <v>4.63849</v>
      </c>
      <c r="M108" s="337"/>
      <c r="N108" s="338"/>
      <c r="O108" s="336">
        <v>4.62446</v>
      </c>
      <c r="P108" s="337"/>
      <c r="Q108" s="338"/>
      <c r="R108" s="339">
        <v>2.5646490862272699E-2</v>
      </c>
      <c r="S108" s="340"/>
      <c r="T108" s="341"/>
      <c r="U108" s="335">
        <v>0.14116367433748661</v>
      </c>
      <c r="V108" s="335"/>
      <c r="W108" s="335"/>
      <c r="X108" s="342">
        <v>-84.667554784858709</v>
      </c>
      <c r="Y108" s="342"/>
      <c r="Z108" s="342"/>
      <c r="AA108" s="343">
        <v>0.62096510000000005</v>
      </c>
      <c r="AB108" s="343"/>
      <c r="AC108" s="343"/>
      <c r="AD108" s="343">
        <v>1.1248116000000001</v>
      </c>
      <c r="AE108" s="343"/>
      <c r="AF108" s="343"/>
      <c r="AG108" s="343">
        <v>2.2084744223481532</v>
      </c>
      <c r="AH108" s="343"/>
      <c r="AI108" s="343"/>
      <c r="AJ108" s="343">
        <v>0.22792902181248589</v>
      </c>
      <c r="AK108" s="343"/>
      <c r="AL108" s="343"/>
      <c r="AM108" s="344">
        <v>0.45435496634507494</v>
      </c>
      <c r="AN108" s="344"/>
      <c r="AO108" s="344"/>
      <c r="AP108" s="343">
        <v>0.2494051440179276</v>
      </c>
      <c r="AQ108" s="343"/>
      <c r="AR108" s="343"/>
      <c r="AS108" s="345">
        <v>0.68412083786770594</v>
      </c>
      <c r="AT108" s="345">
        <v>1.7289311879208966</v>
      </c>
      <c r="AU108" s="346">
        <v>2.6736328381884844</v>
      </c>
      <c r="AV108" s="347">
        <v>808.74789999999996</v>
      </c>
      <c r="AW108" s="348">
        <v>0.22964499010224812</v>
      </c>
      <c r="AX108" s="335">
        <v>33.013199999999998</v>
      </c>
      <c r="AY108" s="335"/>
      <c r="AZ108" s="335"/>
      <c r="BA108" s="335">
        <v>30.803090999999998</v>
      </c>
      <c r="BB108" s="335"/>
      <c r="BC108" s="335"/>
      <c r="BD108" s="335">
        <v>11.2811799906779</v>
      </c>
      <c r="BE108" s="335"/>
      <c r="BF108" s="335"/>
      <c r="BG108" s="335">
        <v>0.93036308880599483</v>
      </c>
      <c r="BH108" s="335"/>
      <c r="BI108" s="335"/>
      <c r="BJ108" s="335">
        <v>2.1755726700605598</v>
      </c>
      <c r="BK108" s="335"/>
      <c r="BL108" s="335"/>
      <c r="BM108" s="335">
        <v>5.3384924916785064</v>
      </c>
      <c r="BN108" s="335"/>
      <c r="BO108" s="335"/>
      <c r="BP108" s="335">
        <v>2.1189624234000002</v>
      </c>
      <c r="BQ108" s="335"/>
      <c r="BR108" s="336"/>
      <c r="BS108" s="349">
        <v>0.25524931251813998</v>
      </c>
      <c r="BT108" s="345">
        <v>0.40899645935950751</v>
      </c>
      <c r="BU108" s="348">
        <v>0.15909977786758289</v>
      </c>
      <c r="BV108" s="350">
        <v>43190</v>
      </c>
      <c r="BW108" s="80" t="s">
        <v>131</v>
      </c>
    </row>
    <row r="109" spans="1:75" ht="11.25" customHeight="1" x14ac:dyDescent="0.2">
      <c r="A109" s="151" t="s">
        <v>57</v>
      </c>
      <c r="B109" s="152"/>
      <c r="C109" s="153"/>
      <c r="D109" s="154"/>
      <c r="E109" s="155"/>
      <c r="F109" s="156">
        <v>3.1128030484483999</v>
      </c>
      <c r="G109" s="157"/>
      <c r="H109" s="158"/>
      <c r="I109" s="156">
        <v>10.045666074023485</v>
      </c>
      <c r="J109" s="157"/>
      <c r="K109" s="158"/>
      <c r="L109" s="156">
        <v>2.2925519999999997</v>
      </c>
      <c r="M109" s="157"/>
      <c r="N109" s="158"/>
      <c r="O109" s="156">
        <v>1.899472</v>
      </c>
      <c r="P109" s="157"/>
      <c r="Q109" s="158"/>
      <c r="R109" s="159">
        <v>2.9116366431309923E-2</v>
      </c>
      <c r="S109" s="160"/>
      <c r="T109" s="161"/>
      <c r="U109" s="156">
        <v>0.29687993399940732</v>
      </c>
      <c r="V109" s="157"/>
      <c r="W109" s="158"/>
      <c r="X109" s="156">
        <v>144.86817966142627</v>
      </c>
      <c r="Y109" s="157"/>
      <c r="Z109" s="158"/>
      <c r="AA109" s="162">
        <v>0.37056520000000004</v>
      </c>
      <c r="AB109" s="163"/>
      <c r="AC109" s="164"/>
      <c r="AD109" s="162">
        <v>0.460610925</v>
      </c>
      <c r="AE109" s="163"/>
      <c r="AF109" s="164"/>
      <c r="AG109" s="162">
        <v>0.72587526838946215</v>
      </c>
      <c r="AH109" s="163"/>
      <c r="AI109" s="164"/>
      <c r="AJ109" s="162">
        <v>-0.45871585042940899</v>
      </c>
      <c r="AK109" s="163"/>
      <c r="AL109" s="164"/>
      <c r="AM109" s="162">
        <v>8.3953628410913653E-2</v>
      </c>
      <c r="AN109" s="163"/>
      <c r="AO109" s="164"/>
      <c r="AP109" s="162">
        <v>6.7389629567907131E-2</v>
      </c>
      <c r="AQ109" s="163"/>
      <c r="AR109" s="164"/>
      <c r="AS109" s="165">
        <v>-0.46034919891599235</v>
      </c>
      <c r="AT109" s="165">
        <v>-1.6669269030176044</v>
      </c>
      <c r="AU109" s="166">
        <v>13.645470275584568</v>
      </c>
      <c r="AV109" s="167">
        <v>3182.4934229999999</v>
      </c>
      <c r="AW109" s="165">
        <v>8.9774311561078655</v>
      </c>
      <c r="AX109" s="168">
        <v>78.373565144429989</v>
      </c>
      <c r="AY109" s="169"/>
      <c r="AZ109" s="170"/>
      <c r="BA109" s="168">
        <v>19.395425640100001</v>
      </c>
      <c r="BB109" s="169"/>
      <c r="BC109" s="170"/>
      <c r="BD109" s="168">
        <v>13.65895946779065</v>
      </c>
      <c r="BE109" s="169"/>
      <c r="BF109" s="170"/>
      <c r="BG109" s="168">
        <v>1.9998079225015637</v>
      </c>
      <c r="BH109" s="169"/>
      <c r="BI109" s="170"/>
      <c r="BJ109" s="168">
        <v>4.0109240884903485</v>
      </c>
      <c r="BK109" s="169"/>
      <c r="BL109" s="170"/>
      <c r="BM109" s="168">
        <v>2.2838384985926523</v>
      </c>
      <c r="BN109" s="169"/>
      <c r="BO109" s="170"/>
      <c r="BP109" s="168">
        <v>3.6606999189750002</v>
      </c>
      <c r="BQ109" s="169"/>
      <c r="BR109" s="170"/>
      <c r="BS109" s="171">
        <v>0.71715194330740473</v>
      </c>
      <c r="BT109" s="165">
        <v>0.4199034987230893</v>
      </c>
      <c r="BU109" s="165">
        <v>8.5455354622495983E-2</v>
      </c>
      <c r="BV109" s="172"/>
      <c r="BW109" s="172"/>
    </row>
    <row r="110" spans="1:75" ht="11.25" customHeight="1" x14ac:dyDescent="0.2">
      <c r="A110" s="173" t="s">
        <v>132</v>
      </c>
      <c r="B110" s="173"/>
      <c r="C110" s="173"/>
      <c r="D110" s="173"/>
      <c r="E110" s="173"/>
      <c r="F110" s="173"/>
      <c r="G110" s="173"/>
      <c r="H110" s="173"/>
      <c r="I110" s="173"/>
      <c r="J110" s="173"/>
      <c r="K110" s="173"/>
      <c r="L110" s="173"/>
      <c r="M110" s="173"/>
      <c r="N110" s="173"/>
      <c r="O110" s="173"/>
      <c r="P110" s="173"/>
      <c r="Q110" s="173"/>
      <c r="R110" s="173"/>
      <c r="S110" s="173"/>
      <c r="T110" s="173"/>
      <c r="U110" s="173"/>
      <c r="V110" s="173"/>
      <c r="W110" s="173"/>
      <c r="X110" s="173"/>
      <c r="Y110" s="173"/>
      <c r="Z110" s="173"/>
      <c r="AA110" s="173"/>
      <c r="AB110" s="173"/>
      <c r="AC110" s="173"/>
      <c r="AD110" s="173"/>
      <c r="AE110" s="173"/>
      <c r="AF110" s="173"/>
      <c r="AG110" s="173"/>
      <c r="AH110" s="173"/>
      <c r="AI110" s="173"/>
      <c r="AJ110" s="173"/>
      <c r="AK110" s="173"/>
      <c r="AL110" s="173"/>
      <c r="AM110" s="173"/>
      <c r="AN110" s="173"/>
      <c r="AO110" s="173"/>
      <c r="AP110" s="173"/>
      <c r="AQ110" s="173"/>
      <c r="AR110" s="173"/>
      <c r="AS110" s="173"/>
      <c r="AT110" s="173"/>
      <c r="AU110" s="173"/>
      <c r="AV110" s="173"/>
      <c r="AW110" s="175"/>
      <c r="AX110" s="173"/>
      <c r="AY110" s="173"/>
      <c r="AZ110" s="173"/>
      <c r="BA110" s="173"/>
      <c r="BB110" s="173"/>
      <c r="BC110" s="173"/>
      <c r="BD110" s="173"/>
      <c r="BE110" s="173"/>
      <c r="BF110" s="173"/>
      <c r="BG110" s="173"/>
      <c r="BH110" s="173"/>
      <c r="BI110" s="173"/>
      <c r="BJ110" s="173"/>
      <c r="BK110" s="173"/>
      <c r="BL110" s="173"/>
      <c r="BM110" s="173"/>
      <c r="BN110" s="173"/>
      <c r="BO110" s="173"/>
      <c r="BP110" s="173"/>
      <c r="BQ110" s="173"/>
      <c r="BR110" s="173"/>
      <c r="BS110" s="173"/>
      <c r="BT110" s="173"/>
      <c r="BU110" s="173"/>
      <c r="BV110" s="176"/>
      <c r="BW110" s="177"/>
    </row>
    <row r="111" spans="1:75" ht="11.25" customHeight="1" x14ac:dyDescent="0.2">
      <c r="A111" s="180" t="s">
        <v>133</v>
      </c>
      <c r="B111" s="180"/>
      <c r="C111" s="145">
        <v>5.5</v>
      </c>
      <c r="D111" s="145"/>
      <c r="E111" s="276">
        <v>1</v>
      </c>
      <c r="F111" s="59">
        <v>1.239618086E-2</v>
      </c>
      <c r="G111" s="60"/>
      <c r="H111" s="61"/>
      <c r="I111" s="147">
        <v>1.2660564568462691</v>
      </c>
      <c r="J111" s="147"/>
      <c r="K111" s="147"/>
      <c r="L111" s="62">
        <v>3.7784499999999999</v>
      </c>
      <c r="M111" s="63"/>
      <c r="N111" s="64"/>
      <c r="O111" s="62">
        <v>3.6538599999999999</v>
      </c>
      <c r="P111" s="63"/>
      <c r="Q111" s="64"/>
      <c r="R111" s="65">
        <v>7.4666666666666605E-3</v>
      </c>
      <c r="S111" s="66"/>
      <c r="T111" s="67"/>
      <c r="U111" s="147">
        <v>1.0419196711631618</v>
      </c>
      <c r="V111" s="147"/>
      <c r="W111" s="147"/>
      <c r="X111" s="148">
        <v>70.547851770658013</v>
      </c>
      <c r="Y111" s="148"/>
      <c r="Z111" s="148"/>
      <c r="AA111" s="149">
        <v>0.49990869999999998</v>
      </c>
      <c r="AB111" s="149"/>
      <c r="AC111" s="149"/>
      <c r="AD111" s="149">
        <v>0.2952631</v>
      </c>
      <c r="AE111" s="149"/>
      <c r="AF111" s="149"/>
      <c r="AG111" s="149">
        <v>0.24378881800674537</v>
      </c>
      <c r="AH111" s="149"/>
      <c r="AI111" s="149"/>
      <c r="AJ111" s="149">
        <v>0.19895274588555706</v>
      </c>
      <c r="AK111" s="149"/>
      <c r="AL111" s="149"/>
      <c r="AM111" s="149">
        <v>0.26790388945247795</v>
      </c>
      <c r="AN111" s="149"/>
      <c r="AO111" s="149"/>
      <c r="AP111" s="149">
        <v>0.20320767787852403</v>
      </c>
      <c r="AQ111" s="149"/>
      <c r="AR111" s="149"/>
      <c r="AS111" s="74">
        <v>-0.14539845372541227</v>
      </c>
      <c r="AT111" s="74">
        <v>0.56172221322744265</v>
      </c>
      <c r="AU111" s="75">
        <v>0.95485872626968105</v>
      </c>
      <c r="AV111" s="351">
        <v>205.28383050000002</v>
      </c>
      <c r="AW111" s="74">
        <v>0.33531907046816506</v>
      </c>
      <c r="AX111" s="147">
        <v>4.0632289100000003</v>
      </c>
      <c r="AY111" s="147"/>
      <c r="AZ111" s="147"/>
      <c r="BA111" s="147">
        <v>6.75</v>
      </c>
      <c r="BB111" s="147"/>
      <c r="BC111" s="147"/>
      <c r="BD111" s="147">
        <v>5.8314712354810698</v>
      </c>
      <c r="BE111" s="147"/>
      <c r="BF111" s="147"/>
      <c r="BG111" s="147">
        <v>3.4139621157631157</v>
      </c>
      <c r="BH111" s="147"/>
      <c r="BI111" s="147"/>
      <c r="BJ111" s="147">
        <v>15.22154263415714</v>
      </c>
      <c r="BK111" s="147"/>
      <c r="BL111" s="147"/>
      <c r="BM111" s="147">
        <v>3.643353320157924</v>
      </c>
      <c r="BN111" s="147"/>
      <c r="BO111" s="147"/>
      <c r="BP111" s="147">
        <v>8.2641068303999994</v>
      </c>
      <c r="BQ111" s="147"/>
      <c r="BR111" s="62"/>
      <c r="BS111" s="77">
        <v>1.0620991412226499</v>
      </c>
      <c r="BT111" s="74">
        <v>0.44803050503751729</v>
      </c>
      <c r="BU111" s="78">
        <v>0.13930302895195212</v>
      </c>
      <c r="BV111" s="79">
        <v>43131</v>
      </c>
      <c r="BW111" s="80" t="s">
        <v>133</v>
      </c>
    </row>
    <row r="112" spans="1:75" ht="11.25" customHeight="1" x14ac:dyDescent="0.2">
      <c r="A112" s="352"/>
      <c r="B112" s="352"/>
      <c r="C112" s="352"/>
      <c r="D112" s="352"/>
      <c r="E112" s="352"/>
      <c r="F112" s="353"/>
      <c r="G112" s="353"/>
      <c r="H112" s="353"/>
      <c r="I112" s="354"/>
      <c r="J112" s="354"/>
      <c r="K112" s="354"/>
      <c r="L112" s="354"/>
      <c r="M112" s="354"/>
      <c r="N112" s="354"/>
      <c r="O112" s="354"/>
      <c r="P112" s="354"/>
      <c r="Q112" s="354"/>
      <c r="R112" s="354"/>
      <c r="S112" s="354"/>
      <c r="T112" s="354"/>
      <c r="U112" s="354"/>
      <c r="V112" s="354"/>
      <c r="W112" s="354"/>
      <c r="X112" s="354"/>
      <c r="Y112" s="354"/>
      <c r="Z112" s="354"/>
      <c r="AA112" s="354"/>
      <c r="AB112" s="354"/>
      <c r="AC112" s="354"/>
      <c r="AD112" s="354"/>
      <c r="AE112" s="354"/>
      <c r="AF112" s="354"/>
      <c r="AG112" s="354"/>
      <c r="AH112" s="354"/>
      <c r="AI112" s="354"/>
      <c r="AJ112" s="354"/>
      <c r="AK112" s="354"/>
      <c r="AL112" s="354"/>
      <c r="AM112" s="354"/>
      <c r="AN112" s="354"/>
      <c r="AO112" s="354"/>
      <c r="AP112" s="354"/>
      <c r="AQ112" s="354"/>
      <c r="AR112" s="354"/>
      <c r="AS112" s="355"/>
      <c r="AT112" s="355"/>
      <c r="AU112" s="356"/>
      <c r="AV112" s="356"/>
      <c r="AW112" s="356"/>
      <c r="AX112" s="354"/>
      <c r="AY112" s="354"/>
      <c r="AZ112" s="354"/>
      <c r="BA112" s="354"/>
      <c r="BB112" s="354"/>
      <c r="BC112" s="354"/>
      <c r="BD112" s="354"/>
      <c r="BE112" s="354"/>
      <c r="BF112" s="354"/>
      <c r="BG112" s="354"/>
      <c r="BH112" s="354"/>
      <c r="BI112" s="354"/>
      <c r="BJ112" s="354"/>
      <c r="BK112" s="354"/>
      <c r="BL112" s="354"/>
      <c r="BM112" s="354"/>
      <c r="BN112" s="354"/>
      <c r="BO112" s="354"/>
      <c r="BP112" s="354"/>
      <c r="BQ112" s="354"/>
      <c r="BR112" s="354"/>
      <c r="BS112" s="355"/>
      <c r="BT112" s="355"/>
      <c r="BU112" s="355"/>
      <c r="BV112" s="355"/>
      <c r="BW112" s="355"/>
    </row>
    <row r="113" spans="1:75" s="361" customFormat="1" ht="14.25" customHeight="1" x14ac:dyDescent="0.25">
      <c r="A113" s="358" t="s">
        <v>134</v>
      </c>
      <c r="B113" s="359"/>
      <c r="C113" s="359"/>
      <c r="D113" s="359"/>
      <c r="E113" s="359"/>
      <c r="F113" s="360"/>
      <c r="G113" s="360"/>
      <c r="H113" s="360"/>
      <c r="I113" s="360"/>
      <c r="J113" s="360"/>
      <c r="K113" s="360"/>
      <c r="L113" s="360"/>
      <c r="M113" s="360"/>
      <c r="N113" s="360"/>
      <c r="O113" s="360"/>
      <c r="P113" s="360"/>
      <c r="Q113" s="360"/>
      <c r="R113" s="360"/>
      <c r="S113" s="360"/>
      <c r="T113" s="360"/>
      <c r="U113" s="354"/>
      <c r="V113" s="354"/>
      <c r="W113" s="354"/>
      <c r="X113" s="354"/>
      <c r="Y113" s="354"/>
      <c r="Z113" s="354"/>
      <c r="AA113" s="354"/>
      <c r="AB113" s="354"/>
      <c r="AC113" s="354"/>
      <c r="AD113" s="354"/>
      <c r="AE113" s="354"/>
      <c r="AF113" s="354"/>
      <c r="AG113" s="354"/>
      <c r="AH113" s="354"/>
      <c r="AI113" s="354"/>
      <c r="AJ113" s="354"/>
      <c r="AK113" s="354"/>
      <c r="AL113" s="354"/>
      <c r="AM113" s="354"/>
      <c r="AN113" s="354"/>
      <c r="AO113" s="354"/>
      <c r="AP113" s="354"/>
      <c r="AQ113" s="354"/>
      <c r="AR113" s="354"/>
      <c r="AS113" s="355"/>
      <c r="AT113" s="355"/>
      <c r="AU113" s="356"/>
      <c r="AV113" s="356"/>
      <c r="AW113" s="356"/>
      <c r="AX113" s="354"/>
      <c r="AY113" s="354"/>
      <c r="AZ113" s="354"/>
      <c r="BA113" s="354"/>
      <c r="BB113" s="354"/>
      <c r="BC113" s="354"/>
      <c r="BD113" s="354"/>
      <c r="BE113" s="354"/>
      <c r="BF113" s="354"/>
      <c r="BG113" s="354"/>
      <c r="BH113" s="354"/>
      <c r="BI113" s="354"/>
      <c r="BJ113" s="354"/>
      <c r="BK113" s="354"/>
      <c r="BL113" s="354"/>
      <c r="BM113" s="354"/>
      <c r="BN113" s="354"/>
      <c r="BO113" s="354"/>
      <c r="BP113" s="354"/>
      <c r="BQ113" s="354"/>
      <c r="BR113" s="354"/>
      <c r="BS113" s="355"/>
      <c r="BT113" s="355"/>
      <c r="BU113" s="355"/>
      <c r="BV113" s="355"/>
      <c r="BW113" s="355"/>
    </row>
    <row r="114" spans="1:75" ht="11.25" customHeight="1" x14ac:dyDescent="0.2">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4"/>
      <c r="AT114" s="364"/>
      <c r="AU114" s="365"/>
      <c r="AV114" s="365"/>
      <c r="AW114" s="365"/>
      <c r="AX114" s="363"/>
      <c r="AY114" s="363"/>
      <c r="AZ114" s="363"/>
      <c r="BA114" s="363"/>
      <c r="BB114" s="363"/>
      <c r="BC114" s="363"/>
      <c r="BD114" s="363"/>
      <c r="BE114" s="363"/>
      <c r="BF114" s="363"/>
      <c r="BG114" s="363"/>
      <c r="BH114" s="363"/>
      <c r="BI114" s="363"/>
      <c r="BJ114" s="363"/>
      <c r="BK114" s="363"/>
      <c r="BL114" s="363"/>
      <c r="BM114" s="363"/>
      <c r="BN114" s="363"/>
      <c r="BO114" s="363"/>
      <c r="BP114" s="363"/>
      <c r="BQ114" s="363"/>
      <c r="BR114" s="363"/>
      <c r="BS114" s="364"/>
      <c r="BT114" s="364"/>
      <c r="BU114" s="364"/>
      <c r="BV114" s="364"/>
      <c r="BW114" s="364"/>
    </row>
    <row r="115" spans="1:75" ht="11.25" customHeight="1" x14ac:dyDescent="0.2">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4"/>
      <c r="AT115" s="364"/>
      <c r="AU115" s="365"/>
      <c r="AV115" s="365"/>
      <c r="AW115" s="365"/>
      <c r="AX115" s="363"/>
      <c r="AY115" s="363"/>
      <c r="AZ115" s="363"/>
      <c r="BA115" s="363"/>
      <c r="BB115" s="363"/>
      <c r="BC115" s="363"/>
      <c r="BD115" s="363"/>
      <c r="BE115" s="363"/>
      <c r="BF115" s="363"/>
      <c r="BG115" s="363"/>
      <c r="BH115" s="363"/>
      <c r="BI115" s="363"/>
      <c r="BJ115" s="363"/>
      <c r="BK115" s="363"/>
      <c r="BL115" s="363"/>
      <c r="BM115" s="363"/>
      <c r="BN115" s="363"/>
      <c r="BO115" s="363"/>
      <c r="BP115" s="363"/>
      <c r="BQ115" s="363"/>
      <c r="BR115" s="363"/>
      <c r="BS115" s="364"/>
      <c r="BT115" s="364"/>
      <c r="BU115" s="364"/>
      <c r="BV115" s="364"/>
      <c r="BW115" s="364"/>
    </row>
    <row r="116" spans="1:75" ht="11.25" customHeight="1" x14ac:dyDescent="0.2">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4"/>
      <c r="AT116" s="364"/>
      <c r="AU116" s="365"/>
      <c r="AV116" s="365"/>
      <c r="AW116" s="365"/>
      <c r="AX116" s="363"/>
      <c r="AY116" s="363"/>
      <c r="AZ116" s="363"/>
      <c r="BA116" s="363"/>
      <c r="BB116" s="363"/>
      <c r="BC116" s="363"/>
      <c r="BD116" s="363"/>
      <c r="BE116" s="363"/>
      <c r="BF116" s="363"/>
      <c r="BG116" s="363"/>
      <c r="BH116" s="363"/>
      <c r="BI116" s="363"/>
      <c r="BJ116" s="363"/>
      <c r="BK116" s="363"/>
      <c r="BL116" s="363"/>
      <c r="BM116" s="363"/>
      <c r="BN116" s="363"/>
      <c r="BO116" s="363"/>
      <c r="BP116" s="363"/>
      <c r="BQ116" s="363"/>
      <c r="BR116" s="363"/>
      <c r="BS116" s="364"/>
      <c r="BT116" s="364"/>
      <c r="BU116" s="364"/>
      <c r="BV116" s="364"/>
      <c r="BW116" s="364"/>
    </row>
    <row r="117" spans="1:75" ht="11.25" customHeight="1" x14ac:dyDescent="0.2">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4"/>
      <c r="AT117" s="364"/>
      <c r="AU117" s="365"/>
      <c r="AV117" s="365"/>
      <c r="AW117" s="365"/>
      <c r="AX117" s="363"/>
      <c r="AY117" s="363"/>
      <c r="AZ117" s="363"/>
      <c r="BA117" s="363"/>
      <c r="BB117" s="363"/>
      <c r="BC117" s="363"/>
      <c r="BD117" s="363"/>
      <c r="BE117" s="363"/>
      <c r="BF117" s="363"/>
      <c r="BG117" s="363"/>
      <c r="BH117" s="363"/>
      <c r="BI117" s="363"/>
      <c r="BJ117" s="363"/>
      <c r="BK117" s="363"/>
      <c r="BL117" s="363"/>
      <c r="BM117" s="363"/>
      <c r="BN117" s="363"/>
      <c r="BO117" s="363"/>
      <c r="BP117" s="363"/>
      <c r="BQ117" s="363"/>
      <c r="BR117" s="363"/>
      <c r="BS117" s="364"/>
      <c r="BT117" s="364"/>
      <c r="BU117" s="364"/>
      <c r="BV117" s="364"/>
      <c r="BW117" s="364"/>
    </row>
    <row r="118" spans="1:75" ht="11.25" customHeight="1" x14ac:dyDescent="0.2">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4"/>
      <c r="AT118" s="364"/>
      <c r="AU118" s="365"/>
      <c r="AV118" s="365"/>
      <c r="AW118" s="365"/>
      <c r="AX118" s="363"/>
      <c r="AY118" s="363"/>
      <c r="AZ118" s="363"/>
      <c r="BA118" s="363"/>
      <c r="BB118" s="363"/>
      <c r="BC118" s="363"/>
      <c r="BD118" s="363"/>
      <c r="BE118" s="363"/>
      <c r="BF118" s="363"/>
      <c r="BG118" s="363"/>
      <c r="BH118" s="363"/>
      <c r="BI118" s="363"/>
      <c r="BJ118" s="363"/>
      <c r="BK118" s="363"/>
      <c r="BL118" s="363"/>
      <c r="BM118" s="363"/>
      <c r="BN118" s="363"/>
      <c r="BO118" s="363"/>
      <c r="BP118" s="363"/>
      <c r="BQ118" s="363"/>
      <c r="BR118" s="363"/>
      <c r="BS118" s="364"/>
      <c r="BT118" s="364"/>
      <c r="BU118" s="364"/>
      <c r="BV118" s="364"/>
      <c r="BW118" s="364"/>
    </row>
    <row r="119" spans="1:75" ht="11.25" customHeight="1" x14ac:dyDescent="0.2">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4"/>
      <c r="AT119" s="364"/>
      <c r="AU119" s="365"/>
      <c r="AV119" s="365"/>
      <c r="AW119" s="365"/>
      <c r="AX119" s="363"/>
      <c r="AY119" s="363"/>
      <c r="AZ119" s="363"/>
      <c r="BA119" s="363"/>
      <c r="BB119" s="363"/>
      <c r="BC119" s="363"/>
      <c r="BD119" s="363"/>
      <c r="BE119" s="363"/>
      <c r="BF119" s="363"/>
      <c r="BG119" s="363"/>
      <c r="BH119" s="363"/>
      <c r="BI119" s="363"/>
      <c r="BJ119" s="363"/>
      <c r="BK119" s="363"/>
      <c r="BL119" s="363"/>
      <c r="BM119" s="363"/>
      <c r="BN119" s="363"/>
      <c r="BO119" s="363"/>
      <c r="BP119" s="363"/>
      <c r="BQ119" s="363"/>
      <c r="BR119" s="363"/>
      <c r="BS119" s="364"/>
      <c r="BT119" s="364"/>
      <c r="BU119" s="364"/>
      <c r="BV119" s="364"/>
      <c r="BW119" s="364"/>
    </row>
    <row r="120" spans="1:75" ht="11.25" customHeight="1" x14ac:dyDescent="0.2">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4"/>
      <c r="AT120" s="364"/>
      <c r="AU120" s="365"/>
      <c r="AV120" s="365"/>
      <c r="AW120" s="365"/>
      <c r="AX120" s="363"/>
      <c r="AY120" s="363"/>
      <c r="AZ120" s="363"/>
      <c r="BA120" s="363"/>
      <c r="BB120" s="363"/>
      <c r="BC120" s="363"/>
      <c r="BD120" s="363"/>
      <c r="BE120" s="363"/>
      <c r="BF120" s="363"/>
      <c r="BG120" s="363"/>
      <c r="BH120" s="363"/>
      <c r="BI120" s="363"/>
      <c r="BJ120" s="363"/>
      <c r="BK120" s="363"/>
      <c r="BL120" s="363"/>
      <c r="BM120" s="363"/>
      <c r="BN120" s="363"/>
      <c r="BO120" s="363"/>
      <c r="BP120" s="363"/>
      <c r="BQ120" s="363"/>
      <c r="BR120" s="363"/>
      <c r="BS120" s="364"/>
      <c r="BT120" s="364"/>
      <c r="BU120" s="364"/>
      <c r="BV120" s="364"/>
      <c r="BW120" s="364"/>
    </row>
    <row r="121" spans="1:75" ht="11.25" customHeight="1" x14ac:dyDescent="0.2">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4"/>
      <c r="AT121" s="364"/>
      <c r="AU121" s="365"/>
      <c r="AV121" s="365"/>
      <c r="AW121" s="365"/>
      <c r="AX121" s="363"/>
      <c r="AY121" s="363"/>
      <c r="AZ121" s="363"/>
      <c r="BA121" s="363"/>
      <c r="BB121" s="363"/>
      <c r="BC121" s="363"/>
      <c r="BD121" s="363"/>
      <c r="BE121" s="363"/>
      <c r="BF121" s="363"/>
      <c r="BG121" s="363"/>
      <c r="BH121" s="363"/>
      <c r="BI121" s="363"/>
      <c r="BJ121" s="363"/>
      <c r="BK121" s="363"/>
      <c r="BL121" s="363"/>
      <c r="BM121" s="363"/>
      <c r="BN121" s="363"/>
      <c r="BO121" s="363"/>
      <c r="BP121" s="363"/>
      <c r="BQ121" s="363"/>
      <c r="BR121" s="363"/>
      <c r="BS121" s="364"/>
      <c r="BT121" s="364"/>
      <c r="BU121" s="364"/>
      <c r="BV121" s="364"/>
      <c r="BW121" s="364"/>
    </row>
    <row r="122" spans="1:75" ht="11.25" customHeight="1" x14ac:dyDescent="0.2">
      <c r="F122" s="363"/>
      <c r="G122" s="363"/>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4"/>
      <c r="AT122" s="364"/>
      <c r="AU122" s="365"/>
      <c r="AV122" s="365"/>
      <c r="AW122" s="365"/>
      <c r="AX122" s="363"/>
      <c r="AY122" s="363"/>
      <c r="AZ122" s="363"/>
      <c r="BA122" s="363"/>
      <c r="BB122" s="363"/>
      <c r="BC122" s="363"/>
      <c r="BD122" s="363"/>
      <c r="BE122" s="363"/>
      <c r="BF122" s="363"/>
      <c r="BG122" s="363"/>
      <c r="BH122" s="363"/>
      <c r="BI122" s="363"/>
      <c r="BJ122" s="363"/>
      <c r="BK122" s="363"/>
      <c r="BL122" s="363"/>
      <c r="BM122" s="363"/>
      <c r="BN122" s="363"/>
      <c r="BO122" s="363"/>
      <c r="BP122" s="363"/>
      <c r="BQ122" s="363"/>
      <c r="BR122" s="363"/>
      <c r="BS122" s="364"/>
      <c r="BT122" s="364"/>
      <c r="BU122" s="364"/>
      <c r="BV122" s="364"/>
      <c r="BW122" s="364"/>
    </row>
    <row r="123" spans="1:75" ht="11.25" customHeight="1" x14ac:dyDescent="0.2">
      <c r="F123" s="363"/>
      <c r="G123" s="363"/>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4"/>
      <c r="AT123" s="364"/>
      <c r="AU123" s="365"/>
      <c r="AV123" s="365"/>
      <c r="AW123" s="365"/>
      <c r="AX123" s="363"/>
      <c r="AY123" s="363"/>
      <c r="AZ123" s="363"/>
      <c r="BA123" s="363"/>
      <c r="BB123" s="363"/>
      <c r="BC123" s="363"/>
      <c r="BD123" s="363"/>
      <c r="BE123" s="363"/>
      <c r="BF123" s="363"/>
      <c r="BG123" s="363"/>
      <c r="BH123" s="363"/>
      <c r="BI123" s="363"/>
      <c r="BJ123" s="363"/>
      <c r="BK123" s="363"/>
      <c r="BL123" s="363"/>
      <c r="BM123" s="363"/>
      <c r="BN123" s="363"/>
      <c r="BO123" s="363"/>
      <c r="BP123" s="363"/>
      <c r="BQ123" s="363"/>
      <c r="BR123" s="363"/>
      <c r="BS123" s="364"/>
      <c r="BT123" s="364"/>
      <c r="BU123" s="364"/>
      <c r="BV123" s="364"/>
      <c r="BW123" s="364"/>
    </row>
    <row r="124" spans="1:75" ht="11.25" customHeight="1" x14ac:dyDescent="0.2">
      <c r="F124" s="363"/>
      <c r="G124" s="363"/>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4"/>
      <c r="AT124" s="364"/>
      <c r="AU124" s="365"/>
      <c r="AV124" s="365"/>
      <c r="AW124" s="365"/>
      <c r="AX124" s="363"/>
      <c r="AY124" s="363"/>
      <c r="AZ124" s="363"/>
      <c r="BA124" s="363"/>
      <c r="BB124" s="363"/>
      <c r="BC124" s="363"/>
      <c r="BD124" s="363"/>
      <c r="BE124" s="363"/>
      <c r="BF124" s="363"/>
      <c r="BG124" s="363"/>
      <c r="BH124" s="363"/>
      <c r="BI124" s="363"/>
      <c r="BJ124" s="363"/>
      <c r="BK124" s="363"/>
      <c r="BL124" s="363"/>
      <c r="BM124" s="363"/>
      <c r="BN124" s="363"/>
      <c r="BO124" s="363"/>
      <c r="BP124" s="363"/>
      <c r="BQ124" s="363"/>
      <c r="BR124" s="363"/>
      <c r="BS124" s="364"/>
      <c r="BT124" s="364"/>
      <c r="BU124" s="364"/>
      <c r="BV124" s="364"/>
      <c r="BW124" s="364"/>
    </row>
    <row r="125" spans="1:75" ht="11.25" customHeight="1" x14ac:dyDescent="0.2">
      <c r="F125" s="363"/>
      <c r="G125" s="363"/>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4"/>
      <c r="AT125" s="364"/>
      <c r="AU125" s="365"/>
      <c r="AV125" s="365"/>
      <c r="AW125" s="365"/>
      <c r="AX125" s="363"/>
      <c r="AY125" s="363"/>
      <c r="AZ125" s="363"/>
      <c r="BA125" s="363"/>
      <c r="BB125" s="363"/>
      <c r="BC125" s="363"/>
      <c r="BD125" s="363"/>
      <c r="BE125" s="363"/>
      <c r="BF125" s="363"/>
      <c r="BG125" s="363"/>
      <c r="BH125" s="363"/>
      <c r="BI125" s="363"/>
      <c r="BJ125" s="363"/>
      <c r="BK125" s="363"/>
      <c r="BL125" s="363"/>
      <c r="BM125" s="363"/>
      <c r="BN125" s="363"/>
      <c r="BO125" s="363"/>
      <c r="BP125" s="363"/>
      <c r="BQ125" s="363"/>
      <c r="BR125" s="363"/>
      <c r="BS125" s="364"/>
      <c r="BT125" s="364"/>
      <c r="BU125" s="364"/>
      <c r="BV125" s="364"/>
      <c r="BW125" s="364"/>
    </row>
    <row r="126" spans="1:75" ht="11.25" customHeight="1" x14ac:dyDescent="0.2">
      <c r="F126" s="363"/>
      <c r="G126" s="363"/>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4"/>
      <c r="AT126" s="364"/>
      <c r="AU126" s="365"/>
      <c r="AV126" s="365"/>
      <c r="AW126" s="365"/>
      <c r="AX126" s="363"/>
      <c r="AY126" s="363"/>
      <c r="AZ126" s="363"/>
      <c r="BA126" s="363"/>
      <c r="BB126" s="363"/>
      <c r="BC126" s="363"/>
      <c r="BD126" s="363"/>
      <c r="BE126" s="363"/>
      <c r="BF126" s="363"/>
      <c r="BG126" s="363"/>
      <c r="BH126" s="363"/>
      <c r="BI126" s="363"/>
      <c r="BJ126" s="363"/>
      <c r="BK126" s="363"/>
      <c r="BL126" s="363"/>
      <c r="BM126" s="363"/>
      <c r="BN126" s="363"/>
      <c r="BO126" s="363"/>
      <c r="BP126" s="363"/>
      <c r="BQ126" s="363"/>
      <c r="BR126" s="363"/>
      <c r="BS126" s="364"/>
      <c r="BT126" s="364"/>
      <c r="BU126" s="364"/>
      <c r="BV126" s="364"/>
      <c r="BW126" s="364"/>
    </row>
    <row r="127" spans="1:75" ht="11.25" customHeight="1" x14ac:dyDescent="0.2">
      <c r="F127" s="363"/>
      <c r="G127" s="363"/>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4"/>
      <c r="AT127" s="364"/>
      <c r="AU127" s="365"/>
      <c r="AV127" s="365"/>
      <c r="AW127" s="365"/>
      <c r="AX127" s="363"/>
      <c r="AY127" s="363"/>
      <c r="AZ127" s="363"/>
      <c r="BA127" s="363"/>
      <c r="BB127" s="363"/>
      <c r="BC127" s="363"/>
      <c r="BD127" s="363"/>
      <c r="BE127" s="363"/>
      <c r="BF127" s="363"/>
      <c r="BG127" s="363"/>
      <c r="BH127" s="363"/>
      <c r="BI127" s="363"/>
      <c r="BJ127" s="363"/>
      <c r="BK127" s="363"/>
      <c r="BL127" s="363"/>
      <c r="BM127" s="363"/>
      <c r="BN127" s="363"/>
      <c r="BO127" s="363"/>
      <c r="BP127" s="363"/>
      <c r="BQ127" s="363"/>
      <c r="BR127" s="363"/>
      <c r="BS127" s="364"/>
      <c r="BT127" s="364"/>
      <c r="BU127" s="364"/>
      <c r="BV127" s="364"/>
      <c r="BW127" s="364"/>
    </row>
    <row r="128" spans="1:75" ht="11.25" customHeight="1" x14ac:dyDescent="0.2">
      <c r="F128" s="363"/>
      <c r="G128" s="363"/>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4"/>
      <c r="AT128" s="364"/>
      <c r="AU128" s="365"/>
      <c r="AV128" s="365"/>
      <c r="AW128" s="365"/>
      <c r="AX128" s="363"/>
      <c r="AY128" s="363"/>
      <c r="AZ128" s="363"/>
      <c r="BA128" s="363"/>
      <c r="BB128" s="363"/>
      <c r="BC128" s="363"/>
      <c r="BD128" s="363"/>
      <c r="BE128" s="363"/>
      <c r="BF128" s="363"/>
      <c r="BG128" s="363"/>
      <c r="BH128" s="363"/>
      <c r="BI128" s="363"/>
      <c r="BJ128" s="363"/>
      <c r="BK128" s="363"/>
      <c r="BL128" s="363"/>
      <c r="BM128" s="363"/>
      <c r="BN128" s="363"/>
      <c r="BO128" s="363"/>
      <c r="BP128" s="363"/>
      <c r="BQ128" s="363"/>
      <c r="BR128" s="363"/>
      <c r="BS128" s="364"/>
      <c r="BT128" s="364"/>
      <c r="BU128" s="364"/>
      <c r="BV128" s="364"/>
      <c r="BW128" s="364"/>
    </row>
    <row r="129" spans="6:75" ht="11.25" customHeight="1" x14ac:dyDescent="0.2">
      <c r="F129" s="363"/>
      <c r="G129" s="363"/>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4"/>
      <c r="AT129" s="364"/>
      <c r="AU129" s="365"/>
      <c r="AV129" s="365"/>
      <c r="AW129" s="365"/>
      <c r="AX129" s="363"/>
      <c r="AY129" s="363"/>
      <c r="AZ129" s="363"/>
      <c r="BA129" s="363"/>
      <c r="BB129" s="363"/>
      <c r="BC129" s="363"/>
      <c r="BD129" s="363"/>
      <c r="BE129" s="363"/>
      <c r="BF129" s="363"/>
      <c r="BG129" s="363"/>
      <c r="BH129" s="363"/>
      <c r="BI129" s="363"/>
      <c r="BJ129" s="363"/>
      <c r="BK129" s="363"/>
      <c r="BL129" s="363"/>
      <c r="BM129" s="363"/>
      <c r="BN129" s="363"/>
      <c r="BO129" s="363"/>
      <c r="BP129" s="363"/>
      <c r="BQ129" s="363"/>
      <c r="BR129" s="363"/>
      <c r="BS129" s="364"/>
      <c r="BT129" s="364"/>
      <c r="BU129" s="364"/>
      <c r="BV129" s="364"/>
      <c r="BW129" s="364"/>
    </row>
    <row r="130" spans="6:75" ht="11.25" customHeight="1" x14ac:dyDescent="0.2">
      <c r="F130" s="363"/>
      <c r="G130" s="363"/>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4"/>
      <c r="AT130" s="364"/>
      <c r="AU130" s="365"/>
      <c r="AV130" s="365"/>
      <c r="AW130" s="365"/>
      <c r="AX130" s="363"/>
      <c r="AY130" s="363"/>
      <c r="AZ130" s="363"/>
      <c r="BA130" s="363"/>
      <c r="BB130" s="363"/>
      <c r="BC130" s="363"/>
      <c r="BD130" s="363"/>
      <c r="BE130" s="363"/>
      <c r="BF130" s="363"/>
      <c r="BG130" s="363"/>
      <c r="BH130" s="363"/>
      <c r="BI130" s="363"/>
      <c r="BJ130" s="363"/>
      <c r="BK130" s="363"/>
      <c r="BL130" s="363"/>
      <c r="BM130" s="363"/>
      <c r="BN130" s="363"/>
      <c r="BO130" s="363"/>
      <c r="BP130" s="363"/>
      <c r="BQ130" s="363"/>
      <c r="BR130" s="363"/>
      <c r="BS130" s="364"/>
      <c r="BT130" s="364"/>
      <c r="BU130" s="364"/>
      <c r="BV130" s="364"/>
      <c r="BW130" s="364"/>
    </row>
    <row r="131" spans="6:75" ht="11.25" customHeight="1" x14ac:dyDescent="0.2">
      <c r="F131" s="363"/>
      <c r="G131" s="363"/>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4"/>
      <c r="AT131" s="364"/>
      <c r="AU131" s="365"/>
      <c r="AV131" s="365"/>
      <c r="AW131" s="365"/>
      <c r="AX131" s="363"/>
      <c r="AY131" s="363"/>
      <c r="AZ131" s="363"/>
      <c r="BA131" s="363"/>
      <c r="BB131" s="363"/>
      <c r="BC131" s="363"/>
      <c r="BD131" s="363"/>
      <c r="BE131" s="363"/>
      <c r="BF131" s="363"/>
      <c r="BG131" s="363"/>
      <c r="BH131" s="363"/>
      <c r="BI131" s="363"/>
      <c r="BJ131" s="363"/>
      <c r="BK131" s="363"/>
      <c r="BL131" s="363"/>
      <c r="BM131" s="363"/>
      <c r="BN131" s="363"/>
      <c r="BO131" s="363"/>
      <c r="BP131" s="363"/>
      <c r="BQ131" s="363"/>
      <c r="BR131" s="363"/>
      <c r="BS131" s="364"/>
      <c r="BT131" s="364"/>
      <c r="BU131" s="364"/>
      <c r="BV131" s="364"/>
      <c r="BW131" s="364"/>
    </row>
    <row r="132" spans="6:75" ht="11.25" customHeight="1" x14ac:dyDescent="0.2">
      <c r="F132" s="363"/>
      <c r="G132" s="363"/>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4"/>
      <c r="AT132" s="364"/>
      <c r="AU132" s="365"/>
      <c r="AV132" s="365"/>
      <c r="AW132" s="365"/>
      <c r="AX132" s="363"/>
      <c r="AY132" s="363"/>
      <c r="AZ132" s="363"/>
      <c r="BA132" s="363"/>
      <c r="BB132" s="363"/>
      <c r="BC132" s="363"/>
      <c r="BD132" s="363"/>
      <c r="BE132" s="363"/>
      <c r="BF132" s="363"/>
      <c r="BG132" s="363"/>
      <c r="BH132" s="363"/>
      <c r="BI132" s="363"/>
      <c r="BJ132" s="363"/>
      <c r="BK132" s="363"/>
      <c r="BL132" s="363"/>
      <c r="BM132" s="363"/>
      <c r="BN132" s="363"/>
      <c r="BO132" s="363"/>
      <c r="BP132" s="363"/>
      <c r="BQ132" s="363"/>
      <c r="BR132" s="363"/>
      <c r="BS132" s="364"/>
      <c r="BT132" s="364"/>
      <c r="BU132" s="364"/>
      <c r="BV132" s="364"/>
      <c r="BW132" s="364"/>
    </row>
    <row r="133" spans="6:75" ht="11.25" customHeight="1" x14ac:dyDescent="0.2">
      <c r="F133" s="363"/>
      <c r="G133" s="363"/>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4"/>
      <c r="AT133" s="364"/>
      <c r="AU133" s="365"/>
      <c r="AV133" s="365"/>
      <c r="AW133" s="365"/>
      <c r="AX133" s="363"/>
      <c r="AY133" s="363"/>
      <c r="AZ133" s="363"/>
      <c r="BA133" s="363"/>
      <c r="BB133" s="363"/>
      <c r="BC133" s="363"/>
      <c r="BD133" s="363"/>
      <c r="BE133" s="363"/>
      <c r="BF133" s="363"/>
      <c r="BG133" s="363"/>
      <c r="BH133" s="363"/>
      <c r="BI133" s="363"/>
      <c r="BJ133" s="363"/>
      <c r="BK133" s="363"/>
      <c r="BL133" s="363"/>
      <c r="BM133" s="363"/>
      <c r="BN133" s="363"/>
      <c r="BO133" s="363"/>
      <c r="BP133" s="363"/>
      <c r="BQ133" s="363"/>
      <c r="BR133" s="363"/>
      <c r="BS133" s="364"/>
      <c r="BT133" s="364"/>
      <c r="BU133" s="364"/>
      <c r="BV133" s="364"/>
      <c r="BW133" s="364"/>
    </row>
    <row r="134" spans="6:75" ht="11.25" customHeight="1" x14ac:dyDescent="0.2">
      <c r="F134" s="363"/>
      <c r="G134" s="363"/>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4"/>
      <c r="AT134" s="364"/>
      <c r="AU134" s="365"/>
      <c r="AV134" s="365"/>
      <c r="AW134" s="365"/>
      <c r="AX134" s="363"/>
      <c r="AY134" s="363"/>
      <c r="AZ134" s="363"/>
      <c r="BA134" s="363"/>
      <c r="BB134" s="363"/>
      <c r="BC134" s="363"/>
      <c r="BD134" s="363"/>
      <c r="BE134" s="363"/>
      <c r="BF134" s="363"/>
      <c r="BG134" s="363"/>
      <c r="BH134" s="363"/>
      <c r="BI134" s="363"/>
      <c r="BJ134" s="363"/>
      <c r="BK134" s="363"/>
      <c r="BL134" s="363"/>
      <c r="BM134" s="363"/>
      <c r="BN134" s="363"/>
      <c r="BO134" s="363"/>
      <c r="BP134" s="363"/>
      <c r="BQ134" s="363"/>
      <c r="BR134" s="363"/>
      <c r="BS134" s="364"/>
      <c r="BT134" s="364"/>
      <c r="BU134" s="364"/>
      <c r="BV134" s="364"/>
      <c r="BW134" s="364"/>
    </row>
    <row r="135" spans="6:75" ht="11.25" customHeight="1" x14ac:dyDescent="0.2">
      <c r="F135" s="363"/>
      <c r="G135" s="363"/>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4"/>
      <c r="AT135" s="364"/>
      <c r="AU135" s="365"/>
      <c r="AV135" s="365"/>
      <c r="AW135" s="365"/>
      <c r="AX135" s="363"/>
      <c r="AY135" s="363"/>
      <c r="AZ135" s="363"/>
      <c r="BA135" s="363"/>
      <c r="BB135" s="363"/>
      <c r="BC135" s="363"/>
      <c r="BD135" s="363"/>
      <c r="BE135" s="363"/>
      <c r="BF135" s="363"/>
      <c r="BG135" s="363"/>
      <c r="BH135" s="363"/>
      <c r="BI135" s="363"/>
      <c r="BJ135" s="363"/>
      <c r="BK135" s="363"/>
      <c r="BL135" s="363"/>
      <c r="BM135" s="363"/>
      <c r="BN135" s="363"/>
      <c r="BO135" s="363"/>
      <c r="BP135" s="363"/>
      <c r="BQ135" s="363"/>
      <c r="BR135" s="363"/>
      <c r="BS135" s="364"/>
      <c r="BT135" s="364"/>
      <c r="BU135" s="364"/>
      <c r="BV135" s="364"/>
      <c r="BW135" s="364"/>
    </row>
    <row r="136" spans="6:75" ht="11.25" customHeight="1" x14ac:dyDescent="0.2">
      <c r="F136" s="363"/>
      <c r="G136" s="363"/>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4"/>
      <c r="AT136" s="364"/>
      <c r="AU136" s="365"/>
      <c r="AV136" s="365"/>
      <c r="AW136" s="365"/>
      <c r="AX136" s="363"/>
      <c r="AY136" s="363"/>
      <c r="AZ136" s="363"/>
      <c r="BA136" s="363"/>
      <c r="BB136" s="363"/>
      <c r="BC136" s="363"/>
      <c r="BD136" s="363"/>
      <c r="BE136" s="363"/>
      <c r="BF136" s="363"/>
      <c r="BG136" s="363"/>
      <c r="BH136" s="363"/>
      <c r="BI136" s="363"/>
      <c r="BJ136" s="363"/>
      <c r="BK136" s="363"/>
      <c r="BL136" s="363"/>
      <c r="BM136" s="363"/>
      <c r="BN136" s="363"/>
      <c r="BO136" s="363"/>
      <c r="BP136" s="363"/>
      <c r="BQ136" s="363"/>
      <c r="BR136" s="363"/>
      <c r="BS136" s="364"/>
      <c r="BT136" s="364"/>
      <c r="BU136" s="364"/>
      <c r="BV136" s="364"/>
      <c r="BW136" s="364"/>
    </row>
    <row r="137" spans="6:75" ht="11.25" customHeight="1" x14ac:dyDescent="0.2">
      <c r="F137" s="363"/>
      <c r="G137" s="363"/>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4"/>
      <c r="AT137" s="364"/>
      <c r="AU137" s="365"/>
      <c r="AV137" s="365"/>
      <c r="AW137" s="365"/>
      <c r="AX137" s="363"/>
      <c r="AY137" s="363"/>
      <c r="AZ137" s="363"/>
      <c r="BA137" s="363"/>
      <c r="BB137" s="363"/>
      <c r="BC137" s="363"/>
      <c r="BD137" s="363"/>
      <c r="BE137" s="363"/>
      <c r="BF137" s="363"/>
      <c r="BG137" s="363"/>
      <c r="BH137" s="363"/>
      <c r="BI137" s="363"/>
      <c r="BJ137" s="363"/>
      <c r="BK137" s="363"/>
      <c r="BL137" s="363"/>
      <c r="BM137" s="363"/>
      <c r="BN137" s="363"/>
      <c r="BO137" s="363"/>
      <c r="BP137" s="363"/>
      <c r="BQ137" s="363"/>
      <c r="BR137" s="363"/>
      <c r="BS137" s="364"/>
      <c r="BT137" s="364"/>
      <c r="BU137" s="364"/>
      <c r="BV137" s="364"/>
      <c r="BW137" s="364"/>
    </row>
    <row r="138" spans="6:75" ht="11.25" customHeight="1" x14ac:dyDescent="0.2">
      <c r="F138" s="363"/>
      <c r="G138" s="363"/>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4"/>
      <c r="AT138" s="364"/>
      <c r="AU138" s="365"/>
      <c r="AV138" s="365"/>
      <c r="AW138" s="365"/>
      <c r="AX138" s="363"/>
      <c r="AY138" s="363"/>
      <c r="AZ138" s="363"/>
      <c r="BA138" s="363"/>
      <c r="BB138" s="363"/>
      <c r="BC138" s="363"/>
      <c r="BD138" s="363"/>
      <c r="BE138" s="363"/>
      <c r="BF138" s="363"/>
      <c r="BG138" s="363"/>
      <c r="BH138" s="363"/>
      <c r="BI138" s="363"/>
      <c r="BJ138" s="363"/>
      <c r="BK138" s="363"/>
      <c r="BL138" s="363"/>
      <c r="BM138" s="363"/>
      <c r="BN138" s="363"/>
      <c r="BO138" s="363"/>
      <c r="BP138" s="363"/>
      <c r="BQ138" s="363"/>
      <c r="BR138" s="363"/>
      <c r="BS138" s="364"/>
      <c r="BT138" s="364"/>
      <c r="BU138" s="364"/>
      <c r="BV138" s="364"/>
      <c r="BW138" s="364"/>
    </row>
    <row r="139" spans="6:75" ht="11.25" customHeight="1" x14ac:dyDescent="0.2">
      <c r="F139" s="363"/>
      <c r="G139" s="363"/>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4"/>
      <c r="AT139" s="364"/>
      <c r="AU139" s="365"/>
      <c r="AV139" s="365"/>
      <c r="AW139" s="365"/>
      <c r="AX139" s="363"/>
      <c r="AY139" s="363"/>
      <c r="AZ139" s="363"/>
      <c r="BA139" s="363"/>
      <c r="BB139" s="363"/>
      <c r="BC139" s="363"/>
      <c r="BD139" s="363"/>
      <c r="BE139" s="363"/>
      <c r="BF139" s="363"/>
      <c r="BG139" s="363"/>
      <c r="BH139" s="363"/>
      <c r="BI139" s="363"/>
      <c r="BJ139" s="363"/>
      <c r="BK139" s="363"/>
      <c r="BL139" s="363"/>
      <c r="BM139" s="363"/>
      <c r="BN139" s="363"/>
      <c r="BO139" s="363"/>
      <c r="BP139" s="363"/>
      <c r="BQ139" s="363"/>
      <c r="BR139" s="363"/>
      <c r="BS139" s="364"/>
      <c r="BT139" s="364"/>
      <c r="BU139" s="364"/>
      <c r="BV139" s="364"/>
      <c r="BW139" s="364"/>
    </row>
    <row r="140" spans="6:75" ht="11.25" customHeight="1" x14ac:dyDescent="0.2">
      <c r="F140" s="363"/>
      <c r="G140" s="363"/>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4"/>
      <c r="AT140" s="364"/>
      <c r="AU140" s="365"/>
      <c r="AV140" s="365"/>
      <c r="AW140" s="365"/>
      <c r="AX140" s="363"/>
      <c r="AY140" s="363"/>
      <c r="AZ140" s="363"/>
      <c r="BA140" s="363"/>
      <c r="BB140" s="363"/>
      <c r="BC140" s="363"/>
      <c r="BD140" s="363"/>
      <c r="BE140" s="363"/>
      <c r="BF140" s="363"/>
      <c r="BG140" s="363"/>
      <c r="BH140" s="363"/>
      <c r="BI140" s="363"/>
      <c r="BJ140" s="363"/>
      <c r="BK140" s="363"/>
      <c r="BL140" s="363"/>
      <c r="BM140" s="363"/>
      <c r="BN140" s="363"/>
      <c r="BO140" s="363"/>
      <c r="BP140" s="363"/>
      <c r="BQ140" s="363"/>
      <c r="BR140" s="363"/>
      <c r="BS140" s="364"/>
      <c r="BT140" s="364"/>
      <c r="BU140" s="364"/>
      <c r="BV140" s="364"/>
      <c r="BW140" s="364"/>
    </row>
    <row r="141" spans="6:75" ht="11.25" customHeight="1" x14ac:dyDescent="0.2">
      <c r="F141" s="363"/>
      <c r="G141" s="363"/>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4"/>
      <c r="AT141" s="364"/>
      <c r="AU141" s="365"/>
      <c r="AV141" s="365"/>
      <c r="AW141" s="365"/>
      <c r="AX141" s="363"/>
      <c r="AY141" s="363"/>
      <c r="AZ141" s="363"/>
      <c r="BA141" s="363"/>
      <c r="BB141" s="363"/>
      <c r="BC141" s="363"/>
      <c r="BD141" s="363"/>
      <c r="BE141" s="363"/>
      <c r="BF141" s="363"/>
      <c r="BG141" s="363"/>
      <c r="BH141" s="363"/>
      <c r="BI141" s="363"/>
      <c r="BJ141" s="363"/>
      <c r="BK141" s="363"/>
      <c r="BL141" s="363"/>
      <c r="BM141" s="363"/>
      <c r="BN141" s="363"/>
      <c r="BO141" s="363"/>
      <c r="BP141" s="363"/>
      <c r="BQ141" s="363"/>
      <c r="BR141" s="363"/>
      <c r="BS141" s="364"/>
      <c r="BT141" s="364"/>
      <c r="BU141" s="364"/>
      <c r="BV141" s="364"/>
      <c r="BW141" s="364"/>
    </row>
    <row r="142" spans="6:75" ht="11.25" customHeight="1" x14ac:dyDescent="0.2">
      <c r="F142" s="363"/>
      <c r="G142" s="363"/>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4"/>
      <c r="AT142" s="364"/>
      <c r="AU142" s="365"/>
      <c r="AV142" s="365"/>
      <c r="AW142" s="365"/>
      <c r="AX142" s="363"/>
      <c r="AY142" s="363"/>
      <c r="AZ142" s="363"/>
      <c r="BA142" s="363"/>
      <c r="BB142" s="363"/>
      <c r="BC142" s="363"/>
      <c r="BD142" s="363"/>
      <c r="BE142" s="363"/>
      <c r="BF142" s="363"/>
      <c r="BG142" s="363"/>
      <c r="BH142" s="363"/>
      <c r="BI142" s="363"/>
      <c r="BJ142" s="363"/>
      <c r="BK142" s="363"/>
      <c r="BL142" s="363"/>
      <c r="BM142" s="363"/>
      <c r="BN142" s="363"/>
      <c r="BO142" s="363"/>
      <c r="BP142" s="363"/>
      <c r="BQ142" s="363"/>
      <c r="BR142" s="363"/>
      <c r="BS142" s="364"/>
      <c r="BT142" s="364"/>
      <c r="BU142" s="364"/>
      <c r="BV142" s="364"/>
      <c r="BW142" s="364"/>
    </row>
    <row r="143" spans="6:75" ht="11.25" customHeight="1" x14ac:dyDescent="0.2">
      <c r="F143" s="363"/>
      <c r="G143" s="363"/>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4"/>
      <c r="AT143" s="364"/>
      <c r="AU143" s="365"/>
      <c r="AV143" s="365"/>
      <c r="AW143" s="365"/>
      <c r="AX143" s="363"/>
      <c r="AY143" s="363"/>
      <c r="AZ143" s="363"/>
      <c r="BA143" s="363"/>
      <c r="BB143" s="363"/>
      <c r="BC143" s="363"/>
      <c r="BD143" s="363"/>
      <c r="BE143" s="363"/>
      <c r="BF143" s="363"/>
      <c r="BG143" s="363"/>
      <c r="BH143" s="363"/>
      <c r="BI143" s="363"/>
      <c r="BJ143" s="363"/>
      <c r="BK143" s="363"/>
      <c r="BL143" s="363"/>
      <c r="BM143" s="363"/>
      <c r="BN143" s="363"/>
      <c r="BO143" s="363"/>
      <c r="BP143" s="363"/>
      <c r="BQ143" s="363"/>
      <c r="BR143" s="363"/>
      <c r="BS143" s="364"/>
      <c r="BT143" s="364"/>
      <c r="BU143" s="364"/>
      <c r="BV143" s="364"/>
      <c r="BW143" s="364"/>
    </row>
    <row r="144" spans="6:75" ht="11.25" customHeight="1" x14ac:dyDescent="0.2">
      <c r="F144" s="363"/>
      <c r="G144" s="363"/>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4"/>
      <c r="AT144" s="364"/>
      <c r="AU144" s="365"/>
      <c r="AV144" s="365"/>
      <c r="AW144" s="365"/>
      <c r="AX144" s="363"/>
      <c r="AY144" s="363"/>
      <c r="AZ144" s="363"/>
      <c r="BA144" s="363"/>
      <c r="BB144" s="363"/>
      <c r="BC144" s="363"/>
      <c r="BD144" s="363"/>
      <c r="BE144" s="363"/>
      <c r="BF144" s="363"/>
      <c r="BG144" s="363"/>
      <c r="BH144" s="363"/>
      <c r="BI144" s="363"/>
      <c r="BJ144" s="363"/>
      <c r="BK144" s="363"/>
      <c r="BL144" s="363"/>
      <c r="BM144" s="363"/>
      <c r="BN144" s="363"/>
      <c r="BO144" s="363"/>
      <c r="BP144" s="363"/>
      <c r="BQ144" s="363"/>
      <c r="BR144" s="363"/>
      <c r="BS144" s="364"/>
      <c r="BT144" s="364"/>
      <c r="BU144" s="364"/>
      <c r="BV144" s="364"/>
      <c r="BW144" s="364"/>
    </row>
    <row r="145" spans="6:75" ht="11.25" customHeight="1" x14ac:dyDescent="0.2">
      <c r="F145" s="363"/>
      <c r="G145" s="363"/>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4"/>
      <c r="AT145" s="364"/>
      <c r="AU145" s="365"/>
      <c r="AV145" s="365"/>
      <c r="AW145" s="365"/>
      <c r="AX145" s="363"/>
      <c r="AY145" s="363"/>
      <c r="AZ145" s="363"/>
      <c r="BA145" s="363"/>
      <c r="BB145" s="363"/>
      <c r="BC145" s="363"/>
      <c r="BD145" s="363"/>
      <c r="BE145" s="363"/>
      <c r="BF145" s="363"/>
      <c r="BG145" s="363"/>
      <c r="BH145" s="363"/>
      <c r="BI145" s="363"/>
      <c r="BJ145" s="363"/>
      <c r="BK145" s="363"/>
      <c r="BL145" s="363"/>
      <c r="BM145" s="363"/>
      <c r="BN145" s="363"/>
      <c r="BO145" s="363"/>
      <c r="BP145" s="363"/>
      <c r="BQ145" s="363"/>
      <c r="BR145" s="363"/>
      <c r="BS145" s="364"/>
      <c r="BT145" s="364"/>
      <c r="BU145" s="364"/>
      <c r="BV145" s="364"/>
      <c r="BW145" s="364"/>
    </row>
    <row r="146" spans="6:75" ht="11.25" customHeight="1" x14ac:dyDescent="0.2">
      <c r="F146" s="363"/>
      <c r="G146" s="363"/>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4"/>
      <c r="AT146" s="364"/>
      <c r="AU146" s="365"/>
      <c r="AV146" s="365"/>
      <c r="AW146" s="365"/>
      <c r="AX146" s="363"/>
      <c r="AY146" s="363"/>
      <c r="AZ146" s="363"/>
      <c r="BA146" s="363"/>
      <c r="BB146" s="363"/>
      <c r="BC146" s="363"/>
      <c r="BD146" s="363"/>
      <c r="BE146" s="363"/>
      <c r="BF146" s="363"/>
      <c r="BG146" s="363"/>
      <c r="BH146" s="363"/>
      <c r="BI146" s="363"/>
      <c r="BJ146" s="363"/>
      <c r="BK146" s="363"/>
      <c r="BL146" s="363"/>
      <c r="BM146" s="363"/>
      <c r="BN146" s="363"/>
      <c r="BO146" s="363"/>
      <c r="BP146" s="363"/>
      <c r="BQ146" s="363"/>
      <c r="BR146" s="363"/>
      <c r="BS146" s="364"/>
      <c r="BT146" s="364"/>
      <c r="BU146" s="364"/>
      <c r="BV146" s="364"/>
      <c r="BW146" s="364"/>
    </row>
    <row r="147" spans="6:75" ht="11.25" customHeight="1" x14ac:dyDescent="0.2">
      <c r="F147" s="363"/>
      <c r="G147" s="363"/>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4"/>
      <c r="AT147" s="364"/>
      <c r="AU147" s="365"/>
      <c r="AV147" s="365"/>
      <c r="AW147" s="365"/>
      <c r="AX147" s="363"/>
      <c r="AY147" s="363"/>
      <c r="AZ147" s="363"/>
      <c r="BA147" s="363"/>
      <c r="BB147" s="363"/>
      <c r="BC147" s="363"/>
      <c r="BD147" s="363"/>
      <c r="BE147" s="363"/>
      <c r="BF147" s="363"/>
      <c r="BG147" s="363"/>
      <c r="BH147" s="363"/>
      <c r="BI147" s="363"/>
      <c r="BJ147" s="363"/>
      <c r="BK147" s="363"/>
      <c r="BL147" s="363"/>
      <c r="BM147" s="363"/>
      <c r="BN147" s="363"/>
      <c r="BO147" s="363"/>
      <c r="BP147" s="363"/>
      <c r="BQ147" s="363"/>
      <c r="BR147" s="363"/>
      <c r="BS147" s="364"/>
      <c r="BT147" s="364"/>
      <c r="BU147" s="364"/>
      <c r="BV147" s="364"/>
      <c r="BW147" s="364"/>
    </row>
    <row r="148" spans="6:75" ht="11.25" customHeight="1" x14ac:dyDescent="0.2">
      <c r="F148" s="363"/>
      <c r="G148" s="363"/>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4"/>
      <c r="AT148" s="364"/>
      <c r="AU148" s="365"/>
      <c r="AV148" s="365"/>
      <c r="AW148" s="365"/>
      <c r="AX148" s="363"/>
      <c r="AY148" s="363"/>
      <c r="AZ148" s="363"/>
      <c r="BA148" s="363"/>
      <c r="BB148" s="363"/>
      <c r="BC148" s="363"/>
      <c r="BD148" s="363"/>
      <c r="BE148" s="363"/>
      <c r="BF148" s="363"/>
      <c r="BG148" s="363"/>
      <c r="BH148" s="363"/>
      <c r="BI148" s="363"/>
      <c r="BJ148" s="363"/>
      <c r="BK148" s="363"/>
      <c r="BL148" s="363"/>
      <c r="BM148" s="363"/>
      <c r="BN148" s="363"/>
      <c r="BO148" s="363"/>
      <c r="BP148" s="363"/>
      <c r="BQ148" s="363"/>
      <c r="BR148" s="363"/>
      <c r="BS148" s="364"/>
      <c r="BT148" s="364"/>
      <c r="BU148" s="364"/>
      <c r="BV148" s="364"/>
      <c r="BW148" s="364"/>
    </row>
    <row r="149" spans="6:75" ht="11.25" customHeight="1" x14ac:dyDescent="0.2">
      <c r="F149" s="363"/>
      <c r="G149" s="363"/>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4"/>
      <c r="AT149" s="364"/>
      <c r="AU149" s="365"/>
      <c r="AV149" s="365"/>
      <c r="AW149" s="365"/>
      <c r="AX149" s="363"/>
      <c r="AY149" s="363"/>
      <c r="AZ149" s="363"/>
      <c r="BA149" s="363"/>
      <c r="BB149" s="363"/>
      <c r="BC149" s="363"/>
      <c r="BD149" s="363"/>
      <c r="BE149" s="363"/>
      <c r="BF149" s="363"/>
      <c r="BG149" s="363"/>
      <c r="BH149" s="363"/>
      <c r="BI149" s="363"/>
      <c r="BJ149" s="363"/>
      <c r="BK149" s="363"/>
      <c r="BL149" s="363"/>
      <c r="BM149" s="363"/>
      <c r="BN149" s="363"/>
      <c r="BO149" s="363"/>
      <c r="BP149" s="363"/>
      <c r="BQ149" s="363"/>
      <c r="BR149" s="363"/>
      <c r="BS149" s="364"/>
      <c r="BT149" s="364"/>
      <c r="BU149" s="364"/>
      <c r="BV149" s="364"/>
      <c r="BW149" s="364"/>
    </row>
    <row r="150" spans="6:75" ht="11.25" customHeight="1" x14ac:dyDescent="0.2">
      <c r="F150" s="363"/>
      <c r="G150" s="363"/>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4"/>
      <c r="AT150" s="364"/>
      <c r="AU150" s="365"/>
      <c r="AV150" s="365"/>
      <c r="AW150" s="365"/>
      <c r="AX150" s="363"/>
      <c r="AY150" s="363"/>
      <c r="AZ150" s="363"/>
      <c r="BA150" s="363"/>
      <c r="BB150" s="363"/>
      <c r="BC150" s="363"/>
      <c r="BD150" s="363"/>
      <c r="BE150" s="363"/>
      <c r="BF150" s="363"/>
      <c r="BG150" s="363"/>
      <c r="BH150" s="363"/>
      <c r="BI150" s="363"/>
      <c r="BJ150" s="363"/>
      <c r="BK150" s="363"/>
      <c r="BL150" s="363"/>
      <c r="BM150" s="363"/>
      <c r="BN150" s="363"/>
      <c r="BO150" s="363"/>
      <c r="BP150" s="363"/>
      <c r="BQ150" s="363"/>
      <c r="BR150" s="363"/>
      <c r="BS150" s="364"/>
      <c r="BT150" s="364"/>
      <c r="BU150" s="364"/>
      <c r="BV150" s="364"/>
      <c r="BW150" s="364"/>
    </row>
    <row r="151" spans="6:75" ht="11.25" customHeight="1" x14ac:dyDescent="0.2">
      <c r="F151" s="363"/>
      <c r="G151" s="363"/>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4"/>
      <c r="AT151" s="364"/>
      <c r="AU151" s="365"/>
      <c r="AV151" s="365"/>
      <c r="AW151" s="365"/>
      <c r="AX151" s="363"/>
      <c r="AY151" s="363"/>
      <c r="AZ151" s="363"/>
      <c r="BA151" s="363"/>
      <c r="BB151" s="363"/>
      <c r="BC151" s="363"/>
      <c r="BD151" s="363"/>
      <c r="BE151" s="363"/>
      <c r="BF151" s="363"/>
      <c r="BG151" s="363"/>
      <c r="BH151" s="363"/>
      <c r="BI151" s="363"/>
      <c r="BJ151" s="363"/>
      <c r="BK151" s="363"/>
      <c r="BL151" s="363"/>
      <c r="BM151" s="363"/>
      <c r="BN151" s="363"/>
      <c r="BO151" s="363"/>
      <c r="BP151" s="363"/>
      <c r="BQ151" s="363"/>
      <c r="BR151" s="363"/>
      <c r="BS151" s="364"/>
      <c r="BT151" s="364"/>
      <c r="BU151" s="364"/>
      <c r="BV151" s="364"/>
      <c r="BW151" s="364"/>
    </row>
    <row r="152" spans="6:75" ht="11.25" customHeight="1" x14ac:dyDescent="0.2">
      <c r="F152" s="363"/>
      <c r="G152" s="363"/>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4"/>
      <c r="AT152" s="364"/>
      <c r="AU152" s="365"/>
      <c r="AV152" s="365"/>
      <c r="AW152" s="365"/>
      <c r="AX152" s="363"/>
      <c r="AY152" s="363"/>
      <c r="AZ152" s="363"/>
      <c r="BA152" s="363"/>
      <c r="BB152" s="363"/>
      <c r="BC152" s="363"/>
      <c r="BD152" s="363"/>
      <c r="BE152" s="363"/>
      <c r="BF152" s="363"/>
      <c r="BG152" s="363"/>
      <c r="BH152" s="363"/>
      <c r="BI152" s="363"/>
      <c r="BJ152" s="363"/>
      <c r="BK152" s="363"/>
      <c r="BL152" s="363"/>
      <c r="BM152" s="363"/>
      <c r="BN152" s="363"/>
      <c r="BO152" s="363"/>
      <c r="BP152" s="363"/>
      <c r="BQ152" s="363"/>
      <c r="BR152" s="363"/>
      <c r="BS152" s="364"/>
      <c r="BT152" s="364"/>
      <c r="BU152" s="364"/>
      <c r="BV152" s="364"/>
      <c r="BW152" s="364"/>
    </row>
    <row r="153" spans="6:75" ht="11.25" customHeight="1" x14ac:dyDescent="0.2">
      <c r="F153" s="363"/>
      <c r="G153" s="363"/>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4"/>
      <c r="AT153" s="364"/>
      <c r="AU153" s="365"/>
      <c r="AV153" s="365"/>
      <c r="AW153" s="365"/>
      <c r="AX153" s="363"/>
      <c r="AY153" s="363"/>
      <c r="AZ153" s="363"/>
      <c r="BA153" s="363"/>
      <c r="BB153" s="363"/>
      <c r="BC153" s="363"/>
      <c r="BD153" s="363"/>
      <c r="BE153" s="363"/>
      <c r="BF153" s="363"/>
      <c r="BG153" s="363"/>
      <c r="BH153" s="363"/>
      <c r="BI153" s="363"/>
      <c r="BJ153" s="363"/>
      <c r="BK153" s="363"/>
      <c r="BL153" s="363"/>
      <c r="BM153" s="363"/>
      <c r="BN153" s="363"/>
      <c r="BO153" s="363"/>
      <c r="BP153" s="363"/>
      <c r="BQ153" s="363"/>
      <c r="BR153" s="363"/>
      <c r="BS153" s="364"/>
      <c r="BT153" s="364"/>
      <c r="BU153" s="364"/>
      <c r="BV153" s="364"/>
      <c r="BW153" s="364"/>
    </row>
    <row r="154" spans="6:75" ht="11.25" customHeight="1" x14ac:dyDescent="0.2">
      <c r="F154" s="363"/>
      <c r="G154" s="363"/>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4"/>
      <c r="AT154" s="364"/>
      <c r="AU154" s="365"/>
      <c r="AV154" s="365"/>
      <c r="AW154" s="365"/>
      <c r="AX154" s="363"/>
      <c r="AY154" s="363"/>
      <c r="AZ154" s="363"/>
      <c r="BA154" s="363"/>
      <c r="BB154" s="363"/>
      <c r="BC154" s="363"/>
      <c r="BD154" s="363"/>
      <c r="BE154" s="363"/>
      <c r="BF154" s="363"/>
      <c r="BG154" s="363"/>
      <c r="BH154" s="363"/>
      <c r="BI154" s="363"/>
      <c r="BJ154" s="363"/>
      <c r="BK154" s="363"/>
      <c r="BL154" s="363"/>
      <c r="BM154" s="363"/>
      <c r="BN154" s="363"/>
      <c r="BO154" s="363"/>
      <c r="BP154" s="363"/>
      <c r="BQ154" s="363"/>
      <c r="BR154" s="363"/>
      <c r="BS154" s="364"/>
      <c r="BT154" s="364"/>
      <c r="BU154" s="364"/>
      <c r="BV154" s="364"/>
      <c r="BW154" s="364"/>
    </row>
    <row r="155" spans="6:75" ht="11.25" customHeight="1" x14ac:dyDescent="0.2">
      <c r="F155" s="363"/>
      <c r="G155" s="363"/>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4"/>
      <c r="AT155" s="364"/>
      <c r="AU155" s="365"/>
      <c r="AV155" s="365"/>
      <c r="AW155" s="365"/>
      <c r="AX155" s="363"/>
      <c r="AY155" s="363"/>
      <c r="AZ155" s="363"/>
      <c r="BA155" s="363"/>
      <c r="BB155" s="363"/>
      <c r="BC155" s="363"/>
      <c r="BD155" s="363"/>
      <c r="BE155" s="363"/>
      <c r="BF155" s="363"/>
      <c r="BG155" s="363"/>
      <c r="BH155" s="363"/>
      <c r="BI155" s="363"/>
      <c r="BJ155" s="363"/>
      <c r="BK155" s="363"/>
      <c r="BL155" s="363"/>
      <c r="BM155" s="363"/>
      <c r="BN155" s="363"/>
      <c r="BO155" s="363"/>
      <c r="BP155" s="363"/>
      <c r="BQ155" s="363"/>
      <c r="BR155" s="363"/>
      <c r="BS155" s="364"/>
      <c r="BT155" s="364"/>
      <c r="BU155" s="364"/>
      <c r="BV155" s="364"/>
      <c r="BW155" s="364"/>
    </row>
    <row r="156" spans="6:75" ht="11.25" customHeight="1" x14ac:dyDescent="0.2">
      <c r="F156" s="363"/>
      <c r="G156" s="363"/>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4"/>
      <c r="AT156" s="364"/>
      <c r="AU156" s="365"/>
      <c r="AV156" s="365"/>
      <c r="AW156" s="365"/>
      <c r="AX156" s="363"/>
      <c r="AY156" s="363"/>
      <c r="AZ156" s="363"/>
      <c r="BA156" s="363"/>
      <c r="BB156" s="363"/>
      <c r="BC156" s="363"/>
      <c r="BD156" s="363"/>
      <c r="BE156" s="363"/>
      <c r="BF156" s="363"/>
      <c r="BG156" s="363"/>
      <c r="BH156" s="363"/>
      <c r="BI156" s="363"/>
      <c r="BJ156" s="363"/>
      <c r="BK156" s="363"/>
      <c r="BL156" s="363"/>
      <c r="BM156" s="363"/>
      <c r="BN156" s="363"/>
      <c r="BO156" s="363"/>
      <c r="BP156" s="363"/>
      <c r="BQ156" s="363"/>
      <c r="BR156" s="363"/>
      <c r="BS156" s="364"/>
      <c r="BT156" s="364"/>
      <c r="BU156" s="364"/>
      <c r="BV156" s="364"/>
      <c r="BW156" s="364"/>
    </row>
    <row r="157" spans="6:75" ht="11.25" customHeight="1" x14ac:dyDescent="0.2">
      <c r="F157" s="363"/>
      <c r="G157" s="363"/>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4"/>
      <c r="AT157" s="364"/>
      <c r="AU157" s="365"/>
      <c r="AV157" s="365"/>
      <c r="AW157" s="365"/>
      <c r="AX157" s="363"/>
      <c r="AY157" s="363"/>
      <c r="AZ157" s="363"/>
      <c r="BA157" s="363"/>
      <c r="BB157" s="363"/>
      <c r="BC157" s="363"/>
      <c r="BD157" s="363"/>
      <c r="BE157" s="363"/>
      <c r="BF157" s="363"/>
      <c r="BG157" s="363"/>
      <c r="BH157" s="363"/>
      <c r="BI157" s="363"/>
      <c r="BJ157" s="363"/>
      <c r="BK157" s="363"/>
      <c r="BL157" s="363"/>
      <c r="BM157" s="363"/>
      <c r="BN157" s="363"/>
      <c r="BO157" s="363"/>
      <c r="BP157" s="363"/>
      <c r="BQ157" s="363"/>
      <c r="BR157" s="363"/>
      <c r="BS157" s="364"/>
      <c r="BT157" s="364"/>
      <c r="BU157" s="364"/>
      <c r="BV157" s="364"/>
      <c r="BW157" s="364"/>
    </row>
    <row r="158" spans="6:75" ht="11.25" customHeight="1" x14ac:dyDescent="0.2">
      <c r="F158" s="363"/>
      <c r="G158" s="363"/>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4"/>
      <c r="AT158" s="364"/>
      <c r="AU158" s="365"/>
      <c r="AV158" s="365"/>
      <c r="AW158" s="365"/>
      <c r="AX158" s="363"/>
      <c r="AY158" s="363"/>
      <c r="AZ158" s="363"/>
      <c r="BA158" s="363"/>
      <c r="BB158" s="363"/>
      <c r="BC158" s="363"/>
      <c r="BD158" s="363"/>
      <c r="BE158" s="363"/>
      <c r="BF158" s="363"/>
      <c r="BG158" s="363"/>
      <c r="BH158" s="363"/>
      <c r="BI158" s="363"/>
      <c r="BJ158" s="363"/>
      <c r="BK158" s="363"/>
      <c r="BL158" s="363"/>
      <c r="BM158" s="363"/>
      <c r="BN158" s="363"/>
      <c r="BO158" s="363"/>
      <c r="BP158" s="363"/>
      <c r="BQ158" s="363"/>
      <c r="BR158" s="363"/>
      <c r="BS158" s="364"/>
      <c r="BT158" s="364"/>
      <c r="BU158" s="364"/>
      <c r="BV158" s="364"/>
      <c r="BW158" s="364"/>
    </row>
    <row r="159" spans="6:75" ht="11.25" customHeight="1" x14ac:dyDescent="0.2">
      <c r="F159" s="363"/>
      <c r="G159" s="363"/>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4"/>
      <c r="AT159" s="364"/>
      <c r="AU159" s="365"/>
      <c r="AV159" s="365"/>
      <c r="AW159" s="365"/>
      <c r="AX159" s="363"/>
      <c r="AY159" s="363"/>
      <c r="AZ159" s="363"/>
      <c r="BA159" s="363"/>
      <c r="BB159" s="363"/>
      <c r="BC159" s="363"/>
      <c r="BD159" s="363"/>
      <c r="BE159" s="363"/>
      <c r="BF159" s="363"/>
      <c r="BG159" s="363"/>
      <c r="BH159" s="363"/>
      <c r="BI159" s="363"/>
      <c r="BJ159" s="363"/>
      <c r="BK159" s="363"/>
      <c r="BL159" s="363"/>
      <c r="BM159" s="363"/>
      <c r="BN159" s="363"/>
      <c r="BO159" s="363"/>
      <c r="BP159" s="363"/>
      <c r="BQ159" s="363"/>
      <c r="BR159" s="363"/>
      <c r="BS159" s="364"/>
      <c r="BT159" s="364"/>
      <c r="BU159" s="364"/>
      <c r="BV159" s="364"/>
      <c r="BW159" s="364"/>
    </row>
    <row r="160" spans="6:75" ht="11.25" customHeight="1" x14ac:dyDescent="0.2">
      <c r="F160" s="363"/>
      <c r="G160" s="363"/>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4"/>
      <c r="AT160" s="364"/>
      <c r="AU160" s="365"/>
      <c r="AV160" s="365"/>
      <c r="AW160" s="365"/>
      <c r="AX160" s="363"/>
      <c r="AY160" s="363"/>
      <c r="AZ160" s="363"/>
      <c r="BA160" s="363"/>
      <c r="BB160" s="363"/>
      <c r="BC160" s="363"/>
      <c r="BD160" s="363"/>
      <c r="BE160" s="363"/>
      <c r="BF160" s="363"/>
      <c r="BG160" s="363"/>
      <c r="BH160" s="363"/>
      <c r="BI160" s="363"/>
      <c r="BJ160" s="363"/>
      <c r="BK160" s="363"/>
      <c r="BL160" s="363"/>
      <c r="BM160" s="363"/>
      <c r="BN160" s="363"/>
      <c r="BO160" s="363"/>
      <c r="BP160" s="363"/>
      <c r="BQ160" s="363"/>
      <c r="BR160" s="363"/>
      <c r="BS160" s="364"/>
      <c r="BT160" s="364"/>
      <c r="BU160" s="364"/>
      <c r="BV160" s="364"/>
      <c r="BW160" s="364"/>
    </row>
    <row r="161" spans="6:75" ht="11.25" customHeight="1" x14ac:dyDescent="0.2">
      <c r="F161" s="363"/>
      <c r="G161" s="363"/>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4"/>
      <c r="AT161" s="364"/>
      <c r="AU161" s="365"/>
      <c r="AV161" s="365"/>
      <c r="AW161" s="365"/>
      <c r="AX161" s="363"/>
      <c r="AY161" s="363"/>
      <c r="AZ161" s="363"/>
      <c r="BA161" s="363"/>
      <c r="BB161" s="363"/>
      <c r="BC161" s="363"/>
      <c r="BD161" s="363"/>
      <c r="BE161" s="363"/>
      <c r="BF161" s="363"/>
      <c r="BG161" s="363"/>
      <c r="BH161" s="363"/>
      <c r="BI161" s="363"/>
      <c r="BJ161" s="363"/>
      <c r="BK161" s="363"/>
      <c r="BL161" s="363"/>
      <c r="BM161" s="363"/>
      <c r="BN161" s="363"/>
      <c r="BO161" s="363"/>
      <c r="BP161" s="363"/>
      <c r="BQ161" s="363"/>
      <c r="BR161" s="363"/>
      <c r="BS161" s="364"/>
      <c r="BT161" s="364"/>
      <c r="BU161" s="364"/>
      <c r="BV161" s="364"/>
      <c r="BW161" s="364"/>
    </row>
    <row r="162" spans="6:75" ht="11.25" customHeight="1" x14ac:dyDescent="0.2">
      <c r="F162" s="363"/>
      <c r="G162" s="363"/>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4"/>
      <c r="AT162" s="364"/>
      <c r="AU162" s="365"/>
      <c r="AV162" s="365"/>
      <c r="AW162" s="365"/>
      <c r="AX162" s="363"/>
      <c r="AY162" s="363"/>
      <c r="AZ162" s="363"/>
      <c r="BA162" s="363"/>
      <c r="BB162" s="363"/>
      <c r="BC162" s="363"/>
      <c r="BD162" s="363"/>
      <c r="BE162" s="363"/>
      <c r="BF162" s="363"/>
      <c r="BG162" s="363"/>
      <c r="BH162" s="363"/>
      <c r="BI162" s="363"/>
      <c r="BJ162" s="363"/>
      <c r="BK162" s="363"/>
      <c r="BL162" s="363"/>
      <c r="BM162" s="363"/>
      <c r="BN162" s="363"/>
      <c r="BO162" s="363"/>
      <c r="BP162" s="363"/>
      <c r="BQ162" s="363"/>
      <c r="BR162" s="363"/>
      <c r="BS162" s="364"/>
      <c r="BT162" s="364"/>
      <c r="BU162" s="364"/>
      <c r="BV162" s="364"/>
      <c r="BW162" s="364"/>
    </row>
    <row r="163" spans="6:75" ht="11.25" customHeight="1" x14ac:dyDescent="0.2">
      <c r="F163" s="363"/>
      <c r="G163" s="363"/>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4"/>
      <c r="AT163" s="364"/>
      <c r="AU163" s="365"/>
      <c r="AV163" s="365"/>
      <c r="AW163" s="365"/>
      <c r="AX163" s="363"/>
      <c r="AY163" s="363"/>
      <c r="AZ163" s="363"/>
      <c r="BA163" s="363"/>
      <c r="BB163" s="363"/>
      <c r="BC163" s="363"/>
      <c r="BD163" s="363"/>
      <c r="BE163" s="363"/>
      <c r="BF163" s="363"/>
      <c r="BG163" s="363"/>
      <c r="BH163" s="363"/>
      <c r="BI163" s="363"/>
      <c r="BJ163" s="363"/>
      <c r="BK163" s="363"/>
      <c r="BL163" s="363"/>
      <c r="BM163" s="363"/>
      <c r="BN163" s="363"/>
      <c r="BO163" s="363"/>
      <c r="BP163" s="363"/>
      <c r="BQ163" s="363"/>
      <c r="BR163" s="363"/>
      <c r="BS163" s="364"/>
      <c r="BT163" s="364"/>
      <c r="BU163" s="364"/>
      <c r="BV163" s="364"/>
      <c r="BW163" s="364"/>
    </row>
    <row r="164" spans="6:75" ht="11.25" customHeight="1" x14ac:dyDescent="0.2">
      <c r="F164" s="363"/>
      <c r="G164" s="363"/>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4"/>
      <c r="AT164" s="364"/>
      <c r="AU164" s="365"/>
      <c r="AV164" s="365"/>
      <c r="AW164" s="365"/>
      <c r="AX164" s="363"/>
      <c r="AY164" s="363"/>
      <c r="AZ164" s="363"/>
      <c r="BA164" s="363"/>
      <c r="BB164" s="363"/>
      <c r="BC164" s="363"/>
      <c r="BD164" s="363"/>
      <c r="BE164" s="363"/>
      <c r="BF164" s="363"/>
      <c r="BG164" s="363"/>
      <c r="BH164" s="363"/>
      <c r="BI164" s="363"/>
      <c r="BJ164" s="363"/>
      <c r="BK164" s="363"/>
      <c r="BL164" s="363"/>
      <c r="BM164" s="363"/>
      <c r="BN164" s="363"/>
      <c r="BO164" s="363"/>
      <c r="BP164" s="363"/>
      <c r="BQ164" s="363"/>
      <c r="BR164" s="363"/>
      <c r="BS164" s="364"/>
      <c r="BT164" s="364"/>
      <c r="BU164" s="364"/>
      <c r="BV164" s="364"/>
      <c r="BW164" s="364"/>
    </row>
    <row r="165" spans="6:75" ht="11.25" customHeight="1" x14ac:dyDescent="0.2">
      <c r="F165" s="363"/>
      <c r="G165" s="363"/>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4"/>
      <c r="AT165" s="364"/>
      <c r="AU165" s="365"/>
      <c r="AV165" s="365"/>
      <c r="AW165" s="365"/>
      <c r="AX165" s="363"/>
      <c r="AY165" s="363"/>
      <c r="AZ165" s="363"/>
      <c r="BA165" s="363"/>
      <c r="BB165" s="363"/>
      <c r="BC165" s="363"/>
      <c r="BD165" s="363"/>
      <c r="BE165" s="363"/>
      <c r="BF165" s="363"/>
      <c r="BG165" s="363"/>
      <c r="BH165" s="363"/>
      <c r="BI165" s="363"/>
      <c r="BJ165" s="363"/>
      <c r="BK165" s="363"/>
      <c r="BL165" s="363"/>
      <c r="BM165" s="363"/>
      <c r="BN165" s="363"/>
      <c r="BO165" s="363"/>
      <c r="BP165" s="363"/>
      <c r="BQ165" s="363"/>
      <c r="BR165" s="363"/>
      <c r="BS165" s="364"/>
      <c r="BT165" s="364"/>
      <c r="BU165" s="364"/>
      <c r="BV165" s="364"/>
      <c r="BW165" s="364"/>
    </row>
    <row r="166" spans="6:75" ht="11.25" customHeight="1" x14ac:dyDescent="0.2">
      <c r="F166" s="363"/>
      <c r="G166" s="363"/>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4"/>
      <c r="AT166" s="364"/>
      <c r="AU166" s="365"/>
      <c r="AV166" s="365"/>
      <c r="AW166" s="365"/>
      <c r="AX166" s="363"/>
      <c r="AY166" s="363"/>
      <c r="AZ166" s="363"/>
      <c r="BA166" s="363"/>
      <c r="BB166" s="363"/>
      <c r="BC166" s="363"/>
      <c r="BD166" s="363"/>
      <c r="BE166" s="363"/>
      <c r="BF166" s="363"/>
      <c r="BG166" s="363"/>
      <c r="BH166" s="363"/>
      <c r="BI166" s="363"/>
      <c r="BJ166" s="363"/>
      <c r="BK166" s="363"/>
      <c r="BL166" s="363"/>
      <c r="BM166" s="363"/>
      <c r="BN166" s="363"/>
      <c r="BO166" s="363"/>
      <c r="BP166" s="363"/>
      <c r="BQ166" s="363"/>
      <c r="BR166" s="363"/>
      <c r="BS166" s="364"/>
      <c r="BT166" s="364"/>
      <c r="BU166" s="364"/>
      <c r="BV166" s="364"/>
      <c r="BW166" s="364"/>
    </row>
    <row r="167" spans="6:75" ht="11.25" customHeight="1" x14ac:dyDescent="0.2">
      <c r="F167" s="363"/>
      <c r="G167" s="363"/>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4"/>
      <c r="AT167" s="364"/>
      <c r="AU167" s="365"/>
      <c r="AV167" s="365"/>
      <c r="AW167" s="365"/>
      <c r="AX167" s="363"/>
      <c r="AY167" s="363"/>
      <c r="AZ167" s="363"/>
      <c r="BA167" s="363"/>
      <c r="BB167" s="363"/>
      <c r="BC167" s="363"/>
      <c r="BD167" s="363"/>
      <c r="BE167" s="363"/>
      <c r="BF167" s="363"/>
      <c r="BG167" s="363"/>
      <c r="BH167" s="363"/>
      <c r="BI167" s="363"/>
      <c r="BJ167" s="363"/>
      <c r="BK167" s="363"/>
      <c r="BL167" s="363"/>
      <c r="BM167" s="363"/>
      <c r="BN167" s="363"/>
      <c r="BO167" s="363"/>
      <c r="BP167" s="363"/>
      <c r="BQ167" s="363"/>
      <c r="BR167" s="363"/>
      <c r="BS167" s="364"/>
      <c r="BT167" s="364"/>
      <c r="BU167" s="364"/>
      <c r="BV167" s="364"/>
      <c r="BW167" s="364"/>
    </row>
    <row r="168" spans="6:75" ht="11.25" customHeight="1" x14ac:dyDescent="0.2">
      <c r="F168" s="363"/>
      <c r="G168" s="363"/>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4"/>
      <c r="AT168" s="364"/>
      <c r="AU168" s="365"/>
      <c r="AV168" s="365"/>
      <c r="AW168" s="365"/>
      <c r="AX168" s="363"/>
      <c r="AY168" s="363"/>
      <c r="AZ168" s="363"/>
      <c r="BA168" s="363"/>
      <c r="BB168" s="363"/>
      <c r="BC168" s="363"/>
      <c r="BD168" s="363"/>
      <c r="BE168" s="363"/>
      <c r="BF168" s="363"/>
      <c r="BG168" s="363"/>
      <c r="BH168" s="363"/>
      <c r="BI168" s="363"/>
      <c r="BJ168" s="363"/>
      <c r="BK168" s="363"/>
      <c r="BL168" s="363"/>
      <c r="BM168" s="363"/>
      <c r="BN168" s="363"/>
      <c r="BO168" s="363"/>
      <c r="BP168" s="363"/>
      <c r="BQ168" s="363"/>
      <c r="BR168" s="363"/>
      <c r="BS168" s="364"/>
      <c r="BT168" s="364"/>
      <c r="BU168" s="364"/>
      <c r="BV168" s="364"/>
      <c r="BW168" s="364"/>
    </row>
    <row r="169" spans="6:75" ht="11.25" customHeight="1" x14ac:dyDescent="0.2">
      <c r="F169" s="363"/>
      <c r="G169" s="363"/>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4"/>
      <c r="AT169" s="364"/>
      <c r="AU169" s="365"/>
      <c r="AV169" s="365"/>
      <c r="AW169" s="365"/>
      <c r="AX169" s="363"/>
      <c r="AY169" s="363"/>
      <c r="AZ169" s="363"/>
      <c r="BA169" s="363"/>
      <c r="BB169" s="363"/>
      <c r="BC169" s="363"/>
      <c r="BD169" s="363"/>
      <c r="BE169" s="363"/>
      <c r="BF169" s="363"/>
      <c r="BG169" s="363"/>
      <c r="BH169" s="363"/>
      <c r="BI169" s="363"/>
      <c r="BJ169" s="363"/>
      <c r="BK169" s="363"/>
      <c r="BL169" s="363"/>
      <c r="BM169" s="363"/>
      <c r="BN169" s="363"/>
      <c r="BO169" s="363"/>
      <c r="BP169" s="363"/>
      <c r="BQ169" s="363"/>
      <c r="BR169" s="363"/>
      <c r="BS169" s="364"/>
      <c r="BT169" s="364"/>
      <c r="BU169" s="364"/>
      <c r="BV169" s="364"/>
      <c r="BW169" s="364"/>
    </row>
    <row r="170" spans="6:75" ht="11.25" customHeight="1" x14ac:dyDescent="0.2">
      <c r="F170" s="363"/>
      <c r="G170" s="363"/>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4"/>
      <c r="AT170" s="364"/>
      <c r="AU170" s="365"/>
      <c r="AV170" s="365"/>
      <c r="AW170" s="365"/>
      <c r="AX170" s="363"/>
      <c r="AY170" s="363"/>
      <c r="AZ170" s="363"/>
      <c r="BA170" s="363"/>
      <c r="BB170" s="363"/>
      <c r="BC170" s="363"/>
      <c r="BD170" s="363"/>
      <c r="BE170" s="363"/>
      <c r="BF170" s="363"/>
      <c r="BG170" s="363"/>
      <c r="BH170" s="363"/>
      <c r="BI170" s="363"/>
      <c r="BJ170" s="363"/>
      <c r="BK170" s="363"/>
      <c r="BL170" s="363"/>
      <c r="BM170" s="363"/>
      <c r="BN170" s="363"/>
      <c r="BO170" s="363"/>
      <c r="BP170" s="363"/>
      <c r="BQ170" s="363"/>
      <c r="BR170" s="363"/>
      <c r="BS170" s="364"/>
      <c r="BT170" s="364"/>
      <c r="BU170" s="364"/>
      <c r="BV170" s="364"/>
      <c r="BW170" s="364"/>
    </row>
    <row r="171" spans="6:75" ht="11.25" customHeight="1" x14ac:dyDescent="0.2">
      <c r="F171" s="363"/>
      <c r="G171" s="363"/>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4"/>
      <c r="AT171" s="364"/>
      <c r="AU171" s="365"/>
      <c r="AV171" s="365"/>
      <c r="AW171" s="365"/>
      <c r="AX171" s="363"/>
      <c r="AY171" s="363"/>
      <c r="AZ171" s="363"/>
      <c r="BA171" s="363"/>
      <c r="BB171" s="363"/>
      <c r="BC171" s="363"/>
      <c r="BD171" s="363"/>
      <c r="BE171" s="363"/>
      <c r="BF171" s="363"/>
      <c r="BG171" s="363"/>
      <c r="BH171" s="363"/>
      <c r="BI171" s="363"/>
      <c r="BJ171" s="363"/>
      <c r="BK171" s="363"/>
      <c r="BL171" s="363"/>
      <c r="BM171" s="363"/>
      <c r="BN171" s="363"/>
      <c r="BO171" s="363"/>
      <c r="BP171" s="363"/>
      <c r="BQ171" s="363"/>
      <c r="BR171" s="363"/>
      <c r="BS171" s="364"/>
      <c r="BT171" s="364"/>
      <c r="BU171" s="364"/>
      <c r="BV171" s="364"/>
      <c r="BW171" s="364"/>
    </row>
    <row r="172" spans="6:75" ht="11.25" customHeight="1" x14ac:dyDescent="0.2">
      <c r="F172" s="363"/>
      <c r="G172" s="363"/>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4"/>
      <c r="AT172" s="364"/>
      <c r="AU172" s="365"/>
      <c r="AV172" s="365"/>
      <c r="AW172" s="365"/>
      <c r="AX172" s="363"/>
      <c r="AY172" s="363"/>
      <c r="AZ172" s="363"/>
      <c r="BA172" s="363"/>
      <c r="BB172" s="363"/>
      <c r="BC172" s="363"/>
      <c r="BD172" s="363"/>
      <c r="BE172" s="363"/>
      <c r="BF172" s="363"/>
      <c r="BG172" s="363"/>
      <c r="BH172" s="363"/>
      <c r="BI172" s="363"/>
      <c r="BJ172" s="363"/>
      <c r="BK172" s="363"/>
      <c r="BL172" s="363"/>
      <c r="BM172" s="363"/>
      <c r="BN172" s="363"/>
      <c r="BO172" s="363"/>
      <c r="BP172" s="363"/>
      <c r="BQ172" s="363"/>
      <c r="BR172" s="363"/>
      <c r="BS172" s="364"/>
      <c r="BT172" s="364"/>
      <c r="BU172" s="364"/>
      <c r="BV172" s="364"/>
      <c r="BW172" s="364"/>
    </row>
    <row r="173" spans="6:75" ht="11.25" customHeight="1" x14ac:dyDescent="0.2">
      <c r="F173" s="363"/>
      <c r="G173" s="363"/>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4"/>
      <c r="AT173" s="364"/>
      <c r="AU173" s="365"/>
      <c r="AV173" s="365"/>
      <c r="AW173" s="365"/>
      <c r="AX173" s="363"/>
      <c r="AY173" s="363"/>
      <c r="AZ173" s="363"/>
      <c r="BA173" s="363"/>
      <c r="BB173" s="363"/>
      <c r="BC173" s="363"/>
      <c r="BD173" s="363"/>
      <c r="BE173" s="363"/>
      <c r="BF173" s="363"/>
      <c r="BG173" s="363"/>
      <c r="BH173" s="363"/>
      <c r="BI173" s="363"/>
      <c r="BJ173" s="363"/>
      <c r="BK173" s="363"/>
      <c r="BL173" s="363"/>
      <c r="BM173" s="363"/>
      <c r="BN173" s="363"/>
      <c r="BO173" s="363"/>
      <c r="BP173" s="363"/>
      <c r="BQ173" s="363"/>
      <c r="BR173" s="363"/>
      <c r="BS173" s="364"/>
      <c r="BT173" s="364"/>
      <c r="BU173" s="364"/>
      <c r="BV173" s="364"/>
      <c r="BW173" s="364"/>
    </row>
    <row r="174" spans="6:75" ht="11.25" customHeight="1" x14ac:dyDescent="0.2">
      <c r="F174" s="363"/>
      <c r="G174" s="363"/>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4"/>
      <c r="AT174" s="364"/>
      <c r="AU174" s="365"/>
      <c r="AV174" s="365"/>
      <c r="AW174" s="365"/>
      <c r="AX174" s="363"/>
      <c r="AY174" s="363"/>
      <c r="AZ174" s="363"/>
      <c r="BA174" s="363"/>
      <c r="BB174" s="363"/>
      <c r="BC174" s="363"/>
      <c r="BD174" s="363"/>
      <c r="BE174" s="363"/>
      <c r="BF174" s="363"/>
      <c r="BG174" s="363"/>
      <c r="BH174" s="363"/>
      <c r="BI174" s="363"/>
      <c r="BJ174" s="363"/>
      <c r="BK174" s="363"/>
      <c r="BL174" s="363"/>
      <c r="BM174" s="363"/>
      <c r="BN174" s="363"/>
      <c r="BO174" s="363"/>
      <c r="BP174" s="363"/>
      <c r="BQ174" s="363"/>
      <c r="BR174" s="363"/>
      <c r="BS174" s="364"/>
      <c r="BT174" s="364"/>
      <c r="BU174" s="364"/>
      <c r="BV174" s="364"/>
      <c r="BW174" s="364"/>
    </row>
    <row r="175" spans="6:75" ht="11.25" customHeight="1" x14ac:dyDescent="0.2">
      <c r="F175" s="363"/>
      <c r="G175" s="363"/>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4"/>
      <c r="AT175" s="364"/>
      <c r="AU175" s="365"/>
      <c r="AV175" s="365"/>
      <c r="AW175" s="365"/>
      <c r="AX175" s="363"/>
      <c r="AY175" s="363"/>
      <c r="AZ175" s="363"/>
      <c r="BA175" s="363"/>
      <c r="BB175" s="363"/>
      <c r="BC175" s="363"/>
      <c r="BD175" s="363"/>
      <c r="BE175" s="363"/>
      <c r="BF175" s="363"/>
      <c r="BG175" s="363"/>
      <c r="BH175" s="363"/>
      <c r="BI175" s="363"/>
      <c r="BJ175" s="363"/>
      <c r="BK175" s="363"/>
      <c r="BL175" s="363"/>
      <c r="BM175" s="363"/>
      <c r="BN175" s="363"/>
      <c r="BO175" s="363"/>
      <c r="BP175" s="363"/>
      <c r="BQ175" s="363"/>
      <c r="BR175" s="363"/>
      <c r="BS175" s="364"/>
      <c r="BT175" s="364"/>
      <c r="BU175" s="364"/>
      <c r="BV175" s="364"/>
      <c r="BW175" s="364"/>
    </row>
    <row r="176" spans="6:75" ht="11.25" customHeight="1" x14ac:dyDescent="0.2">
      <c r="F176" s="363"/>
      <c r="G176" s="363"/>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4"/>
      <c r="AT176" s="364"/>
      <c r="AU176" s="365"/>
      <c r="AV176" s="365"/>
      <c r="AW176" s="365"/>
      <c r="AX176" s="363"/>
      <c r="AY176" s="363"/>
      <c r="AZ176" s="363"/>
      <c r="BA176" s="363"/>
      <c r="BB176" s="363"/>
      <c r="BC176" s="363"/>
      <c r="BD176" s="363"/>
      <c r="BE176" s="363"/>
      <c r="BF176" s="363"/>
      <c r="BG176" s="363"/>
      <c r="BH176" s="363"/>
      <c r="BI176" s="363"/>
      <c r="BJ176" s="363"/>
      <c r="BK176" s="363"/>
      <c r="BL176" s="363"/>
      <c r="BM176" s="363"/>
      <c r="BN176" s="363"/>
      <c r="BO176" s="363"/>
      <c r="BP176" s="363"/>
      <c r="BQ176" s="363"/>
      <c r="BR176" s="363"/>
      <c r="BS176" s="364"/>
      <c r="BT176" s="364"/>
      <c r="BU176" s="364"/>
      <c r="BV176" s="364"/>
      <c r="BW176" s="364"/>
    </row>
    <row r="177" spans="6:75" ht="11.25" customHeight="1" x14ac:dyDescent="0.2">
      <c r="F177" s="363"/>
      <c r="G177" s="363"/>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4"/>
      <c r="AT177" s="364"/>
      <c r="AU177" s="365"/>
      <c r="AV177" s="365"/>
      <c r="AW177" s="365"/>
      <c r="AX177" s="363"/>
      <c r="AY177" s="363"/>
      <c r="AZ177" s="363"/>
      <c r="BA177" s="363"/>
      <c r="BB177" s="363"/>
      <c r="BC177" s="363"/>
      <c r="BD177" s="363"/>
      <c r="BE177" s="363"/>
      <c r="BF177" s="363"/>
      <c r="BG177" s="363"/>
      <c r="BH177" s="363"/>
      <c r="BI177" s="363"/>
      <c r="BJ177" s="363"/>
      <c r="BK177" s="363"/>
      <c r="BL177" s="363"/>
      <c r="BM177" s="363"/>
      <c r="BN177" s="363"/>
      <c r="BO177" s="363"/>
      <c r="BP177" s="363"/>
      <c r="BQ177" s="363"/>
      <c r="BR177" s="363"/>
      <c r="BS177" s="364"/>
      <c r="BT177" s="364"/>
      <c r="BU177" s="364"/>
      <c r="BV177" s="364"/>
      <c r="BW177" s="364"/>
    </row>
    <row r="178" spans="6:75" ht="11.25" customHeight="1" x14ac:dyDescent="0.2">
      <c r="F178" s="363"/>
      <c r="G178" s="363"/>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4"/>
      <c r="AT178" s="364"/>
      <c r="AU178" s="365"/>
      <c r="AV178" s="365"/>
      <c r="AW178" s="365"/>
      <c r="AX178" s="363"/>
      <c r="AY178" s="363"/>
      <c r="AZ178" s="363"/>
      <c r="BA178" s="363"/>
      <c r="BB178" s="363"/>
      <c r="BC178" s="363"/>
      <c r="BD178" s="363"/>
      <c r="BE178" s="363"/>
      <c r="BF178" s="363"/>
      <c r="BG178" s="363"/>
      <c r="BH178" s="363"/>
      <c r="BI178" s="363"/>
      <c r="BJ178" s="363"/>
      <c r="BK178" s="363"/>
      <c r="BL178" s="363"/>
      <c r="BM178" s="363"/>
      <c r="BN178" s="363"/>
      <c r="BO178" s="363"/>
      <c r="BP178" s="363"/>
      <c r="BQ178" s="363"/>
      <c r="BR178" s="363"/>
      <c r="BS178" s="364"/>
      <c r="BT178" s="364"/>
      <c r="BU178" s="364"/>
      <c r="BV178" s="364"/>
      <c r="BW178" s="364"/>
    </row>
    <row r="179" spans="6:75" ht="11.25" customHeight="1" x14ac:dyDescent="0.2">
      <c r="F179" s="363"/>
      <c r="G179" s="363"/>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4"/>
      <c r="AT179" s="364"/>
      <c r="AU179" s="365"/>
      <c r="AV179" s="365"/>
      <c r="AW179" s="365"/>
      <c r="AX179" s="363"/>
      <c r="AY179" s="363"/>
      <c r="AZ179" s="363"/>
      <c r="BA179" s="363"/>
      <c r="BB179" s="363"/>
      <c r="BC179" s="363"/>
      <c r="BD179" s="363"/>
      <c r="BE179" s="363"/>
      <c r="BF179" s="363"/>
      <c r="BG179" s="363"/>
      <c r="BH179" s="363"/>
      <c r="BI179" s="363"/>
      <c r="BJ179" s="363"/>
      <c r="BK179" s="363"/>
      <c r="BL179" s="363"/>
      <c r="BM179" s="363"/>
      <c r="BN179" s="363"/>
      <c r="BO179" s="363"/>
      <c r="BP179" s="363"/>
      <c r="BQ179" s="363"/>
      <c r="BR179" s="363"/>
      <c r="BS179" s="364"/>
      <c r="BT179" s="364"/>
      <c r="BU179" s="364"/>
      <c r="BV179" s="364"/>
      <c r="BW179" s="364"/>
    </row>
    <row r="180" spans="6:75" ht="11.25" customHeight="1" x14ac:dyDescent="0.2">
      <c r="F180" s="363"/>
      <c r="G180" s="363"/>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4"/>
      <c r="AT180" s="364"/>
      <c r="AU180" s="365"/>
      <c r="AV180" s="365"/>
      <c r="AW180" s="365"/>
      <c r="AX180" s="363"/>
      <c r="AY180" s="363"/>
      <c r="AZ180" s="363"/>
      <c r="BA180" s="363"/>
      <c r="BB180" s="363"/>
      <c r="BC180" s="363"/>
      <c r="BD180" s="363"/>
      <c r="BE180" s="363"/>
      <c r="BF180" s="363"/>
      <c r="BG180" s="363"/>
      <c r="BH180" s="363"/>
      <c r="BI180" s="363"/>
      <c r="BJ180" s="363"/>
      <c r="BK180" s="363"/>
      <c r="BL180" s="363"/>
      <c r="BM180" s="363"/>
      <c r="BN180" s="363"/>
      <c r="BO180" s="363"/>
      <c r="BP180" s="363"/>
      <c r="BQ180" s="363"/>
      <c r="BR180" s="363"/>
      <c r="BS180" s="364"/>
      <c r="BT180" s="364"/>
      <c r="BU180" s="364"/>
      <c r="BV180" s="364"/>
      <c r="BW180" s="364"/>
    </row>
    <row r="181" spans="6:75" ht="11.25" customHeight="1" x14ac:dyDescent="0.2">
      <c r="F181" s="363"/>
      <c r="G181" s="363"/>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4"/>
      <c r="AT181" s="364"/>
      <c r="AU181" s="365"/>
      <c r="AV181" s="365"/>
      <c r="AW181" s="365"/>
      <c r="AX181" s="363"/>
      <c r="AY181" s="363"/>
      <c r="AZ181" s="363"/>
      <c r="BA181" s="363"/>
      <c r="BB181" s="363"/>
      <c r="BC181" s="363"/>
      <c r="BD181" s="363"/>
      <c r="BE181" s="363"/>
      <c r="BF181" s="363"/>
      <c r="BG181" s="363"/>
      <c r="BH181" s="363"/>
      <c r="BI181" s="363"/>
      <c r="BJ181" s="363"/>
      <c r="BK181" s="363"/>
      <c r="BL181" s="363"/>
      <c r="BM181" s="363"/>
      <c r="BN181" s="363"/>
      <c r="BO181" s="363"/>
      <c r="BP181" s="363"/>
      <c r="BQ181" s="363"/>
      <c r="BR181" s="363"/>
      <c r="BS181" s="364"/>
      <c r="BT181" s="364"/>
      <c r="BU181" s="364"/>
      <c r="BV181" s="364"/>
      <c r="BW181" s="364"/>
    </row>
    <row r="182" spans="6:75" ht="11.25" customHeight="1" x14ac:dyDescent="0.2">
      <c r="F182" s="363"/>
      <c r="G182" s="363"/>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4"/>
      <c r="AT182" s="364"/>
      <c r="AU182" s="365"/>
      <c r="AV182" s="365"/>
      <c r="AW182" s="365"/>
      <c r="AX182" s="363"/>
      <c r="AY182" s="363"/>
      <c r="AZ182" s="363"/>
      <c r="BA182" s="363"/>
      <c r="BB182" s="363"/>
      <c r="BC182" s="363"/>
      <c r="BD182" s="363"/>
      <c r="BE182" s="363"/>
      <c r="BF182" s="363"/>
      <c r="BG182" s="363"/>
      <c r="BH182" s="363"/>
      <c r="BI182" s="363"/>
      <c r="BJ182" s="363"/>
      <c r="BK182" s="363"/>
      <c r="BL182" s="363"/>
      <c r="BM182" s="363"/>
      <c r="BN182" s="363"/>
      <c r="BO182" s="363"/>
      <c r="BP182" s="363"/>
      <c r="BQ182" s="363"/>
      <c r="BR182" s="363"/>
      <c r="BS182" s="364"/>
      <c r="BT182" s="364"/>
      <c r="BU182" s="364"/>
      <c r="BV182" s="364"/>
      <c r="BW182" s="364"/>
    </row>
    <row r="183" spans="6:75" ht="11.25" customHeight="1" x14ac:dyDescent="0.2">
      <c r="F183" s="363"/>
      <c r="G183" s="363"/>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4"/>
      <c r="AT183" s="364"/>
      <c r="AU183" s="365"/>
      <c r="AV183" s="365"/>
      <c r="AW183" s="365"/>
      <c r="AX183" s="363"/>
      <c r="AY183" s="363"/>
      <c r="AZ183" s="363"/>
      <c r="BA183" s="363"/>
      <c r="BB183" s="363"/>
      <c r="BC183" s="363"/>
      <c r="BD183" s="363"/>
      <c r="BE183" s="363"/>
      <c r="BF183" s="363"/>
      <c r="BG183" s="363"/>
      <c r="BH183" s="363"/>
      <c r="BI183" s="363"/>
      <c r="BJ183" s="363"/>
      <c r="BK183" s="363"/>
      <c r="BL183" s="363"/>
      <c r="BM183" s="363"/>
      <c r="BN183" s="363"/>
      <c r="BO183" s="363"/>
      <c r="BP183" s="363"/>
      <c r="BQ183" s="363"/>
      <c r="BR183" s="363"/>
      <c r="BS183" s="364"/>
      <c r="BT183" s="364"/>
      <c r="BU183" s="364"/>
      <c r="BV183" s="364"/>
      <c r="BW183" s="364"/>
    </row>
    <row r="184" spans="6:75" ht="11.25" customHeight="1" x14ac:dyDescent="0.2">
      <c r="F184" s="363"/>
      <c r="G184" s="363"/>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4"/>
      <c r="AT184" s="364"/>
      <c r="AU184" s="365"/>
      <c r="AV184" s="365"/>
      <c r="AW184" s="365"/>
      <c r="AX184" s="363"/>
      <c r="AY184" s="363"/>
      <c r="AZ184" s="363"/>
      <c r="BA184" s="363"/>
      <c r="BB184" s="363"/>
      <c r="BC184" s="363"/>
      <c r="BD184" s="363"/>
      <c r="BE184" s="363"/>
      <c r="BF184" s="363"/>
      <c r="BG184" s="363"/>
      <c r="BH184" s="363"/>
      <c r="BI184" s="363"/>
      <c r="BJ184" s="363"/>
      <c r="BK184" s="363"/>
      <c r="BL184" s="363"/>
      <c r="BM184" s="363"/>
      <c r="BN184" s="363"/>
      <c r="BO184" s="363"/>
      <c r="BP184" s="363"/>
      <c r="BQ184" s="363"/>
      <c r="BR184" s="363"/>
      <c r="BS184" s="364"/>
      <c r="BT184" s="364"/>
      <c r="BU184" s="364"/>
      <c r="BV184" s="364"/>
      <c r="BW184" s="364"/>
    </row>
    <row r="185" spans="6:75" ht="11.25" customHeight="1" x14ac:dyDescent="0.2">
      <c r="F185" s="363"/>
      <c r="G185" s="363"/>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4"/>
      <c r="AT185" s="364"/>
      <c r="AU185" s="365"/>
      <c r="AV185" s="365"/>
      <c r="AW185" s="365"/>
      <c r="AX185" s="363"/>
      <c r="AY185" s="363"/>
      <c r="AZ185" s="363"/>
      <c r="BA185" s="363"/>
      <c r="BB185" s="363"/>
      <c r="BC185" s="363"/>
      <c r="BD185" s="363"/>
      <c r="BE185" s="363"/>
      <c r="BF185" s="363"/>
      <c r="BG185" s="363"/>
      <c r="BH185" s="363"/>
      <c r="BI185" s="363"/>
      <c r="BJ185" s="363"/>
      <c r="BK185" s="363"/>
      <c r="BL185" s="363"/>
      <c r="BM185" s="363"/>
      <c r="BN185" s="363"/>
      <c r="BO185" s="363"/>
      <c r="BP185" s="363"/>
      <c r="BQ185" s="363"/>
      <c r="BR185" s="363"/>
      <c r="BS185" s="364"/>
      <c r="BT185" s="364"/>
      <c r="BU185" s="364"/>
      <c r="BV185" s="364"/>
      <c r="BW185" s="364"/>
    </row>
    <row r="186" spans="6:75" ht="11.25" customHeight="1" x14ac:dyDescent="0.2">
      <c r="F186" s="363"/>
      <c r="G186" s="363"/>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4"/>
      <c r="AT186" s="364"/>
      <c r="AU186" s="365"/>
      <c r="AV186" s="365"/>
      <c r="AW186" s="365"/>
      <c r="AX186" s="363"/>
      <c r="AY186" s="363"/>
      <c r="AZ186" s="363"/>
      <c r="BA186" s="363"/>
      <c r="BB186" s="363"/>
      <c r="BC186" s="363"/>
      <c r="BD186" s="363"/>
      <c r="BE186" s="363"/>
      <c r="BF186" s="363"/>
      <c r="BG186" s="363"/>
      <c r="BH186" s="363"/>
      <c r="BI186" s="363"/>
      <c r="BJ186" s="363"/>
      <c r="BK186" s="363"/>
      <c r="BL186" s="363"/>
      <c r="BM186" s="363"/>
      <c r="BN186" s="363"/>
      <c r="BO186" s="363"/>
      <c r="BP186" s="363"/>
      <c r="BQ186" s="363"/>
      <c r="BR186" s="363"/>
      <c r="BS186" s="364"/>
      <c r="BT186" s="364"/>
      <c r="BU186" s="364"/>
      <c r="BV186" s="364"/>
      <c r="BW186" s="364"/>
    </row>
    <row r="187" spans="6:75" ht="11.25" customHeight="1" x14ac:dyDescent="0.2">
      <c r="F187" s="363"/>
      <c r="G187" s="363"/>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4"/>
      <c r="AT187" s="364"/>
      <c r="AU187" s="365"/>
      <c r="AV187" s="365"/>
      <c r="AW187" s="365"/>
      <c r="AX187" s="363"/>
      <c r="AY187" s="363"/>
      <c r="AZ187" s="363"/>
      <c r="BA187" s="363"/>
      <c r="BB187" s="363"/>
      <c r="BC187" s="363"/>
      <c r="BD187" s="363"/>
      <c r="BE187" s="363"/>
      <c r="BF187" s="363"/>
      <c r="BG187" s="363"/>
      <c r="BH187" s="363"/>
      <c r="BI187" s="363"/>
      <c r="BJ187" s="363"/>
      <c r="BK187" s="363"/>
      <c r="BL187" s="363"/>
      <c r="BM187" s="363"/>
      <c r="BN187" s="363"/>
      <c r="BO187" s="363"/>
      <c r="BP187" s="363"/>
      <c r="BQ187" s="363"/>
      <c r="BR187" s="363"/>
      <c r="BS187" s="364"/>
      <c r="BT187" s="364"/>
      <c r="BU187" s="364"/>
      <c r="BV187" s="364"/>
      <c r="BW187" s="364"/>
    </row>
    <row r="188" spans="6:75" ht="11.25" customHeight="1" x14ac:dyDescent="0.2">
      <c r="F188" s="363"/>
      <c r="G188" s="363"/>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4"/>
      <c r="AT188" s="364"/>
      <c r="AU188" s="365"/>
      <c r="AV188" s="365"/>
      <c r="AW188" s="365"/>
      <c r="AX188" s="363"/>
      <c r="AY188" s="363"/>
      <c r="AZ188" s="363"/>
      <c r="BA188" s="363"/>
      <c r="BB188" s="363"/>
      <c r="BC188" s="363"/>
      <c r="BD188" s="363"/>
      <c r="BE188" s="363"/>
      <c r="BF188" s="363"/>
      <c r="BG188" s="363"/>
      <c r="BH188" s="363"/>
      <c r="BI188" s="363"/>
      <c r="BJ188" s="363"/>
      <c r="BK188" s="363"/>
      <c r="BL188" s="363"/>
      <c r="BM188" s="363"/>
      <c r="BN188" s="363"/>
      <c r="BO188" s="363"/>
      <c r="BP188" s="363"/>
      <c r="BQ188" s="363"/>
      <c r="BR188" s="363"/>
      <c r="BS188" s="364"/>
      <c r="BT188" s="364"/>
      <c r="BU188" s="364"/>
      <c r="BV188" s="364"/>
      <c r="BW188" s="364"/>
    </row>
    <row r="189" spans="6:75" ht="11.25" customHeight="1" x14ac:dyDescent="0.2">
      <c r="F189" s="363"/>
      <c r="G189" s="363"/>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4"/>
      <c r="AT189" s="364"/>
      <c r="AU189" s="365"/>
      <c r="AV189" s="365"/>
      <c r="AW189" s="365"/>
      <c r="AX189" s="363"/>
      <c r="AY189" s="363"/>
      <c r="AZ189" s="363"/>
      <c r="BA189" s="363"/>
      <c r="BB189" s="363"/>
      <c r="BC189" s="363"/>
      <c r="BD189" s="363"/>
      <c r="BE189" s="363"/>
      <c r="BF189" s="363"/>
      <c r="BG189" s="363"/>
      <c r="BH189" s="363"/>
      <c r="BI189" s="363"/>
      <c r="BJ189" s="363"/>
      <c r="BK189" s="363"/>
      <c r="BL189" s="363"/>
      <c r="BM189" s="363"/>
      <c r="BN189" s="363"/>
      <c r="BO189" s="363"/>
      <c r="BP189" s="363"/>
      <c r="BQ189" s="363"/>
      <c r="BR189" s="363"/>
      <c r="BS189" s="364"/>
      <c r="BT189" s="364"/>
      <c r="BU189" s="364"/>
      <c r="BV189" s="364"/>
      <c r="BW189" s="364"/>
    </row>
    <row r="190" spans="6:75" ht="11.25" customHeight="1" x14ac:dyDescent="0.2">
      <c r="F190" s="363"/>
      <c r="G190" s="363"/>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4"/>
      <c r="AT190" s="364"/>
      <c r="AU190" s="365"/>
      <c r="AV190" s="365"/>
      <c r="AW190" s="365"/>
      <c r="AX190" s="363"/>
      <c r="AY190" s="363"/>
      <c r="AZ190" s="363"/>
      <c r="BA190" s="363"/>
      <c r="BB190" s="363"/>
      <c r="BC190" s="363"/>
      <c r="BD190" s="363"/>
      <c r="BE190" s="363"/>
      <c r="BF190" s="363"/>
      <c r="BG190" s="363"/>
      <c r="BH190" s="363"/>
      <c r="BI190" s="363"/>
      <c r="BJ190" s="363"/>
      <c r="BK190" s="363"/>
      <c r="BL190" s="363"/>
      <c r="BM190" s="363"/>
      <c r="BN190" s="363"/>
      <c r="BO190" s="363"/>
      <c r="BP190" s="363"/>
      <c r="BQ190" s="363"/>
      <c r="BR190" s="363"/>
      <c r="BS190" s="364"/>
      <c r="BT190" s="364"/>
      <c r="BU190" s="364"/>
      <c r="BV190" s="364"/>
      <c r="BW190" s="364"/>
    </row>
    <row r="191" spans="6:75" ht="11.25" customHeight="1" x14ac:dyDescent="0.2">
      <c r="F191" s="363"/>
      <c r="G191" s="363"/>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4"/>
      <c r="AT191" s="364"/>
      <c r="AU191" s="365"/>
      <c r="AV191" s="365"/>
      <c r="AW191" s="365"/>
      <c r="AX191" s="363"/>
      <c r="AY191" s="363"/>
      <c r="AZ191" s="363"/>
      <c r="BA191" s="363"/>
      <c r="BB191" s="363"/>
      <c r="BC191" s="363"/>
      <c r="BD191" s="363"/>
      <c r="BE191" s="363"/>
      <c r="BF191" s="363"/>
      <c r="BG191" s="363"/>
      <c r="BH191" s="363"/>
      <c r="BI191" s="363"/>
      <c r="BJ191" s="363"/>
      <c r="BK191" s="363"/>
      <c r="BL191" s="363"/>
      <c r="BM191" s="363"/>
      <c r="BN191" s="363"/>
      <c r="BO191" s="363"/>
      <c r="BP191" s="363"/>
      <c r="BQ191" s="363"/>
      <c r="BR191" s="363"/>
      <c r="BS191" s="364"/>
      <c r="BT191" s="364"/>
      <c r="BU191" s="364"/>
      <c r="BV191" s="364"/>
      <c r="BW191" s="364"/>
    </row>
    <row r="192" spans="6:75" ht="11.25" customHeight="1" x14ac:dyDescent="0.2">
      <c r="F192" s="363"/>
      <c r="G192" s="363"/>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4"/>
      <c r="AT192" s="364"/>
      <c r="AU192" s="365"/>
      <c r="AV192" s="365"/>
      <c r="AW192" s="365"/>
      <c r="AX192" s="363"/>
      <c r="AY192" s="363"/>
      <c r="AZ192" s="363"/>
      <c r="BA192" s="363"/>
      <c r="BB192" s="363"/>
      <c r="BC192" s="363"/>
      <c r="BD192" s="363"/>
      <c r="BE192" s="363"/>
      <c r="BF192" s="363"/>
      <c r="BG192" s="363"/>
      <c r="BH192" s="363"/>
      <c r="BI192" s="363"/>
      <c r="BJ192" s="363"/>
      <c r="BK192" s="363"/>
      <c r="BL192" s="363"/>
      <c r="BM192" s="363"/>
      <c r="BN192" s="363"/>
      <c r="BO192" s="363"/>
      <c r="BP192" s="363"/>
      <c r="BQ192" s="363"/>
      <c r="BR192" s="363"/>
      <c r="BS192" s="364"/>
      <c r="BT192" s="364"/>
      <c r="BU192" s="364"/>
      <c r="BV192" s="364"/>
      <c r="BW192" s="364"/>
    </row>
    <row r="193" spans="6:75" ht="11.25" customHeight="1" x14ac:dyDescent="0.2">
      <c r="F193" s="363"/>
      <c r="G193" s="363"/>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4"/>
      <c r="AT193" s="364"/>
      <c r="AU193" s="365"/>
      <c r="AV193" s="365"/>
      <c r="AW193" s="365"/>
      <c r="AX193" s="363"/>
      <c r="AY193" s="363"/>
      <c r="AZ193" s="363"/>
      <c r="BA193" s="363"/>
      <c r="BB193" s="363"/>
      <c r="BC193" s="363"/>
      <c r="BD193" s="363"/>
      <c r="BE193" s="363"/>
      <c r="BF193" s="363"/>
      <c r="BG193" s="363"/>
      <c r="BH193" s="363"/>
      <c r="BI193" s="363"/>
      <c r="BJ193" s="363"/>
      <c r="BK193" s="363"/>
      <c r="BL193" s="363"/>
      <c r="BM193" s="363"/>
      <c r="BN193" s="363"/>
      <c r="BO193" s="363"/>
      <c r="BP193" s="363"/>
      <c r="BQ193" s="363"/>
      <c r="BR193" s="363"/>
      <c r="BS193" s="364"/>
      <c r="BT193" s="364"/>
      <c r="BU193" s="364"/>
      <c r="BV193" s="364"/>
      <c r="BW193" s="364"/>
    </row>
    <row r="194" spans="6:75" ht="11.25" customHeight="1" x14ac:dyDescent="0.2">
      <c r="F194" s="363"/>
      <c r="G194" s="363"/>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4"/>
      <c r="AT194" s="364"/>
      <c r="AU194" s="365"/>
      <c r="AV194" s="365"/>
      <c r="AW194" s="365"/>
      <c r="AX194" s="363"/>
      <c r="AY194" s="363"/>
      <c r="AZ194" s="363"/>
      <c r="BA194" s="363"/>
      <c r="BB194" s="363"/>
      <c r="BC194" s="363"/>
      <c r="BD194" s="363"/>
      <c r="BE194" s="363"/>
      <c r="BF194" s="363"/>
      <c r="BG194" s="363"/>
      <c r="BH194" s="363"/>
      <c r="BI194" s="363"/>
      <c r="BJ194" s="363"/>
      <c r="BK194" s="363"/>
      <c r="BL194" s="363"/>
      <c r="BM194" s="363"/>
      <c r="BN194" s="363"/>
      <c r="BO194" s="363"/>
      <c r="BP194" s="363"/>
      <c r="BQ194" s="363"/>
      <c r="BR194" s="363"/>
      <c r="BS194" s="364"/>
      <c r="BT194" s="364"/>
      <c r="BU194" s="364"/>
      <c r="BV194" s="364"/>
      <c r="BW194" s="364"/>
    </row>
    <row r="195" spans="6:75" ht="11.25" customHeight="1" x14ac:dyDescent="0.2">
      <c r="F195" s="363"/>
      <c r="G195" s="363"/>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4"/>
      <c r="AT195" s="364"/>
      <c r="AU195" s="365"/>
      <c r="AV195" s="365"/>
      <c r="AW195" s="365"/>
      <c r="AX195" s="363"/>
      <c r="AY195" s="363"/>
      <c r="AZ195" s="363"/>
      <c r="BA195" s="363"/>
      <c r="BB195" s="363"/>
      <c r="BC195" s="363"/>
      <c r="BD195" s="363"/>
      <c r="BE195" s="363"/>
      <c r="BF195" s="363"/>
      <c r="BG195" s="363"/>
      <c r="BH195" s="363"/>
      <c r="BI195" s="363"/>
      <c r="BJ195" s="363"/>
      <c r="BK195" s="363"/>
      <c r="BL195" s="363"/>
      <c r="BM195" s="363"/>
      <c r="BN195" s="363"/>
      <c r="BO195" s="363"/>
      <c r="BP195" s="363"/>
      <c r="BQ195" s="363"/>
      <c r="BR195" s="363"/>
      <c r="BS195" s="364"/>
      <c r="BT195" s="364"/>
      <c r="BU195" s="364"/>
      <c r="BV195" s="364"/>
      <c r="BW195" s="364"/>
    </row>
    <row r="196" spans="6:75" ht="11.25" customHeight="1" x14ac:dyDescent="0.2">
      <c r="F196" s="363"/>
      <c r="G196" s="363"/>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4"/>
      <c r="AT196" s="364"/>
      <c r="AU196" s="365"/>
      <c r="AV196" s="365"/>
      <c r="AW196" s="365"/>
      <c r="AX196" s="363"/>
      <c r="AY196" s="363"/>
      <c r="AZ196" s="363"/>
      <c r="BA196" s="363"/>
      <c r="BB196" s="363"/>
      <c r="BC196" s="363"/>
      <c r="BD196" s="363"/>
      <c r="BE196" s="363"/>
      <c r="BF196" s="363"/>
      <c r="BG196" s="363"/>
      <c r="BH196" s="363"/>
      <c r="BI196" s="363"/>
      <c r="BJ196" s="363"/>
      <c r="BK196" s="363"/>
      <c r="BL196" s="363"/>
      <c r="BM196" s="363"/>
      <c r="BN196" s="363"/>
      <c r="BO196" s="363"/>
      <c r="BP196" s="363"/>
      <c r="BQ196" s="363"/>
      <c r="BR196" s="363"/>
      <c r="BS196" s="364"/>
      <c r="BT196" s="364"/>
      <c r="BU196" s="364"/>
      <c r="BV196" s="364"/>
      <c r="BW196" s="364"/>
    </row>
    <row r="197" spans="6:75" ht="11.25" customHeight="1" x14ac:dyDescent="0.2">
      <c r="F197" s="363"/>
      <c r="G197" s="363"/>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4"/>
      <c r="AT197" s="364"/>
      <c r="AU197" s="365"/>
      <c r="AV197" s="365"/>
      <c r="AW197" s="365"/>
      <c r="AX197" s="363"/>
      <c r="AY197" s="363"/>
      <c r="AZ197" s="363"/>
      <c r="BA197" s="363"/>
      <c r="BB197" s="363"/>
      <c r="BC197" s="363"/>
      <c r="BD197" s="363"/>
      <c r="BE197" s="363"/>
      <c r="BF197" s="363"/>
      <c r="BG197" s="363"/>
      <c r="BH197" s="363"/>
      <c r="BI197" s="363"/>
      <c r="BJ197" s="363"/>
      <c r="BK197" s="363"/>
      <c r="BL197" s="363"/>
      <c r="BM197" s="363"/>
      <c r="BN197" s="363"/>
      <c r="BO197" s="363"/>
      <c r="BP197" s="363"/>
      <c r="BQ197" s="363"/>
      <c r="BR197" s="363"/>
      <c r="BS197" s="364"/>
      <c r="BT197" s="364"/>
      <c r="BU197" s="364"/>
      <c r="BV197" s="364"/>
      <c r="BW197" s="364"/>
    </row>
    <row r="198" spans="6:75" ht="11.25" customHeight="1" x14ac:dyDescent="0.2">
      <c r="F198" s="363"/>
      <c r="G198" s="363"/>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4"/>
      <c r="AT198" s="364"/>
      <c r="AU198" s="365"/>
      <c r="AV198" s="365"/>
      <c r="AW198" s="365"/>
      <c r="AX198" s="363"/>
      <c r="AY198" s="363"/>
      <c r="AZ198" s="363"/>
      <c r="BA198" s="363"/>
      <c r="BB198" s="363"/>
      <c r="BC198" s="363"/>
      <c r="BD198" s="363"/>
      <c r="BE198" s="363"/>
      <c r="BF198" s="363"/>
      <c r="BG198" s="363"/>
      <c r="BH198" s="363"/>
      <c r="BI198" s="363"/>
      <c r="BJ198" s="363"/>
      <c r="BK198" s="363"/>
      <c r="BL198" s="363"/>
      <c r="BM198" s="363"/>
      <c r="BN198" s="363"/>
      <c r="BO198" s="363"/>
      <c r="BP198" s="363"/>
      <c r="BQ198" s="363"/>
      <c r="BR198" s="363"/>
      <c r="BS198" s="364"/>
      <c r="BT198" s="364"/>
      <c r="BU198" s="364"/>
      <c r="BV198" s="364"/>
      <c r="BW198" s="364"/>
    </row>
    <row r="199" spans="6:75" ht="11.25" customHeight="1" x14ac:dyDescent="0.2">
      <c r="F199" s="363"/>
      <c r="G199" s="363"/>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4"/>
      <c r="AT199" s="364"/>
      <c r="AU199" s="365"/>
      <c r="AV199" s="365"/>
      <c r="AW199" s="365"/>
      <c r="AX199" s="363"/>
      <c r="AY199" s="363"/>
      <c r="AZ199" s="363"/>
      <c r="BA199" s="363"/>
      <c r="BB199" s="363"/>
      <c r="BC199" s="363"/>
      <c r="BD199" s="363"/>
      <c r="BE199" s="363"/>
      <c r="BF199" s="363"/>
      <c r="BG199" s="363"/>
      <c r="BH199" s="363"/>
      <c r="BI199" s="363"/>
      <c r="BJ199" s="363"/>
      <c r="BK199" s="363"/>
      <c r="BL199" s="363"/>
      <c r="BM199" s="363"/>
      <c r="BN199" s="363"/>
      <c r="BO199" s="363"/>
      <c r="BP199" s="363"/>
      <c r="BQ199" s="363"/>
      <c r="BR199" s="363"/>
      <c r="BS199" s="364"/>
      <c r="BT199" s="364"/>
      <c r="BU199" s="364"/>
      <c r="BV199" s="364"/>
      <c r="BW199" s="364"/>
    </row>
    <row r="200" spans="6:75" ht="11.25" customHeight="1" x14ac:dyDescent="0.2">
      <c r="F200" s="363"/>
      <c r="G200" s="363"/>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4"/>
      <c r="AT200" s="364"/>
      <c r="AU200" s="365"/>
      <c r="AV200" s="365"/>
      <c r="AW200" s="365"/>
      <c r="AX200" s="363"/>
      <c r="AY200" s="363"/>
      <c r="AZ200" s="363"/>
      <c r="BA200" s="363"/>
      <c r="BB200" s="363"/>
      <c r="BC200" s="363"/>
      <c r="BD200" s="363"/>
      <c r="BE200" s="363"/>
      <c r="BF200" s="363"/>
      <c r="BG200" s="363"/>
      <c r="BH200" s="363"/>
      <c r="BI200" s="363"/>
      <c r="BJ200" s="363"/>
      <c r="BK200" s="363"/>
      <c r="BL200" s="363"/>
      <c r="BM200" s="363"/>
      <c r="BN200" s="363"/>
      <c r="BO200" s="363"/>
      <c r="BP200" s="363"/>
      <c r="BQ200" s="363"/>
      <c r="BR200" s="363"/>
      <c r="BS200" s="364"/>
      <c r="BT200" s="364"/>
      <c r="BU200" s="364"/>
      <c r="BV200" s="364"/>
      <c r="BW200" s="364"/>
    </row>
    <row r="201" spans="6:75" ht="11.25" customHeight="1" x14ac:dyDescent="0.2">
      <c r="F201" s="363"/>
      <c r="G201" s="363"/>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4"/>
      <c r="AT201" s="364"/>
      <c r="AU201" s="365"/>
      <c r="AV201" s="365"/>
      <c r="AW201" s="365"/>
      <c r="AX201" s="363"/>
      <c r="AY201" s="363"/>
      <c r="AZ201" s="363"/>
      <c r="BA201" s="363"/>
      <c r="BB201" s="363"/>
      <c r="BC201" s="363"/>
      <c r="BD201" s="363"/>
      <c r="BE201" s="363"/>
      <c r="BF201" s="363"/>
      <c r="BG201" s="363"/>
      <c r="BH201" s="363"/>
      <c r="BI201" s="363"/>
      <c r="BJ201" s="363"/>
      <c r="BK201" s="363"/>
      <c r="BL201" s="363"/>
      <c r="BM201" s="363"/>
      <c r="BN201" s="363"/>
      <c r="BO201" s="363"/>
      <c r="BP201" s="363"/>
      <c r="BQ201" s="363"/>
      <c r="BR201" s="363"/>
      <c r="BS201" s="364"/>
      <c r="BT201" s="364"/>
      <c r="BU201" s="364"/>
      <c r="BV201" s="364"/>
      <c r="BW201" s="364"/>
    </row>
    <row r="202" spans="6:75" ht="11.25" customHeight="1" x14ac:dyDescent="0.2">
      <c r="F202" s="363"/>
      <c r="G202" s="363"/>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4"/>
      <c r="AT202" s="364"/>
      <c r="AU202" s="365"/>
      <c r="AV202" s="365"/>
      <c r="AW202" s="365"/>
      <c r="AX202" s="363"/>
      <c r="AY202" s="363"/>
      <c r="AZ202" s="363"/>
      <c r="BA202" s="363"/>
      <c r="BB202" s="363"/>
      <c r="BC202" s="363"/>
      <c r="BD202" s="363"/>
      <c r="BE202" s="363"/>
      <c r="BF202" s="363"/>
      <c r="BG202" s="363"/>
      <c r="BH202" s="363"/>
      <c r="BI202" s="363"/>
      <c r="BJ202" s="363"/>
      <c r="BK202" s="363"/>
      <c r="BL202" s="363"/>
      <c r="BM202" s="363"/>
      <c r="BN202" s="363"/>
      <c r="BO202" s="363"/>
      <c r="BP202" s="363"/>
      <c r="BQ202" s="363"/>
      <c r="BR202" s="363"/>
      <c r="BS202" s="364"/>
      <c r="BT202" s="364"/>
      <c r="BU202" s="364"/>
      <c r="BV202" s="364"/>
      <c r="BW202" s="364"/>
    </row>
    <row r="203" spans="6:75" ht="11.25" customHeight="1" x14ac:dyDescent="0.2">
      <c r="F203" s="363"/>
      <c r="G203" s="363"/>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4"/>
      <c r="AT203" s="364"/>
      <c r="AU203" s="365"/>
      <c r="AV203" s="365"/>
      <c r="AW203" s="365"/>
      <c r="AX203" s="363"/>
      <c r="AY203" s="363"/>
      <c r="AZ203" s="363"/>
      <c r="BA203" s="363"/>
      <c r="BB203" s="363"/>
      <c r="BC203" s="363"/>
      <c r="BD203" s="363"/>
      <c r="BE203" s="363"/>
      <c r="BF203" s="363"/>
      <c r="BG203" s="363"/>
      <c r="BH203" s="363"/>
      <c r="BI203" s="363"/>
      <c r="BJ203" s="363"/>
      <c r="BK203" s="363"/>
      <c r="BL203" s="363"/>
      <c r="BM203" s="363"/>
      <c r="BN203" s="363"/>
      <c r="BO203" s="363"/>
      <c r="BP203" s="363"/>
      <c r="BQ203" s="363"/>
      <c r="BR203" s="363"/>
      <c r="BS203" s="364"/>
      <c r="BT203" s="364"/>
      <c r="BU203" s="364"/>
      <c r="BV203" s="364"/>
      <c r="BW203" s="364"/>
    </row>
    <row r="204" spans="6:75" ht="11.25" customHeight="1" x14ac:dyDescent="0.2">
      <c r="F204" s="363"/>
      <c r="G204" s="363"/>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4"/>
      <c r="AT204" s="364"/>
      <c r="AU204" s="365"/>
      <c r="AV204" s="365"/>
      <c r="AW204" s="365"/>
      <c r="AX204" s="363"/>
      <c r="AY204" s="363"/>
      <c r="AZ204" s="363"/>
      <c r="BA204" s="363"/>
      <c r="BB204" s="363"/>
      <c r="BC204" s="363"/>
      <c r="BD204" s="363"/>
      <c r="BE204" s="363"/>
      <c r="BF204" s="363"/>
      <c r="BG204" s="363"/>
      <c r="BH204" s="363"/>
      <c r="BI204" s="363"/>
      <c r="BJ204" s="363"/>
      <c r="BK204" s="363"/>
      <c r="BL204" s="363"/>
      <c r="BM204" s="363"/>
      <c r="BN204" s="363"/>
      <c r="BO204" s="363"/>
      <c r="BP204" s="363"/>
      <c r="BQ204" s="363"/>
      <c r="BR204" s="363"/>
      <c r="BS204" s="364"/>
      <c r="BT204" s="364"/>
      <c r="BU204" s="364"/>
      <c r="BV204" s="364"/>
      <c r="BW204" s="364"/>
    </row>
    <row r="205" spans="6:75" ht="11.25" customHeight="1" x14ac:dyDescent="0.2">
      <c r="F205" s="363"/>
      <c r="G205" s="363"/>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4"/>
      <c r="AT205" s="364"/>
      <c r="AU205" s="365"/>
      <c r="AV205" s="365"/>
      <c r="AW205" s="365"/>
      <c r="AX205" s="363"/>
      <c r="AY205" s="363"/>
      <c r="AZ205" s="363"/>
      <c r="BA205" s="363"/>
      <c r="BB205" s="363"/>
      <c r="BC205" s="363"/>
      <c r="BD205" s="363"/>
      <c r="BE205" s="363"/>
      <c r="BF205" s="363"/>
      <c r="BG205" s="363"/>
      <c r="BH205" s="363"/>
      <c r="BI205" s="363"/>
      <c r="BJ205" s="363"/>
      <c r="BK205" s="363"/>
      <c r="BL205" s="363"/>
      <c r="BM205" s="363"/>
      <c r="BN205" s="363"/>
      <c r="BO205" s="363"/>
      <c r="BP205" s="363"/>
      <c r="BQ205" s="363"/>
      <c r="BR205" s="363"/>
      <c r="BS205" s="364"/>
      <c r="BT205" s="364"/>
      <c r="BU205" s="364"/>
      <c r="BV205" s="364"/>
      <c r="BW205" s="364"/>
    </row>
    <row r="206" spans="6:75" ht="11.25" customHeight="1" x14ac:dyDescent="0.2">
      <c r="F206" s="363"/>
      <c r="G206" s="363"/>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4"/>
      <c r="AT206" s="364"/>
      <c r="AU206" s="365"/>
      <c r="AV206" s="365"/>
      <c r="AW206" s="365"/>
      <c r="AX206" s="363"/>
      <c r="AY206" s="363"/>
      <c r="AZ206" s="363"/>
      <c r="BA206" s="363"/>
      <c r="BB206" s="363"/>
      <c r="BC206" s="363"/>
      <c r="BD206" s="363"/>
      <c r="BE206" s="363"/>
      <c r="BF206" s="363"/>
      <c r="BG206" s="363"/>
      <c r="BH206" s="363"/>
      <c r="BI206" s="363"/>
      <c r="BJ206" s="363"/>
      <c r="BK206" s="363"/>
      <c r="BL206" s="363"/>
      <c r="BM206" s="363"/>
      <c r="BN206" s="363"/>
      <c r="BO206" s="363"/>
      <c r="BP206" s="363"/>
      <c r="BQ206" s="363"/>
      <c r="BR206" s="363"/>
      <c r="BS206" s="364"/>
      <c r="BT206" s="364"/>
      <c r="BU206" s="364"/>
      <c r="BV206" s="364"/>
      <c r="BW206" s="364"/>
    </row>
    <row r="207" spans="6:75" ht="11.25" customHeight="1" x14ac:dyDescent="0.2">
      <c r="F207" s="363"/>
      <c r="G207" s="363"/>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4"/>
      <c r="AT207" s="364"/>
      <c r="AU207" s="365"/>
      <c r="AV207" s="365"/>
      <c r="AW207" s="365"/>
      <c r="AX207" s="363"/>
      <c r="AY207" s="363"/>
      <c r="AZ207" s="363"/>
      <c r="BA207" s="363"/>
      <c r="BB207" s="363"/>
      <c r="BC207" s="363"/>
      <c r="BD207" s="363"/>
      <c r="BE207" s="363"/>
      <c r="BF207" s="363"/>
      <c r="BG207" s="363"/>
      <c r="BH207" s="363"/>
      <c r="BI207" s="363"/>
      <c r="BJ207" s="363"/>
      <c r="BK207" s="363"/>
      <c r="BL207" s="363"/>
      <c r="BM207" s="363"/>
      <c r="BN207" s="363"/>
      <c r="BO207" s="363"/>
      <c r="BP207" s="363"/>
      <c r="BQ207" s="363"/>
      <c r="BR207" s="363"/>
      <c r="BS207" s="364"/>
      <c r="BT207" s="364"/>
      <c r="BU207" s="364"/>
      <c r="BV207" s="364"/>
      <c r="BW207" s="364"/>
    </row>
    <row r="208" spans="6:75" ht="11.25" customHeight="1" x14ac:dyDescent="0.2">
      <c r="F208" s="363"/>
      <c r="G208" s="363"/>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4"/>
      <c r="AT208" s="364"/>
      <c r="AU208" s="365"/>
      <c r="AV208" s="365"/>
      <c r="AW208" s="365"/>
      <c r="AX208" s="363"/>
      <c r="AY208" s="363"/>
      <c r="AZ208" s="363"/>
      <c r="BA208" s="363"/>
      <c r="BB208" s="363"/>
      <c r="BC208" s="363"/>
      <c r="BD208" s="363"/>
      <c r="BE208" s="363"/>
      <c r="BF208" s="363"/>
      <c r="BG208" s="363"/>
      <c r="BH208" s="363"/>
      <c r="BI208" s="363"/>
      <c r="BJ208" s="363"/>
      <c r="BK208" s="363"/>
      <c r="BL208" s="363"/>
      <c r="BM208" s="363"/>
      <c r="BN208" s="363"/>
      <c r="BO208" s="363"/>
      <c r="BP208" s="363"/>
      <c r="BQ208" s="363"/>
      <c r="BR208" s="363"/>
      <c r="BS208" s="364"/>
      <c r="BT208" s="364"/>
      <c r="BU208" s="364"/>
      <c r="BV208" s="364"/>
      <c r="BW208" s="364"/>
    </row>
    <row r="209" spans="6:75" ht="11.25" customHeight="1" x14ac:dyDescent="0.2">
      <c r="F209" s="363"/>
      <c r="G209" s="363"/>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4"/>
      <c r="AT209" s="364"/>
      <c r="AU209" s="365"/>
      <c r="AV209" s="365"/>
      <c r="AW209" s="365"/>
      <c r="AX209" s="363"/>
      <c r="AY209" s="363"/>
      <c r="AZ209" s="363"/>
      <c r="BA209" s="363"/>
      <c r="BB209" s="363"/>
      <c r="BC209" s="363"/>
      <c r="BD209" s="363"/>
      <c r="BE209" s="363"/>
      <c r="BF209" s="363"/>
      <c r="BG209" s="363"/>
      <c r="BH209" s="363"/>
      <c r="BI209" s="363"/>
      <c r="BJ209" s="363"/>
      <c r="BK209" s="363"/>
      <c r="BL209" s="363"/>
      <c r="BM209" s="363"/>
      <c r="BN209" s="363"/>
      <c r="BO209" s="363"/>
      <c r="BP209" s="363"/>
      <c r="BQ209" s="363"/>
      <c r="BR209" s="363"/>
      <c r="BS209" s="364"/>
      <c r="BT209" s="364"/>
      <c r="BU209" s="364"/>
      <c r="BV209" s="364"/>
      <c r="BW209" s="364"/>
    </row>
    <row r="210" spans="6:75" ht="11.25" customHeight="1" x14ac:dyDescent="0.2">
      <c r="F210" s="363"/>
      <c r="G210" s="363"/>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4"/>
      <c r="AT210" s="364"/>
      <c r="AU210" s="365"/>
      <c r="AV210" s="365"/>
      <c r="AW210" s="365"/>
      <c r="AX210" s="363"/>
      <c r="AY210" s="363"/>
      <c r="AZ210" s="363"/>
      <c r="BA210" s="363"/>
      <c r="BB210" s="363"/>
      <c r="BC210" s="363"/>
      <c r="BD210" s="363"/>
      <c r="BE210" s="363"/>
      <c r="BF210" s="363"/>
      <c r="BG210" s="363"/>
      <c r="BH210" s="363"/>
      <c r="BI210" s="363"/>
      <c r="BJ210" s="363"/>
      <c r="BK210" s="363"/>
      <c r="BL210" s="363"/>
      <c r="BM210" s="363"/>
      <c r="BN210" s="363"/>
      <c r="BO210" s="363"/>
      <c r="BP210" s="363"/>
      <c r="BQ210" s="363"/>
      <c r="BR210" s="363"/>
      <c r="BS210" s="364"/>
      <c r="BT210" s="364"/>
      <c r="BU210" s="364"/>
      <c r="BV210" s="364"/>
      <c r="BW210" s="364"/>
    </row>
    <row r="211" spans="6:75" ht="11.25" customHeight="1" x14ac:dyDescent="0.2">
      <c r="F211" s="363"/>
      <c r="G211" s="363"/>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4"/>
      <c r="AT211" s="364"/>
      <c r="AU211" s="365"/>
      <c r="AV211" s="365"/>
      <c r="AW211" s="365"/>
      <c r="AX211" s="363"/>
      <c r="AY211" s="363"/>
      <c r="AZ211" s="363"/>
      <c r="BA211" s="363"/>
      <c r="BB211" s="363"/>
      <c r="BC211" s="363"/>
      <c r="BD211" s="363"/>
      <c r="BE211" s="363"/>
      <c r="BF211" s="363"/>
      <c r="BG211" s="363"/>
      <c r="BH211" s="363"/>
      <c r="BI211" s="363"/>
      <c r="BJ211" s="363"/>
      <c r="BK211" s="363"/>
      <c r="BL211" s="363"/>
      <c r="BM211" s="363"/>
      <c r="BN211" s="363"/>
      <c r="BO211" s="363"/>
      <c r="BP211" s="363"/>
      <c r="BQ211" s="363"/>
      <c r="BR211" s="363"/>
      <c r="BS211" s="364"/>
      <c r="BT211" s="364"/>
      <c r="BU211" s="364"/>
      <c r="BV211" s="364"/>
      <c r="BW211" s="364"/>
    </row>
    <row r="212" spans="6:75" ht="11.25" customHeight="1" x14ac:dyDescent="0.2">
      <c r="F212" s="363"/>
      <c r="G212" s="363"/>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4"/>
      <c r="AT212" s="364"/>
      <c r="AU212" s="365"/>
      <c r="AV212" s="365"/>
      <c r="AW212" s="365"/>
      <c r="AX212" s="363"/>
      <c r="AY212" s="363"/>
      <c r="AZ212" s="363"/>
      <c r="BA212" s="363"/>
      <c r="BB212" s="363"/>
      <c r="BC212" s="363"/>
      <c r="BD212" s="363"/>
      <c r="BE212" s="363"/>
      <c r="BF212" s="363"/>
      <c r="BG212" s="363"/>
      <c r="BH212" s="363"/>
      <c r="BI212" s="363"/>
      <c r="BJ212" s="363"/>
      <c r="BK212" s="363"/>
      <c r="BL212" s="363"/>
      <c r="BM212" s="363"/>
      <c r="BN212" s="363"/>
      <c r="BO212" s="363"/>
      <c r="BP212" s="363"/>
      <c r="BQ212" s="363"/>
      <c r="BR212" s="363"/>
      <c r="BS212" s="364"/>
      <c r="BT212" s="364"/>
      <c r="BU212" s="364"/>
      <c r="BV212" s="364"/>
      <c r="BW212" s="364"/>
    </row>
    <row r="213" spans="6:75" ht="11.25" customHeight="1" x14ac:dyDescent="0.2">
      <c r="F213" s="363"/>
      <c r="G213" s="363"/>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4"/>
      <c r="AT213" s="364"/>
      <c r="AU213" s="365"/>
      <c r="AV213" s="365"/>
      <c r="AW213" s="365"/>
      <c r="AX213" s="363"/>
      <c r="AY213" s="363"/>
      <c r="AZ213" s="363"/>
      <c r="BA213" s="363"/>
      <c r="BB213" s="363"/>
      <c r="BC213" s="363"/>
      <c r="BD213" s="363"/>
      <c r="BE213" s="363"/>
      <c r="BF213" s="363"/>
      <c r="BG213" s="363"/>
      <c r="BH213" s="363"/>
      <c r="BI213" s="363"/>
      <c r="BJ213" s="363"/>
      <c r="BK213" s="363"/>
      <c r="BL213" s="363"/>
      <c r="BM213" s="363"/>
      <c r="BN213" s="363"/>
      <c r="BO213" s="363"/>
      <c r="BP213" s="363"/>
      <c r="BQ213" s="363"/>
      <c r="BR213" s="363"/>
      <c r="BS213" s="364"/>
      <c r="BT213" s="364"/>
      <c r="BU213" s="364"/>
      <c r="BV213" s="364"/>
      <c r="BW213" s="364"/>
    </row>
    <row r="214" spans="6:75" ht="11.25" customHeight="1" x14ac:dyDescent="0.2">
      <c r="F214" s="363"/>
      <c r="G214" s="363"/>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4"/>
      <c r="AT214" s="364"/>
      <c r="AU214" s="365"/>
      <c r="AV214" s="365"/>
      <c r="AW214" s="365"/>
      <c r="AX214" s="363"/>
      <c r="AY214" s="363"/>
      <c r="AZ214" s="363"/>
      <c r="BA214" s="363"/>
      <c r="BB214" s="363"/>
      <c r="BC214" s="363"/>
      <c r="BD214" s="363"/>
      <c r="BE214" s="363"/>
      <c r="BF214" s="363"/>
      <c r="BG214" s="363"/>
      <c r="BH214" s="363"/>
      <c r="BI214" s="363"/>
      <c r="BJ214" s="363"/>
      <c r="BK214" s="363"/>
      <c r="BL214" s="363"/>
      <c r="BM214" s="363"/>
      <c r="BN214" s="363"/>
      <c r="BO214" s="363"/>
      <c r="BP214" s="363"/>
      <c r="BQ214" s="363"/>
      <c r="BR214" s="363"/>
      <c r="BS214" s="364"/>
      <c r="BT214" s="364"/>
      <c r="BU214" s="364"/>
      <c r="BV214" s="364"/>
      <c r="BW214" s="364"/>
    </row>
    <row r="215" spans="6:75" ht="11.25" customHeight="1" x14ac:dyDescent="0.2">
      <c r="F215" s="363"/>
      <c r="G215" s="363"/>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4"/>
      <c r="AT215" s="364"/>
      <c r="AU215" s="365"/>
      <c r="AV215" s="365"/>
      <c r="AW215" s="365"/>
      <c r="AX215" s="363"/>
      <c r="AY215" s="363"/>
      <c r="AZ215" s="363"/>
      <c r="BA215" s="363"/>
      <c r="BB215" s="363"/>
      <c r="BC215" s="363"/>
      <c r="BD215" s="363"/>
      <c r="BE215" s="363"/>
      <c r="BF215" s="363"/>
      <c r="BG215" s="363"/>
      <c r="BH215" s="363"/>
      <c r="BI215" s="363"/>
      <c r="BJ215" s="363"/>
      <c r="BK215" s="363"/>
      <c r="BL215" s="363"/>
      <c r="BM215" s="363"/>
      <c r="BN215" s="363"/>
      <c r="BO215" s="363"/>
      <c r="BP215" s="363"/>
      <c r="BQ215" s="363"/>
      <c r="BR215" s="363"/>
      <c r="BS215" s="364"/>
      <c r="BT215" s="364"/>
      <c r="BU215" s="364"/>
      <c r="BV215" s="364"/>
      <c r="BW215" s="364"/>
    </row>
    <row r="216" spans="6:75" ht="11.25" customHeight="1" x14ac:dyDescent="0.2">
      <c r="F216" s="363"/>
      <c r="G216" s="363"/>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4"/>
      <c r="AT216" s="364"/>
      <c r="AU216" s="365"/>
      <c r="AV216" s="365"/>
      <c r="AW216" s="365"/>
      <c r="AX216" s="363"/>
      <c r="AY216" s="363"/>
      <c r="AZ216" s="363"/>
      <c r="BA216" s="363"/>
      <c r="BB216" s="363"/>
      <c r="BC216" s="363"/>
      <c r="BD216" s="363"/>
      <c r="BE216" s="363"/>
      <c r="BF216" s="363"/>
      <c r="BG216" s="363"/>
      <c r="BH216" s="363"/>
      <c r="BI216" s="363"/>
      <c r="BJ216" s="363"/>
      <c r="BK216" s="363"/>
      <c r="BL216" s="363"/>
      <c r="BM216" s="363"/>
      <c r="BN216" s="363"/>
      <c r="BO216" s="363"/>
      <c r="BP216" s="363"/>
      <c r="BQ216" s="363"/>
      <c r="BR216" s="363"/>
      <c r="BS216" s="364"/>
      <c r="BT216" s="364"/>
      <c r="BU216" s="364"/>
      <c r="BV216" s="364"/>
      <c r="BW216" s="364"/>
    </row>
    <row r="217" spans="6:75" ht="11.25" customHeight="1" x14ac:dyDescent="0.2">
      <c r="F217" s="363"/>
      <c r="G217" s="363"/>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4"/>
      <c r="AT217" s="364"/>
      <c r="AU217" s="365"/>
      <c r="AV217" s="365"/>
      <c r="AW217" s="365"/>
      <c r="AX217" s="363"/>
      <c r="AY217" s="363"/>
      <c r="AZ217" s="363"/>
      <c r="BA217" s="363"/>
      <c r="BB217" s="363"/>
      <c r="BC217" s="363"/>
      <c r="BD217" s="363"/>
      <c r="BE217" s="363"/>
      <c r="BF217" s="363"/>
      <c r="BG217" s="363"/>
      <c r="BH217" s="363"/>
      <c r="BI217" s="363"/>
      <c r="BJ217" s="363"/>
      <c r="BK217" s="363"/>
      <c r="BL217" s="363"/>
      <c r="BM217" s="363"/>
      <c r="BN217" s="363"/>
      <c r="BO217" s="363"/>
      <c r="BP217" s="363"/>
      <c r="BQ217" s="363"/>
      <c r="BR217" s="363"/>
      <c r="BS217" s="364"/>
      <c r="BT217" s="364"/>
      <c r="BU217" s="364"/>
      <c r="BV217" s="364"/>
      <c r="BW217" s="364"/>
    </row>
    <row r="218" spans="6:75" ht="11.25" customHeight="1" x14ac:dyDescent="0.2">
      <c r="F218" s="363"/>
      <c r="G218" s="363"/>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4"/>
      <c r="AT218" s="364"/>
      <c r="AU218" s="365"/>
      <c r="AV218" s="365"/>
      <c r="AW218" s="365"/>
      <c r="AX218" s="363"/>
      <c r="AY218" s="363"/>
      <c r="AZ218" s="363"/>
      <c r="BA218" s="363"/>
      <c r="BB218" s="363"/>
      <c r="BC218" s="363"/>
      <c r="BD218" s="363"/>
      <c r="BE218" s="363"/>
      <c r="BF218" s="363"/>
      <c r="BG218" s="363"/>
      <c r="BH218" s="363"/>
      <c r="BI218" s="363"/>
      <c r="BJ218" s="363"/>
      <c r="BK218" s="363"/>
      <c r="BL218" s="363"/>
      <c r="BM218" s="363"/>
      <c r="BN218" s="363"/>
      <c r="BO218" s="363"/>
      <c r="BP218" s="363"/>
      <c r="BQ218" s="363"/>
      <c r="BR218" s="363"/>
      <c r="BS218" s="364"/>
      <c r="BT218" s="364"/>
      <c r="BU218" s="364"/>
      <c r="BV218" s="364"/>
      <c r="BW218" s="364"/>
    </row>
    <row r="219" spans="6:75" ht="11.25" customHeight="1" x14ac:dyDescent="0.2">
      <c r="F219" s="363"/>
      <c r="G219" s="363"/>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4"/>
      <c r="AT219" s="364"/>
      <c r="AU219" s="365"/>
      <c r="AV219" s="365"/>
      <c r="AW219" s="365"/>
      <c r="AX219" s="363"/>
      <c r="AY219" s="363"/>
      <c r="AZ219" s="363"/>
      <c r="BA219" s="363"/>
      <c r="BB219" s="363"/>
      <c r="BC219" s="363"/>
      <c r="BD219" s="363"/>
      <c r="BE219" s="363"/>
      <c r="BF219" s="363"/>
      <c r="BG219" s="363"/>
      <c r="BH219" s="363"/>
      <c r="BI219" s="363"/>
      <c r="BJ219" s="363"/>
      <c r="BK219" s="363"/>
      <c r="BL219" s="363"/>
      <c r="BM219" s="363"/>
      <c r="BN219" s="363"/>
      <c r="BO219" s="363"/>
      <c r="BP219" s="363"/>
      <c r="BQ219" s="363"/>
      <c r="BR219" s="363"/>
      <c r="BS219" s="364"/>
      <c r="BT219" s="364"/>
      <c r="BU219" s="364"/>
      <c r="BV219" s="364"/>
      <c r="BW219" s="364"/>
    </row>
    <row r="220" spans="6:75" ht="11.25" customHeight="1" x14ac:dyDescent="0.2">
      <c r="F220" s="363"/>
      <c r="G220" s="363"/>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4"/>
      <c r="AT220" s="364"/>
      <c r="AU220" s="365"/>
      <c r="AV220" s="365"/>
      <c r="AW220" s="365"/>
      <c r="AX220" s="363"/>
      <c r="AY220" s="363"/>
      <c r="AZ220" s="363"/>
      <c r="BA220" s="363"/>
      <c r="BB220" s="363"/>
      <c r="BC220" s="363"/>
      <c r="BD220" s="363"/>
      <c r="BE220" s="363"/>
      <c r="BF220" s="363"/>
      <c r="BG220" s="363"/>
      <c r="BH220" s="363"/>
      <c r="BI220" s="363"/>
      <c r="BJ220" s="363"/>
      <c r="BK220" s="363"/>
      <c r="BL220" s="363"/>
      <c r="BM220" s="363"/>
      <c r="BN220" s="363"/>
      <c r="BO220" s="363"/>
      <c r="BP220" s="363"/>
      <c r="BQ220" s="363"/>
      <c r="BR220" s="363"/>
      <c r="BS220" s="364"/>
      <c r="BT220" s="364"/>
      <c r="BU220" s="364"/>
      <c r="BV220" s="364"/>
      <c r="BW220" s="364"/>
    </row>
    <row r="221" spans="6:75" ht="11.25" customHeight="1" x14ac:dyDescent="0.2">
      <c r="F221" s="363"/>
      <c r="G221" s="363"/>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4"/>
      <c r="AT221" s="364"/>
      <c r="AU221" s="365"/>
      <c r="AV221" s="365"/>
      <c r="AW221" s="365"/>
      <c r="AX221" s="363"/>
      <c r="AY221" s="363"/>
      <c r="AZ221" s="363"/>
      <c r="BA221" s="363"/>
      <c r="BB221" s="363"/>
      <c r="BC221" s="363"/>
      <c r="BD221" s="363"/>
      <c r="BE221" s="363"/>
      <c r="BF221" s="363"/>
      <c r="BG221" s="363"/>
      <c r="BH221" s="363"/>
      <c r="BI221" s="363"/>
      <c r="BJ221" s="363"/>
      <c r="BK221" s="363"/>
      <c r="BL221" s="363"/>
      <c r="BM221" s="363"/>
      <c r="BN221" s="363"/>
      <c r="BO221" s="363"/>
      <c r="BP221" s="363"/>
      <c r="BQ221" s="363"/>
      <c r="BR221" s="363"/>
      <c r="BS221" s="364"/>
      <c r="BT221" s="364"/>
      <c r="BU221" s="364"/>
      <c r="BV221" s="364"/>
      <c r="BW221" s="364"/>
    </row>
    <row r="222" spans="6:75" ht="11.25" customHeight="1" x14ac:dyDescent="0.2">
      <c r="F222" s="363"/>
      <c r="G222" s="363"/>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4"/>
      <c r="AT222" s="364"/>
      <c r="AU222" s="365"/>
      <c r="AV222" s="365"/>
      <c r="AW222" s="365"/>
      <c r="AX222" s="363"/>
      <c r="AY222" s="363"/>
      <c r="AZ222" s="363"/>
      <c r="BA222" s="363"/>
      <c r="BB222" s="363"/>
      <c r="BC222" s="363"/>
      <c r="BD222" s="363"/>
      <c r="BE222" s="363"/>
      <c r="BF222" s="363"/>
      <c r="BG222" s="363"/>
      <c r="BH222" s="363"/>
      <c r="BI222" s="363"/>
      <c r="BJ222" s="363"/>
      <c r="BK222" s="363"/>
      <c r="BL222" s="363"/>
      <c r="BM222" s="363"/>
      <c r="BN222" s="363"/>
      <c r="BO222" s="363"/>
      <c r="BP222" s="363"/>
      <c r="BQ222" s="363"/>
      <c r="BR222" s="363"/>
      <c r="BS222" s="364"/>
      <c r="BT222" s="364"/>
      <c r="BU222" s="364"/>
      <c r="BV222" s="364"/>
      <c r="BW222" s="364"/>
    </row>
    <row r="223" spans="6:75" ht="11.25" customHeight="1" x14ac:dyDescent="0.2">
      <c r="F223" s="363"/>
      <c r="G223" s="363"/>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4"/>
      <c r="AT223" s="364"/>
      <c r="AU223" s="365"/>
      <c r="AV223" s="365"/>
      <c r="AW223" s="365"/>
      <c r="AX223" s="363"/>
      <c r="AY223" s="363"/>
      <c r="AZ223" s="363"/>
      <c r="BA223" s="363"/>
      <c r="BB223" s="363"/>
      <c r="BC223" s="363"/>
      <c r="BD223" s="363"/>
      <c r="BE223" s="363"/>
      <c r="BF223" s="363"/>
      <c r="BG223" s="363"/>
      <c r="BH223" s="363"/>
      <c r="BI223" s="363"/>
      <c r="BJ223" s="363"/>
      <c r="BK223" s="363"/>
      <c r="BL223" s="363"/>
      <c r="BM223" s="363"/>
      <c r="BN223" s="363"/>
      <c r="BO223" s="363"/>
      <c r="BP223" s="363"/>
      <c r="BQ223" s="363"/>
      <c r="BR223" s="363"/>
      <c r="BS223" s="364"/>
      <c r="BT223" s="364"/>
      <c r="BU223" s="364"/>
      <c r="BV223" s="364"/>
      <c r="BW223" s="364"/>
    </row>
    <row r="224" spans="6:75" ht="11.25" customHeight="1" x14ac:dyDescent="0.2">
      <c r="F224" s="363"/>
      <c r="G224" s="363"/>
      <c r="H224" s="363"/>
      <c r="I224" s="363"/>
      <c r="J224" s="363"/>
      <c r="K224" s="363"/>
      <c r="L224" s="363"/>
      <c r="M224" s="363"/>
      <c r="N224" s="363"/>
      <c r="O224" s="363"/>
      <c r="P224" s="363"/>
      <c r="Q224" s="363"/>
      <c r="R224" s="363"/>
      <c r="S224" s="363"/>
      <c r="T224" s="363"/>
      <c r="U224" s="363"/>
      <c r="V224" s="363"/>
      <c r="W224" s="363"/>
      <c r="X224" s="363"/>
      <c r="Y224" s="363"/>
      <c r="Z224" s="363"/>
      <c r="AA224" s="363"/>
      <c r="AB224" s="363"/>
      <c r="AC224" s="363"/>
      <c r="AD224" s="363"/>
      <c r="AE224" s="363"/>
      <c r="AF224" s="363"/>
      <c r="AG224" s="363"/>
      <c r="AH224" s="363"/>
      <c r="AI224" s="363"/>
      <c r="AJ224" s="363"/>
      <c r="AK224" s="363"/>
      <c r="AL224" s="363"/>
      <c r="AM224" s="363"/>
      <c r="AN224" s="363"/>
      <c r="AO224" s="363"/>
      <c r="AP224" s="363"/>
      <c r="AQ224" s="363"/>
      <c r="AR224" s="363"/>
      <c r="AS224" s="364"/>
      <c r="AT224" s="364"/>
      <c r="AU224" s="365"/>
      <c r="AV224" s="365"/>
      <c r="AW224" s="365"/>
      <c r="AX224" s="363"/>
      <c r="AY224" s="363"/>
      <c r="AZ224" s="363"/>
      <c r="BA224" s="363"/>
      <c r="BB224" s="363"/>
      <c r="BC224" s="363"/>
      <c r="BD224" s="363"/>
      <c r="BE224" s="363"/>
      <c r="BF224" s="363"/>
      <c r="BG224" s="363"/>
      <c r="BH224" s="363"/>
      <c r="BI224" s="363"/>
      <c r="BJ224" s="363"/>
      <c r="BK224" s="363"/>
      <c r="BL224" s="363"/>
      <c r="BM224" s="363"/>
      <c r="BN224" s="363"/>
      <c r="BO224" s="363"/>
      <c r="BP224" s="363"/>
      <c r="BQ224" s="363"/>
      <c r="BR224" s="363"/>
      <c r="BS224" s="364"/>
      <c r="BT224" s="364"/>
      <c r="BU224" s="364"/>
      <c r="BV224" s="364"/>
      <c r="BW224" s="364"/>
    </row>
    <row r="225" spans="6:75" ht="11.25" customHeight="1" x14ac:dyDescent="0.2">
      <c r="F225" s="363"/>
      <c r="G225" s="363"/>
      <c r="H225" s="363"/>
      <c r="I225" s="363"/>
      <c r="J225" s="363"/>
      <c r="K225" s="363"/>
      <c r="L225" s="363"/>
      <c r="M225" s="363"/>
      <c r="N225" s="363"/>
      <c r="O225" s="363"/>
      <c r="P225" s="363"/>
      <c r="Q225" s="363"/>
      <c r="R225" s="363"/>
      <c r="S225" s="363"/>
      <c r="T225" s="363"/>
      <c r="U225" s="363"/>
      <c r="V225" s="363"/>
      <c r="W225" s="363"/>
      <c r="X225" s="363"/>
      <c r="Y225" s="363"/>
      <c r="Z225" s="363"/>
      <c r="AA225" s="363"/>
      <c r="AB225" s="363"/>
      <c r="AC225" s="363"/>
      <c r="AD225" s="363"/>
      <c r="AE225" s="363"/>
      <c r="AF225" s="363"/>
      <c r="AG225" s="363"/>
      <c r="AH225" s="363"/>
      <c r="AI225" s="363"/>
      <c r="AJ225" s="363"/>
      <c r="AK225" s="363"/>
      <c r="AL225" s="363"/>
      <c r="AM225" s="363"/>
      <c r="AN225" s="363"/>
      <c r="AO225" s="363"/>
      <c r="AP225" s="363"/>
      <c r="AQ225" s="363"/>
      <c r="AR225" s="363"/>
      <c r="AS225" s="364"/>
      <c r="AT225" s="364"/>
      <c r="AU225" s="365"/>
      <c r="AV225" s="365"/>
      <c r="AW225" s="365"/>
      <c r="AX225" s="363"/>
      <c r="AY225" s="363"/>
      <c r="AZ225" s="363"/>
      <c r="BA225" s="363"/>
      <c r="BB225" s="363"/>
      <c r="BC225" s="363"/>
      <c r="BD225" s="363"/>
      <c r="BE225" s="363"/>
      <c r="BF225" s="363"/>
      <c r="BG225" s="363"/>
      <c r="BH225" s="363"/>
      <c r="BI225" s="363"/>
      <c r="BJ225" s="363"/>
      <c r="BK225" s="363"/>
      <c r="BL225" s="363"/>
      <c r="BM225" s="363"/>
      <c r="BN225" s="363"/>
      <c r="BO225" s="363"/>
      <c r="BP225" s="363"/>
      <c r="BQ225" s="363"/>
      <c r="BR225" s="363"/>
      <c r="BS225" s="364"/>
      <c r="BT225" s="364"/>
      <c r="BU225" s="364"/>
      <c r="BV225" s="364"/>
      <c r="BW225" s="364"/>
    </row>
    <row r="226" spans="6:75" ht="11.25" customHeight="1" x14ac:dyDescent="0.2">
      <c r="F226" s="363"/>
      <c r="G226" s="363"/>
      <c r="H226" s="363"/>
      <c r="I226" s="363"/>
      <c r="J226" s="363"/>
      <c r="K226" s="363"/>
      <c r="L226" s="363"/>
      <c r="M226" s="363"/>
      <c r="N226" s="363"/>
      <c r="O226" s="363"/>
      <c r="P226" s="363"/>
      <c r="Q226" s="363"/>
      <c r="R226" s="363"/>
      <c r="S226" s="363"/>
      <c r="T226" s="363"/>
      <c r="U226" s="363"/>
      <c r="V226" s="363"/>
      <c r="W226" s="363"/>
      <c r="X226" s="363"/>
      <c r="Y226" s="363"/>
      <c r="Z226" s="363"/>
      <c r="AA226" s="363"/>
      <c r="AB226" s="363"/>
      <c r="AC226" s="363"/>
      <c r="AD226" s="363"/>
      <c r="AE226" s="363"/>
      <c r="AF226" s="363"/>
      <c r="AG226" s="363"/>
      <c r="AH226" s="363"/>
      <c r="AI226" s="363"/>
      <c r="AJ226" s="363"/>
      <c r="AK226" s="363"/>
      <c r="AL226" s="363"/>
      <c r="AM226" s="363"/>
      <c r="AN226" s="363"/>
      <c r="AO226" s="363"/>
      <c r="AP226" s="363"/>
      <c r="AQ226" s="363"/>
      <c r="AR226" s="363"/>
      <c r="AS226" s="364"/>
      <c r="AT226" s="364"/>
      <c r="AU226" s="365"/>
      <c r="AV226" s="365"/>
      <c r="AW226" s="365"/>
      <c r="AX226" s="363"/>
      <c r="AY226" s="363"/>
      <c r="AZ226" s="363"/>
      <c r="BA226" s="363"/>
      <c r="BB226" s="363"/>
      <c r="BC226" s="363"/>
      <c r="BD226" s="363"/>
      <c r="BE226" s="363"/>
      <c r="BF226" s="363"/>
      <c r="BG226" s="363"/>
      <c r="BH226" s="363"/>
      <c r="BI226" s="363"/>
      <c r="BJ226" s="363"/>
      <c r="BK226" s="363"/>
      <c r="BL226" s="363"/>
      <c r="BM226" s="363"/>
      <c r="BN226" s="363"/>
      <c r="BO226" s="363"/>
      <c r="BP226" s="363"/>
      <c r="BQ226" s="363"/>
      <c r="BR226" s="363"/>
      <c r="BS226" s="364"/>
      <c r="BT226" s="364"/>
      <c r="BU226" s="364"/>
      <c r="BV226" s="364"/>
      <c r="BW226" s="364"/>
    </row>
    <row r="227" spans="6:75" ht="11.25" customHeight="1" x14ac:dyDescent="0.2">
      <c r="F227" s="363"/>
      <c r="G227" s="363"/>
      <c r="H227" s="363"/>
      <c r="I227" s="363"/>
      <c r="J227" s="363"/>
      <c r="K227" s="363"/>
      <c r="L227" s="363"/>
      <c r="M227" s="363"/>
      <c r="N227" s="363"/>
      <c r="O227" s="363"/>
      <c r="P227" s="363"/>
      <c r="Q227" s="363"/>
      <c r="R227" s="363"/>
      <c r="S227" s="363"/>
      <c r="T227" s="363"/>
      <c r="U227" s="363"/>
      <c r="V227" s="363"/>
      <c r="W227" s="363"/>
      <c r="X227" s="363"/>
      <c r="Y227" s="363"/>
      <c r="Z227" s="363"/>
      <c r="AA227" s="363"/>
      <c r="AB227" s="363"/>
      <c r="AC227" s="363"/>
      <c r="AD227" s="363"/>
      <c r="AE227" s="363"/>
      <c r="AF227" s="363"/>
      <c r="AG227" s="363"/>
      <c r="AH227" s="363"/>
      <c r="AI227" s="363"/>
      <c r="AJ227" s="363"/>
      <c r="AK227" s="363"/>
      <c r="AL227" s="363"/>
      <c r="AM227" s="363"/>
      <c r="AN227" s="363"/>
      <c r="AO227" s="363"/>
      <c r="AP227" s="363"/>
      <c r="AQ227" s="363"/>
      <c r="AR227" s="363"/>
      <c r="AS227" s="364"/>
      <c r="AT227" s="364"/>
      <c r="AU227" s="365"/>
      <c r="AV227" s="365"/>
      <c r="AW227" s="365"/>
      <c r="AX227" s="363"/>
      <c r="AY227" s="363"/>
      <c r="AZ227" s="363"/>
      <c r="BA227" s="363"/>
      <c r="BB227" s="363"/>
      <c r="BC227" s="363"/>
      <c r="BD227" s="363"/>
      <c r="BE227" s="363"/>
      <c r="BF227" s="363"/>
      <c r="BG227" s="363"/>
      <c r="BH227" s="363"/>
      <c r="BI227" s="363"/>
      <c r="BJ227" s="363"/>
      <c r="BK227" s="363"/>
      <c r="BL227" s="363"/>
      <c r="BM227" s="363"/>
      <c r="BN227" s="363"/>
      <c r="BO227" s="363"/>
      <c r="BP227" s="363"/>
      <c r="BQ227" s="363"/>
      <c r="BR227" s="363"/>
      <c r="BS227" s="364"/>
      <c r="BT227" s="364"/>
      <c r="BU227" s="364"/>
      <c r="BV227" s="364"/>
      <c r="BW227" s="364"/>
    </row>
    <row r="228" spans="6:75" ht="11.25" customHeight="1" x14ac:dyDescent="0.2">
      <c r="F228" s="363"/>
      <c r="G228" s="363"/>
      <c r="H228" s="363"/>
      <c r="I228" s="363"/>
      <c r="J228" s="363"/>
      <c r="K228" s="363"/>
      <c r="L228" s="363"/>
      <c r="M228" s="363"/>
      <c r="N228" s="363"/>
      <c r="O228" s="363"/>
      <c r="P228" s="363"/>
      <c r="Q228" s="363"/>
      <c r="R228" s="363"/>
      <c r="S228" s="363"/>
      <c r="T228" s="363"/>
      <c r="U228" s="363"/>
      <c r="V228" s="363"/>
      <c r="W228" s="363"/>
      <c r="X228" s="363"/>
      <c r="Y228" s="363"/>
      <c r="Z228" s="363"/>
      <c r="AA228" s="363"/>
      <c r="AB228" s="363"/>
      <c r="AC228" s="363"/>
      <c r="AD228" s="363"/>
      <c r="AE228" s="363"/>
      <c r="AF228" s="363"/>
      <c r="AG228" s="363"/>
      <c r="AH228" s="363"/>
      <c r="AI228" s="363"/>
      <c r="AJ228" s="363"/>
      <c r="AK228" s="363"/>
      <c r="AL228" s="363"/>
      <c r="AM228" s="363"/>
      <c r="AN228" s="363"/>
      <c r="AO228" s="363"/>
      <c r="AP228" s="363"/>
      <c r="AQ228" s="363"/>
      <c r="AR228" s="363"/>
      <c r="AS228" s="364"/>
      <c r="AT228" s="364"/>
      <c r="AU228" s="365"/>
      <c r="AV228" s="365"/>
      <c r="AW228" s="365"/>
      <c r="AX228" s="363"/>
      <c r="AY228" s="363"/>
      <c r="AZ228" s="363"/>
      <c r="BA228" s="363"/>
      <c r="BB228" s="363"/>
      <c r="BC228" s="363"/>
      <c r="BD228" s="363"/>
      <c r="BE228" s="363"/>
      <c r="BF228" s="363"/>
      <c r="BG228" s="363"/>
      <c r="BH228" s="363"/>
      <c r="BI228" s="363"/>
      <c r="BJ228" s="363"/>
      <c r="BK228" s="363"/>
      <c r="BL228" s="363"/>
      <c r="BM228" s="363"/>
      <c r="BN228" s="363"/>
      <c r="BO228" s="363"/>
      <c r="BP228" s="363"/>
      <c r="BQ228" s="363"/>
      <c r="BR228" s="363"/>
      <c r="BS228" s="364"/>
      <c r="BT228" s="364"/>
      <c r="BU228" s="364"/>
      <c r="BV228" s="364"/>
      <c r="BW228" s="364"/>
    </row>
    <row r="229" spans="6:75" ht="11.25" customHeight="1" x14ac:dyDescent="0.2">
      <c r="F229" s="363"/>
      <c r="G229" s="363"/>
      <c r="H229" s="363"/>
      <c r="I229" s="363"/>
      <c r="J229" s="363"/>
      <c r="K229" s="363"/>
      <c r="L229" s="363"/>
      <c r="M229" s="363"/>
      <c r="N229" s="363"/>
      <c r="O229" s="363"/>
      <c r="P229" s="363"/>
      <c r="Q229" s="363"/>
      <c r="R229" s="363"/>
      <c r="S229" s="363"/>
      <c r="T229" s="363"/>
      <c r="U229" s="363"/>
      <c r="V229" s="363"/>
      <c r="W229" s="363"/>
      <c r="X229" s="363"/>
      <c r="Y229" s="363"/>
      <c r="Z229" s="363"/>
      <c r="AA229" s="363"/>
      <c r="AB229" s="363"/>
      <c r="AC229" s="363"/>
      <c r="AD229" s="363"/>
      <c r="AE229" s="363"/>
      <c r="AF229" s="363"/>
      <c r="AG229" s="363"/>
      <c r="AH229" s="363"/>
      <c r="AI229" s="363"/>
      <c r="AJ229" s="363"/>
      <c r="AK229" s="363"/>
      <c r="AL229" s="363"/>
      <c r="AM229" s="363"/>
      <c r="AN229" s="363"/>
      <c r="AO229" s="363"/>
      <c r="AP229" s="363"/>
      <c r="AQ229" s="363"/>
      <c r="AR229" s="363"/>
      <c r="AS229" s="364"/>
      <c r="AT229" s="364"/>
      <c r="AU229" s="365"/>
      <c r="AV229" s="365"/>
      <c r="AW229" s="365"/>
      <c r="AX229" s="363"/>
      <c r="AY229" s="363"/>
      <c r="AZ229" s="363"/>
      <c r="BA229" s="363"/>
      <c r="BB229" s="363"/>
      <c r="BC229" s="363"/>
      <c r="BD229" s="363"/>
      <c r="BE229" s="363"/>
      <c r="BF229" s="363"/>
      <c r="BG229" s="363"/>
      <c r="BH229" s="363"/>
      <c r="BI229" s="363"/>
      <c r="BJ229" s="363"/>
      <c r="BK229" s="363"/>
      <c r="BL229" s="363"/>
      <c r="BM229" s="363"/>
      <c r="BN229" s="363"/>
      <c r="BO229" s="363"/>
      <c r="BP229" s="363"/>
      <c r="BQ229" s="363"/>
      <c r="BR229" s="363"/>
      <c r="BS229" s="364"/>
      <c r="BT229" s="364"/>
      <c r="BU229" s="364"/>
      <c r="BV229" s="364"/>
      <c r="BW229" s="364"/>
    </row>
    <row r="230" spans="6:75" ht="11.25" customHeight="1" x14ac:dyDescent="0.2">
      <c r="F230" s="363"/>
      <c r="G230" s="363"/>
      <c r="H230" s="363"/>
      <c r="I230" s="363"/>
      <c r="J230" s="363"/>
      <c r="K230" s="363"/>
      <c r="L230" s="363"/>
      <c r="M230" s="363"/>
      <c r="N230" s="363"/>
      <c r="O230" s="363"/>
      <c r="P230" s="363"/>
      <c r="Q230" s="363"/>
      <c r="R230" s="363"/>
      <c r="S230" s="363"/>
      <c r="T230" s="363"/>
      <c r="U230" s="363"/>
      <c r="V230" s="363"/>
      <c r="W230" s="363"/>
      <c r="X230" s="363"/>
      <c r="Y230" s="363"/>
      <c r="Z230" s="363"/>
      <c r="AA230" s="363"/>
      <c r="AB230" s="363"/>
      <c r="AC230" s="363"/>
      <c r="AD230" s="363"/>
      <c r="AE230" s="363"/>
      <c r="AF230" s="363"/>
      <c r="AG230" s="363"/>
      <c r="AH230" s="363"/>
      <c r="AI230" s="363"/>
      <c r="AJ230" s="363"/>
      <c r="AK230" s="363"/>
      <c r="AL230" s="363"/>
      <c r="AM230" s="363"/>
      <c r="AN230" s="363"/>
      <c r="AO230" s="363"/>
      <c r="AP230" s="363"/>
      <c r="AQ230" s="363"/>
      <c r="AR230" s="363"/>
      <c r="AS230" s="364"/>
      <c r="AT230" s="364"/>
      <c r="AU230" s="365"/>
      <c r="AV230" s="365"/>
      <c r="AW230" s="365"/>
      <c r="AX230" s="363"/>
      <c r="AY230" s="363"/>
      <c r="AZ230" s="363"/>
      <c r="BA230" s="363"/>
      <c r="BB230" s="363"/>
      <c r="BC230" s="363"/>
      <c r="BD230" s="363"/>
      <c r="BE230" s="363"/>
      <c r="BF230" s="363"/>
      <c r="BG230" s="363"/>
      <c r="BH230" s="363"/>
      <c r="BI230" s="363"/>
      <c r="BJ230" s="363"/>
      <c r="BK230" s="363"/>
      <c r="BL230" s="363"/>
      <c r="BM230" s="363"/>
      <c r="BN230" s="363"/>
      <c r="BO230" s="363"/>
      <c r="BP230" s="363"/>
      <c r="BQ230" s="363"/>
      <c r="BR230" s="363"/>
      <c r="BS230" s="364"/>
      <c r="BT230" s="364"/>
      <c r="BU230" s="364"/>
      <c r="BV230" s="364"/>
      <c r="BW230" s="364"/>
    </row>
    <row r="231" spans="6:75" ht="11.25" customHeight="1" x14ac:dyDescent="0.2">
      <c r="F231" s="363"/>
      <c r="G231" s="363"/>
      <c r="H231" s="363"/>
      <c r="I231" s="363"/>
      <c r="J231" s="363"/>
      <c r="K231" s="363"/>
      <c r="L231" s="363"/>
      <c r="M231" s="363"/>
      <c r="N231" s="363"/>
      <c r="O231" s="363"/>
      <c r="P231" s="363"/>
      <c r="Q231" s="363"/>
      <c r="R231" s="363"/>
      <c r="S231" s="363"/>
      <c r="T231" s="363"/>
      <c r="U231" s="363"/>
      <c r="V231" s="363"/>
      <c r="W231" s="363"/>
      <c r="X231" s="363"/>
      <c r="Y231" s="363"/>
      <c r="Z231" s="363"/>
      <c r="AA231" s="363"/>
      <c r="AB231" s="363"/>
      <c r="AC231" s="363"/>
      <c r="AD231" s="363"/>
      <c r="AE231" s="363"/>
      <c r="AF231" s="363"/>
      <c r="AG231" s="363"/>
      <c r="AH231" s="363"/>
      <c r="AI231" s="363"/>
      <c r="AJ231" s="363"/>
      <c r="AK231" s="363"/>
      <c r="AL231" s="363"/>
      <c r="AM231" s="363"/>
      <c r="AN231" s="363"/>
      <c r="AO231" s="363"/>
      <c r="AP231" s="363"/>
      <c r="AQ231" s="363"/>
      <c r="AR231" s="363"/>
      <c r="AS231" s="364"/>
      <c r="AT231" s="364"/>
      <c r="AU231" s="365"/>
      <c r="AV231" s="365"/>
      <c r="AW231" s="365"/>
      <c r="AX231" s="363"/>
      <c r="AY231" s="363"/>
      <c r="AZ231" s="363"/>
      <c r="BA231" s="363"/>
      <c r="BB231" s="363"/>
      <c r="BC231" s="363"/>
      <c r="BD231" s="363"/>
      <c r="BE231" s="363"/>
      <c r="BF231" s="363"/>
      <c r="BG231" s="363"/>
      <c r="BH231" s="363"/>
      <c r="BI231" s="363"/>
      <c r="BJ231" s="363"/>
      <c r="BK231" s="363"/>
      <c r="BL231" s="363"/>
      <c r="BM231" s="363"/>
      <c r="BN231" s="363"/>
      <c r="BO231" s="363"/>
      <c r="BP231" s="363"/>
      <c r="BQ231" s="363"/>
      <c r="BR231" s="363"/>
      <c r="BS231" s="364"/>
      <c r="BT231" s="364"/>
      <c r="BU231" s="364"/>
      <c r="BV231" s="364"/>
      <c r="BW231" s="364"/>
    </row>
    <row r="232" spans="6:75" ht="11.25" customHeight="1" x14ac:dyDescent="0.2">
      <c r="F232" s="363"/>
      <c r="G232" s="363"/>
      <c r="H232" s="363"/>
      <c r="I232" s="363"/>
      <c r="J232" s="363"/>
      <c r="K232" s="363"/>
      <c r="L232" s="363"/>
      <c r="M232" s="363"/>
      <c r="N232" s="363"/>
      <c r="O232" s="363"/>
      <c r="P232" s="363"/>
      <c r="Q232" s="363"/>
      <c r="R232" s="363"/>
      <c r="S232" s="363"/>
      <c r="T232" s="363"/>
      <c r="U232" s="363"/>
      <c r="V232" s="363"/>
      <c r="W232" s="363"/>
      <c r="X232" s="363"/>
      <c r="Y232" s="363"/>
      <c r="Z232" s="363"/>
      <c r="AA232" s="363"/>
      <c r="AB232" s="363"/>
      <c r="AC232" s="363"/>
      <c r="AD232" s="363"/>
      <c r="AE232" s="363"/>
      <c r="AF232" s="363"/>
      <c r="AG232" s="363"/>
      <c r="AH232" s="363"/>
      <c r="AI232" s="363"/>
      <c r="AJ232" s="363"/>
      <c r="AK232" s="363"/>
      <c r="AL232" s="363"/>
      <c r="AM232" s="363"/>
      <c r="AN232" s="363"/>
      <c r="AO232" s="363"/>
      <c r="AP232" s="363"/>
      <c r="AQ232" s="363"/>
      <c r="AR232" s="363"/>
      <c r="AS232" s="364"/>
      <c r="AT232" s="364"/>
      <c r="AU232" s="365"/>
      <c r="AV232" s="365"/>
      <c r="AW232" s="365"/>
      <c r="AX232" s="363"/>
      <c r="AY232" s="363"/>
      <c r="AZ232" s="363"/>
      <c r="BA232" s="363"/>
      <c r="BB232" s="363"/>
      <c r="BC232" s="363"/>
      <c r="BD232" s="363"/>
      <c r="BE232" s="363"/>
      <c r="BF232" s="363"/>
      <c r="BG232" s="363"/>
      <c r="BH232" s="363"/>
      <c r="BI232" s="363"/>
      <c r="BJ232" s="363"/>
      <c r="BK232" s="363"/>
      <c r="BL232" s="363"/>
      <c r="BM232" s="363"/>
      <c r="BN232" s="363"/>
      <c r="BO232" s="363"/>
      <c r="BP232" s="363"/>
      <c r="BQ232" s="363"/>
      <c r="BR232" s="363"/>
      <c r="BS232" s="364"/>
      <c r="BT232" s="364"/>
      <c r="BU232" s="364"/>
      <c r="BV232" s="364"/>
      <c r="BW232" s="364"/>
    </row>
    <row r="233" spans="6:75" ht="11.25" customHeight="1" x14ac:dyDescent="0.2">
      <c r="F233" s="363"/>
      <c r="G233" s="363"/>
      <c r="H233" s="363"/>
      <c r="I233" s="363"/>
      <c r="J233" s="363"/>
      <c r="K233" s="363"/>
      <c r="L233" s="363"/>
      <c r="M233" s="363"/>
      <c r="N233" s="363"/>
      <c r="O233" s="363"/>
      <c r="P233" s="363"/>
      <c r="Q233" s="363"/>
      <c r="R233" s="363"/>
      <c r="S233" s="363"/>
      <c r="T233" s="363"/>
      <c r="U233" s="363"/>
      <c r="V233" s="363"/>
      <c r="W233" s="363"/>
      <c r="X233" s="363"/>
      <c r="Y233" s="363"/>
      <c r="Z233" s="363"/>
      <c r="AA233" s="363"/>
      <c r="AB233" s="363"/>
      <c r="AC233" s="363"/>
      <c r="AD233" s="363"/>
      <c r="AE233" s="363"/>
      <c r="AF233" s="363"/>
      <c r="AG233" s="363"/>
      <c r="AH233" s="363"/>
      <c r="AI233" s="363"/>
      <c r="AJ233" s="363"/>
      <c r="AK233" s="363"/>
      <c r="AL233" s="363"/>
      <c r="AM233" s="363"/>
      <c r="AN233" s="363"/>
      <c r="AO233" s="363"/>
      <c r="AP233" s="363"/>
      <c r="AQ233" s="363"/>
      <c r="AR233" s="363"/>
      <c r="AS233" s="364"/>
      <c r="AT233" s="364"/>
      <c r="AU233" s="365"/>
      <c r="AV233" s="365"/>
      <c r="AW233" s="365"/>
      <c r="AX233" s="363"/>
      <c r="AY233" s="363"/>
      <c r="AZ233" s="363"/>
      <c r="BA233" s="363"/>
      <c r="BB233" s="363"/>
      <c r="BC233" s="363"/>
      <c r="BD233" s="363"/>
      <c r="BE233" s="363"/>
      <c r="BF233" s="363"/>
      <c r="BG233" s="363"/>
      <c r="BH233" s="363"/>
      <c r="BI233" s="363"/>
      <c r="BJ233" s="363"/>
      <c r="BK233" s="363"/>
      <c r="BL233" s="363"/>
      <c r="BM233" s="363"/>
      <c r="BN233" s="363"/>
      <c r="BO233" s="363"/>
      <c r="BP233" s="363"/>
      <c r="BQ233" s="363"/>
      <c r="BR233" s="363"/>
      <c r="BS233" s="364"/>
      <c r="BT233" s="364"/>
      <c r="BU233" s="364"/>
      <c r="BV233" s="364"/>
      <c r="BW233" s="364"/>
    </row>
    <row r="234" spans="6:75" ht="11.25" customHeight="1" x14ac:dyDescent="0.2">
      <c r="F234" s="363"/>
      <c r="G234" s="363"/>
      <c r="H234" s="363"/>
      <c r="I234" s="363"/>
      <c r="J234" s="363"/>
      <c r="K234" s="363"/>
      <c r="L234" s="363"/>
      <c r="M234" s="363"/>
      <c r="N234" s="363"/>
      <c r="O234" s="363"/>
      <c r="P234" s="363"/>
      <c r="Q234" s="363"/>
      <c r="R234" s="363"/>
      <c r="S234" s="363"/>
      <c r="T234" s="363"/>
      <c r="U234" s="363"/>
      <c r="V234" s="363"/>
      <c r="W234" s="363"/>
      <c r="X234" s="363"/>
      <c r="Y234" s="363"/>
      <c r="Z234" s="363"/>
      <c r="AA234" s="363"/>
      <c r="AB234" s="363"/>
      <c r="AC234" s="363"/>
      <c r="AD234" s="363"/>
      <c r="AE234" s="363"/>
      <c r="AF234" s="363"/>
      <c r="AG234" s="363"/>
      <c r="AH234" s="363"/>
      <c r="AI234" s="363"/>
      <c r="AJ234" s="363"/>
      <c r="AK234" s="363"/>
      <c r="AL234" s="363"/>
      <c r="AM234" s="363"/>
      <c r="AN234" s="363"/>
      <c r="AO234" s="363"/>
      <c r="AP234" s="363"/>
      <c r="AQ234" s="363"/>
      <c r="AR234" s="363"/>
      <c r="AS234" s="364"/>
      <c r="AT234" s="364"/>
      <c r="AU234" s="365"/>
      <c r="AV234" s="365"/>
      <c r="AW234" s="365"/>
      <c r="AX234" s="363"/>
      <c r="AY234" s="363"/>
      <c r="AZ234" s="363"/>
      <c r="BA234" s="363"/>
      <c r="BB234" s="363"/>
      <c r="BC234" s="363"/>
      <c r="BD234" s="363"/>
      <c r="BE234" s="363"/>
      <c r="BF234" s="363"/>
      <c r="BG234" s="363"/>
      <c r="BH234" s="363"/>
      <c r="BI234" s="363"/>
      <c r="BJ234" s="363"/>
      <c r="BK234" s="363"/>
      <c r="BL234" s="363"/>
      <c r="BM234" s="363"/>
      <c r="BN234" s="363"/>
      <c r="BO234" s="363"/>
      <c r="BP234" s="363"/>
      <c r="BQ234" s="363"/>
      <c r="BR234" s="363"/>
      <c r="BS234" s="364"/>
      <c r="BT234" s="364"/>
      <c r="BU234" s="364"/>
      <c r="BV234" s="364"/>
      <c r="BW234" s="364"/>
    </row>
    <row r="235" spans="6:75" ht="11.25" customHeight="1" x14ac:dyDescent="0.2">
      <c r="F235" s="363"/>
      <c r="G235" s="363"/>
      <c r="H235" s="363"/>
      <c r="I235" s="363"/>
      <c r="J235" s="363"/>
      <c r="K235" s="363"/>
      <c r="L235" s="363"/>
      <c r="M235" s="363"/>
      <c r="N235" s="363"/>
      <c r="O235" s="363"/>
      <c r="P235" s="363"/>
      <c r="Q235" s="363"/>
      <c r="R235" s="363"/>
      <c r="S235" s="363"/>
      <c r="T235" s="363"/>
      <c r="U235" s="363"/>
      <c r="V235" s="363"/>
      <c r="W235" s="363"/>
      <c r="X235" s="363"/>
      <c r="Y235" s="363"/>
      <c r="Z235" s="363"/>
      <c r="AA235" s="363"/>
      <c r="AB235" s="363"/>
      <c r="AC235" s="363"/>
      <c r="AD235" s="363"/>
      <c r="AE235" s="363"/>
      <c r="AF235" s="363"/>
      <c r="AG235" s="363"/>
      <c r="AH235" s="363"/>
      <c r="AI235" s="363"/>
      <c r="AJ235" s="363"/>
      <c r="AK235" s="363"/>
      <c r="AL235" s="363"/>
      <c r="AM235" s="363"/>
      <c r="AN235" s="363"/>
      <c r="AO235" s="363"/>
      <c r="AP235" s="363"/>
      <c r="AQ235" s="363"/>
      <c r="AR235" s="363"/>
      <c r="AS235" s="364"/>
      <c r="AT235" s="364"/>
      <c r="AU235" s="365"/>
      <c r="AV235" s="365"/>
      <c r="AW235" s="365"/>
      <c r="AX235" s="363"/>
      <c r="AY235" s="363"/>
      <c r="AZ235" s="363"/>
      <c r="BA235" s="363"/>
      <c r="BB235" s="363"/>
      <c r="BC235" s="363"/>
      <c r="BD235" s="363"/>
      <c r="BE235" s="363"/>
      <c r="BF235" s="363"/>
      <c r="BG235" s="363"/>
      <c r="BH235" s="363"/>
      <c r="BI235" s="363"/>
      <c r="BJ235" s="363"/>
      <c r="BK235" s="363"/>
      <c r="BL235" s="363"/>
      <c r="BM235" s="363"/>
      <c r="BN235" s="363"/>
      <c r="BO235" s="363"/>
      <c r="BP235" s="363"/>
      <c r="BQ235" s="363"/>
      <c r="BR235" s="363"/>
      <c r="BS235" s="364"/>
      <c r="BT235" s="364"/>
      <c r="BU235" s="364"/>
      <c r="BV235" s="364"/>
      <c r="BW235" s="364"/>
    </row>
    <row r="236" spans="6:75" ht="11.25" customHeight="1" x14ac:dyDescent="0.2">
      <c r="F236" s="363"/>
      <c r="G236" s="363"/>
      <c r="H236" s="363"/>
      <c r="I236" s="363"/>
      <c r="J236" s="363"/>
      <c r="K236" s="363"/>
      <c r="L236" s="363"/>
      <c r="M236" s="363"/>
      <c r="N236" s="363"/>
      <c r="O236" s="363"/>
      <c r="P236" s="363"/>
      <c r="Q236" s="363"/>
      <c r="R236" s="363"/>
      <c r="S236" s="363"/>
      <c r="T236" s="363"/>
      <c r="U236" s="363"/>
      <c r="V236" s="363"/>
      <c r="W236" s="363"/>
      <c r="X236" s="363"/>
      <c r="Y236" s="363"/>
      <c r="Z236" s="363"/>
      <c r="AA236" s="363"/>
      <c r="AB236" s="363"/>
      <c r="AC236" s="363"/>
      <c r="AD236" s="363"/>
      <c r="AE236" s="363"/>
      <c r="AF236" s="363"/>
      <c r="AG236" s="363"/>
      <c r="AH236" s="363"/>
      <c r="AI236" s="363"/>
      <c r="AJ236" s="363"/>
      <c r="AK236" s="363"/>
      <c r="AL236" s="363"/>
      <c r="AM236" s="363"/>
      <c r="AN236" s="363"/>
      <c r="AO236" s="363"/>
      <c r="AP236" s="363"/>
      <c r="AQ236" s="363"/>
      <c r="AR236" s="363"/>
      <c r="AS236" s="364"/>
      <c r="AT236" s="364"/>
      <c r="AU236" s="365"/>
      <c r="AV236" s="365"/>
      <c r="AW236" s="365"/>
      <c r="AX236" s="363"/>
      <c r="AY236" s="363"/>
      <c r="AZ236" s="363"/>
      <c r="BA236" s="363"/>
      <c r="BB236" s="363"/>
      <c r="BC236" s="363"/>
      <c r="BD236" s="363"/>
      <c r="BE236" s="363"/>
      <c r="BF236" s="363"/>
      <c r="BG236" s="363"/>
      <c r="BH236" s="363"/>
      <c r="BI236" s="363"/>
      <c r="BJ236" s="363"/>
      <c r="BK236" s="363"/>
      <c r="BL236" s="363"/>
      <c r="BM236" s="363"/>
      <c r="BN236" s="363"/>
      <c r="BO236" s="363"/>
      <c r="BP236" s="363"/>
      <c r="BQ236" s="363"/>
      <c r="BR236" s="363"/>
      <c r="BS236" s="364"/>
      <c r="BT236" s="364"/>
      <c r="BU236" s="364"/>
      <c r="BV236" s="364"/>
      <c r="BW236" s="364"/>
    </row>
    <row r="237" spans="6:75" ht="11.25" customHeight="1" x14ac:dyDescent="0.2">
      <c r="F237" s="363"/>
      <c r="G237" s="363"/>
      <c r="H237" s="363"/>
      <c r="I237" s="363"/>
      <c r="J237" s="363"/>
      <c r="K237" s="363"/>
      <c r="L237" s="363"/>
      <c r="M237" s="363"/>
      <c r="N237" s="363"/>
      <c r="O237" s="363"/>
      <c r="P237" s="363"/>
      <c r="Q237" s="363"/>
      <c r="R237" s="363"/>
      <c r="S237" s="363"/>
      <c r="T237" s="363"/>
      <c r="U237" s="363"/>
      <c r="V237" s="363"/>
      <c r="W237" s="363"/>
      <c r="X237" s="363"/>
      <c r="Y237" s="363"/>
      <c r="Z237" s="363"/>
      <c r="AA237" s="363"/>
      <c r="AB237" s="363"/>
      <c r="AC237" s="363"/>
      <c r="AD237" s="363"/>
      <c r="AE237" s="363"/>
      <c r="AF237" s="363"/>
      <c r="AG237" s="363"/>
      <c r="AH237" s="363"/>
      <c r="AI237" s="363"/>
      <c r="AJ237" s="363"/>
      <c r="AK237" s="363"/>
      <c r="AL237" s="363"/>
      <c r="AM237" s="363"/>
      <c r="AN237" s="363"/>
      <c r="AO237" s="363"/>
      <c r="AP237" s="363"/>
      <c r="AQ237" s="363"/>
      <c r="AR237" s="363"/>
      <c r="AS237" s="364"/>
      <c r="AT237" s="364"/>
      <c r="AU237" s="365"/>
      <c r="AV237" s="365"/>
      <c r="AW237" s="365"/>
      <c r="AX237" s="363"/>
      <c r="AY237" s="363"/>
      <c r="AZ237" s="363"/>
      <c r="BA237" s="363"/>
      <c r="BB237" s="363"/>
      <c r="BC237" s="363"/>
      <c r="BD237" s="363"/>
      <c r="BE237" s="363"/>
      <c r="BF237" s="363"/>
      <c r="BG237" s="363"/>
      <c r="BH237" s="363"/>
      <c r="BI237" s="363"/>
      <c r="BJ237" s="363"/>
      <c r="BK237" s="363"/>
      <c r="BL237" s="363"/>
      <c r="BM237" s="363"/>
      <c r="BN237" s="363"/>
      <c r="BO237" s="363"/>
      <c r="BP237" s="363"/>
      <c r="BQ237" s="363"/>
      <c r="BR237" s="363"/>
      <c r="BS237" s="364"/>
      <c r="BT237" s="364"/>
      <c r="BU237" s="364"/>
      <c r="BV237" s="364"/>
      <c r="BW237" s="364"/>
    </row>
    <row r="238" spans="6:75" ht="11.25" customHeight="1" x14ac:dyDescent="0.2">
      <c r="F238" s="363"/>
      <c r="G238" s="363"/>
      <c r="H238" s="363"/>
      <c r="I238" s="363"/>
      <c r="J238" s="363"/>
      <c r="K238" s="363"/>
      <c r="L238" s="363"/>
      <c r="M238" s="363"/>
      <c r="N238" s="363"/>
      <c r="O238" s="363"/>
      <c r="P238" s="363"/>
      <c r="Q238" s="363"/>
      <c r="R238" s="363"/>
      <c r="S238" s="363"/>
      <c r="T238" s="363"/>
      <c r="U238" s="363"/>
      <c r="V238" s="363"/>
      <c r="W238" s="363"/>
      <c r="X238" s="363"/>
      <c r="Y238" s="363"/>
      <c r="Z238" s="363"/>
      <c r="AA238" s="363"/>
      <c r="AB238" s="363"/>
      <c r="AC238" s="363"/>
      <c r="AD238" s="363"/>
      <c r="AE238" s="363"/>
      <c r="AF238" s="363"/>
      <c r="AG238" s="363"/>
      <c r="AH238" s="363"/>
      <c r="AI238" s="363"/>
      <c r="AJ238" s="363"/>
      <c r="AK238" s="363"/>
      <c r="AL238" s="363"/>
      <c r="AM238" s="363"/>
      <c r="AN238" s="363"/>
      <c r="AO238" s="363"/>
      <c r="AP238" s="363"/>
      <c r="AQ238" s="363"/>
      <c r="AR238" s="363"/>
      <c r="AS238" s="364"/>
      <c r="AT238" s="364"/>
      <c r="AU238" s="365"/>
      <c r="AV238" s="365"/>
      <c r="AW238" s="365"/>
      <c r="AX238" s="363"/>
      <c r="AY238" s="363"/>
      <c r="AZ238" s="363"/>
      <c r="BA238" s="363"/>
      <c r="BB238" s="363"/>
      <c r="BC238" s="363"/>
      <c r="BD238" s="363"/>
      <c r="BE238" s="363"/>
      <c r="BF238" s="363"/>
      <c r="BG238" s="363"/>
      <c r="BH238" s="363"/>
      <c r="BI238" s="363"/>
      <c r="BJ238" s="363"/>
      <c r="BK238" s="363"/>
      <c r="BL238" s="363"/>
      <c r="BM238" s="363"/>
      <c r="BN238" s="363"/>
      <c r="BO238" s="363"/>
      <c r="BP238" s="363"/>
      <c r="BQ238" s="363"/>
      <c r="BR238" s="363"/>
      <c r="BS238" s="364"/>
      <c r="BT238" s="364"/>
      <c r="BU238" s="364"/>
      <c r="BV238" s="364"/>
      <c r="BW238" s="364"/>
    </row>
    <row r="239" spans="6:75" ht="11.25" customHeight="1" x14ac:dyDescent="0.2">
      <c r="F239" s="363"/>
      <c r="G239" s="363"/>
      <c r="H239" s="363"/>
      <c r="I239" s="363"/>
      <c r="J239" s="363"/>
      <c r="K239" s="363"/>
      <c r="L239" s="363"/>
      <c r="M239" s="363"/>
      <c r="N239" s="363"/>
      <c r="O239" s="363"/>
      <c r="P239" s="363"/>
      <c r="Q239" s="363"/>
      <c r="R239" s="363"/>
      <c r="S239" s="363"/>
      <c r="T239" s="363"/>
      <c r="U239" s="363"/>
      <c r="V239" s="363"/>
      <c r="W239" s="363"/>
      <c r="X239" s="363"/>
      <c r="Y239" s="363"/>
      <c r="Z239" s="363"/>
      <c r="AA239" s="363"/>
      <c r="AB239" s="363"/>
      <c r="AC239" s="363"/>
      <c r="AD239" s="363"/>
      <c r="AE239" s="363"/>
      <c r="AF239" s="363"/>
      <c r="AG239" s="363"/>
      <c r="AH239" s="363"/>
      <c r="AI239" s="363"/>
      <c r="AJ239" s="363"/>
      <c r="AK239" s="363"/>
      <c r="AL239" s="363"/>
      <c r="AM239" s="363"/>
      <c r="AN239" s="363"/>
      <c r="AO239" s="363"/>
      <c r="AP239" s="363"/>
      <c r="AQ239" s="363"/>
      <c r="AR239" s="363"/>
      <c r="AS239" s="364"/>
      <c r="AT239" s="364"/>
      <c r="AU239" s="365"/>
      <c r="AV239" s="365"/>
      <c r="AW239" s="365"/>
      <c r="AX239" s="363"/>
      <c r="AY239" s="363"/>
      <c r="AZ239" s="363"/>
      <c r="BA239" s="363"/>
      <c r="BB239" s="363"/>
      <c r="BC239" s="363"/>
      <c r="BD239" s="363"/>
      <c r="BE239" s="363"/>
      <c r="BF239" s="363"/>
      <c r="BG239" s="363"/>
      <c r="BH239" s="363"/>
      <c r="BI239" s="363"/>
      <c r="BJ239" s="363"/>
      <c r="BK239" s="363"/>
      <c r="BL239" s="363"/>
      <c r="BM239" s="363"/>
      <c r="BN239" s="363"/>
      <c r="BO239" s="363"/>
      <c r="BP239" s="363"/>
      <c r="BQ239" s="363"/>
      <c r="BR239" s="363"/>
      <c r="BS239" s="364"/>
      <c r="BT239" s="364"/>
      <c r="BU239" s="364"/>
      <c r="BV239" s="364"/>
      <c r="BW239" s="364"/>
    </row>
    <row r="240" spans="6:75" ht="11.25" customHeight="1" x14ac:dyDescent="0.2">
      <c r="F240" s="363"/>
      <c r="G240" s="363"/>
      <c r="H240" s="363"/>
      <c r="I240" s="363"/>
      <c r="J240" s="363"/>
      <c r="K240" s="363"/>
      <c r="L240" s="363"/>
      <c r="M240" s="363"/>
      <c r="N240" s="363"/>
      <c r="O240" s="363"/>
      <c r="P240" s="363"/>
      <c r="Q240" s="363"/>
      <c r="R240" s="363"/>
      <c r="S240" s="363"/>
      <c r="T240" s="363"/>
      <c r="U240" s="363"/>
      <c r="V240" s="363"/>
      <c r="W240" s="363"/>
      <c r="X240" s="363"/>
      <c r="Y240" s="363"/>
      <c r="Z240" s="363"/>
      <c r="AA240" s="363"/>
      <c r="AB240" s="363"/>
      <c r="AC240" s="363"/>
      <c r="AD240" s="363"/>
      <c r="AE240" s="363"/>
      <c r="AF240" s="363"/>
      <c r="AG240" s="363"/>
      <c r="AH240" s="363"/>
      <c r="AI240" s="363"/>
      <c r="AJ240" s="363"/>
      <c r="AK240" s="363"/>
      <c r="AL240" s="363"/>
      <c r="AM240" s="363"/>
      <c r="AN240" s="363"/>
      <c r="AO240" s="363"/>
      <c r="AP240" s="363"/>
      <c r="AQ240" s="363"/>
      <c r="AR240" s="363"/>
      <c r="AS240" s="364"/>
      <c r="AT240" s="364"/>
      <c r="AU240" s="365"/>
      <c r="AV240" s="365"/>
      <c r="AW240" s="365"/>
      <c r="AX240" s="363"/>
      <c r="AY240" s="363"/>
      <c r="AZ240" s="363"/>
      <c r="BA240" s="363"/>
      <c r="BB240" s="363"/>
      <c r="BC240" s="363"/>
      <c r="BD240" s="363"/>
      <c r="BE240" s="363"/>
      <c r="BF240" s="363"/>
      <c r="BG240" s="363"/>
      <c r="BH240" s="363"/>
      <c r="BI240" s="363"/>
      <c r="BJ240" s="363"/>
      <c r="BK240" s="363"/>
      <c r="BL240" s="363"/>
      <c r="BM240" s="363"/>
      <c r="BN240" s="363"/>
      <c r="BO240" s="363"/>
      <c r="BP240" s="363"/>
      <c r="BQ240" s="363"/>
      <c r="BR240" s="363"/>
      <c r="BS240" s="364"/>
      <c r="BT240" s="364"/>
      <c r="BU240" s="364"/>
      <c r="BV240" s="364"/>
      <c r="BW240" s="364"/>
    </row>
    <row r="241" spans="6:75" ht="11.25" customHeight="1" x14ac:dyDescent="0.2">
      <c r="F241" s="363"/>
      <c r="G241" s="363"/>
      <c r="H241" s="363"/>
      <c r="I241" s="363"/>
      <c r="J241" s="363"/>
      <c r="K241" s="363"/>
      <c r="L241" s="363"/>
      <c r="M241" s="363"/>
      <c r="N241" s="363"/>
      <c r="O241" s="363"/>
      <c r="P241" s="363"/>
      <c r="Q241" s="363"/>
      <c r="R241" s="363"/>
      <c r="S241" s="363"/>
      <c r="T241" s="363"/>
      <c r="U241" s="363"/>
      <c r="V241" s="363"/>
      <c r="W241" s="363"/>
      <c r="X241" s="363"/>
      <c r="Y241" s="363"/>
      <c r="Z241" s="363"/>
      <c r="AA241" s="363"/>
      <c r="AB241" s="363"/>
      <c r="AC241" s="363"/>
      <c r="AD241" s="363"/>
      <c r="AE241" s="363"/>
      <c r="AF241" s="363"/>
      <c r="AG241" s="363"/>
      <c r="AH241" s="363"/>
      <c r="AI241" s="363"/>
      <c r="AJ241" s="363"/>
      <c r="AK241" s="363"/>
      <c r="AL241" s="363"/>
      <c r="AM241" s="363"/>
      <c r="AN241" s="363"/>
      <c r="AO241" s="363"/>
      <c r="AP241" s="363"/>
      <c r="AQ241" s="363"/>
      <c r="AR241" s="363"/>
      <c r="AS241" s="364"/>
      <c r="AT241" s="364"/>
      <c r="AU241" s="365"/>
      <c r="AV241" s="365"/>
      <c r="AW241" s="365"/>
      <c r="AX241" s="363"/>
      <c r="AY241" s="363"/>
      <c r="AZ241" s="363"/>
      <c r="BA241" s="363"/>
      <c r="BB241" s="363"/>
      <c r="BC241" s="363"/>
      <c r="BD241" s="363"/>
      <c r="BE241" s="363"/>
      <c r="BF241" s="363"/>
      <c r="BG241" s="363"/>
      <c r="BH241" s="363"/>
      <c r="BI241" s="363"/>
      <c r="BJ241" s="363"/>
      <c r="BK241" s="363"/>
      <c r="BL241" s="363"/>
      <c r="BM241" s="363"/>
      <c r="BN241" s="363"/>
      <c r="BO241" s="363"/>
      <c r="BP241" s="363"/>
      <c r="BQ241" s="363"/>
      <c r="BR241" s="363"/>
      <c r="BS241" s="364"/>
      <c r="BT241" s="364"/>
      <c r="BU241" s="364"/>
      <c r="BV241" s="364"/>
      <c r="BW241" s="364"/>
    </row>
    <row r="242" spans="6:75" ht="11.25" customHeight="1" x14ac:dyDescent="0.2">
      <c r="F242" s="363"/>
      <c r="G242" s="363"/>
      <c r="H242" s="363"/>
      <c r="I242" s="363"/>
      <c r="J242" s="363"/>
      <c r="K242" s="363"/>
      <c r="L242" s="363"/>
      <c r="M242" s="363"/>
      <c r="N242" s="363"/>
      <c r="O242" s="363"/>
      <c r="P242" s="363"/>
      <c r="Q242" s="363"/>
      <c r="R242" s="363"/>
      <c r="S242" s="363"/>
      <c r="T242" s="363"/>
      <c r="U242" s="363"/>
      <c r="V242" s="363"/>
      <c r="W242" s="363"/>
      <c r="X242" s="363"/>
      <c r="Y242" s="363"/>
      <c r="Z242" s="363"/>
      <c r="AA242" s="363"/>
      <c r="AB242" s="363"/>
      <c r="AC242" s="363"/>
      <c r="AD242" s="363"/>
      <c r="AE242" s="363"/>
      <c r="AF242" s="363"/>
      <c r="AG242" s="363"/>
      <c r="AH242" s="363"/>
      <c r="AI242" s="363"/>
      <c r="AJ242" s="363"/>
      <c r="AK242" s="363"/>
      <c r="AL242" s="363"/>
      <c r="AM242" s="363"/>
      <c r="AN242" s="363"/>
      <c r="AO242" s="363"/>
      <c r="AP242" s="363"/>
      <c r="AQ242" s="363"/>
      <c r="AR242" s="363"/>
      <c r="AS242" s="364"/>
      <c r="AT242" s="364"/>
      <c r="AU242" s="365"/>
      <c r="AV242" s="365"/>
      <c r="AW242" s="365"/>
      <c r="AX242" s="363"/>
      <c r="AY242" s="363"/>
      <c r="AZ242" s="363"/>
      <c r="BA242" s="363"/>
      <c r="BB242" s="363"/>
      <c r="BC242" s="363"/>
      <c r="BD242" s="363"/>
      <c r="BE242" s="363"/>
      <c r="BF242" s="363"/>
      <c r="BG242" s="363"/>
      <c r="BH242" s="363"/>
      <c r="BI242" s="363"/>
      <c r="BJ242" s="363"/>
      <c r="BK242" s="363"/>
      <c r="BL242" s="363"/>
      <c r="BM242" s="363"/>
      <c r="BN242" s="363"/>
      <c r="BO242" s="363"/>
      <c r="BP242" s="363"/>
      <c r="BQ242" s="363"/>
      <c r="BR242" s="363"/>
      <c r="BS242" s="364"/>
      <c r="BT242" s="364"/>
      <c r="BU242" s="364"/>
      <c r="BV242" s="364"/>
      <c r="BW242" s="364"/>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66">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BJ15" sqref="BJ15:BL15"/>
    </sheetView>
  </sheetViews>
  <sheetFormatPr baseColWidth="10" defaultRowHeight="12.75" customHeight="1" x14ac:dyDescent="0.2"/>
  <cols>
    <col min="1" max="4" width="3.28515625" style="370" customWidth="1"/>
    <col min="5" max="5" width="4.42578125" style="370" customWidth="1"/>
    <col min="6" max="7" width="3.28515625" style="370" customWidth="1"/>
    <col min="8" max="8" width="2.28515625" style="370" customWidth="1"/>
    <col min="9" max="9" width="5.42578125" style="441" customWidth="1"/>
    <col min="10" max="10" width="3.28515625" style="370" customWidth="1"/>
    <col min="11" max="11" width="5.85546875" style="370" customWidth="1"/>
    <col min="12" max="13" width="3.28515625" style="370" customWidth="1"/>
    <col min="14" max="14" width="1.28515625" style="370" customWidth="1"/>
    <col min="15" max="25" width="3.28515625" style="370" customWidth="1"/>
    <col min="26" max="26" width="3.42578125" style="370" customWidth="1"/>
    <col min="27" max="32" width="3.28515625" style="370" customWidth="1"/>
    <col min="33" max="33" width="4.5703125" style="370" customWidth="1"/>
    <col min="34" max="34" width="3.28515625" style="370" customWidth="1"/>
    <col min="35" max="35" width="3" style="370" customWidth="1"/>
    <col min="36" max="40" width="3.28515625" style="370" customWidth="1"/>
    <col min="41" max="41" width="4" style="370" customWidth="1"/>
    <col min="42" max="43" width="3.28515625" style="370" customWidth="1"/>
    <col min="44" max="44" width="3.42578125" style="370" customWidth="1"/>
    <col min="45" max="45" width="8.140625" style="370" customWidth="1"/>
    <col min="46" max="46" width="8.28515625" style="370" customWidth="1"/>
    <col min="47" max="47" width="6.140625" style="370" customWidth="1"/>
    <col min="48" max="48" width="3.28515625" style="370" customWidth="1"/>
    <col min="49" max="49" width="5.140625" style="370" customWidth="1"/>
    <col min="50" max="50" width="4.42578125" style="370" customWidth="1"/>
    <col min="51" max="51" width="11.42578125" style="370"/>
    <col min="52" max="52" width="3.140625" style="370" customWidth="1"/>
    <col min="53" max="54" width="11.42578125" style="370"/>
    <col min="55" max="55" width="2.42578125" style="370" customWidth="1"/>
    <col min="56" max="63" width="11.42578125" style="370"/>
    <col min="64" max="64" width="2.42578125" style="370" customWidth="1"/>
    <col min="65" max="72" width="11.42578125" style="370"/>
    <col min="73" max="73" width="6.140625" style="370" customWidth="1"/>
    <col min="74" max="74" width="9.5703125" style="370" customWidth="1"/>
    <col min="75" max="81" width="11.42578125" style="370"/>
    <col min="82" max="82" width="5.28515625" style="370" customWidth="1"/>
    <col min="83" max="278" width="11.42578125" style="370"/>
    <col min="279" max="279" width="14.5703125" style="370" customWidth="1"/>
    <col min="280" max="280" width="12.7109375" style="370" customWidth="1"/>
    <col min="281" max="281" width="1.5703125" style="370" customWidth="1"/>
    <col min="282" max="282" width="18.28515625" style="370" customWidth="1"/>
    <col min="283" max="283" width="11" style="370" customWidth="1"/>
    <col min="284" max="284" width="13.28515625" style="370" bestFit="1" customWidth="1"/>
    <col min="285" max="285" width="18" style="370" customWidth="1"/>
    <col min="286" max="286" width="11.42578125" style="370"/>
    <col min="287" max="287" width="11.140625" style="370" customWidth="1"/>
    <col min="288" max="288" width="11.42578125" style="370"/>
    <col min="289" max="289" width="17.42578125" style="370" customWidth="1"/>
    <col min="290" max="534" width="11.42578125" style="370"/>
    <col min="535" max="535" width="14.5703125" style="370" customWidth="1"/>
    <col min="536" max="536" width="12.7109375" style="370" customWidth="1"/>
    <col min="537" max="537" width="1.5703125" style="370" customWidth="1"/>
    <col min="538" max="538" width="18.28515625" style="370" customWidth="1"/>
    <col min="539" max="539" width="11" style="370" customWidth="1"/>
    <col min="540" max="540" width="13.28515625" style="370" bestFit="1" customWidth="1"/>
    <col min="541" max="541" width="18" style="370" customWidth="1"/>
    <col min="542" max="542" width="11.42578125" style="370"/>
    <col min="543" max="543" width="11.140625" style="370" customWidth="1"/>
    <col min="544" max="544" width="11.42578125" style="370"/>
    <col min="545" max="545" width="17.42578125" style="370" customWidth="1"/>
    <col min="546" max="790" width="11.42578125" style="370"/>
    <col min="791" max="791" width="14.5703125" style="370" customWidth="1"/>
    <col min="792" max="792" width="12.7109375" style="370" customWidth="1"/>
    <col min="793" max="793" width="1.5703125" style="370" customWidth="1"/>
    <col min="794" max="794" width="18.28515625" style="370" customWidth="1"/>
    <col min="795" max="795" width="11" style="370" customWidth="1"/>
    <col min="796" max="796" width="13.28515625" style="370" bestFit="1" customWidth="1"/>
    <col min="797" max="797" width="18" style="370" customWidth="1"/>
    <col min="798" max="798" width="11.42578125" style="370"/>
    <col min="799" max="799" width="11.140625" style="370" customWidth="1"/>
    <col min="800" max="800" width="11.42578125" style="370"/>
    <col min="801" max="801" width="17.42578125" style="370" customWidth="1"/>
    <col min="802" max="1046" width="11.42578125" style="370"/>
    <col min="1047" max="1047" width="14.5703125" style="370" customWidth="1"/>
    <col min="1048" max="1048" width="12.7109375" style="370" customWidth="1"/>
    <col min="1049" max="1049" width="1.5703125" style="370" customWidth="1"/>
    <col min="1050" max="1050" width="18.28515625" style="370" customWidth="1"/>
    <col min="1051" max="1051" width="11" style="370" customWidth="1"/>
    <col min="1052" max="1052" width="13.28515625" style="370" bestFit="1" customWidth="1"/>
    <col min="1053" max="1053" width="18" style="370" customWidth="1"/>
    <col min="1054" max="1054" width="11.42578125" style="370"/>
    <col min="1055" max="1055" width="11.140625" style="370" customWidth="1"/>
    <col min="1056" max="1056" width="11.42578125" style="370"/>
    <col min="1057" max="1057" width="17.42578125" style="370" customWidth="1"/>
    <col min="1058" max="1302" width="11.42578125" style="370"/>
    <col min="1303" max="1303" width="14.5703125" style="370" customWidth="1"/>
    <col min="1304" max="1304" width="12.7109375" style="370" customWidth="1"/>
    <col min="1305" max="1305" width="1.5703125" style="370" customWidth="1"/>
    <col min="1306" max="1306" width="18.28515625" style="370" customWidth="1"/>
    <col min="1307" max="1307" width="11" style="370" customWidth="1"/>
    <col min="1308" max="1308" width="13.28515625" style="370" bestFit="1" customWidth="1"/>
    <col min="1309" max="1309" width="18" style="370" customWidth="1"/>
    <col min="1310" max="1310" width="11.42578125" style="370"/>
    <col min="1311" max="1311" width="11.140625" style="370" customWidth="1"/>
    <col min="1312" max="1312" width="11.42578125" style="370"/>
    <col min="1313" max="1313" width="17.42578125" style="370" customWidth="1"/>
    <col min="1314" max="1558" width="11.42578125" style="370"/>
    <col min="1559" max="1559" width="14.5703125" style="370" customWidth="1"/>
    <col min="1560" max="1560" width="12.7109375" style="370" customWidth="1"/>
    <col min="1561" max="1561" width="1.5703125" style="370" customWidth="1"/>
    <col min="1562" max="1562" width="18.28515625" style="370" customWidth="1"/>
    <col min="1563" max="1563" width="11" style="370" customWidth="1"/>
    <col min="1564" max="1564" width="13.28515625" style="370" bestFit="1" customWidth="1"/>
    <col min="1565" max="1565" width="18" style="370" customWidth="1"/>
    <col min="1566" max="1566" width="11.42578125" style="370"/>
    <col min="1567" max="1567" width="11.140625" style="370" customWidth="1"/>
    <col min="1568" max="1568" width="11.42578125" style="370"/>
    <col min="1569" max="1569" width="17.42578125" style="370" customWidth="1"/>
    <col min="1570" max="1814" width="11.42578125" style="370"/>
    <col min="1815" max="1815" width="14.5703125" style="370" customWidth="1"/>
    <col min="1816" max="1816" width="12.7109375" style="370" customWidth="1"/>
    <col min="1817" max="1817" width="1.5703125" style="370" customWidth="1"/>
    <col min="1818" max="1818" width="18.28515625" style="370" customWidth="1"/>
    <col min="1819" max="1819" width="11" style="370" customWidth="1"/>
    <col min="1820" max="1820" width="13.28515625" style="370" bestFit="1" customWidth="1"/>
    <col min="1821" max="1821" width="18" style="370" customWidth="1"/>
    <col min="1822" max="1822" width="11.42578125" style="370"/>
    <col min="1823" max="1823" width="11.140625" style="370" customWidth="1"/>
    <col min="1824" max="1824" width="11.42578125" style="370"/>
    <col min="1825" max="1825" width="17.42578125" style="370" customWidth="1"/>
    <col min="1826" max="2070" width="11.42578125" style="370"/>
    <col min="2071" max="2071" width="14.5703125" style="370" customWidth="1"/>
    <col min="2072" max="2072" width="12.7109375" style="370" customWidth="1"/>
    <col min="2073" max="2073" width="1.5703125" style="370" customWidth="1"/>
    <col min="2074" max="2074" width="18.28515625" style="370" customWidth="1"/>
    <col min="2075" max="2075" width="11" style="370" customWidth="1"/>
    <col min="2076" max="2076" width="13.28515625" style="370" bestFit="1" customWidth="1"/>
    <col min="2077" max="2077" width="18" style="370" customWidth="1"/>
    <col min="2078" max="2078" width="11.42578125" style="370"/>
    <col min="2079" max="2079" width="11.140625" style="370" customWidth="1"/>
    <col min="2080" max="2080" width="11.42578125" style="370"/>
    <col min="2081" max="2081" width="17.42578125" style="370" customWidth="1"/>
    <col min="2082" max="2326" width="11.42578125" style="370"/>
    <col min="2327" max="2327" width="14.5703125" style="370" customWidth="1"/>
    <col min="2328" max="2328" width="12.7109375" style="370" customWidth="1"/>
    <col min="2329" max="2329" width="1.5703125" style="370" customWidth="1"/>
    <col min="2330" max="2330" width="18.28515625" style="370" customWidth="1"/>
    <col min="2331" max="2331" width="11" style="370" customWidth="1"/>
    <col min="2332" max="2332" width="13.28515625" style="370" bestFit="1" customWidth="1"/>
    <col min="2333" max="2333" width="18" style="370" customWidth="1"/>
    <col min="2334" max="2334" width="11.42578125" style="370"/>
    <col min="2335" max="2335" width="11.140625" style="370" customWidth="1"/>
    <col min="2336" max="2336" width="11.42578125" style="370"/>
    <col min="2337" max="2337" width="17.42578125" style="370" customWidth="1"/>
    <col min="2338" max="2582" width="11.42578125" style="370"/>
    <col min="2583" max="2583" width="14.5703125" style="370" customWidth="1"/>
    <col min="2584" max="2584" width="12.7109375" style="370" customWidth="1"/>
    <col min="2585" max="2585" width="1.5703125" style="370" customWidth="1"/>
    <col min="2586" max="2586" width="18.28515625" style="370" customWidth="1"/>
    <col min="2587" max="2587" width="11" style="370" customWidth="1"/>
    <col min="2588" max="2588" width="13.28515625" style="370" bestFit="1" customWidth="1"/>
    <col min="2589" max="2589" width="18" style="370" customWidth="1"/>
    <col min="2590" max="2590" width="11.42578125" style="370"/>
    <col min="2591" max="2591" width="11.140625" style="370" customWidth="1"/>
    <col min="2592" max="2592" width="11.42578125" style="370"/>
    <col min="2593" max="2593" width="17.42578125" style="370" customWidth="1"/>
    <col min="2594" max="2838" width="11.42578125" style="370"/>
    <col min="2839" max="2839" width="14.5703125" style="370" customWidth="1"/>
    <col min="2840" max="2840" width="12.7109375" style="370" customWidth="1"/>
    <col min="2841" max="2841" width="1.5703125" style="370" customWidth="1"/>
    <col min="2842" max="2842" width="18.28515625" style="370" customWidth="1"/>
    <col min="2843" max="2843" width="11" style="370" customWidth="1"/>
    <col min="2844" max="2844" width="13.28515625" style="370" bestFit="1" customWidth="1"/>
    <col min="2845" max="2845" width="18" style="370" customWidth="1"/>
    <col min="2846" max="2846" width="11.42578125" style="370"/>
    <col min="2847" max="2847" width="11.140625" style="370" customWidth="1"/>
    <col min="2848" max="2848" width="11.42578125" style="370"/>
    <col min="2849" max="2849" width="17.42578125" style="370" customWidth="1"/>
    <col min="2850" max="3094" width="11.42578125" style="370"/>
    <col min="3095" max="3095" width="14.5703125" style="370" customWidth="1"/>
    <col min="3096" max="3096" width="12.7109375" style="370" customWidth="1"/>
    <col min="3097" max="3097" width="1.5703125" style="370" customWidth="1"/>
    <col min="3098" max="3098" width="18.28515625" style="370" customWidth="1"/>
    <col min="3099" max="3099" width="11" style="370" customWidth="1"/>
    <col min="3100" max="3100" width="13.28515625" style="370" bestFit="1" customWidth="1"/>
    <col min="3101" max="3101" width="18" style="370" customWidth="1"/>
    <col min="3102" max="3102" width="11.42578125" style="370"/>
    <col min="3103" max="3103" width="11.140625" style="370" customWidth="1"/>
    <col min="3104" max="3104" width="11.42578125" style="370"/>
    <col min="3105" max="3105" width="17.42578125" style="370" customWidth="1"/>
    <col min="3106" max="3350" width="11.42578125" style="370"/>
    <col min="3351" max="3351" width="14.5703125" style="370" customWidth="1"/>
    <col min="3352" max="3352" width="12.7109375" style="370" customWidth="1"/>
    <col min="3353" max="3353" width="1.5703125" style="370" customWidth="1"/>
    <col min="3354" max="3354" width="18.28515625" style="370" customWidth="1"/>
    <col min="3355" max="3355" width="11" style="370" customWidth="1"/>
    <col min="3356" max="3356" width="13.28515625" style="370" bestFit="1" customWidth="1"/>
    <col min="3357" max="3357" width="18" style="370" customWidth="1"/>
    <col min="3358" max="3358" width="11.42578125" style="370"/>
    <col min="3359" max="3359" width="11.140625" style="370" customWidth="1"/>
    <col min="3360" max="3360" width="11.42578125" style="370"/>
    <col min="3361" max="3361" width="17.42578125" style="370" customWidth="1"/>
    <col min="3362" max="3606" width="11.42578125" style="370"/>
    <col min="3607" max="3607" width="14.5703125" style="370" customWidth="1"/>
    <col min="3608" max="3608" width="12.7109375" style="370" customWidth="1"/>
    <col min="3609" max="3609" width="1.5703125" style="370" customWidth="1"/>
    <col min="3610" max="3610" width="18.28515625" style="370" customWidth="1"/>
    <col min="3611" max="3611" width="11" style="370" customWidth="1"/>
    <col min="3612" max="3612" width="13.28515625" style="370" bestFit="1" customWidth="1"/>
    <col min="3613" max="3613" width="18" style="370" customWidth="1"/>
    <col min="3614" max="3614" width="11.42578125" style="370"/>
    <col min="3615" max="3615" width="11.140625" style="370" customWidth="1"/>
    <col min="3616" max="3616" width="11.42578125" style="370"/>
    <col min="3617" max="3617" width="17.42578125" style="370" customWidth="1"/>
    <col min="3618" max="3862" width="11.42578125" style="370"/>
    <col min="3863" max="3863" width="14.5703125" style="370" customWidth="1"/>
    <col min="3864" max="3864" width="12.7109375" style="370" customWidth="1"/>
    <col min="3865" max="3865" width="1.5703125" style="370" customWidth="1"/>
    <col min="3866" max="3866" width="18.28515625" style="370" customWidth="1"/>
    <col min="3867" max="3867" width="11" style="370" customWidth="1"/>
    <col min="3868" max="3868" width="13.28515625" style="370" bestFit="1" customWidth="1"/>
    <col min="3869" max="3869" width="18" style="370" customWidth="1"/>
    <col min="3870" max="3870" width="11.42578125" style="370"/>
    <col min="3871" max="3871" width="11.140625" style="370" customWidth="1"/>
    <col min="3872" max="3872" width="11.42578125" style="370"/>
    <col min="3873" max="3873" width="17.42578125" style="370" customWidth="1"/>
    <col min="3874" max="4118" width="11.42578125" style="370"/>
    <col min="4119" max="4119" width="14.5703125" style="370" customWidth="1"/>
    <col min="4120" max="4120" width="12.7109375" style="370" customWidth="1"/>
    <col min="4121" max="4121" width="1.5703125" style="370" customWidth="1"/>
    <col min="4122" max="4122" width="18.28515625" style="370" customWidth="1"/>
    <col min="4123" max="4123" width="11" style="370" customWidth="1"/>
    <col min="4124" max="4124" width="13.28515625" style="370" bestFit="1" customWidth="1"/>
    <col min="4125" max="4125" width="18" style="370" customWidth="1"/>
    <col min="4126" max="4126" width="11.42578125" style="370"/>
    <col min="4127" max="4127" width="11.140625" style="370" customWidth="1"/>
    <col min="4128" max="4128" width="11.42578125" style="370"/>
    <col min="4129" max="4129" width="17.42578125" style="370" customWidth="1"/>
    <col min="4130" max="4374" width="11.42578125" style="370"/>
    <col min="4375" max="4375" width="14.5703125" style="370" customWidth="1"/>
    <col min="4376" max="4376" width="12.7109375" style="370" customWidth="1"/>
    <col min="4377" max="4377" width="1.5703125" style="370" customWidth="1"/>
    <col min="4378" max="4378" width="18.28515625" style="370" customWidth="1"/>
    <col min="4379" max="4379" width="11" style="370" customWidth="1"/>
    <col min="4380" max="4380" width="13.28515625" style="370" bestFit="1" customWidth="1"/>
    <col min="4381" max="4381" width="18" style="370" customWidth="1"/>
    <col min="4382" max="4382" width="11.42578125" style="370"/>
    <col min="4383" max="4383" width="11.140625" style="370" customWidth="1"/>
    <col min="4384" max="4384" width="11.42578125" style="370"/>
    <col min="4385" max="4385" width="17.42578125" style="370" customWidth="1"/>
    <col min="4386" max="4630" width="11.42578125" style="370"/>
    <col min="4631" max="4631" width="14.5703125" style="370" customWidth="1"/>
    <col min="4632" max="4632" width="12.7109375" style="370" customWidth="1"/>
    <col min="4633" max="4633" width="1.5703125" style="370" customWidth="1"/>
    <col min="4634" max="4634" width="18.28515625" style="370" customWidth="1"/>
    <col min="4635" max="4635" width="11" style="370" customWidth="1"/>
    <col min="4636" max="4636" width="13.28515625" style="370" bestFit="1" customWidth="1"/>
    <col min="4637" max="4637" width="18" style="370" customWidth="1"/>
    <col min="4638" max="4638" width="11.42578125" style="370"/>
    <col min="4639" max="4639" width="11.140625" style="370" customWidth="1"/>
    <col min="4640" max="4640" width="11.42578125" style="370"/>
    <col min="4641" max="4641" width="17.42578125" style="370" customWidth="1"/>
    <col min="4642" max="4886" width="11.42578125" style="370"/>
    <col min="4887" max="4887" width="14.5703125" style="370" customWidth="1"/>
    <col min="4888" max="4888" width="12.7109375" style="370" customWidth="1"/>
    <col min="4889" max="4889" width="1.5703125" style="370" customWidth="1"/>
    <col min="4890" max="4890" width="18.28515625" style="370" customWidth="1"/>
    <col min="4891" max="4891" width="11" style="370" customWidth="1"/>
    <col min="4892" max="4892" width="13.28515625" style="370" bestFit="1" customWidth="1"/>
    <col min="4893" max="4893" width="18" style="370" customWidth="1"/>
    <col min="4894" max="4894" width="11.42578125" style="370"/>
    <col min="4895" max="4895" width="11.140625" style="370" customWidth="1"/>
    <col min="4896" max="4896" width="11.42578125" style="370"/>
    <col min="4897" max="4897" width="17.42578125" style="370" customWidth="1"/>
    <col min="4898" max="5142" width="11.42578125" style="370"/>
    <col min="5143" max="5143" width="14.5703125" style="370" customWidth="1"/>
    <col min="5144" max="5144" width="12.7109375" style="370" customWidth="1"/>
    <col min="5145" max="5145" width="1.5703125" style="370" customWidth="1"/>
    <col min="5146" max="5146" width="18.28515625" style="370" customWidth="1"/>
    <col min="5147" max="5147" width="11" style="370" customWidth="1"/>
    <col min="5148" max="5148" width="13.28515625" style="370" bestFit="1" customWidth="1"/>
    <col min="5149" max="5149" width="18" style="370" customWidth="1"/>
    <col min="5150" max="5150" width="11.42578125" style="370"/>
    <col min="5151" max="5151" width="11.140625" style="370" customWidth="1"/>
    <col min="5152" max="5152" width="11.42578125" style="370"/>
    <col min="5153" max="5153" width="17.42578125" style="370" customWidth="1"/>
    <col min="5154" max="5398" width="11.42578125" style="370"/>
    <col min="5399" max="5399" width="14.5703125" style="370" customWidth="1"/>
    <col min="5400" max="5400" width="12.7109375" style="370" customWidth="1"/>
    <col min="5401" max="5401" width="1.5703125" style="370" customWidth="1"/>
    <col min="5402" max="5402" width="18.28515625" style="370" customWidth="1"/>
    <col min="5403" max="5403" width="11" style="370" customWidth="1"/>
    <col min="5404" max="5404" width="13.28515625" style="370" bestFit="1" customWidth="1"/>
    <col min="5405" max="5405" width="18" style="370" customWidth="1"/>
    <col min="5406" max="5406" width="11.42578125" style="370"/>
    <col min="5407" max="5407" width="11.140625" style="370" customWidth="1"/>
    <col min="5408" max="5408" width="11.42578125" style="370"/>
    <col min="5409" max="5409" width="17.42578125" style="370" customWidth="1"/>
    <col min="5410" max="5654" width="11.42578125" style="370"/>
    <col min="5655" max="5655" width="14.5703125" style="370" customWidth="1"/>
    <col min="5656" max="5656" width="12.7109375" style="370" customWidth="1"/>
    <col min="5657" max="5657" width="1.5703125" style="370" customWidth="1"/>
    <col min="5658" max="5658" width="18.28515625" style="370" customWidth="1"/>
    <col min="5659" max="5659" width="11" style="370" customWidth="1"/>
    <col min="5660" max="5660" width="13.28515625" style="370" bestFit="1" customWidth="1"/>
    <col min="5661" max="5661" width="18" style="370" customWidth="1"/>
    <col min="5662" max="5662" width="11.42578125" style="370"/>
    <col min="5663" max="5663" width="11.140625" style="370" customWidth="1"/>
    <col min="5664" max="5664" width="11.42578125" style="370"/>
    <col min="5665" max="5665" width="17.42578125" style="370" customWidth="1"/>
    <col min="5666" max="5910" width="11.42578125" style="370"/>
    <col min="5911" max="5911" width="14.5703125" style="370" customWidth="1"/>
    <col min="5912" max="5912" width="12.7109375" style="370" customWidth="1"/>
    <col min="5913" max="5913" width="1.5703125" style="370" customWidth="1"/>
    <col min="5914" max="5914" width="18.28515625" style="370" customWidth="1"/>
    <col min="5915" max="5915" width="11" style="370" customWidth="1"/>
    <col min="5916" max="5916" width="13.28515625" style="370" bestFit="1" customWidth="1"/>
    <col min="5917" max="5917" width="18" style="370" customWidth="1"/>
    <col min="5918" max="5918" width="11.42578125" style="370"/>
    <col min="5919" max="5919" width="11.140625" style="370" customWidth="1"/>
    <col min="5920" max="5920" width="11.42578125" style="370"/>
    <col min="5921" max="5921" width="17.42578125" style="370" customWidth="1"/>
    <col min="5922" max="6166" width="11.42578125" style="370"/>
    <col min="6167" max="6167" width="14.5703125" style="370" customWidth="1"/>
    <col min="6168" max="6168" width="12.7109375" style="370" customWidth="1"/>
    <col min="6169" max="6169" width="1.5703125" style="370" customWidth="1"/>
    <col min="6170" max="6170" width="18.28515625" style="370" customWidth="1"/>
    <col min="6171" max="6171" width="11" style="370" customWidth="1"/>
    <col min="6172" max="6172" width="13.28515625" style="370" bestFit="1" customWidth="1"/>
    <col min="6173" max="6173" width="18" style="370" customWidth="1"/>
    <col min="6174" max="6174" width="11.42578125" style="370"/>
    <col min="6175" max="6175" width="11.140625" style="370" customWidth="1"/>
    <col min="6176" max="6176" width="11.42578125" style="370"/>
    <col min="6177" max="6177" width="17.42578125" style="370" customWidth="1"/>
    <col min="6178" max="6422" width="11.42578125" style="370"/>
    <col min="6423" max="6423" width="14.5703125" style="370" customWidth="1"/>
    <col min="6424" max="6424" width="12.7109375" style="370" customWidth="1"/>
    <col min="6425" max="6425" width="1.5703125" style="370" customWidth="1"/>
    <col min="6426" max="6426" width="18.28515625" style="370" customWidth="1"/>
    <col min="6427" max="6427" width="11" style="370" customWidth="1"/>
    <col min="6428" max="6428" width="13.28515625" style="370" bestFit="1" customWidth="1"/>
    <col min="6429" max="6429" width="18" style="370" customWidth="1"/>
    <col min="6430" max="6430" width="11.42578125" style="370"/>
    <col min="6431" max="6431" width="11.140625" style="370" customWidth="1"/>
    <col min="6432" max="6432" width="11.42578125" style="370"/>
    <col min="6433" max="6433" width="17.42578125" style="370" customWidth="1"/>
    <col min="6434" max="6678" width="11.42578125" style="370"/>
    <col min="6679" max="6679" width="14.5703125" style="370" customWidth="1"/>
    <col min="6680" max="6680" width="12.7109375" style="370" customWidth="1"/>
    <col min="6681" max="6681" width="1.5703125" style="370" customWidth="1"/>
    <col min="6682" max="6682" width="18.28515625" style="370" customWidth="1"/>
    <col min="6683" max="6683" width="11" style="370" customWidth="1"/>
    <col min="6684" max="6684" width="13.28515625" style="370" bestFit="1" customWidth="1"/>
    <col min="6685" max="6685" width="18" style="370" customWidth="1"/>
    <col min="6686" max="6686" width="11.42578125" style="370"/>
    <col min="6687" max="6687" width="11.140625" style="370" customWidth="1"/>
    <col min="6688" max="6688" width="11.42578125" style="370"/>
    <col min="6689" max="6689" width="17.42578125" style="370" customWidth="1"/>
    <col min="6690" max="6934" width="11.42578125" style="370"/>
    <col min="6935" max="6935" width="14.5703125" style="370" customWidth="1"/>
    <col min="6936" max="6936" width="12.7109375" style="370" customWidth="1"/>
    <col min="6937" max="6937" width="1.5703125" style="370" customWidth="1"/>
    <col min="6938" max="6938" width="18.28515625" style="370" customWidth="1"/>
    <col min="6939" max="6939" width="11" style="370" customWidth="1"/>
    <col min="6940" max="6940" width="13.28515625" style="370" bestFit="1" customWidth="1"/>
    <col min="6941" max="6941" width="18" style="370" customWidth="1"/>
    <col min="6942" max="6942" width="11.42578125" style="370"/>
    <col min="6943" max="6943" width="11.140625" style="370" customWidth="1"/>
    <col min="6944" max="6944" width="11.42578125" style="370"/>
    <col min="6945" max="6945" width="17.42578125" style="370" customWidth="1"/>
    <col min="6946" max="7190" width="11.42578125" style="370"/>
    <col min="7191" max="7191" width="14.5703125" style="370" customWidth="1"/>
    <col min="7192" max="7192" width="12.7109375" style="370" customWidth="1"/>
    <col min="7193" max="7193" width="1.5703125" style="370" customWidth="1"/>
    <col min="7194" max="7194" width="18.28515625" style="370" customWidth="1"/>
    <col min="7195" max="7195" width="11" style="370" customWidth="1"/>
    <col min="7196" max="7196" width="13.28515625" style="370" bestFit="1" customWidth="1"/>
    <col min="7197" max="7197" width="18" style="370" customWidth="1"/>
    <col min="7198" max="7198" width="11.42578125" style="370"/>
    <col min="7199" max="7199" width="11.140625" style="370" customWidth="1"/>
    <col min="7200" max="7200" width="11.42578125" style="370"/>
    <col min="7201" max="7201" width="17.42578125" style="370" customWidth="1"/>
    <col min="7202" max="7446" width="11.42578125" style="370"/>
    <col min="7447" max="7447" width="14.5703125" style="370" customWidth="1"/>
    <col min="7448" max="7448" width="12.7109375" style="370" customWidth="1"/>
    <col min="7449" max="7449" width="1.5703125" style="370" customWidth="1"/>
    <col min="7450" max="7450" width="18.28515625" style="370" customWidth="1"/>
    <col min="7451" max="7451" width="11" style="370" customWidth="1"/>
    <col min="7452" max="7452" width="13.28515625" style="370" bestFit="1" customWidth="1"/>
    <col min="7453" max="7453" width="18" style="370" customWidth="1"/>
    <col min="7454" max="7454" width="11.42578125" style="370"/>
    <col min="7455" max="7455" width="11.140625" style="370" customWidth="1"/>
    <col min="7456" max="7456" width="11.42578125" style="370"/>
    <col min="7457" max="7457" width="17.42578125" style="370" customWidth="1"/>
    <col min="7458" max="7702" width="11.42578125" style="370"/>
    <col min="7703" max="7703" width="14.5703125" style="370" customWidth="1"/>
    <col min="7704" max="7704" width="12.7109375" style="370" customWidth="1"/>
    <col min="7705" max="7705" width="1.5703125" style="370" customWidth="1"/>
    <col min="7706" max="7706" width="18.28515625" style="370" customWidth="1"/>
    <col min="7707" max="7707" width="11" style="370" customWidth="1"/>
    <col min="7708" max="7708" width="13.28515625" style="370" bestFit="1" customWidth="1"/>
    <col min="7709" max="7709" width="18" style="370" customWidth="1"/>
    <col min="7710" max="7710" width="11.42578125" style="370"/>
    <col min="7711" max="7711" width="11.140625" style="370" customWidth="1"/>
    <col min="7712" max="7712" width="11.42578125" style="370"/>
    <col min="7713" max="7713" width="17.42578125" style="370" customWidth="1"/>
    <col min="7714" max="7958" width="11.42578125" style="370"/>
    <col min="7959" max="7959" width="14.5703125" style="370" customWidth="1"/>
    <col min="7960" max="7960" width="12.7109375" style="370" customWidth="1"/>
    <col min="7961" max="7961" width="1.5703125" style="370" customWidth="1"/>
    <col min="7962" max="7962" width="18.28515625" style="370" customWidth="1"/>
    <col min="7963" max="7963" width="11" style="370" customWidth="1"/>
    <col min="7964" max="7964" width="13.28515625" style="370" bestFit="1" customWidth="1"/>
    <col min="7965" max="7965" width="18" style="370" customWidth="1"/>
    <col min="7966" max="7966" width="11.42578125" style="370"/>
    <col min="7967" max="7967" width="11.140625" style="370" customWidth="1"/>
    <col min="7968" max="7968" width="11.42578125" style="370"/>
    <col min="7969" max="7969" width="17.42578125" style="370" customWidth="1"/>
    <col min="7970" max="8214" width="11.42578125" style="370"/>
    <col min="8215" max="8215" width="14.5703125" style="370" customWidth="1"/>
    <col min="8216" max="8216" width="12.7109375" style="370" customWidth="1"/>
    <col min="8217" max="8217" width="1.5703125" style="370" customWidth="1"/>
    <col min="8218" max="8218" width="18.28515625" style="370" customWidth="1"/>
    <col min="8219" max="8219" width="11" style="370" customWidth="1"/>
    <col min="8220" max="8220" width="13.28515625" style="370" bestFit="1" customWidth="1"/>
    <col min="8221" max="8221" width="18" style="370" customWidth="1"/>
    <col min="8222" max="8222" width="11.42578125" style="370"/>
    <col min="8223" max="8223" width="11.140625" style="370" customWidth="1"/>
    <col min="8224" max="8224" width="11.42578125" style="370"/>
    <col min="8225" max="8225" width="17.42578125" style="370" customWidth="1"/>
    <col min="8226" max="8470" width="11.42578125" style="370"/>
    <col min="8471" max="8471" width="14.5703125" style="370" customWidth="1"/>
    <col min="8472" max="8472" width="12.7109375" style="370" customWidth="1"/>
    <col min="8473" max="8473" width="1.5703125" style="370" customWidth="1"/>
    <col min="8474" max="8474" width="18.28515625" style="370" customWidth="1"/>
    <col min="8475" max="8475" width="11" style="370" customWidth="1"/>
    <col min="8476" max="8476" width="13.28515625" style="370" bestFit="1" customWidth="1"/>
    <col min="8477" max="8477" width="18" style="370" customWidth="1"/>
    <col min="8478" max="8478" width="11.42578125" style="370"/>
    <col min="8479" max="8479" width="11.140625" style="370" customWidth="1"/>
    <col min="8480" max="8480" width="11.42578125" style="370"/>
    <col min="8481" max="8481" width="17.42578125" style="370" customWidth="1"/>
    <col min="8482" max="8726" width="11.42578125" style="370"/>
    <col min="8727" max="8727" width="14.5703125" style="370" customWidth="1"/>
    <col min="8728" max="8728" width="12.7109375" style="370" customWidth="1"/>
    <col min="8729" max="8729" width="1.5703125" style="370" customWidth="1"/>
    <col min="8730" max="8730" width="18.28515625" style="370" customWidth="1"/>
    <col min="8731" max="8731" width="11" style="370" customWidth="1"/>
    <col min="8732" max="8732" width="13.28515625" style="370" bestFit="1" customWidth="1"/>
    <col min="8733" max="8733" width="18" style="370" customWidth="1"/>
    <col min="8734" max="8734" width="11.42578125" style="370"/>
    <col min="8735" max="8735" width="11.140625" style="370" customWidth="1"/>
    <col min="8736" max="8736" width="11.42578125" style="370"/>
    <col min="8737" max="8737" width="17.42578125" style="370" customWidth="1"/>
    <col min="8738" max="8982" width="11.42578125" style="370"/>
    <col min="8983" max="8983" width="14.5703125" style="370" customWidth="1"/>
    <col min="8984" max="8984" width="12.7109375" style="370" customWidth="1"/>
    <col min="8985" max="8985" width="1.5703125" style="370" customWidth="1"/>
    <col min="8986" max="8986" width="18.28515625" style="370" customWidth="1"/>
    <col min="8987" max="8987" width="11" style="370" customWidth="1"/>
    <col min="8988" max="8988" width="13.28515625" style="370" bestFit="1" customWidth="1"/>
    <col min="8989" max="8989" width="18" style="370" customWidth="1"/>
    <col min="8990" max="8990" width="11.42578125" style="370"/>
    <col min="8991" max="8991" width="11.140625" style="370" customWidth="1"/>
    <col min="8992" max="8992" width="11.42578125" style="370"/>
    <col min="8993" max="8993" width="17.42578125" style="370" customWidth="1"/>
    <col min="8994" max="9238" width="11.42578125" style="370"/>
    <col min="9239" max="9239" width="14.5703125" style="370" customWidth="1"/>
    <col min="9240" max="9240" width="12.7109375" style="370" customWidth="1"/>
    <col min="9241" max="9241" width="1.5703125" style="370" customWidth="1"/>
    <col min="9242" max="9242" width="18.28515625" style="370" customWidth="1"/>
    <col min="9243" max="9243" width="11" style="370" customWidth="1"/>
    <col min="9244" max="9244" width="13.28515625" style="370" bestFit="1" customWidth="1"/>
    <col min="9245" max="9245" width="18" style="370" customWidth="1"/>
    <col min="9246" max="9246" width="11.42578125" style="370"/>
    <col min="9247" max="9247" width="11.140625" style="370" customWidth="1"/>
    <col min="9248" max="9248" width="11.42578125" style="370"/>
    <col min="9249" max="9249" width="17.42578125" style="370" customWidth="1"/>
    <col min="9250" max="9494" width="11.42578125" style="370"/>
    <col min="9495" max="9495" width="14.5703125" style="370" customWidth="1"/>
    <col min="9496" max="9496" width="12.7109375" style="370" customWidth="1"/>
    <col min="9497" max="9497" width="1.5703125" style="370" customWidth="1"/>
    <col min="9498" max="9498" width="18.28515625" style="370" customWidth="1"/>
    <col min="9499" max="9499" width="11" style="370" customWidth="1"/>
    <col min="9500" max="9500" width="13.28515625" style="370" bestFit="1" customWidth="1"/>
    <col min="9501" max="9501" width="18" style="370" customWidth="1"/>
    <col min="9502" max="9502" width="11.42578125" style="370"/>
    <col min="9503" max="9503" width="11.140625" style="370" customWidth="1"/>
    <col min="9504" max="9504" width="11.42578125" style="370"/>
    <col min="9505" max="9505" width="17.42578125" style="370" customWidth="1"/>
    <col min="9506" max="9750" width="11.42578125" style="370"/>
    <col min="9751" max="9751" width="14.5703125" style="370" customWidth="1"/>
    <col min="9752" max="9752" width="12.7109375" style="370" customWidth="1"/>
    <col min="9753" max="9753" width="1.5703125" style="370" customWidth="1"/>
    <col min="9754" max="9754" width="18.28515625" style="370" customWidth="1"/>
    <col min="9755" max="9755" width="11" style="370" customWidth="1"/>
    <col min="9756" max="9756" width="13.28515625" style="370" bestFit="1" customWidth="1"/>
    <col min="9757" max="9757" width="18" style="370" customWidth="1"/>
    <col min="9758" max="9758" width="11.42578125" style="370"/>
    <col min="9759" max="9759" width="11.140625" style="370" customWidth="1"/>
    <col min="9760" max="9760" width="11.42578125" style="370"/>
    <col min="9761" max="9761" width="17.42578125" style="370" customWidth="1"/>
    <col min="9762" max="10006" width="11.42578125" style="370"/>
    <col min="10007" max="10007" width="14.5703125" style="370" customWidth="1"/>
    <col min="10008" max="10008" width="12.7109375" style="370" customWidth="1"/>
    <col min="10009" max="10009" width="1.5703125" style="370" customWidth="1"/>
    <col min="10010" max="10010" width="18.28515625" style="370" customWidth="1"/>
    <col min="10011" max="10011" width="11" style="370" customWidth="1"/>
    <col min="10012" max="10012" width="13.28515625" style="370" bestFit="1" customWidth="1"/>
    <col min="10013" max="10013" width="18" style="370" customWidth="1"/>
    <col min="10014" max="10014" width="11.42578125" style="370"/>
    <col min="10015" max="10015" width="11.140625" style="370" customWidth="1"/>
    <col min="10016" max="10016" width="11.42578125" style="370"/>
    <col min="10017" max="10017" width="17.42578125" style="370" customWidth="1"/>
    <col min="10018" max="10262" width="11.42578125" style="370"/>
    <col min="10263" max="10263" width="14.5703125" style="370" customWidth="1"/>
    <col min="10264" max="10264" width="12.7109375" style="370" customWidth="1"/>
    <col min="10265" max="10265" width="1.5703125" style="370" customWidth="1"/>
    <col min="10266" max="10266" width="18.28515625" style="370" customWidth="1"/>
    <col min="10267" max="10267" width="11" style="370" customWidth="1"/>
    <col min="10268" max="10268" width="13.28515625" style="370" bestFit="1" customWidth="1"/>
    <col min="10269" max="10269" width="18" style="370" customWidth="1"/>
    <col min="10270" max="10270" width="11.42578125" style="370"/>
    <col min="10271" max="10271" width="11.140625" style="370" customWidth="1"/>
    <col min="10272" max="10272" width="11.42578125" style="370"/>
    <col min="10273" max="10273" width="17.42578125" style="370" customWidth="1"/>
    <col min="10274" max="10518" width="11.42578125" style="370"/>
    <col min="10519" max="10519" width="14.5703125" style="370" customWidth="1"/>
    <col min="10520" max="10520" width="12.7109375" style="370" customWidth="1"/>
    <col min="10521" max="10521" width="1.5703125" style="370" customWidth="1"/>
    <col min="10522" max="10522" width="18.28515625" style="370" customWidth="1"/>
    <col min="10523" max="10523" width="11" style="370" customWidth="1"/>
    <col min="10524" max="10524" width="13.28515625" style="370" bestFit="1" customWidth="1"/>
    <col min="10525" max="10525" width="18" style="370" customWidth="1"/>
    <col min="10526" max="10526" width="11.42578125" style="370"/>
    <col min="10527" max="10527" width="11.140625" style="370" customWidth="1"/>
    <col min="10528" max="10528" width="11.42578125" style="370"/>
    <col min="10529" max="10529" width="17.42578125" style="370" customWidth="1"/>
    <col min="10530" max="10774" width="11.42578125" style="370"/>
    <col min="10775" max="10775" width="14.5703125" style="370" customWidth="1"/>
    <col min="10776" max="10776" width="12.7109375" style="370" customWidth="1"/>
    <col min="10777" max="10777" width="1.5703125" style="370" customWidth="1"/>
    <col min="10778" max="10778" width="18.28515625" style="370" customWidth="1"/>
    <col min="10779" max="10779" width="11" style="370" customWidth="1"/>
    <col min="10780" max="10780" width="13.28515625" style="370" bestFit="1" customWidth="1"/>
    <col min="10781" max="10781" width="18" style="370" customWidth="1"/>
    <col min="10782" max="10782" width="11.42578125" style="370"/>
    <col min="10783" max="10783" width="11.140625" style="370" customWidth="1"/>
    <col min="10784" max="10784" width="11.42578125" style="370"/>
    <col min="10785" max="10785" width="17.42578125" style="370" customWidth="1"/>
    <col min="10786" max="11030" width="11.42578125" style="370"/>
    <col min="11031" max="11031" width="14.5703125" style="370" customWidth="1"/>
    <col min="11032" max="11032" width="12.7109375" style="370" customWidth="1"/>
    <col min="11033" max="11033" width="1.5703125" style="370" customWidth="1"/>
    <col min="11034" max="11034" width="18.28515625" style="370" customWidth="1"/>
    <col min="11035" max="11035" width="11" style="370" customWidth="1"/>
    <col min="11036" max="11036" width="13.28515625" style="370" bestFit="1" customWidth="1"/>
    <col min="11037" max="11037" width="18" style="370" customWidth="1"/>
    <col min="11038" max="11038" width="11.42578125" style="370"/>
    <col min="11039" max="11039" width="11.140625" style="370" customWidth="1"/>
    <col min="11040" max="11040" width="11.42578125" style="370"/>
    <col min="11041" max="11041" width="17.42578125" style="370" customWidth="1"/>
    <col min="11042" max="11286" width="11.42578125" style="370"/>
    <col min="11287" max="11287" width="14.5703125" style="370" customWidth="1"/>
    <col min="11288" max="11288" width="12.7109375" style="370" customWidth="1"/>
    <col min="11289" max="11289" width="1.5703125" style="370" customWidth="1"/>
    <col min="11290" max="11290" width="18.28515625" style="370" customWidth="1"/>
    <col min="11291" max="11291" width="11" style="370" customWidth="1"/>
    <col min="11292" max="11292" width="13.28515625" style="370" bestFit="1" customWidth="1"/>
    <col min="11293" max="11293" width="18" style="370" customWidth="1"/>
    <col min="11294" max="11294" width="11.42578125" style="370"/>
    <col min="11295" max="11295" width="11.140625" style="370" customWidth="1"/>
    <col min="11296" max="11296" width="11.42578125" style="370"/>
    <col min="11297" max="11297" width="17.42578125" style="370" customWidth="1"/>
    <col min="11298" max="11542" width="11.42578125" style="370"/>
    <col min="11543" max="11543" width="14.5703125" style="370" customWidth="1"/>
    <col min="11544" max="11544" width="12.7109375" style="370" customWidth="1"/>
    <col min="11545" max="11545" width="1.5703125" style="370" customWidth="1"/>
    <col min="11546" max="11546" width="18.28515625" style="370" customWidth="1"/>
    <col min="11547" max="11547" width="11" style="370" customWidth="1"/>
    <col min="11548" max="11548" width="13.28515625" style="370" bestFit="1" customWidth="1"/>
    <col min="11549" max="11549" width="18" style="370" customWidth="1"/>
    <col min="11550" max="11550" width="11.42578125" style="370"/>
    <col min="11551" max="11551" width="11.140625" style="370" customWidth="1"/>
    <col min="11552" max="11552" width="11.42578125" style="370"/>
    <col min="11553" max="11553" width="17.42578125" style="370" customWidth="1"/>
    <col min="11554" max="11798" width="11.42578125" style="370"/>
    <col min="11799" max="11799" width="14.5703125" style="370" customWidth="1"/>
    <col min="11800" max="11800" width="12.7109375" style="370" customWidth="1"/>
    <col min="11801" max="11801" width="1.5703125" style="370" customWidth="1"/>
    <col min="11802" max="11802" width="18.28515625" style="370" customWidth="1"/>
    <col min="11803" max="11803" width="11" style="370" customWidth="1"/>
    <col min="11804" max="11804" width="13.28515625" style="370" bestFit="1" customWidth="1"/>
    <col min="11805" max="11805" width="18" style="370" customWidth="1"/>
    <col min="11806" max="11806" width="11.42578125" style="370"/>
    <col min="11807" max="11807" width="11.140625" style="370" customWidth="1"/>
    <col min="11808" max="11808" width="11.42578125" style="370"/>
    <col min="11809" max="11809" width="17.42578125" style="370" customWidth="1"/>
    <col min="11810" max="12054" width="11.42578125" style="370"/>
    <col min="12055" max="12055" width="14.5703125" style="370" customWidth="1"/>
    <col min="12056" max="12056" width="12.7109375" style="370" customWidth="1"/>
    <col min="12057" max="12057" width="1.5703125" style="370" customWidth="1"/>
    <col min="12058" max="12058" width="18.28515625" style="370" customWidth="1"/>
    <col min="12059" max="12059" width="11" style="370" customWidth="1"/>
    <col min="12060" max="12060" width="13.28515625" style="370" bestFit="1" customWidth="1"/>
    <col min="12061" max="12061" width="18" style="370" customWidth="1"/>
    <col min="12062" max="12062" width="11.42578125" style="370"/>
    <col min="12063" max="12063" width="11.140625" style="370" customWidth="1"/>
    <col min="12064" max="12064" width="11.42578125" style="370"/>
    <col min="12065" max="12065" width="17.42578125" style="370" customWidth="1"/>
    <col min="12066" max="12310" width="11.42578125" style="370"/>
    <col min="12311" max="12311" width="14.5703125" style="370" customWidth="1"/>
    <col min="12312" max="12312" width="12.7109375" style="370" customWidth="1"/>
    <col min="12313" max="12313" width="1.5703125" style="370" customWidth="1"/>
    <col min="12314" max="12314" width="18.28515625" style="370" customWidth="1"/>
    <col min="12315" max="12315" width="11" style="370" customWidth="1"/>
    <col min="12316" max="12316" width="13.28515625" style="370" bestFit="1" customWidth="1"/>
    <col min="12317" max="12317" width="18" style="370" customWidth="1"/>
    <col min="12318" max="12318" width="11.42578125" style="370"/>
    <col min="12319" max="12319" width="11.140625" style="370" customWidth="1"/>
    <col min="12320" max="12320" width="11.42578125" style="370"/>
    <col min="12321" max="12321" width="17.42578125" style="370" customWidth="1"/>
    <col min="12322" max="12566" width="11.42578125" style="370"/>
    <col min="12567" max="12567" width="14.5703125" style="370" customWidth="1"/>
    <col min="12568" max="12568" width="12.7109375" style="370" customWidth="1"/>
    <col min="12569" max="12569" width="1.5703125" style="370" customWidth="1"/>
    <col min="12570" max="12570" width="18.28515625" style="370" customWidth="1"/>
    <col min="12571" max="12571" width="11" style="370" customWidth="1"/>
    <col min="12572" max="12572" width="13.28515625" style="370" bestFit="1" customWidth="1"/>
    <col min="12573" max="12573" width="18" style="370" customWidth="1"/>
    <col min="12574" max="12574" width="11.42578125" style="370"/>
    <col min="12575" max="12575" width="11.140625" style="370" customWidth="1"/>
    <col min="12576" max="12576" width="11.42578125" style="370"/>
    <col min="12577" max="12577" width="17.42578125" style="370" customWidth="1"/>
    <col min="12578" max="12822" width="11.42578125" style="370"/>
    <col min="12823" max="12823" width="14.5703125" style="370" customWidth="1"/>
    <col min="12824" max="12824" width="12.7109375" style="370" customWidth="1"/>
    <col min="12825" max="12825" width="1.5703125" style="370" customWidth="1"/>
    <col min="12826" max="12826" width="18.28515625" style="370" customWidth="1"/>
    <col min="12827" max="12827" width="11" style="370" customWidth="1"/>
    <col min="12828" max="12828" width="13.28515625" style="370" bestFit="1" customWidth="1"/>
    <col min="12829" max="12829" width="18" style="370" customWidth="1"/>
    <col min="12830" max="12830" width="11.42578125" style="370"/>
    <col min="12831" max="12831" width="11.140625" style="370" customWidth="1"/>
    <col min="12832" max="12832" width="11.42578125" style="370"/>
    <col min="12833" max="12833" width="17.42578125" style="370" customWidth="1"/>
    <col min="12834" max="13078" width="11.42578125" style="370"/>
    <col min="13079" max="13079" width="14.5703125" style="370" customWidth="1"/>
    <col min="13080" max="13080" width="12.7109375" style="370" customWidth="1"/>
    <col min="13081" max="13081" width="1.5703125" style="370" customWidth="1"/>
    <col min="13082" max="13082" width="18.28515625" style="370" customWidth="1"/>
    <col min="13083" max="13083" width="11" style="370" customWidth="1"/>
    <col min="13084" max="13084" width="13.28515625" style="370" bestFit="1" customWidth="1"/>
    <col min="13085" max="13085" width="18" style="370" customWidth="1"/>
    <col min="13086" max="13086" width="11.42578125" style="370"/>
    <col min="13087" max="13087" width="11.140625" style="370" customWidth="1"/>
    <col min="13088" max="13088" width="11.42578125" style="370"/>
    <col min="13089" max="13089" width="17.42578125" style="370" customWidth="1"/>
    <col min="13090" max="13334" width="11.42578125" style="370"/>
    <col min="13335" max="13335" width="14.5703125" style="370" customWidth="1"/>
    <col min="13336" max="13336" width="12.7109375" style="370" customWidth="1"/>
    <col min="13337" max="13337" width="1.5703125" style="370" customWidth="1"/>
    <col min="13338" max="13338" width="18.28515625" style="370" customWidth="1"/>
    <col min="13339" max="13339" width="11" style="370" customWidth="1"/>
    <col min="13340" max="13340" width="13.28515625" style="370" bestFit="1" customWidth="1"/>
    <col min="13341" max="13341" width="18" style="370" customWidth="1"/>
    <col min="13342" max="13342" width="11.42578125" style="370"/>
    <col min="13343" max="13343" width="11.140625" style="370" customWidth="1"/>
    <col min="13344" max="13344" width="11.42578125" style="370"/>
    <col min="13345" max="13345" width="17.42578125" style="370" customWidth="1"/>
    <col min="13346" max="13590" width="11.42578125" style="370"/>
    <col min="13591" max="13591" width="14.5703125" style="370" customWidth="1"/>
    <col min="13592" max="13592" width="12.7109375" style="370" customWidth="1"/>
    <col min="13593" max="13593" width="1.5703125" style="370" customWidth="1"/>
    <col min="13594" max="13594" width="18.28515625" style="370" customWidth="1"/>
    <col min="13595" max="13595" width="11" style="370" customWidth="1"/>
    <col min="13596" max="13596" width="13.28515625" style="370" bestFit="1" customWidth="1"/>
    <col min="13597" max="13597" width="18" style="370" customWidth="1"/>
    <col min="13598" max="13598" width="11.42578125" style="370"/>
    <col min="13599" max="13599" width="11.140625" style="370" customWidth="1"/>
    <col min="13600" max="13600" width="11.42578125" style="370"/>
    <col min="13601" max="13601" width="17.42578125" style="370" customWidth="1"/>
    <col min="13602" max="13846" width="11.42578125" style="370"/>
    <col min="13847" max="13847" width="14.5703125" style="370" customWidth="1"/>
    <col min="13848" max="13848" width="12.7109375" style="370" customWidth="1"/>
    <col min="13849" max="13849" width="1.5703125" style="370" customWidth="1"/>
    <col min="13850" max="13850" width="18.28515625" style="370" customWidth="1"/>
    <col min="13851" max="13851" width="11" style="370" customWidth="1"/>
    <col min="13852" max="13852" width="13.28515625" style="370" bestFit="1" customWidth="1"/>
    <col min="13853" max="13853" width="18" style="370" customWidth="1"/>
    <col min="13854" max="13854" width="11.42578125" style="370"/>
    <col min="13855" max="13855" width="11.140625" style="370" customWidth="1"/>
    <col min="13856" max="13856" width="11.42578125" style="370"/>
    <col min="13857" max="13857" width="17.42578125" style="370" customWidth="1"/>
    <col min="13858" max="14102" width="11.42578125" style="370"/>
    <col min="14103" max="14103" width="14.5703125" style="370" customWidth="1"/>
    <col min="14104" max="14104" width="12.7109375" style="370" customWidth="1"/>
    <col min="14105" max="14105" width="1.5703125" style="370" customWidth="1"/>
    <col min="14106" max="14106" width="18.28515625" style="370" customWidth="1"/>
    <col min="14107" max="14107" width="11" style="370" customWidth="1"/>
    <col min="14108" max="14108" width="13.28515625" style="370" bestFit="1" customWidth="1"/>
    <col min="14109" max="14109" width="18" style="370" customWidth="1"/>
    <col min="14110" max="14110" width="11.42578125" style="370"/>
    <col min="14111" max="14111" width="11.140625" style="370" customWidth="1"/>
    <col min="14112" max="14112" width="11.42578125" style="370"/>
    <col min="14113" max="14113" width="17.42578125" style="370" customWidth="1"/>
    <col min="14114" max="14358" width="11.42578125" style="370"/>
    <col min="14359" max="14359" width="14.5703125" style="370" customWidth="1"/>
    <col min="14360" max="14360" width="12.7109375" style="370" customWidth="1"/>
    <col min="14361" max="14361" width="1.5703125" style="370" customWidth="1"/>
    <col min="14362" max="14362" width="18.28515625" style="370" customWidth="1"/>
    <col min="14363" max="14363" width="11" style="370" customWidth="1"/>
    <col min="14364" max="14364" width="13.28515625" style="370" bestFit="1" customWidth="1"/>
    <col min="14365" max="14365" width="18" style="370" customWidth="1"/>
    <col min="14366" max="14366" width="11.42578125" style="370"/>
    <col min="14367" max="14367" width="11.140625" style="370" customWidth="1"/>
    <col min="14368" max="14368" width="11.42578125" style="370"/>
    <col min="14369" max="14369" width="17.42578125" style="370" customWidth="1"/>
    <col min="14370" max="14614" width="11.42578125" style="370"/>
    <col min="14615" max="14615" width="14.5703125" style="370" customWidth="1"/>
    <col min="14616" max="14616" width="12.7109375" style="370" customWidth="1"/>
    <col min="14617" max="14617" width="1.5703125" style="370" customWidth="1"/>
    <col min="14618" max="14618" width="18.28515625" style="370" customWidth="1"/>
    <col min="14619" max="14619" width="11" style="370" customWidth="1"/>
    <col min="14620" max="14620" width="13.28515625" style="370" bestFit="1" customWidth="1"/>
    <col min="14621" max="14621" width="18" style="370" customWidth="1"/>
    <col min="14622" max="14622" width="11.42578125" style="370"/>
    <col min="14623" max="14623" width="11.140625" style="370" customWidth="1"/>
    <col min="14624" max="14624" width="11.42578125" style="370"/>
    <col min="14625" max="14625" width="17.42578125" style="370" customWidth="1"/>
    <col min="14626" max="14870" width="11.42578125" style="370"/>
    <col min="14871" max="14871" width="14.5703125" style="370" customWidth="1"/>
    <col min="14872" max="14872" width="12.7109375" style="370" customWidth="1"/>
    <col min="14873" max="14873" width="1.5703125" style="370" customWidth="1"/>
    <col min="14874" max="14874" width="18.28515625" style="370" customWidth="1"/>
    <col min="14875" max="14875" width="11" style="370" customWidth="1"/>
    <col min="14876" max="14876" width="13.28515625" style="370" bestFit="1" customWidth="1"/>
    <col min="14877" max="14877" width="18" style="370" customWidth="1"/>
    <col min="14878" max="14878" width="11.42578125" style="370"/>
    <col min="14879" max="14879" width="11.140625" style="370" customWidth="1"/>
    <col min="14880" max="14880" width="11.42578125" style="370"/>
    <col min="14881" max="14881" width="17.42578125" style="370" customWidth="1"/>
    <col min="14882" max="15126" width="11.42578125" style="370"/>
    <col min="15127" max="15127" width="14.5703125" style="370" customWidth="1"/>
    <col min="15128" max="15128" width="12.7109375" style="370" customWidth="1"/>
    <col min="15129" max="15129" width="1.5703125" style="370" customWidth="1"/>
    <col min="15130" max="15130" width="18.28515625" style="370" customWidth="1"/>
    <col min="15131" max="15131" width="11" style="370" customWidth="1"/>
    <col min="15132" max="15132" width="13.28515625" style="370" bestFit="1" customWidth="1"/>
    <col min="15133" max="15133" width="18" style="370" customWidth="1"/>
    <col min="15134" max="15134" width="11.42578125" style="370"/>
    <col min="15135" max="15135" width="11.140625" style="370" customWidth="1"/>
    <col min="15136" max="15136" width="11.42578125" style="370"/>
    <col min="15137" max="15137" width="17.42578125" style="370" customWidth="1"/>
    <col min="15138" max="15382" width="11.42578125" style="370"/>
    <col min="15383" max="15383" width="14.5703125" style="370" customWidth="1"/>
    <col min="15384" max="15384" width="12.7109375" style="370" customWidth="1"/>
    <col min="15385" max="15385" width="1.5703125" style="370" customWidth="1"/>
    <col min="15386" max="15386" width="18.28515625" style="370" customWidth="1"/>
    <col min="15387" max="15387" width="11" style="370" customWidth="1"/>
    <col min="15388" max="15388" width="13.28515625" style="370" bestFit="1" customWidth="1"/>
    <col min="15389" max="15389" width="18" style="370" customWidth="1"/>
    <col min="15390" max="15390" width="11.42578125" style="370"/>
    <col min="15391" max="15391" width="11.140625" style="370" customWidth="1"/>
    <col min="15392" max="15392" width="11.42578125" style="370"/>
    <col min="15393" max="15393" width="17.42578125" style="370" customWidth="1"/>
    <col min="15394" max="15638" width="11.42578125" style="370"/>
    <col min="15639" max="15639" width="14.5703125" style="370" customWidth="1"/>
    <col min="15640" max="15640" width="12.7109375" style="370" customWidth="1"/>
    <col min="15641" max="15641" width="1.5703125" style="370" customWidth="1"/>
    <col min="15642" max="15642" width="18.28515625" style="370" customWidth="1"/>
    <col min="15643" max="15643" width="11" style="370" customWidth="1"/>
    <col min="15644" max="15644" width="13.28515625" style="370" bestFit="1" customWidth="1"/>
    <col min="15645" max="15645" width="18" style="370" customWidth="1"/>
    <col min="15646" max="15646" width="11.42578125" style="370"/>
    <col min="15647" max="15647" width="11.140625" style="370" customWidth="1"/>
    <col min="15648" max="15648" width="11.42578125" style="370"/>
    <col min="15649" max="15649" width="17.42578125" style="370" customWidth="1"/>
    <col min="15650" max="15894" width="11.42578125" style="370"/>
    <col min="15895" max="15895" width="14.5703125" style="370" customWidth="1"/>
    <col min="15896" max="15896" width="12.7109375" style="370" customWidth="1"/>
    <col min="15897" max="15897" width="1.5703125" style="370" customWidth="1"/>
    <col min="15898" max="15898" width="18.28515625" style="370" customWidth="1"/>
    <col min="15899" max="15899" width="11" style="370" customWidth="1"/>
    <col min="15900" max="15900" width="13.28515625" style="370" bestFit="1" customWidth="1"/>
    <col min="15901" max="15901" width="18" style="370" customWidth="1"/>
    <col min="15902" max="15902" width="11.42578125" style="370"/>
    <col min="15903" max="15903" width="11.140625" style="370" customWidth="1"/>
    <col min="15904" max="15904" width="11.42578125" style="370"/>
    <col min="15905" max="15905" width="17.42578125" style="370" customWidth="1"/>
    <col min="15906" max="16150" width="11.42578125" style="370"/>
    <col min="16151" max="16151" width="14.5703125" style="370" customWidth="1"/>
    <col min="16152" max="16152" width="12.7109375" style="370" customWidth="1"/>
    <col min="16153" max="16153" width="1.5703125" style="370" customWidth="1"/>
    <col min="16154" max="16154" width="18.28515625" style="370" customWidth="1"/>
    <col min="16155" max="16155" width="11" style="370" customWidth="1"/>
    <col min="16156" max="16156" width="13.28515625" style="370" bestFit="1" customWidth="1"/>
    <col min="16157" max="16157" width="18" style="370" customWidth="1"/>
    <col min="16158" max="16158" width="11.42578125" style="370"/>
    <col min="16159" max="16159" width="11.140625" style="370" customWidth="1"/>
    <col min="16160" max="16160" width="11.42578125" style="370"/>
    <col min="16161" max="16161" width="17.42578125" style="370" customWidth="1"/>
    <col min="16162" max="16384" width="11.42578125" style="370"/>
  </cols>
  <sheetData>
    <row r="1" spans="1:74" ht="12.75" customHeight="1" x14ac:dyDescent="0.2">
      <c r="A1" s="367" t="s">
        <v>135</v>
      </c>
      <c r="B1" s="367"/>
      <c r="C1" s="367"/>
      <c r="D1" s="367"/>
      <c r="E1" s="367"/>
      <c r="F1" s="367"/>
      <c r="G1" s="367"/>
      <c r="H1" s="367"/>
      <c r="I1" s="367"/>
      <c r="J1" s="367"/>
      <c r="K1" s="367"/>
      <c r="L1" s="367"/>
      <c r="M1" s="368"/>
      <c r="N1" s="369"/>
      <c r="O1" s="369"/>
      <c r="P1" s="369"/>
      <c r="Q1" s="369"/>
      <c r="R1" s="369"/>
      <c r="S1" s="369"/>
      <c r="T1" s="369"/>
      <c r="U1" s="369"/>
      <c r="V1" s="369"/>
      <c r="W1" s="369"/>
      <c r="X1" s="369"/>
      <c r="Y1" s="369"/>
      <c r="Z1" s="369"/>
      <c r="AA1" s="369"/>
      <c r="AB1" s="369"/>
      <c r="AC1" s="369"/>
      <c r="AD1" s="369"/>
      <c r="AE1" s="369"/>
      <c r="AF1" s="369"/>
      <c r="AG1" s="369"/>
      <c r="AH1" s="369"/>
      <c r="AI1" s="369"/>
      <c r="AJ1" s="369"/>
      <c r="AK1" s="369"/>
      <c r="AL1" s="369"/>
      <c r="AM1" s="369"/>
      <c r="AN1" s="369"/>
      <c r="AO1" s="369"/>
      <c r="AP1" s="369"/>
      <c r="AQ1" s="369"/>
      <c r="AR1" s="369"/>
      <c r="AS1" s="369"/>
      <c r="AT1" s="369"/>
      <c r="AU1" s="369"/>
      <c r="AV1" s="369"/>
      <c r="AW1" s="369"/>
      <c r="AX1" s="369"/>
      <c r="AY1" s="369"/>
      <c r="AZ1" s="369"/>
      <c r="BA1" s="369"/>
      <c r="BB1" s="369"/>
      <c r="BC1" s="369"/>
      <c r="BD1" s="369"/>
      <c r="BE1" s="369"/>
      <c r="BF1" s="369"/>
      <c r="BG1" s="369"/>
      <c r="BH1" s="369"/>
      <c r="BI1" s="369"/>
      <c r="BL1" s="371"/>
      <c r="BM1" s="372" t="s">
        <v>1</v>
      </c>
    </row>
    <row r="2" spans="1:74" ht="12.75" customHeight="1" x14ac:dyDescent="0.2">
      <c r="A2" s="367"/>
      <c r="B2" s="367"/>
      <c r="C2" s="367"/>
      <c r="D2" s="367"/>
      <c r="E2" s="367"/>
      <c r="F2" s="367"/>
      <c r="G2" s="367"/>
      <c r="H2" s="367"/>
      <c r="I2" s="367"/>
      <c r="J2" s="367"/>
      <c r="K2" s="367"/>
      <c r="L2" s="367"/>
      <c r="M2" s="368"/>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c r="AQ2" s="369"/>
      <c r="AR2" s="369"/>
      <c r="AS2" s="369"/>
      <c r="AT2" s="369"/>
      <c r="AU2" s="369"/>
      <c r="AV2" s="369"/>
      <c r="AW2" s="369"/>
      <c r="AX2" s="369"/>
      <c r="AY2" s="369"/>
      <c r="AZ2" s="369"/>
      <c r="BA2" s="369"/>
      <c r="BB2" s="369"/>
      <c r="BC2" s="369"/>
      <c r="BD2" s="369"/>
      <c r="BE2" s="369"/>
      <c r="BF2" s="369"/>
      <c r="BG2" s="369"/>
      <c r="BH2" s="369"/>
      <c r="BI2" s="369"/>
      <c r="BL2" s="371"/>
    </row>
    <row r="3" spans="1:74" ht="12.75" customHeight="1" x14ac:dyDescent="0.2">
      <c r="A3" s="367"/>
      <c r="B3" s="373"/>
      <c r="C3" s="373"/>
      <c r="D3" s="373"/>
      <c r="E3" s="373"/>
      <c r="F3" s="373"/>
      <c r="G3" s="373"/>
      <c r="H3" s="373"/>
      <c r="I3" s="373"/>
      <c r="J3" s="373"/>
      <c r="K3" s="373"/>
      <c r="L3" s="373"/>
      <c r="M3" s="374"/>
      <c r="N3" s="369"/>
      <c r="O3" s="369"/>
      <c r="P3" s="369"/>
      <c r="Q3" s="369"/>
      <c r="R3" s="369"/>
      <c r="S3" s="369"/>
      <c r="T3" s="369"/>
      <c r="U3" s="369"/>
      <c r="V3" s="369"/>
      <c r="W3" s="369"/>
      <c r="X3" s="369"/>
      <c r="Y3" s="369"/>
      <c r="Z3" s="369"/>
      <c r="AA3" s="369"/>
      <c r="AB3" s="369"/>
      <c r="AC3" s="369"/>
      <c r="AD3" s="369"/>
      <c r="AE3" s="369"/>
      <c r="AF3" s="369"/>
      <c r="AG3" s="369"/>
      <c r="AH3" s="369"/>
      <c r="AI3" s="369"/>
      <c r="AJ3" s="369"/>
      <c r="AK3" s="369"/>
      <c r="AL3" s="369"/>
      <c r="AM3" s="369"/>
      <c r="AN3" s="369"/>
      <c r="AO3" s="369"/>
      <c r="AP3" s="369"/>
      <c r="AQ3" s="369"/>
      <c r="AR3" s="369"/>
      <c r="AS3" s="369"/>
      <c r="AT3" s="369"/>
      <c r="AU3" s="369"/>
      <c r="AV3" s="369"/>
      <c r="AW3" s="369"/>
      <c r="AX3" s="369"/>
      <c r="AY3" s="369"/>
      <c r="AZ3" s="369"/>
      <c r="BA3" s="369"/>
      <c r="BB3" s="369"/>
      <c r="BC3" s="369"/>
      <c r="BD3" s="369"/>
      <c r="BE3" s="369"/>
      <c r="BF3" s="369"/>
      <c r="BG3" s="369"/>
      <c r="BH3" s="369"/>
      <c r="BI3" s="369"/>
      <c r="BL3" s="371"/>
    </row>
    <row r="4" spans="1:74" ht="12.75" customHeight="1" x14ac:dyDescent="0.2">
      <c r="A4" s="375"/>
      <c r="B4" s="375"/>
      <c r="C4" s="375"/>
      <c r="D4" s="375"/>
      <c r="E4" s="375"/>
      <c r="F4" s="375"/>
      <c r="G4" s="375"/>
      <c r="H4" s="375"/>
      <c r="I4" s="375"/>
      <c r="J4" s="375"/>
      <c r="K4" s="375"/>
      <c r="L4" s="375"/>
      <c r="M4" s="375"/>
      <c r="N4" s="375"/>
      <c r="O4" s="375"/>
      <c r="P4" s="375"/>
      <c r="Q4" s="375"/>
      <c r="R4" s="375"/>
      <c r="S4" s="375"/>
      <c r="T4" s="375"/>
      <c r="U4" s="375"/>
      <c r="V4" s="375"/>
      <c r="W4" s="375"/>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5"/>
      <c r="AX4" s="375"/>
      <c r="AY4" s="375"/>
      <c r="AZ4" s="375"/>
      <c r="BA4" s="375"/>
      <c r="BB4" s="375"/>
      <c r="BC4" s="376"/>
      <c r="BL4" s="371"/>
    </row>
    <row r="5" spans="1:74" ht="12.75" customHeight="1" x14ac:dyDescent="0.2">
      <c r="A5" s="377" t="s">
        <v>136</v>
      </c>
      <c r="B5" s="377"/>
      <c r="C5" s="377"/>
      <c r="D5" s="377"/>
      <c r="E5" s="377"/>
      <c r="F5" s="377"/>
      <c r="G5" s="377"/>
      <c r="H5" s="377"/>
      <c r="I5" s="377"/>
      <c r="J5" s="377"/>
      <c r="K5" s="377"/>
      <c r="L5" s="377"/>
      <c r="M5" s="377"/>
      <c r="N5" s="377"/>
      <c r="O5" s="377"/>
      <c r="P5" s="377"/>
      <c r="Q5" s="377"/>
      <c r="R5" s="377"/>
      <c r="S5" s="377"/>
      <c r="T5" s="377"/>
      <c r="U5" s="377"/>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c r="AY5" s="377"/>
      <c r="AZ5" s="377"/>
      <c r="BA5" s="377"/>
      <c r="BB5" s="377"/>
      <c r="BC5" s="376"/>
      <c r="BL5" s="371"/>
    </row>
    <row r="6" spans="1:74" ht="20.100000000000001" customHeight="1" x14ac:dyDescent="0.2">
      <c r="A6" s="378" t="s">
        <v>137</v>
      </c>
      <c r="B6" s="377"/>
      <c r="C6" s="377"/>
      <c r="D6" s="377"/>
      <c r="E6" s="377"/>
      <c r="F6" s="377"/>
      <c r="G6" s="377"/>
      <c r="H6" s="377"/>
      <c r="I6" s="377"/>
      <c r="J6" s="377"/>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7"/>
      <c r="AL6" s="377"/>
      <c r="AM6" s="377"/>
      <c r="AN6" s="377"/>
      <c r="AO6" s="377"/>
      <c r="AP6" s="377"/>
      <c r="AQ6" s="377"/>
      <c r="AR6" s="377"/>
      <c r="AS6" s="377"/>
      <c r="AT6" s="377"/>
      <c r="AU6" s="377"/>
      <c r="AV6" s="377"/>
      <c r="AW6" s="377"/>
      <c r="AX6" s="377"/>
      <c r="AY6" s="377"/>
      <c r="AZ6" s="377"/>
      <c r="BA6" s="377"/>
      <c r="BB6" s="377"/>
      <c r="BC6" s="379"/>
      <c r="BD6" s="380"/>
      <c r="BE6" s="380"/>
      <c r="BF6" s="380"/>
      <c r="BG6" s="380"/>
      <c r="BH6" s="380"/>
      <c r="BI6" s="380"/>
      <c r="BJ6" s="380"/>
      <c r="BK6" s="380"/>
      <c r="BL6" s="380"/>
      <c r="BM6" s="380"/>
      <c r="BN6" s="380"/>
      <c r="BO6" s="380"/>
      <c r="BP6" s="380"/>
      <c r="BQ6" s="380"/>
      <c r="BR6" s="380"/>
      <c r="BS6" s="380"/>
      <c r="BT6" s="380"/>
      <c r="BU6" s="380"/>
      <c r="BV6" s="380"/>
    </row>
    <row r="7" spans="1:74" ht="27" customHeight="1" x14ac:dyDescent="0.2">
      <c r="A7" s="381" t="s">
        <v>138</v>
      </c>
      <c r="B7" s="381"/>
      <c r="C7" s="381"/>
      <c r="D7" s="381"/>
      <c r="E7" s="381"/>
      <c r="F7" s="381"/>
      <c r="G7" s="381"/>
      <c r="H7" s="381"/>
      <c r="I7" s="381"/>
      <c r="J7" s="381"/>
      <c r="K7" s="381"/>
      <c r="L7" s="381"/>
      <c r="M7" s="381"/>
      <c r="N7" s="381"/>
      <c r="O7" s="381"/>
      <c r="P7" s="381"/>
      <c r="Q7" s="381"/>
      <c r="R7" s="381"/>
      <c r="S7" s="381"/>
      <c r="T7" s="381"/>
      <c r="U7" s="381"/>
      <c r="V7" s="381"/>
      <c r="W7" s="381"/>
      <c r="X7" s="381"/>
      <c r="Y7" s="381"/>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381"/>
      <c r="BA7" s="381"/>
      <c r="BB7" s="381"/>
      <c r="BC7" s="379"/>
      <c r="BD7" s="380"/>
      <c r="BE7" s="380"/>
      <c r="BF7" s="380"/>
      <c r="BG7" s="380"/>
      <c r="BH7" s="380"/>
      <c r="BI7" s="380"/>
      <c r="BJ7" s="380"/>
      <c r="BK7" s="380"/>
      <c r="BL7" s="380"/>
      <c r="BM7" s="380"/>
      <c r="BN7" s="380"/>
      <c r="BO7" s="380"/>
      <c r="BP7" s="380"/>
      <c r="BQ7" s="380"/>
      <c r="BR7" s="380"/>
      <c r="BS7" s="380"/>
      <c r="BT7" s="380"/>
      <c r="BU7" s="380"/>
      <c r="BV7" s="380"/>
    </row>
    <row r="8" spans="1:74" ht="20.100000000000001" customHeight="1" x14ac:dyDescent="0.2">
      <c r="A8" s="381" t="s">
        <v>139</v>
      </c>
      <c r="B8" s="381"/>
      <c r="C8" s="381"/>
      <c r="D8" s="381"/>
      <c r="E8" s="381"/>
      <c r="F8" s="381"/>
      <c r="G8" s="381"/>
      <c r="H8" s="381"/>
      <c r="I8" s="381"/>
      <c r="J8" s="381"/>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381"/>
      <c r="BB8" s="381"/>
      <c r="BC8" s="379"/>
      <c r="BL8" s="371"/>
    </row>
    <row r="9" spans="1:74" ht="20.100000000000001" customHeight="1" x14ac:dyDescent="0.2">
      <c r="A9" s="382" t="s">
        <v>140</v>
      </c>
      <c r="B9" s="382"/>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79"/>
      <c r="BL9" s="371"/>
    </row>
    <row r="10" spans="1:74" ht="20.100000000000001" customHeight="1" x14ac:dyDescent="0.2">
      <c r="A10" s="381" t="s">
        <v>141</v>
      </c>
      <c r="B10" s="381"/>
      <c r="C10" s="381"/>
      <c r="D10" s="381"/>
      <c r="E10" s="381"/>
      <c r="F10" s="381"/>
      <c r="G10" s="381"/>
      <c r="H10" s="381"/>
      <c r="I10" s="381"/>
      <c r="J10" s="381"/>
      <c r="K10" s="381"/>
      <c r="L10" s="381"/>
      <c r="M10" s="381"/>
      <c r="N10" s="381"/>
      <c r="O10" s="381"/>
      <c r="P10" s="381"/>
      <c r="Q10" s="381"/>
      <c r="R10" s="381"/>
      <c r="S10" s="381"/>
      <c r="T10" s="381"/>
      <c r="U10" s="381"/>
      <c r="V10" s="381"/>
      <c r="W10" s="381"/>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381"/>
      <c r="BB10" s="381"/>
      <c r="BC10" s="379"/>
      <c r="BL10" s="371"/>
    </row>
    <row r="11" spans="1:74" ht="20.100000000000001" customHeight="1" x14ac:dyDescent="0.2">
      <c r="A11" s="381" t="s">
        <v>142</v>
      </c>
      <c r="B11" s="381"/>
      <c r="C11" s="381"/>
      <c r="D11" s="381"/>
      <c r="E11" s="381"/>
      <c r="F11" s="381"/>
      <c r="G11" s="381"/>
      <c r="H11" s="381"/>
      <c r="I11" s="381"/>
      <c r="J11" s="381"/>
      <c r="K11" s="381"/>
      <c r="L11" s="381"/>
      <c r="M11" s="381"/>
      <c r="N11" s="381"/>
      <c r="O11" s="381"/>
      <c r="P11" s="381"/>
      <c r="Q11" s="381"/>
      <c r="R11" s="381"/>
      <c r="S11" s="381"/>
      <c r="T11" s="381"/>
      <c r="U11" s="381"/>
      <c r="V11" s="381"/>
      <c r="W11" s="381"/>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381"/>
      <c r="BB11" s="381"/>
      <c r="BC11" s="379"/>
      <c r="BL11" s="371"/>
    </row>
    <row r="12" spans="1:74" ht="20.100000000000001" customHeight="1" x14ac:dyDescent="0.2">
      <c r="A12" s="381" t="s">
        <v>143</v>
      </c>
      <c r="B12" s="381"/>
      <c r="C12" s="381"/>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381"/>
      <c r="BB12" s="381"/>
      <c r="BC12" s="379"/>
      <c r="BL12" s="371"/>
    </row>
    <row r="13" spans="1:74" ht="20.100000000000001" customHeight="1" x14ac:dyDescent="0.2">
      <c r="A13" s="382" t="s">
        <v>144</v>
      </c>
      <c r="B13" s="382"/>
      <c r="C13" s="382"/>
      <c r="D13" s="382"/>
      <c r="E13" s="382"/>
      <c r="F13" s="382"/>
      <c r="G13" s="382"/>
      <c r="H13" s="382"/>
      <c r="I13" s="382"/>
      <c r="J13" s="382"/>
      <c r="K13" s="382"/>
      <c r="L13" s="382"/>
      <c r="M13" s="382"/>
      <c r="N13" s="382"/>
      <c r="O13" s="382"/>
      <c r="P13" s="382"/>
      <c r="Q13" s="382"/>
      <c r="R13" s="382"/>
      <c r="S13" s="382"/>
      <c r="T13" s="382"/>
      <c r="U13" s="382"/>
      <c r="V13" s="382"/>
      <c r="W13" s="382"/>
      <c r="X13" s="382"/>
      <c r="Y13" s="382"/>
      <c r="Z13" s="382"/>
      <c r="AA13" s="382"/>
      <c r="AB13" s="382"/>
      <c r="AC13" s="382"/>
      <c r="AD13" s="382"/>
      <c r="AE13" s="382"/>
      <c r="AF13" s="382"/>
      <c r="AG13" s="382"/>
      <c r="AH13" s="382"/>
      <c r="AI13" s="382"/>
      <c r="AJ13" s="382"/>
      <c r="AK13" s="382"/>
      <c r="AL13" s="382"/>
      <c r="AM13" s="382"/>
      <c r="AN13" s="382"/>
      <c r="AO13" s="382"/>
      <c r="AP13" s="382"/>
      <c r="AQ13" s="382"/>
      <c r="AR13" s="382"/>
      <c r="AS13" s="382"/>
      <c r="AT13" s="382"/>
      <c r="AU13" s="382"/>
      <c r="AV13" s="382"/>
      <c r="AW13" s="382"/>
      <c r="AX13" s="382"/>
      <c r="AY13" s="382"/>
      <c r="AZ13" s="382"/>
      <c r="BA13" s="382"/>
      <c r="BB13" s="382"/>
      <c r="BC13" s="379"/>
      <c r="BD13" s="370" t="str">
        <f ca="1">IFERROR(_xll.BDP($BW13,"CUR_MKT_CAP")/1000000000,"-")</f>
        <v>-</v>
      </c>
      <c r="BG13" s="370" t="s">
        <v>39</v>
      </c>
      <c r="BJ13" s="370" t="str">
        <f ca="1">IFERROR(_xll.BDP($BW13,"PX_TO_BOOK_RATIO")*1,"-")</f>
        <v>-</v>
      </c>
      <c r="BL13" s="371"/>
      <c r="BM13" s="370" t="str">
        <f ca="1">IFERROR(_xll.BDP($BW13,"PE_RATIO")*1,"-")</f>
        <v>-</v>
      </c>
      <c r="BP13" s="370" t="str">
        <f ca="1">IFERROR(_xll.BDP($BW13,"PX_TO_SALES_RATIO")*1,"-")</f>
        <v>-</v>
      </c>
      <c r="BS13" s="370" t="str">
        <f ca="1">IFERROR(_xll.BDP($BW13,"PX_TO_FREE_CASH_FLOW")*1,"-")</f>
        <v>-</v>
      </c>
    </row>
    <row r="14" spans="1:74" ht="20.100000000000001" customHeight="1" x14ac:dyDescent="0.2">
      <c r="A14" s="383" t="s">
        <v>145</v>
      </c>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383"/>
      <c r="BC14" s="379"/>
    </row>
    <row r="15" spans="1:74" ht="20.100000000000001" customHeight="1" x14ac:dyDescent="0.2">
      <c r="A15" s="384" t="s">
        <v>146</v>
      </c>
      <c r="B15" s="384"/>
      <c r="C15" s="384"/>
      <c r="D15" s="384"/>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384"/>
      <c r="BA15" s="384"/>
      <c r="BB15" s="384"/>
      <c r="BC15" s="379"/>
      <c r="BD15" s="385"/>
      <c r="BE15" s="385"/>
      <c r="BF15" s="385"/>
      <c r="BG15" s="385"/>
      <c r="BH15" s="385"/>
      <c r="BI15" s="385"/>
      <c r="BJ15" s="385"/>
      <c r="BK15" s="385"/>
      <c r="BL15" s="385"/>
      <c r="BM15" s="385"/>
      <c r="BN15" s="385"/>
      <c r="BO15" s="385"/>
      <c r="BP15" s="385"/>
      <c r="BQ15" s="385"/>
      <c r="BR15" s="385"/>
      <c r="BS15" s="385"/>
      <c r="BT15" s="385"/>
      <c r="BU15" s="385"/>
      <c r="BV15" s="385"/>
    </row>
    <row r="16" spans="1:74" ht="20.100000000000001" customHeight="1" x14ac:dyDescent="0.2">
      <c r="A16" s="382" t="s">
        <v>147</v>
      </c>
      <c r="B16" s="382"/>
      <c r="C16" s="382"/>
      <c r="D16" s="382"/>
      <c r="E16" s="382"/>
      <c r="F16" s="382"/>
      <c r="G16" s="382"/>
      <c r="H16" s="382"/>
      <c r="I16" s="382"/>
      <c r="J16" s="382"/>
      <c r="K16" s="382"/>
      <c r="L16" s="382"/>
      <c r="M16" s="382"/>
      <c r="N16" s="382"/>
      <c r="O16" s="382"/>
      <c r="P16" s="382"/>
      <c r="Q16" s="382"/>
      <c r="R16" s="382"/>
      <c r="S16" s="382"/>
      <c r="T16" s="382"/>
      <c r="U16" s="382"/>
      <c r="V16" s="382"/>
      <c r="W16" s="382"/>
      <c r="X16" s="382"/>
      <c r="Y16" s="382"/>
      <c r="Z16" s="382"/>
      <c r="AA16" s="382"/>
      <c r="AB16" s="382"/>
      <c r="AC16" s="382"/>
      <c r="AD16" s="382"/>
      <c r="AE16" s="382"/>
      <c r="AF16" s="382"/>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2"/>
      <c r="BC16" s="379"/>
      <c r="BD16" s="385"/>
      <c r="BE16" s="385"/>
      <c r="BF16" s="385"/>
      <c r="BG16" s="385"/>
      <c r="BH16" s="385"/>
      <c r="BI16" s="385"/>
      <c r="BJ16" s="385"/>
      <c r="BK16" s="385"/>
      <c r="BL16" s="385"/>
      <c r="BM16" s="385"/>
      <c r="BN16" s="385"/>
      <c r="BO16" s="385"/>
      <c r="BP16" s="385"/>
      <c r="BQ16" s="385" t="str">
        <f>IF(OR(IFERROR(VLOOKUP(CA16,[1]ARS!A:EL,MATCH("Price To Earnings",[1]ARS!$4:$4,0),FALSE),"-")&lt;0,IFERROR(VLOOKUP(CA16,[1]ARS!A:EL,MATCH("Price To Earnings",[1]ARS!$4:$4,0),FALSE),"-")&gt;500),"-",IFERROR(VLOOKUP(CA16,[1]ARS!A:EL,MATCH("Price To Earnings",[1]ARS!$4:$4,0),FALSE),"-"))</f>
        <v>-</v>
      </c>
      <c r="BR16" s="385"/>
      <c r="BS16" s="385"/>
      <c r="BT16" s="385"/>
      <c r="BU16" s="385"/>
      <c r="BV16" s="385"/>
    </row>
    <row r="17" spans="1:82" ht="20.100000000000001" customHeight="1" x14ac:dyDescent="0.2">
      <c r="A17" s="381" t="s">
        <v>148</v>
      </c>
      <c r="B17" s="381"/>
      <c r="C17" s="381"/>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381"/>
      <c r="BB17" s="381"/>
      <c r="BC17" s="379"/>
      <c r="BD17" s="385"/>
      <c r="BE17" s="385"/>
      <c r="BF17" s="385"/>
      <c r="BG17" s="385"/>
      <c r="BH17" s="385"/>
      <c r="BI17" s="385"/>
      <c r="BJ17" s="385"/>
      <c r="BK17" s="385"/>
      <c r="BL17" s="385"/>
      <c r="BM17" s="385"/>
      <c r="BN17" s="385"/>
      <c r="BO17" s="385"/>
      <c r="BP17" s="385"/>
      <c r="BQ17" s="385" t="str">
        <f>IF(OR(IFERROR(VLOOKUP(CA17,[1]ARS!A:EL,MATCH("Price To Earnings",[1]ARS!$4:$4,0),FALSE),"-")&lt;0,IFERROR(VLOOKUP(CA17,[1]ARS!A:EL,MATCH("Price To Earnings",[1]ARS!$4:$4,0),FALSE),"-")&gt;500),"-",IFERROR(VLOOKUP(CA17,[1]ARS!A:EL,MATCH("Price To Earnings",[1]ARS!$4:$4,0),FALSE),"-"))</f>
        <v>-</v>
      </c>
      <c r="BR17" s="385"/>
      <c r="BS17" s="385"/>
      <c r="BT17" s="385"/>
      <c r="BU17" s="385"/>
      <c r="BV17" s="385"/>
    </row>
    <row r="18" spans="1:82" ht="20.100000000000001" customHeight="1" x14ac:dyDescent="0.2">
      <c r="A18" s="381" t="s">
        <v>149</v>
      </c>
      <c r="B18" s="381"/>
      <c r="C18" s="381"/>
      <c r="D18" s="381"/>
      <c r="E18" s="381"/>
      <c r="F18" s="381"/>
      <c r="G18" s="381"/>
      <c r="H18" s="381"/>
      <c r="I18" s="381"/>
      <c r="J18" s="381"/>
      <c r="K18" s="381"/>
      <c r="L18" s="381"/>
      <c r="M18" s="381"/>
      <c r="N18" s="381"/>
      <c r="O18" s="381"/>
      <c r="P18" s="381"/>
      <c r="Q18" s="381"/>
      <c r="R18" s="381"/>
      <c r="S18" s="381"/>
      <c r="T18" s="381"/>
      <c r="U18" s="381"/>
      <c r="V18" s="381"/>
      <c r="W18" s="381"/>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381"/>
      <c r="BB18" s="381"/>
      <c r="BC18" s="379"/>
      <c r="BD18" s="385"/>
      <c r="BE18" s="385"/>
      <c r="BF18" s="385"/>
      <c r="BG18" s="385"/>
      <c r="BH18" s="385"/>
      <c r="BI18" s="385"/>
      <c r="BJ18" s="385"/>
      <c r="BK18" s="385"/>
      <c r="BL18" s="385"/>
      <c r="BM18" s="385"/>
      <c r="BN18" s="385"/>
      <c r="BO18" s="385"/>
      <c r="BP18" s="385"/>
      <c r="BQ18" s="385" t="str">
        <f>IF(OR(IFERROR(VLOOKUP(CA18,[1]ARS!A:EL,MATCH("Price To Earnings",[1]ARS!$4:$4,0),FALSE),"-")&lt;0,IFERROR(VLOOKUP(CA18,[1]ARS!A:EL,MATCH("Price To Earnings",[1]ARS!$4:$4,0),FALSE),"-")&gt;500),"-",IFERROR(VLOOKUP(CA18,[1]ARS!A:EL,MATCH("Price To Earnings",[1]ARS!$4:$4,0),FALSE),"-"))</f>
        <v>-</v>
      </c>
      <c r="BR18" s="385"/>
      <c r="BS18" s="385"/>
      <c r="BT18" s="385"/>
      <c r="BU18" s="385"/>
      <c r="BV18" s="385"/>
    </row>
    <row r="19" spans="1:82" ht="20.100000000000001" customHeight="1" x14ac:dyDescent="0.2">
      <c r="A19" s="381" t="s">
        <v>150</v>
      </c>
      <c r="B19" s="381"/>
      <c r="C19" s="381"/>
      <c r="D19" s="381"/>
      <c r="E19" s="381"/>
      <c r="F19" s="381"/>
      <c r="G19" s="381"/>
      <c r="H19" s="381"/>
      <c r="I19" s="381"/>
      <c r="J19" s="381"/>
      <c r="K19" s="381"/>
      <c r="L19" s="381"/>
      <c r="M19" s="381"/>
      <c r="N19" s="381"/>
      <c r="O19" s="381"/>
      <c r="P19" s="381"/>
      <c r="Q19" s="381"/>
      <c r="R19" s="381"/>
      <c r="S19" s="381"/>
      <c r="T19" s="381"/>
      <c r="U19" s="381"/>
      <c r="V19" s="381"/>
      <c r="W19" s="381"/>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381"/>
      <c r="BA19" s="381"/>
      <c r="BB19" s="381"/>
      <c r="BC19" s="379"/>
      <c r="BD19" s="385"/>
      <c r="BE19" s="385"/>
      <c r="BF19" s="385"/>
      <c r="BG19" s="385"/>
      <c r="BH19" s="385"/>
      <c r="BI19" s="385"/>
      <c r="BJ19" s="385"/>
      <c r="BK19" s="385"/>
      <c r="BL19" s="385"/>
      <c r="BM19" s="385"/>
      <c r="BN19" s="385"/>
      <c r="BO19" s="385"/>
      <c r="BP19" s="385"/>
      <c r="BQ19" s="385" t="str">
        <f>IF(OR(IFERROR(VLOOKUP(CA19,[1]ARS!A:EL,MATCH("Price To Earnings",[1]ARS!$4:$4,0),FALSE),"-")&lt;0,IFERROR(VLOOKUP(CA19,[1]ARS!A:EL,MATCH("Price To Earnings",[1]ARS!$4:$4,0),FALSE),"-")&gt;500),"-",IFERROR(VLOOKUP(CA19,[1]ARS!A:EL,MATCH("Price To Earnings",[1]ARS!$4:$4,0),FALSE),"-"))</f>
        <v>-</v>
      </c>
      <c r="BR19" s="385"/>
      <c r="BS19" s="385"/>
      <c r="BT19" s="385"/>
      <c r="BU19" s="385"/>
      <c r="BV19" s="385"/>
    </row>
    <row r="20" spans="1:82" ht="20.100000000000001" customHeight="1" x14ac:dyDescent="0.2">
      <c r="A20" s="381" t="s">
        <v>151</v>
      </c>
      <c r="B20" s="381"/>
      <c r="C20" s="381"/>
      <c r="D20" s="381"/>
      <c r="E20" s="381"/>
      <c r="F20" s="381"/>
      <c r="G20" s="381"/>
      <c r="H20" s="381"/>
      <c r="I20" s="381"/>
      <c r="J20" s="381"/>
      <c r="K20" s="381"/>
      <c r="L20" s="381"/>
      <c r="M20" s="381"/>
      <c r="N20" s="381"/>
      <c r="O20" s="381"/>
      <c r="P20" s="381"/>
      <c r="Q20" s="381"/>
      <c r="R20" s="381"/>
      <c r="S20" s="381"/>
      <c r="T20" s="381"/>
      <c r="U20" s="381"/>
      <c r="V20" s="381"/>
      <c r="W20" s="381"/>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381"/>
      <c r="BA20" s="381"/>
      <c r="BB20" s="381"/>
      <c r="BC20" s="379"/>
      <c r="BD20" s="385"/>
      <c r="BE20" s="385"/>
      <c r="BF20" s="385"/>
      <c r="BG20" s="385"/>
      <c r="BH20" s="385"/>
      <c r="BI20" s="385"/>
      <c r="BJ20" s="385"/>
      <c r="BK20" s="385"/>
      <c r="BL20" s="385"/>
      <c r="BM20" s="385"/>
      <c r="BN20" s="385"/>
      <c r="BO20" s="385"/>
      <c r="BP20" s="385"/>
      <c r="BQ20" s="385" t="str">
        <f>IF(OR(IFERROR(VLOOKUP(CA20,[1]ARS!A:EL,MATCH("Price To Earnings",[1]ARS!$4:$4,0),FALSE),"-")&lt;0,IFERROR(VLOOKUP(CA20,[1]ARS!A:EL,MATCH("Price To Earnings",[1]ARS!$4:$4,0),FALSE),"-")&gt;500),"-",IFERROR(VLOOKUP(CA20,[1]ARS!A:EL,MATCH("Price To Earnings",[1]ARS!$4:$4,0),FALSE),"-"))</f>
        <v>-</v>
      </c>
      <c r="BR20" s="385"/>
      <c r="BS20" s="385"/>
      <c r="BT20" s="385"/>
      <c r="BU20" s="385"/>
      <c r="BV20" s="385"/>
    </row>
    <row r="21" spans="1:82" ht="36" customHeight="1" x14ac:dyDescent="0.2">
      <c r="A21" s="383" t="s">
        <v>152</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3"/>
      <c r="BC21" s="379"/>
      <c r="BD21" s="385"/>
      <c r="BE21" s="385"/>
      <c r="BF21" s="385"/>
      <c r="BG21" s="385"/>
      <c r="BH21" s="385"/>
      <c r="BI21" s="385"/>
      <c r="BJ21" s="385"/>
      <c r="BK21" s="385"/>
      <c r="BL21" s="386"/>
      <c r="BM21" s="385"/>
      <c r="BN21" s="385"/>
      <c r="BO21" s="385"/>
      <c r="BP21" s="385"/>
      <c r="BQ21" s="385" t="str">
        <f>IF(OR(IFERROR(VLOOKUP(CA21,[1]ARS!A:EL,MATCH("Price To Earnings",[1]ARS!$4:$4,0),FALSE),"-")&lt;0,IFERROR(VLOOKUP(CA21,[1]ARS!A:EL,MATCH("Price To Earnings",[1]ARS!$4:$4,0),FALSE),"-")&gt;500),"-",IFERROR(VLOOKUP(CA21,[1]ARS!A:EL,MATCH("Price To Earnings",[1]ARS!$4:$4,0),FALSE),"-"))</f>
        <v>-</v>
      </c>
      <c r="BR21" s="385"/>
      <c r="BS21" s="385"/>
      <c r="BT21" s="385"/>
      <c r="BU21" s="385"/>
      <c r="BV21" s="385"/>
    </row>
    <row r="22" spans="1:82" ht="20.100000000000001" customHeight="1" x14ac:dyDescent="0.2">
      <c r="A22" s="383" t="s">
        <v>153</v>
      </c>
      <c r="B22" s="383"/>
      <c r="C22" s="383"/>
      <c r="D22" s="383"/>
      <c r="E22" s="383"/>
      <c r="F22" s="383"/>
      <c r="G22" s="383"/>
      <c r="H22" s="383"/>
      <c r="I22" s="383"/>
      <c r="J22" s="383"/>
      <c r="K22" s="383"/>
      <c r="L22" s="383"/>
      <c r="M22" s="387"/>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79"/>
      <c r="BD22" s="385"/>
      <c r="BE22" s="385"/>
      <c r="BF22" s="385"/>
      <c r="BG22" s="385"/>
      <c r="BH22" s="385"/>
      <c r="BI22" s="385"/>
      <c r="BJ22" s="385"/>
      <c r="BK22" s="385"/>
      <c r="BL22" s="386"/>
      <c r="BM22" s="385"/>
      <c r="BN22" s="385"/>
      <c r="BO22" s="385"/>
      <c r="BP22" s="385"/>
      <c r="BQ22" s="385" t="str">
        <f>IF(OR(IFERROR(VLOOKUP(CA22,[1]ARS!A:EL,MATCH("Price To Earnings",[1]ARS!$4:$4,0),FALSE),"-")&lt;0,IFERROR(VLOOKUP(CA22,[1]ARS!A:EL,MATCH("Price To Earnings",[1]ARS!$4:$4,0),FALSE),"-")&gt;500),"-",IFERROR(VLOOKUP(CA22,[1]ARS!A:EL,MATCH("Price To Earnings",[1]ARS!$4:$4,0),FALSE),"-"))</f>
        <v>-</v>
      </c>
      <c r="BR22" s="385"/>
      <c r="BS22" s="385"/>
      <c r="BT22" s="385"/>
      <c r="BU22" s="385"/>
      <c r="BV22" s="385"/>
    </row>
    <row r="23" spans="1:82" s="390" customFormat="1" ht="20.100000000000001" customHeight="1" x14ac:dyDescent="0.2">
      <c r="A23" s="383" t="s">
        <v>154</v>
      </c>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383"/>
      <c r="BC23" s="379"/>
      <c r="BD23" s="388"/>
      <c r="BE23" s="388"/>
      <c r="BF23" s="388"/>
      <c r="BG23" s="388"/>
      <c r="BH23" s="388"/>
      <c r="BI23" s="388"/>
      <c r="BJ23" s="388"/>
      <c r="BK23" s="388"/>
      <c r="BL23" s="389"/>
      <c r="BM23" s="388"/>
      <c r="BN23" s="388"/>
      <c r="BO23" s="388"/>
      <c r="BP23" s="388"/>
      <c r="BQ23" s="388" t="str">
        <f>IF(OR(IFERROR(VLOOKUP(CA23,[1]ARS!A:EL,MATCH("Price To Earnings",[1]ARS!$4:$4,0),FALSE),"-")&lt;0,IFERROR(VLOOKUP(CA23,[1]ARS!A:EL,MATCH("Price To Earnings",[1]ARS!$4:$4,0),FALSE),"-")&gt;500),"-",IFERROR(VLOOKUP(CA23,[1]ARS!A:EL,MATCH("Price To Earnings",[1]ARS!$4:$4,0),FALSE),"-"))</f>
        <v>-</v>
      </c>
      <c r="BR23" s="388"/>
      <c r="BS23" s="388"/>
      <c r="BT23" s="388"/>
      <c r="BU23" s="388"/>
      <c r="BV23" s="388"/>
      <c r="CD23" s="391"/>
    </row>
    <row r="24" spans="1:82" ht="20.100000000000001" customHeight="1" x14ac:dyDescent="0.2">
      <c r="A24" s="384" t="s">
        <v>155</v>
      </c>
      <c r="B24" s="384"/>
      <c r="C24" s="384"/>
      <c r="D24" s="384"/>
      <c r="E24" s="384"/>
      <c r="F24" s="384"/>
      <c r="G24" s="384"/>
      <c r="H24" s="384"/>
      <c r="I24" s="384"/>
      <c r="J24" s="384"/>
      <c r="K24" s="384"/>
      <c r="L24" s="384"/>
      <c r="M24" s="392"/>
      <c r="N24" s="384"/>
      <c r="O24" s="384"/>
      <c r="P24" s="384"/>
      <c r="Q24" s="384"/>
      <c r="R24" s="384"/>
      <c r="S24" s="384"/>
      <c r="T24" s="384"/>
      <c r="U24" s="384"/>
      <c r="V24" s="384"/>
      <c r="W24" s="384"/>
      <c r="X24" s="384"/>
      <c r="Y24" s="384"/>
      <c r="Z24" s="384"/>
      <c r="AA24" s="384"/>
      <c r="AB24" s="384"/>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384"/>
      <c r="BA24" s="384"/>
      <c r="BB24" s="384"/>
      <c r="BC24" s="379"/>
      <c r="BD24" s="385"/>
      <c r="BE24" s="385"/>
      <c r="BF24" s="385"/>
      <c r="BG24" s="385"/>
      <c r="BH24" s="385"/>
      <c r="BI24" s="385"/>
      <c r="BJ24" s="385"/>
      <c r="BK24" s="385"/>
      <c r="BL24" s="386"/>
      <c r="BM24" s="385"/>
      <c r="BN24" s="385"/>
      <c r="BO24" s="385"/>
      <c r="BP24" s="385"/>
      <c r="BQ24" s="385" t="str">
        <f>IF(OR(IFERROR(VLOOKUP(CA24,[1]ARS!A:EL,MATCH("Price To Earnings",[1]ARS!$4:$4,0),FALSE),"-")&lt;0,IFERROR(VLOOKUP(CA24,[1]ARS!A:EL,MATCH("Price To Earnings",[1]ARS!$4:$4,0),FALSE),"-")&gt;500),"-",IFERROR(VLOOKUP(CA24,[1]ARS!A:EL,MATCH("Price To Earnings",[1]ARS!$4:$4,0),FALSE),"-"))</f>
        <v>-</v>
      </c>
      <c r="BR24" s="385"/>
      <c r="BS24" s="385"/>
      <c r="BT24" s="385"/>
      <c r="BU24" s="385"/>
      <c r="BV24" s="385"/>
      <c r="CD24" s="391"/>
    </row>
    <row r="25" spans="1:82" ht="20.100000000000001" customHeight="1" x14ac:dyDescent="0.2">
      <c r="A25" s="384" t="s">
        <v>156</v>
      </c>
      <c r="B25" s="384"/>
      <c r="C25" s="384"/>
      <c r="D25" s="384"/>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384"/>
      <c r="BA25" s="384"/>
      <c r="BB25" s="384"/>
      <c r="BC25" s="379"/>
      <c r="BD25" s="388"/>
      <c r="BE25" s="388"/>
      <c r="BF25" s="388"/>
      <c r="BG25" s="388"/>
      <c r="BH25" s="388"/>
      <c r="BI25" s="388"/>
      <c r="BJ25" s="388"/>
      <c r="BK25" s="388"/>
      <c r="BL25" s="389"/>
      <c r="BM25" s="388"/>
      <c r="BN25" s="388"/>
      <c r="BO25" s="388"/>
      <c r="BP25" s="388"/>
      <c r="BQ25" s="388" t="str">
        <f>IF(OR(IFERROR(VLOOKUP(CA25,[1]ARS!A:EL,MATCH("Price To Earnings",[1]ARS!$4:$4,0),FALSE),"-")&lt;0,IFERROR(VLOOKUP(CA25,[1]ARS!A:EL,MATCH("Price To Earnings",[1]ARS!$4:$4,0),FALSE),"-")&gt;500),"-",IFERROR(VLOOKUP(CA25,[1]ARS!A:EL,MATCH("Price To Earnings",[1]ARS!$4:$4,0),FALSE),"-"))</f>
        <v>-</v>
      </c>
      <c r="BR25" s="388"/>
      <c r="BS25" s="388"/>
      <c r="BT25" s="388"/>
      <c r="BU25" s="388"/>
      <c r="BV25" s="388"/>
      <c r="BX25" s="370" t="s">
        <v>157</v>
      </c>
      <c r="CD25" s="391"/>
    </row>
    <row r="26" spans="1:82" ht="20.100000000000001" customHeight="1" x14ac:dyDescent="0.2">
      <c r="A26" s="393" t="s">
        <v>158</v>
      </c>
      <c r="B26" s="393"/>
      <c r="C26" s="393"/>
      <c r="D26" s="393"/>
      <c r="E26" s="393"/>
      <c r="F26" s="393"/>
      <c r="G26" s="393"/>
      <c r="H26" s="393"/>
      <c r="I26" s="393"/>
      <c r="J26" s="393"/>
      <c r="K26" s="393"/>
      <c r="L26" s="393"/>
      <c r="M26" s="394"/>
      <c r="N26" s="393"/>
      <c r="O26" s="393"/>
      <c r="P26" s="393"/>
      <c r="Q26" s="393"/>
      <c r="R26" s="393"/>
      <c r="S26" s="393"/>
      <c r="T26" s="393"/>
      <c r="U26" s="393"/>
      <c r="V26" s="393"/>
      <c r="W26" s="393"/>
      <c r="X26" s="393"/>
      <c r="Y26" s="393"/>
      <c r="Z26" s="393"/>
      <c r="AA26" s="393"/>
      <c r="AB26" s="393"/>
      <c r="AC26" s="393"/>
      <c r="AD26" s="393"/>
      <c r="AE26" s="393"/>
      <c r="AF26" s="393"/>
      <c r="AG26" s="393"/>
      <c r="AH26" s="393"/>
      <c r="AI26" s="393"/>
      <c r="AJ26" s="393"/>
      <c r="AK26" s="393"/>
      <c r="AL26" s="393"/>
      <c r="AM26" s="393"/>
      <c r="AN26" s="393"/>
      <c r="AO26" s="393"/>
      <c r="AP26" s="393"/>
      <c r="AQ26" s="393"/>
      <c r="AR26" s="393"/>
      <c r="AS26" s="393"/>
      <c r="AT26" s="393"/>
      <c r="AU26" s="393"/>
      <c r="AV26" s="393"/>
      <c r="AW26" s="393"/>
      <c r="AX26" s="393"/>
      <c r="AY26" s="393"/>
      <c r="AZ26" s="393"/>
      <c r="BA26" s="393"/>
      <c r="BB26" s="393"/>
      <c r="BC26" s="379"/>
      <c r="BD26" s="385"/>
      <c r="BE26" s="385"/>
      <c r="BF26" s="385"/>
      <c r="BG26" s="385"/>
      <c r="BH26" s="385"/>
      <c r="BI26" s="385"/>
      <c r="BJ26" s="385"/>
      <c r="BK26" s="385"/>
      <c r="BL26" s="386"/>
      <c r="BM26" s="385"/>
      <c r="BN26" s="385"/>
      <c r="BO26" s="385"/>
      <c r="BP26" s="385"/>
      <c r="BQ26" s="385" t="str">
        <f>IF(OR(IFERROR(VLOOKUP(CA26,[1]ARS!A:EL,MATCH("Price To Earnings",[1]ARS!$4:$4,0),FALSE),"-")&lt;0,IFERROR(VLOOKUP(CA26,[1]ARS!A:EL,MATCH("Price To Earnings",[1]ARS!$4:$4,0),FALSE),"-")&gt;500),"-",IFERROR(VLOOKUP(CA26,[1]ARS!A:EL,MATCH("Price To Earnings",[1]ARS!$4:$4,0),FALSE),"-"))</f>
        <v>-</v>
      </c>
      <c r="BR26" s="385"/>
      <c r="BS26" s="385"/>
      <c r="BT26" s="385"/>
      <c r="BU26" s="385"/>
      <c r="BV26" s="385"/>
      <c r="BX26" s="370" t="s">
        <v>45</v>
      </c>
      <c r="CD26" s="391"/>
    </row>
    <row r="27" spans="1:82" s="397" customFormat="1" ht="20.100000000000001" customHeight="1" x14ac:dyDescent="0.2">
      <c r="A27" s="383" t="s">
        <v>57</v>
      </c>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79"/>
      <c r="BD27" s="395"/>
      <c r="BE27" s="395"/>
      <c r="BF27" s="395"/>
      <c r="BG27" s="395"/>
      <c r="BH27" s="395"/>
      <c r="BI27" s="395"/>
      <c r="BJ27" s="395"/>
      <c r="BK27" s="395"/>
      <c r="BL27" s="396"/>
      <c r="BM27" s="395"/>
      <c r="BN27" s="395"/>
      <c r="BO27" s="395"/>
      <c r="BP27" s="395"/>
      <c r="BQ27" s="395" t="str">
        <f>IF(OR(IFERROR(VLOOKUP(CA27,[1]ARS!A:EL,MATCH("Price To Earnings",[1]ARS!$4:$4,0),FALSE),"-")&lt;0,IFERROR(VLOOKUP(CA27,[1]ARS!A:EL,MATCH("Price To Earnings",[1]ARS!$4:$4,0),FALSE),"-")&gt;500),"-",IFERROR(VLOOKUP(CA27,[1]ARS!A:EL,MATCH("Price To Earnings",[1]ARS!$4:$4,0),FALSE),"-"))</f>
        <v>-</v>
      </c>
      <c r="BR27" s="395"/>
      <c r="BS27" s="395"/>
      <c r="BT27" s="395"/>
      <c r="BU27" s="395"/>
      <c r="BV27" s="395"/>
      <c r="BW27" s="395"/>
      <c r="CD27" s="391"/>
    </row>
    <row r="28" spans="1:82" ht="20.100000000000001" customHeight="1" x14ac:dyDescent="0.2">
      <c r="A28" s="384" t="s">
        <v>159</v>
      </c>
      <c r="B28" s="384"/>
      <c r="C28" s="384"/>
      <c r="D28" s="384"/>
      <c r="E28" s="384"/>
      <c r="F28" s="384"/>
      <c r="G28" s="384"/>
      <c r="H28" s="384"/>
      <c r="I28" s="384"/>
      <c r="J28" s="384"/>
      <c r="K28" s="384"/>
      <c r="L28" s="384"/>
      <c r="M28" s="384"/>
      <c r="N28" s="384"/>
      <c r="O28" s="384"/>
      <c r="P28" s="384"/>
      <c r="Q28" s="384"/>
      <c r="R28" s="384"/>
      <c r="S28" s="384"/>
      <c r="T28" s="384"/>
      <c r="U28" s="384"/>
      <c r="V28" s="384"/>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84"/>
      <c r="BA28" s="384"/>
      <c r="BB28" s="384"/>
      <c r="BC28" s="379"/>
      <c r="BD28" s="385"/>
      <c r="BE28" s="385"/>
      <c r="BF28" s="385"/>
      <c r="BG28" s="385"/>
      <c r="BH28" s="385"/>
      <c r="BI28" s="385"/>
      <c r="BJ28" s="385"/>
      <c r="BK28" s="385"/>
      <c r="BL28" s="386"/>
      <c r="BM28" s="385"/>
      <c r="BN28" s="385"/>
      <c r="BO28" s="385"/>
      <c r="BP28" s="385"/>
      <c r="BQ28" s="385"/>
      <c r="BR28" s="385"/>
      <c r="BS28" s="385"/>
      <c r="BT28" s="385"/>
      <c r="BU28" s="385"/>
      <c r="BV28" s="385"/>
      <c r="CD28" s="391"/>
    </row>
    <row r="29" spans="1:82" ht="20.100000000000001" customHeight="1" x14ac:dyDescent="0.2">
      <c r="A29" s="381" t="s">
        <v>160</v>
      </c>
      <c r="B29" s="381"/>
      <c r="C29" s="381"/>
      <c r="D29" s="381"/>
      <c r="E29" s="381"/>
      <c r="F29" s="381"/>
      <c r="G29" s="381"/>
      <c r="H29" s="381"/>
      <c r="I29" s="381"/>
      <c r="J29" s="381"/>
      <c r="K29" s="381"/>
      <c r="L29" s="381"/>
      <c r="M29" s="381"/>
      <c r="N29" s="381"/>
      <c r="O29" s="381"/>
      <c r="P29" s="381"/>
      <c r="Q29" s="381"/>
      <c r="R29" s="381"/>
      <c r="S29" s="381"/>
      <c r="T29" s="381"/>
      <c r="U29" s="381"/>
      <c r="V29" s="381"/>
      <c r="W29" s="381"/>
      <c r="X29" s="381"/>
      <c r="Y29" s="381"/>
      <c r="Z29" s="381"/>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381"/>
      <c r="BA29" s="381"/>
      <c r="BB29" s="381"/>
      <c r="BC29" s="379"/>
      <c r="BD29" s="385"/>
      <c r="BE29" s="385"/>
      <c r="BF29" s="385"/>
      <c r="BG29" s="385"/>
      <c r="BH29" s="385"/>
      <c r="BI29" s="385"/>
      <c r="BJ29" s="385"/>
      <c r="BK29" s="385"/>
      <c r="BL29" s="386"/>
      <c r="BM29" s="385"/>
      <c r="BN29" s="385"/>
      <c r="BO29" s="385"/>
      <c r="BP29" s="385"/>
      <c r="BQ29" s="385"/>
      <c r="BR29" s="385"/>
      <c r="BS29" s="385"/>
      <c r="BT29" s="385"/>
      <c r="BU29" s="385"/>
      <c r="BV29" s="385"/>
      <c r="CD29" s="391"/>
    </row>
    <row r="30" spans="1:82" ht="20.100000000000001" customHeight="1" x14ac:dyDescent="0.2">
      <c r="A30" s="384" t="s">
        <v>161</v>
      </c>
      <c r="B30" s="384"/>
      <c r="C30" s="384"/>
      <c r="D30" s="384"/>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84"/>
      <c r="BA30" s="384"/>
      <c r="BB30" s="384"/>
      <c r="BC30" s="379"/>
      <c r="BD30" s="385"/>
      <c r="BE30" s="385"/>
      <c r="BF30" s="385"/>
      <c r="BG30" s="385"/>
      <c r="BH30" s="385"/>
      <c r="BI30" s="385"/>
      <c r="BJ30" s="385"/>
      <c r="BK30" s="385"/>
      <c r="BL30" s="386"/>
      <c r="BM30" s="385"/>
      <c r="BN30" s="385"/>
      <c r="BO30" s="385"/>
      <c r="BP30" s="385"/>
      <c r="BQ30" s="385" t="str">
        <f>IF(OR(IFERROR(VLOOKUP(CA30,[1]ARS!A:EL,MATCH("Price To Earnings",[1]ARS!$4:$4,0),FALSE),"-")&lt;0,IFERROR(VLOOKUP(CA30,[1]ARS!A:EL,MATCH("Price To Earnings",[1]ARS!$4:$4,0),FALSE),"-")&gt;500),"-",IFERROR(VLOOKUP(CA30,[1]ARS!A:EL,MATCH("Price To Earnings",[1]ARS!$4:$4,0),FALSE),"-"))</f>
        <v>-</v>
      </c>
      <c r="BR30" s="385"/>
      <c r="BS30" s="385"/>
      <c r="BT30" s="385"/>
      <c r="BU30" s="385"/>
      <c r="BV30" s="385"/>
      <c r="CD30" s="391"/>
    </row>
    <row r="31" spans="1:82" ht="20.100000000000001" customHeight="1" x14ac:dyDescent="0.2">
      <c r="A31" s="393" t="s">
        <v>162</v>
      </c>
      <c r="B31" s="393"/>
      <c r="C31" s="393"/>
      <c r="D31" s="393"/>
      <c r="E31" s="393"/>
      <c r="F31" s="393"/>
      <c r="G31" s="393"/>
      <c r="H31" s="393"/>
      <c r="I31" s="393"/>
      <c r="J31" s="393"/>
      <c r="K31" s="393"/>
      <c r="L31" s="393"/>
      <c r="M31" s="393"/>
      <c r="N31" s="393"/>
      <c r="O31" s="393"/>
      <c r="P31" s="393"/>
      <c r="Q31" s="393"/>
      <c r="R31" s="393"/>
      <c r="S31" s="393"/>
      <c r="T31" s="393"/>
      <c r="U31" s="393"/>
      <c r="V31" s="393"/>
      <c r="W31" s="393"/>
      <c r="X31" s="393"/>
      <c r="Y31" s="393"/>
      <c r="Z31" s="393"/>
      <c r="AA31" s="393"/>
      <c r="AB31" s="393"/>
      <c r="AC31" s="393"/>
      <c r="AD31" s="393"/>
      <c r="AE31" s="393"/>
      <c r="AF31" s="393"/>
      <c r="AG31" s="393"/>
      <c r="AH31" s="393"/>
      <c r="AI31" s="393"/>
      <c r="AJ31" s="393"/>
      <c r="AK31" s="393"/>
      <c r="AL31" s="393"/>
      <c r="AM31" s="393"/>
      <c r="AN31" s="393"/>
      <c r="AO31" s="393"/>
      <c r="AP31" s="393"/>
      <c r="AQ31" s="393"/>
      <c r="AR31" s="393"/>
      <c r="AS31" s="393"/>
      <c r="AT31" s="393"/>
      <c r="AU31" s="393"/>
      <c r="AV31" s="393"/>
      <c r="AW31" s="393"/>
      <c r="AX31" s="393"/>
      <c r="AY31" s="393"/>
      <c r="AZ31" s="393"/>
      <c r="BA31" s="393"/>
      <c r="BB31" s="393"/>
      <c r="BC31" s="379"/>
      <c r="BD31" s="385"/>
      <c r="BE31" s="385"/>
      <c r="BF31" s="385"/>
      <c r="BG31" s="385"/>
      <c r="BH31" s="385"/>
      <c r="BI31" s="385"/>
      <c r="BJ31" s="385"/>
      <c r="BK31" s="385"/>
      <c r="BL31" s="386"/>
      <c r="BM31" s="385"/>
      <c r="BN31" s="385"/>
      <c r="BO31" s="385"/>
      <c r="BP31" s="385"/>
      <c r="BQ31" s="385" t="str">
        <f>IF(OR(IFERROR(VLOOKUP(CA31,[1]ARS!A:EL,MATCH("Price To Earnings",[1]ARS!$4:$4,0),FALSE),"-")&lt;0,IFERROR(VLOOKUP(CA31,[1]ARS!A:EL,MATCH("Price To Earnings",[1]ARS!$4:$4,0),FALSE),"-")&gt;500),"-",IFERROR(VLOOKUP(CA31,[1]ARS!A:EL,MATCH("Price To Earnings",[1]ARS!$4:$4,0),FALSE),"-"))</f>
        <v>-</v>
      </c>
      <c r="BR31" s="385"/>
      <c r="BS31" s="385"/>
      <c r="BT31" s="385"/>
      <c r="BU31" s="385"/>
      <c r="BV31" s="385"/>
      <c r="CD31" s="391"/>
    </row>
    <row r="32" spans="1:82" ht="20.100000000000001" customHeight="1" x14ac:dyDescent="0.2">
      <c r="A32" s="383" t="s">
        <v>163</v>
      </c>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98"/>
      <c r="BD32" s="385"/>
      <c r="BE32" s="385"/>
      <c r="BF32" s="385"/>
      <c r="BG32" s="385"/>
      <c r="BH32" s="385"/>
      <c r="BI32" s="385"/>
      <c r="BJ32" s="385"/>
      <c r="BK32" s="385"/>
      <c r="BL32" s="386"/>
      <c r="BM32" s="385"/>
      <c r="BN32" s="385"/>
      <c r="BO32" s="385"/>
      <c r="BP32" s="385"/>
      <c r="BQ32" s="385" t="str">
        <f>IF(OR(IFERROR(VLOOKUP(CA32,[1]ARS!A:EL,MATCH("Price To Earnings",[1]ARS!$4:$4,0),FALSE),"-")&lt;0,IFERROR(VLOOKUP(CA32,[1]ARS!A:EL,MATCH("Price To Earnings",[1]ARS!$4:$4,0),FALSE),"-")&gt;500),"-",IFERROR(VLOOKUP(CA32,[1]ARS!A:EL,MATCH("Price To Earnings",[1]ARS!$4:$4,0),FALSE),"-"))</f>
        <v>-</v>
      </c>
      <c r="BR32" s="385"/>
      <c r="BS32" s="385"/>
      <c r="BT32" s="385"/>
      <c r="BU32" s="385"/>
      <c r="BV32" s="385"/>
    </row>
    <row r="33" spans="1:75" ht="20.100000000000001" customHeight="1" x14ac:dyDescent="0.2">
      <c r="A33" s="383"/>
      <c r="B33" s="383"/>
      <c r="C33" s="383"/>
      <c r="D33" s="383"/>
      <c r="E33" s="383"/>
      <c r="F33" s="383"/>
      <c r="G33" s="383"/>
      <c r="H33" s="383"/>
      <c r="I33" s="383"/>
      <c r="J33" s="383"/>
      <c r="K33" s="383"/>
      <c r="L33" s="383"/>
      <c r="M33" s="399"/>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83"/>
      <c r="BC33" s="398"/>
      <c r="BD33" s="385"/>
      <c r="BE33" s="385"/>
      <c r="BF33" s="385"/>
      <c r="BG33" s="385"/>
      <c r="BH33" s="385"/>
      <c r="BI33" s="385"/>
      <c r="BJ33" s="385"/>
      <c r="BK33" s="385"/>
      <c r="BL33" s="386"/>
      <c r="BM33" s="385"/>
      <c r="BN33" s="385"/>
      <c r="BO33" s="385"/>
      <c r="BP33" s="385"/>
      <c r="BQ33" s="385" t="str">
        <f>IF(OR(IFERROR(VLOOKUP(CA33,[1]ARS!A:EL,MATCH("Price To Earnings",[1]ARS!$4:$4,0),FALSE),"-")&lt;0,IFERROR(VLOOKUP(CA33,[1]ARS!A:EL,MATCH("Price To Earnings",[1]ARS!$4:$4,0),FALSE),"-")&gt;500),"-",IFERROR(VLOOKUP(CA33,[1]ARS!A:EL,MATCH("Price To Earnings",[1]ARS!$4:$4,0),FALSE),"-"))</f>
        <v>-</v>
      </c>
      <c r="BR33" s="385"/>
      <c r="BS33" s="385"/>
      <c r="BT33" s="385"/>
      <c r="BU33" s="385"/>
      <c r="BV33" s="385"/>
    </row>
    <row r="34" spans="1:75" ht="10.5" customHeight="1" x14ac:dyDescent="0.2">
      <c r="A34" s="383" t="s">
        <v>164</v>
      </c>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83"/>
      <c r="BC34" s="398"/>
      <c r="BD34" s="385"/>
      <c r="BE34" s="385"/>
      <c r="BF34" s="385"/>
      <c r="BG34" s="385"/>
      <c r="BH34" s="385"/>
      <c r="BI34" s="385"/>
      <c r="BJ34" s="385"/>
      <c r="BK34" s="385"/>
      <c r="BL34" s="386"/>
      <c r="BM34" s="385"/>
      <c r="BN34" s="385"/>
      <c r="BO34" s="385"/>
      <c r="BP34" s="385"/>
      <c r="BQ34" s="385" t="str">
        <f>IF(OR(IFERROR(VLOOKUP(CA34,[1]ARS!A:EL,MATCH("Price To Earnings",[1]ARS!$4:$4,0),FALSE),"-")&lt;0,IFERROR(VLOOKUP(CA34,[1]ARS!A:EL,MATCH("Price To Earnings",[1]ARS!$4:$4,0),FALSE),"-")&gt;500),"-",IFERROR(VLOOKUP(CA34,[1]ARS!A:EL,MATCH("Price To Earnings",[1]ARS!$4:$4,0),FALSE),"-"))</f>
        <v>-</v>
      </c>
      <c r="BR34" s="385"/>
      <c r="BS34" s="385"/>
      <c r="BT34" s="385"/>
      <c r="BU34" s="385"/>
      <c r="BV34" s="385"/>
    </row>
    <row r="35" spans="1:75" ht="20.100000000000001" customHeight="1" x14ac:dyDescent="0.2">
      <c r="A35" s="383"/>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83"/>
      <c r="BC35" s="398"/>
      <c r="BD35" s="385"/>
      <c r="BE35" s="385"/>
      <c r="BF35" s="385"/>
      <c r="BG35" s="385"/>
      <c r="BH35" s="385"/>
      <c r="BI35" s="385"/>
      <c r="BJ35" s="385"/>
      <c r="BK35" s="385"/>
      <c r="BL35" s="386"/>
      <c r="BM35" s="385"/>
      <c r="BN35" s="385"/>
      <c r="BO35" s="385"/>
      <c r="BP35" s="385"/>
      <c r="BQ35" s="385"/>
      <c r="BR35" s="385"/>
      <c r="BS35" s="385"/>
      <c r="BT35" s="385"/>
      <c r="BU35" s="385"/>
      <c r="BV35" s="385"/>
    </row>
    <row r="36" spans="1:75" ht="12" customHeight="1" x14ac:dyDescent="0.2">
      <c r="A36" s="384" t="s">
        <v>165</v>
      </c>
      <c r="B36" s="384"/>
      <c r="C36" s="384"/>
      <c r="D36" s="384"/>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84"/>
      <c r="BA36" s="384"/>
      <c r="BB36" s="384"/>
      <c r="BC36" s="398"/>
      <c r="BD36" s="385"/>
      <c r="BE36" s="385"/>
      <c r="BF36" s="385"/>
      <c r="BG36" s="385"/>
      <c r="BH36" s="385"/>
      <c r="BI36" s="385"/>
      <c r="BJ36" s="385"/>
      <c r="BK36" s="385"/>
      <c r="BL36" s="386"/>
      <c r="BM36" s="385"/>
      <c r="BN36" s="385"/>
      <c r="BO36" s="385"/>
      <c r="BP36" s="385"/>
      <c r="BQ36" s="385" t="str">
        <f>IF(OR(IFERROR(VLOOKUP(CA36,[1]ARS!A:EL,MATCH("Price To Earnings",[1]ARS!$4:$4,0),FALSE),"-")&lt;0,IFERROR(VLOOKUP(CA36,[1]ARS!A:EL,MATCH("Price To Earnings",[1]ARS!$4:$4,0),FALSE),"-")&gt;500),"-",IFERROR(VLOOKUP(CA36,[1]ARS!A:EL,MATCH("Price To Earnings",[1]ARS!$4:$4,0),FALSE),"-"))</f>
        <v>-</v>
      </c>
      <c r="BR36" s="385"/>
      <c r="BS36" s="385"/>
      <c r="BT36" s="385"/>
      <c r="BU36" s="385"/>
      <c r="BV36" s="385"/>
    </row>
    <row r="37" spans="1:75" ht="15" customHeight="1" x14ac:dyDescent="0.2">
      <c r="A37" s="383" t="s">
        <v>166</v>
      </c>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83"/>
      <c r="BC37" s="398"/>
      <c r="BD37" s="385"/>
      <c r="BE37" s="385"/>
      <c r="BF37" s="385"/>
      <c r="BG37" s="385"/>
      <c r="BH37" s="385"/>
      <c r="BI37" s="385"/>
      <c r="BJ37" s="385"/>
      <c r="BK37" s="385"/>
      <c r="BL37" s="386"/>
      <c r="BM37" s="385"/>
      <c r="BN37" s="385"/>
      <c r="BO37" s="385"/>
      <c r="BP37" s="385"/>
      <c r="BQ37" s="385"/>
      <c r="BR37" s="385"/>
      <c r="BS37" s="385"/>
      <c r="BT37" s="385"/>
      <c r="BU37" s="385"/>
      <c r="BV37" s="385"/>
    </row>
    <row r="38" spans="1:75" ht="15.75" customHeight="1" x14ac:dyDescent="0.2">
      <c r="A38" s="384" t="s">
        <v>57</v>
      </c>
      <c r="B38" s="384"/>
      <c r="C38" s="384"/>
      <c r="D38" s="384"/>
      <c r="E38" s="384"/>
      <c r="F38" s="384"/>
      <c r="G38" s="384"/>
      <c r="H38" s="384"/>
      <c r="I38" s="384"/>
      <c r="J38" s="384"/>
      <c r="K38" s="384"/>
      <c r="L38" s="384"/>
      <c r="M38" s="384"/>
      <c r="N38" s="384"/>
      <c r="O38" s="384"/>
      <c r="P38" s="384"/>
      <c r="Q38" s="384"/>
      <c r="R38" s="384"/>
      <c r="S38" s="384"/>
      <c r="T38" s="384"/>
      <c r="U38" s="384"/>
      <c r="V38" s="384"/>
      <c r="W38" s="384"/>
      <c r="X38" s="384"/>
      <c r="Y38" s="384"/>
      <c r="Z38" s="384"/>
      <c r="AA38" s="384"/>
      <c r="AB38" s="384"/>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84"/>
      <c r="BA38" s="384"/>
      <c r="BB38" s="384"/>
      <c r="BC38" s="398"/>
      <c r="BD38" s="385"/>
      <c r="BE38" s="385"/>
      <c r="BF38" s="385"/>
      <c r="BG38" s="385"/>
      <c r="BH38" s="385"/>
      <c r="BI38" s="385"/>
      <c r="BJ38" s="385"/>
      <c r="BK38" s="385"/>
      <c r="BL38" s="386"/>
      <c r="BM38" s="385"/>
      <c r="BN38" s="385"/>
      <c r="BO38" s="385"/>
      <c r="BP38" s="385"/>
      <c r="BQ38" s="385" t="str">
        <f>IF(OR(IFERROR(VLOOKUP(CA38,[1]ARS!A:EL,MATCH("Price To Earnings",[1]ARS!$4:$4,0),FALSE),"-")&lt;0,IFERROR(VLOOKUP(CA38,[1]ARS!A:EL,MATCH("Price To Earnings",[1]ARS!$4:$4,0),FALSE),"-")&gt;500),"-",IFERROR(VLOOKUP(CA38,[1]ARS!A:EL,MATCH("Price To Earnings",[1]ARS!$4:$4,0),FALSE),"-"))</f>
        <v>-</v>
      </c>
      <c r="BR38" s="385"/>
      <c r="BS38" s="385"/>
      <c r="BT38" s="385"/>
      <c r="BU38" s="385"/>
      <c r="BV38" s="385"/>
      <c r="BW38" s="385"/>
    </row>
    <row r="39" spans="1:75" ht="15.75" customHeight="1" x14ac:dyDescent="0.2">
      <c r="A39" s="384" t="s">
        <v>167</v>
      </c>
      <c r="B39" s="384"/>
      <c r="C39" s="384"/>
      <c r="D39" s="384"/>
      <c r="E39" s="384"/>
      <c r="F39" s="384"/>
      <c r="G39" s="384"/>
      <c r="H39" s="384"/>
      <c r="I39" s="384"/>
      <c r="J39" s="384"/>
      <c r="K39" s="384"/>
      <c r="L39" s="384"/>
      <c r="M39" s="384"/>
      <c r="N39" s="384"/>
      <c r="O39" s="384"/>
      <c r="P39" s="384"/>
      <c r="Q39" s="384"/>
      <c r="R39" s="384"/>
      <c r="S39" s="384"/>
      <c r="T39" s="384"/>
      <c r="U39" s="384"/>
      <c r="V39" s="384"/>
      <c r="W39" s="384"/>
      <c r="X39" s="384"/>
      <c r="Y39" s="384"/>
      <c r="Z39" s="384"/>
      <c r="AA39" s="384"/>
      <c r="AB39" s="384"/>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84"/>
      <c r="BA39" s="384"/>
      <c r="BB39" s="384"/>
      <c r="BC39" s="398"/>
      <c r="BD39" s="385"/>
      <c r="BE39" s="385"/>
      <c r="BF39" s="385"/>
      <c r="BG39" s="385"/>
      <c r="BH39" s="385"/>
      <c r="BI39" s="385"/>
      <c r="BJ39" s="385"/>
      <c r="BK39" s="385"/>
      <c r="BL39" s="386"/>
      <c r="BM39" s="385"/>
      <c r="BN39" s="385"/>
      <c r="BO39" s="385"/>
      <c r="BP39" s="385"/>
      <c r="BQ39" s="385" t="str">
        <f>IF(OR(IFERROR(VLOOKUP(CA39,[1]ARS!A:EL,MATCH("Price To Earnings",[1]ARS!$4:$4,0),FALSE),"-")&lt;0,IFERROR(VLOOKUP(CA39,[1]ARS!A:EL,MATCH("Price To Earnings",[1]ARS!$4:$4,0),FALSE),"-")&gt;500),"-",IFERROR(VLOOKUP(CA39,[1]ARS!A:EL,MATCH("Price To Earnings",[1]ARS!$4:$4,0),FALSE),"-"))</f>
        <v>-</v>
      </c>
      <c r="BR39" s="385"/>
      <c r="BS39" s="385"/>
      <c r="BT39" s="385"/>
      <c r="BU39" s="385"/>
      <c r="BV39" s="385"/>
    </row>
    <row r="40" spans="1:75" ht="18" customHeight="1" x14ac:dyDescent="0.2">
      <c r="A40" s="400" t="s">
        <v>168</v>
      </c>
      <c r="B40" s="400"/>
      <c r="C40" s="400"/>
      <c r="D40" s="400"/>
      <c r="E40" s="400"/>
      <c r="F40" s="400"/>
      <c r="G40" s="400"/>
      <c r="H40" s="400"/>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0"/>
      <c r="AH40" s="400"/>
      <c r="AI40" s="400"/>
      <c r="AJ40" s="400"/>
      <c r="AK40" s="400"/>
      <c r="AL40" s="400"/>
      <c r="AM40" s="400"/>
      <c r="AN40" s="400"/>
      <c r="AO40" s="400"/>
      <c r="AP40" s="400"/>
      <c r="AQ40" s="400"/>
      <c r="AR40" s="400"/>
      <c r="AS40" s="400"/>
      <c r="AT40" s="400"/>
      <c r="AU40" s="400"/>
      <c r="AV40" s="400"/>
      <c r="AW40" s="400"/>
      <c r="AX40" s="400"/>
      <c r="AY40" s="400"/>
      <c r="AZ40" s="400"/>
      <c r="BA40" s="400"/>
      <c r="BB40" s="400"/>
      <c r="BC40" s="400"/>
      <c r="BD40" s="385"/>
      <c r="BE40" s="385"/>
      <c r="BF40" s="385"/>
      <c r="BG40" s="385"/>
      <c r="BH40" s="385"/>
      <c r="BI40" s="385"/>
      <c r="BJ40" s="385"/>
      <c r="BK40" s="385"/>
      <c r="BL40" s="386"/>
      <c r="BM40" s="385"/>
      <c r="BN40" s="385"/>
      <c r="BO40" s="385"/>
      <c r="BP40" s="385"/>
      <c r="BQ40" s="385"/>
      <c r="BR40" s="385"/>
      <c r="BS40" s="385"/>
      <c r="BT40" s="385"/>
      <c r="BU40" s="385"/>
      <c r="BV40" s="385"/>
    </row>
    <row r="41" spans="1:75" ht="18" customHeight="1" x14ac:dyDescent="0.2">
      <c r="A41" s="400"/>
      <c r="B41" s="400"/>
      <c r="C41" s="400"/>
      <c r="D41" s="400"/>
      <c r="E41" s="400"/>
      <c r="F41" s="400"/>
      <c r="G41" s="400"/>
      <c r="H41" s="400"/>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0"/>
      <c r="AH41" s="400"/>
      <c r="AI41" s="400"/>
      <c r="AJ41" s="400"/>
      <c r="AK41" s="400"/>
      <c r="AL41" s="400"/>
      <c r="AM41" s="400"/>
      <c r="AN41" s="400"/>
      <c r="AO41" s="400"/>
      <c r="AP41" s="400"/>
      <c r="AQ41" s="400"/>
      <c r="AR41" s="400"/>
      <c r="AS41" s="400"/>
      <c r="AT41" s="400"/>
      <c r="AU41" s="400"/>
      <c r="AV41" s="400"/>
      <c r="AW41" s="400"/>
      <c r="AX41" s="400"/>
      <c r="AY41" s="400"/>
      <c r="AZ41" s="400"/>
      <c r="BA41" s="400"/>
      <c r="BB41" s="400"/>
      <c r="BC41" s="400"/>
      <c r="BD41" s="385"/>
      <c r="BE41" s="385"/>
      <c r="BF41" s="385"/>
      <c r="BG41" s="385"/>
      <c r="BH41" s="385"/>
      <c r="BI41" s="385"/>
      <c r="BJ41" s="385"/>
      <c r="BK41" s="385"/>
      <c r="BL41" s="386"/>
      <c r="BM41" s="385"/>
      <c r="BN41" s="385"/>
      <c r="BO41" s="385"/>
      <c r="BP41" s="385"/>
      <c r="BQ41" s="385" t="str">
        <f>IF(OR(IFERROR(VLOOKUP(CA41,[1]ARS!A:EL,MATCH("Price To Earnings",[1]ARS!$4:$4,0),FALSE),"-")&lt;0,IFERROR(VLOOKUP(CA41,[1]ARS!A:EL,MATCH("Price To Earnings",[1]ARS!$4:$4,0),FALSE),"-")&gt;500),"-",IFERROR(VLOOKUP(CA41,[1]ARS!A:EL,MATCH("Price To Earnings",[1]ARS!$4:$4,0),FALSE),"-"))</f>
        <v>-</v>
      </c>
      <c r="BR41" s="385"/>
      <c r="BS41" s="385"/>
      <c r="BT41" s="385"/>
      <c r="BU41" s="385"/>
      <c r="BV41" s="385"/>
    </row>
    <row r="42" spans="1:75" ht="19.5" customHeight="1" x14ac:dyDescent="0.25">
      <c r="A42" s="401" t="s">
        <v>169</v>
      </c>
      <c r="B42" s="401"/>
      <c r="C42" s="401"/>
      <c r="D42" s="401"/>
      <c r="E42" s="401"/>
      <c r="F42" s="401"/>
      <c r="G42" s="401"/>
      <c r="H42" s="401"/>
      <c r="I42" s="401"/>
      <c r="J42" s="401"/>
      <c r="K42" s="401"/>
      <c r="L42" s="401"/>
      <c r="M42" s="401"/>
      <c r="N42" s="401"/>
      <c r="O42" s="401"/>
      <c r="P42" s="401"/>
      <c r="Q42" s="401"/>
      <c r="R42" s="401"/>
      <c r="S42" s="401"/>
      <c r="T42" s="401"/>
      <c r="U42" s="401"/>
      <c r="V42" s="401"/>
      <c r="W42" s="401"/>
      <c r="X42" s="401"/>
      <c r="Y42" s="401"/>
      <c r="Z42" s="401"/>
      <c r="AA42" s="401"/>
      <c r="AB42" s="401"/>
      <c r="AC42" s="401"/>
      <c r="AD42" s="401"/>
      <c r="AE42" s="401"/>
      <c r="AF42" s="401"/>
      <c r="AG42" s="401"/>
      <c r="AH42" s="401"/>
      <c r="AI42" s="401"/>
      <c r="AJ42" s="401"/>
      <c r="AK42"/>
      <c r="AL42" s="401"/>
      <c r="AM42" s="401"/>
      <c r="AN42" s="401"/>
      <c r="AO42" s="401"/>
      <c r="AP42" s="401"/>
      <c r="AQ42" s="401"/>
      <c r="AR42" s="401"/>
      <c r="AS42" s="401"/>
      <c r="AT42" s="401"/>
      <c r="AU42" s="401"/>
      <c r="AV42" s="401"/>
      <c r="AW42" s="401"/>
      <c r="AX42" s="401"/>
      <c r="AY42" s="401"/>
      <c r="AZ42" s="401"/>
      <c r="BA42" s="401"/>
      <c r="BB42" s="401"/>
      <c r="BC42" s="398"/>
      <c r="BD42" s="385"/>
      <c r="BE42" s="385"/>
      <c r="BF42" s="385"/>
      <c r="BG42" s="385"/>
      <c r="BH42" s="385"/>
      <c r="BI42" s="385"/>
      <c r="BJ42" s="385"/>
      <c r="BK42" s="385"/>
      <c r="BL42" s="386"/>
      <c r="BM42" s="385"/>
      <c r="BN42" s="385"/>
      <c r="BO42" s="385"/>
      <c r="BP42" s="385"/>
      <c r="BQ42" s="385"/>
      <c r="BR42" s="385"/>
      <c r="BS42" s="385"/>
      <c r="BT42" s="385"/>
      <c r="BU42" s="385"/>
      <c r="BV42" s="385"/>
    </row>
    <row r="43" spans="1:75" ht="23.25" customHeight="1" x14ac:dyDescent="0.2">
      <c r="A43" s="377"/>
      <c r="B43" s="377"/>
      <c r="C43" s="377"/>
      <c r="D43" s="377"/>
      <c r="E43" s="377"/>
      <c r="F43" s="377"/>
      <c r="G43" s="377"/>
      <c r="H43" s="377"/>
      <c r="I43" s="377"/>
      <c r="J43" s="377"/>
      <c r="K43" s="377"/>
      <c r="L43" s="377"/>
      <c r="M43" s="377"/>
      <c r="N43" s="377"/>
      <c r="O43" s="377"/>
      <c r="P43" s="377"/>
      <c r="Q43" s="377"/>
      <c r="R43" s="377"/>
      <c r="S43" s="377"/>
      <c r="T43" s="377"/>
      <c r="U43" s="377"/>
      <c r="V43" s="377"/>
      <c r="W43" s="377"/>
      <c r="X43" s="377"/>
      <c r="Y43" s="377"/>
      <c r="Z43" s="377"/>
      <c r="AA43" s="377"/>
      <c r="AB43" s="377"/>
      <c r="AC43" s="377"/>
      <c r="AD43" s="377"/>
      <c r="AE43" s="377"/>
      <c r="AF43" s="377"/>
      <c r="AG43" s="377"/>
      <c r="AH43" s="377"/>
      <c r="AI43" s="377"/>
      <c r="AJ43" s="377"/>
      <c r="AK43" s="377"/>
      <c r="AL43" s="377"/>
      <c r="AM43" s="377"/>
      <c r="AN43" s="377"/>
      <c r="AO43" s="377"/>
      <c r="AP43" s="377"/>
      <c r="AQ43" s="377"/>
      <c r="AR43" s="377"/>
      <c r="AS43" s="377"/>
      <c r="AT43" s="377"/>
      <c r="AU43" s="377"/>
      <c r="AV43" s="377"/>
      <c r="AW43" s="377"/>
      <c r="AX43" s="377"/>
      <c r="AY43" s="377"/>
      <c r="AZ43" s="377"/>
      <c r="BA43" s="377"/>
      <c r="BB43" s="377"/>
      <c r="BC43" s="379"/>
      <c r="BD43" s="385"/>
      <c r="BE43" s="385"/>
      <c r="BF43" s="385"/>
      <c r="BG43" s="385"/>
      <c r="BH43" s="385"/>
      <c r="BI43" s="385"/>
      <c r="BJ43" s="385"/>
      <c r="BK43" s="385"/>
      <c r="BL43" s="386"/>
      <c r="BM43" s="385"/>
      <c r="BN43" s="385"/>
      <c r="BO43" s="385"/>
      <c r="BP43" s="385"/>
      <c r="BQ43" s="385"/>
      <c r="BR43" s="385"/>
      <c r="BS43" s="385"/>
      <c r="BT43" s="385"/>
      <c r="BU43" s="385"/>
      <c r="BV43" s="385"/>
    </row>
    <row r="44" spans="1:75" ht="14.25" customHeight="1" x14ac:dyDescent="0.2">
      <c r="A44" s="377" t="s">
        <v>170</v>
      </c>
      <c r="B44" s="377"/>
      <c r="C44" s="377"/>
      <c r="D44" s="377"/>
      <c r="E44" s="377"/>
      <c r="F44" s="377"/>
      <c r="G44" s="377"/>
      <c r="H44" s="377"/>
      <c r="I44" s="377"/>
      <c r="J44" s="377"/>
      <c r="K44" s="377"/>
      <c r="L44" s="377"/>
      <c r="M44" s="377"/>
      <c r="N44" s="377"/>
      <c r="O44" s="377"/>
      <c r="P44" s="377"/>
      <c r="Q44" s="377"/>
      <c r="R44" s="377"/>
      <c r="S44" s="377"/>
      <c r="T44" s="377"/>
      <c r="U44" s="377"/>
      <c r="V44" s="377"/>
      <c r="W44" s="377"/>
      <c r="X44" s="377"/>
      <c r="Y44" s="377"/>
      <c r="Z44" s="377"/>
      <c r="AA44" s="377"/>
      <c r="AB44" s="377"/>
      <c r="AC44" s="377"/>
      <c r="AD44" s="377"/>
      <c r="AE44" s="377"/>
      <c r="AF44" s="377"/>
      <c r="AG44" s="377"/>
      <c r="AH44" s="377"/>
      <c r="AI44" s="377"/>
      <c r="AJ44" s="377"/>
      <c r="AK44" s="377"/>
      <c r="AL44" s="377"/>
      <c r="AM44" s="377"/>
      <c r="AN44" s="377"/>
      <c r="AO44" s="377"/>
      <c r="AP44" s="377"/>
      <c r="AQ44" s="377"/>
      <c r="AR44" s="377"/>
      <c r="AS44" s="377"/>
      <c r="AT44" s="377"/>
      <c r="AU44" s="377"/>
      <c r="AV44" s="377"/>
      <c r="AW44" s="377"/>
      <c r="AX44" s="377"/>
      <c r="AY44" s="377"/>
      <c r="AZ44" s="377"/>
      <c r="BA44" s="377"/>
      <c r="BB44" s="377"/>
      <c r="BC44" s="379"/>
      <c r="BD44" s="385"/>
      <c r="BE44" s="385"/>
      <c r="BF44" s="385"/>
      <c r="BG44" s="385"/>
      <c r="BH44" s="385"/>
      <c r="BI44" s="385"/>
      <c r="BJ44" s="385"/>
      <c r="BK44" s="385"/>
      <c r="BL44" s="386"/>
      <c r="BM44" s="385"/>
      <c r="BN44" s="385"/>
      <c r="BO44" s="385"/>
      <c r="BP44" s="385"/>
      <c r="BQ44" s="385" t="str">
        <f>IF(OR(IFERROR(VLOOKUP(CA44,[1]ARS!A:EL,MATCH("Price To Earnings",[1]ARS!$4:$4,0),FALSE),"-")&lt;0,IFERROR(VLOOKUP(CA44,[1]ARS!A:EL,MATCH("Price To Earnings",[1]ARS!$4:$4,0),FALSE),"-")&gt;500),"-",IFERROR(VLOOKUP(CA44,[1]ARS!A:EL,MATCH("Price To Earnings",[1]ARS!$4:$4,0),FALSE),"-"))</f>
        <v>-</v>
      </c>
      <c r="BR44" s="385"/>
      <c r="BS44" s="385"/>
      <c r="BT44" s="385"/>
      <c r="BU44" s="385"/>
      <c r="BV44" s="385"/>
    </row>
    <row r="45" spans="1:75" ht="20.100000000000001" customHeight="1" x14ac:dyDescent="0.2">
      <c r="A45" s="402"/>
      <c r="B45" s="402"/>
      <c r="C45" s="402"/>
      <c r="D45" s="402"/>
      <c r="E45" s="402"/>
      <c r="F45" s="402"/>
      <c r="G45" s="402"/>
      <c r="H45" s="402"/>
      <c r="I45" s="402"/>
      <c r="J45" s="402"/>
      <c r="K45" s="402"/>
      <c r="L45" s="402"/>
      <c r="M45" s="402"/>
      <c r="N45" s="402"/>
      <c r="O45" s="402"/>
      <c r="P45" s="402"/>
      <c r="Q45" s="402"/>
      <c r="R45" s="402"/>
      <c r="S45" s="402"/>
      <c r="T45" s="402"/>
      <c r="U45" s="402"/>
      <c r="V45" s="402"/>
      <c r="W45" s="402"/>
      <c r="X45" s="402"/>
      <c r="Y45" s="402"/>
      <c r="Z45" s="402"/>
      <c r="AA45" s="402"/>
      <c r="AB45" s="402"/>
      <c r="AC45" s="402"/>
      <c r="AD45" s="402"/>
      <c r="AE45" s="402"/>
      <c r="AF45" s="402"/>
      <c r="AG45" s="402"/>
      <c r="AH45" s="402"/>
      <c r="AI45" s="402"/>
      <c r="AJ45" s="402"/>
      <c r="AK45" s="402"/>
      <c r="AL45" s="402"/>
      <c r="AM45" s="402"/>
      <c r="AN45" s="402"/>
      <c r="AO45" s="402"/>
      <c r="AP45" s="402"/>
      <c r="AQ45" s="402"/>
      <c r="AR45" s="402"/>
      <c r="AS45" s="402"/>
      <c r="AT45" s="402"/>
      <c r="AU45" s="403"/>
      <c r="AV45" s="403"/>
      <c r="AW45" s="403"/>
      <c r="AX45" s="385"/>
      <c r="AY45" s="385"/>
      <c r="AZ45" s="385"/>
      <c r="BA45" s="385"/>
      <c r="BB45" s="385"/>
      <c r="BC45" s="386"/>
      <c r="BD45" s="385"/>
      <c r="BE45" s="385"/>
      <c r="BF45" s="385"/>
      <c r="BG45" s="385"/>
      <c r="BH45" s="385"/>
      <c r="BI45" s="385"/>
      <c r="BJ45" s="385"/>
      <c r="BK45" s="385"/>
      <c r="BL45" s="386"/>
      <c r="BM45" s="385"/>
      <c r="BN45" s="385"/>
      <c r="BO45" s="385"/>
      <c r="BP45" s="385"/>
      <c r="BQ45" s="385" t="str">
        <f>IF(OR(IFERROR(VLOOKUP(CA45,[1]ARS!A:EL,MATCH("Price To Earnings",[1]ARS!$4:$4,0),FALSE),"-")&lt;0,IFERROR(VLOOKUP(CA45,[1]ARS!A:EL,MATCH("Price To Earnings",[1]ARS!$4:$4,0),FALSE),"-")&gt;500),"-",IFERROR(VLOOKUP(CA45,[1]ARS!A:EL,MATCH("Price To Earnings",[1]ARS!$4:$4,0),FALSE),"-"))</f>
        <v>-</v>
      </c>
      <c r="BR45" s="385"/>
      <c r="BS45" s="385"/>
      <c r="BT45" s="385"/>
      <c r="BU45" s="385"/>
      <c r="BV45" s="385"/>
    </row>
    <row r="46" spans="1:75" ht="20.100000000000001" customHeight="1" x14ac:dyDescent="0.2">
      <c r="A46" s="402"/>
      <c r="B46" s="402"/>
      <c r="C46" s="402"/>
      <c r="D46" s="402"/>
      <c r="E46" s="402"/>
      <c r="F46" s="402"/>
      <c r="G46" s="402"/>
      <c r="H46" s="402"/>
      <c r="I46" s="402"/>
      <c r="J46" s="402"/>
      <c r="K46" s="402"/>
      <c r="L46" s="402"/>
      <c r="M46" s="402"/>
      <c r="N46" s="402"/>
      <c r="O46" s="402"/>
      <c r="P46" s="402"/>
      <c r="Q46" s="402"/>
      <c r="R46" s="402"/>
      <c r="S46" s="402"/>
      <c r="T46" s="402"/>
      <c r="U46" s="402"/>
      <c r="V46" s="402"/>
      <c r="W46" s="402"/>
      <c r="X46" s="402"/>
      <c r="Y46" s="402"/>
      <c r="Z46" s="402"/>
      <c r="AA46" s="402"/>
      <c r="AB46" s="402"/>
      <c r="AC46" s="402"/>
      <c r="AD46" s="402"/>
      <c r="AE46" s="402"/>
      <c r="AF46" s="402"/>
      <c r="AG46" s="402"/>
      <c r="AH46" s="402"/>
      <c r="AI46" s="402"/>
      <c r="AJ46" s="402"/>
      <c r="AK46" s="402"/>
      <c r="AL46" s="402"/>
      <c r="AM46" s="402"/>
      <c r="AN46" s="402"/>
      <c r="AO46" s="402"/>
      <c r="AP46" s="402"/>
      <c r="AQ46" s="402"/>
      <c r="AR46" s="402"/>
      <c r="AS46" s="402"/>
      <c r="AT46" s="402"/>
      <c r="AU46" s="403"/>
      <c r="AV46" s="403"/>
      <c r="AW46" s="403"/>
      <c r="AX46" s="385"/>
      <c r="AY46" s="385"/>
      <c r="AZ46" s="385"/>
      <c r="BA46" s="385"/>
      <c r="BB46" s="385"/>
      <c r="BC46" s="386"/>
      <c r="BD46" s="385"/>
      <c r="BE46" s="385"/>
      <c r="BF46" s="385"/>
      <c r="BG46" s="385"/>
      <c r="BH46" s="385"/>
      <c r="BI46" s="385"/>
      <c r="BJ46" s="385"/>
      <c r="BK46" s="385"/>
      <c r="BL46" s="386"/>
      <c r="BM46" s="385"/>
      <c r="BN46" s="385"/>
      <c r="BO46" s="385"/>
      <c r="BP46" s="385"/>
      <c r="BQ46" s="385"/>
      <c r="BR46" s="385"/>
      <c r="BS46" s="385"/>
      <c r="BT46" s="385"/>
      <c r="BU46" s="385"/>
      <c r="BV46" s="385"/>
    </row>
    <row r="47" spans="1:75" ht="20.100000000000001" customHeight="1" x14ac:dyDescent="0.2">
      <c r="A47" s="402"/>
      <c r="B47" s="402"/>
      <c r="C47" s="402"/>
      <c r="D47" s="402"/>
      <c r="E47" s="402"/>
      <c r="F47" s="402"/>
      <c r="G47" s="402"/>
      <c r="H47" s="402"/>
      <c r="I47" s="402"/>
      <c r="J47" s="402"/>
      <c r="K47" s="402"/>
      <c r="L47" s="402"/>
      <c r="M47" s="402"/>
      <c r="N47" s="402"/>
      <c r="O47" s="402"/>
      <c r="P47" s="402"/>
      <c r="Q47" s="402"/>
      <c r="R47" s="402"/>
      <c r="S47" s="402"/>
      <c r="T47" s="402"/>
      <c r="U47" s="402"/>
      <c r="V47" s="402"/>
      <c r="W47" s="402"/>
      <c r="X47" s="402"/>
      <c r="Y47" s="402"/>
      <c r="Z47" s="402"/>
      <c r="AA47" s="402"/>
      <c r="AB47" s="402"/>
      <c r="AC47" s="402"/>
      <c r="AD47" s="402"/>
      <c r="AE47" s="402"/>
      <c r="AF47" s="402"/>
      <c r="AG47" s="402"/>
      <c r="AH47" s="402"/>
      <c r="AI47" s="402"/>
      <c r="AJ47" s="402"/>
      <c r="AK47" s="402"/>
      <c r="AL47" s="402"/>
      <c r="AM47" s="402"/>
      <c r="AN47" s="402"/>
      <c r="AO47" s="402"/>
      <c r="AP47" s="402"/>
      <c r="AQ47" s="402"/>
      <c r="AR47" s="402"/>
      <c r="AS47" s="402"/>
      <c r="AT47" s="402"/>
      <c r="AU47" s="403"/>
      <c r="AV47" s="403"/>
      <c r="AW47" s="403"/>
      <c r="AX47" s="385"/>
      <c r="AY47" s="385"/>
      <c r="AZ47" s="385"/>
      <c r="BA47" s="385"/>
      <c r="BB47" s="385"/>
      <c r="BC47" s="386"/>
      <c r="BD47" s="385"/>
      <c r="BE47" s="385"/>
      <c r="BF47" s="385"/>
      <c r="BG47" s="385"/>
      <c r="BH47" s="385"/>
      <c r="BI47" s="385"/>
      <c r="BJ47" s="385"/>
      <c r="BK47" s="385"/>
      <c r="BL47" s="386"/>
      <c r="BM47" s="385"/>
      <c r="BN47" s="385"/>
      <c r="BO47" s="385"/>
      <c r="BP47" s="385"/>
      <c r="BQ47" s="385"/>
      <c r="BR47" s="385"/>
      <c r="BS47" s="385"/>
      <c r="BT47" s="385"/>
      <c r="BU47" s="385"/>
      <c r="BV47" s="385"/>
    </row>
    <row r="48" spans="1:75" ht="20.100000000000001" customHeight="1" x14ac:dyDescent="0.2">
      <c r="A48" s="402"/>
      <c r="B48" s="402"/>
      <c r="C48" s="402"/>
      <c r="D48" s="402"/>
      <c r="E48" s="402"/>
      <c r="F48" s="402"/>
      <c r="G48" s="402"/>
      <c r="H48" s="402"/>
      <c r="I48" s="402"/>
      <c r="J48" s="402"/>
      <c r="K48" s="402"/>
      <c r="L48" s="402"/>
      <c r="M48" s="402"/>
      <c r="N48" s="402"/>
      <c r="O48" s="402"/>
      <c r="P48" s="402"/>
      <c r="Q48" s="402"/>
      <c r="R48" s="402"/>
      <c r="S48" s="402"/>
      <c r="T48" s="402"/>
      <c r="U48" s="402"/>
      <c r="V48" s="402"/>
      <c r="W48" s="402"/>
      <c r="X48" s="402"/>
      <c r="Y48" s="402"/>
      <c r="Z48" s="402"/>
      <c r="AA48" s="402"/>
      <c r="AB48" s="402"/>
      <c r="AC48" s="402"/>
      <c r="AD48" s="402"/>
      <c r="AE48" s="402"/>
      <c r="AF48" s="402"/>
      <c r="AG48" s="402"/>
      <c r="AH48" s="402"/>
      <c r="AI48" s="402"/>
      <c r="AJ48" s="402"/>
      <c r="AK48" s="402"/>
      <c r="AL48" s="402"/>
      <c r="AM48" s="402"/>
      <c r="AN48" s="402"/>
      <c r="AO48" s="402"/>
      <c r="AP48" s="402"/>
      <c r="AQ48" s="402"/>
      <c r="AR48" s="402"/>
      <c r="AS48" s="402"/>
      <c r="AT48" s="402"/>
      <c r="AU48" s="403"/>
      <c r="AV48" s="403"/>
      <c r="AW48" s="403"/>
      <c r="AX48" s="385"/>
      <c r="AY48" s="385"/>
      <c r="AZ48" s="385"/>
      <c r="BA48" s="385"/>
      <c r="BB48" s="385"/>
      <c r="BC48" s="386"/>
      <c r="BD48" s="385"/>
      <c r="BE48" s="385"/>
      <c r="BF48" s="385"/>
      <c r="BG48" s="385"/>
      <c r="BH48" s="385"/>
      <c r="BI48" s="385"/>
      <c r="BJ48" s="385"/>
      <c r="BK48" s="385"/>
      <c r="BL48" s="386"/>
      <c r="BM48" s="385"/>
      <c r="BN48" s="385"/>
      <c r="BO48" s="385"/>
      <c r="BP48" s="385"/>
      <c r="BQ48" s="385"/>
      <c r="BR48" s="385"/>
      <c r="BS48" s="385"/>
      <c r="BT48" s="385"/>
      <c r="BU48" s="385"/>
      <c r="BV48" s="385"/>
    </row>
    <row r="49" spans="1:75" ht="20.100000000000001" customHeight="1" x14ac:dyDescent="0.2">
      <c r="A49" s="402"/>
      <c r="B49" s="402"/>
      <c r="C49" s="402"/>
      <c r="D49" s="402"/>
      <c r="E49" s="402"/>
      <c r="F49" s="402"/>
      <c r="G49" s="402"/>
      <c r="H49" s="402"/>
      <c r="I49" s="402"/>
      <c r="J49" s="402"/>
      <c r="K49" s="402"/>
      <c r="L49" s="402"/>
      <c r="M49" s="402"/>
      <c r="N49" s="402"/>
      <c r="O49" s="402"/>
      <c r="P49" s="402"/>
      <c r="Q49" s="402"/>
      <c r="R49" s="402"/>
      <c r="S49" s="402"/>
      <c r="T49" s="402"/>
      <c r="U49" s="402"/>
      <c r="V49" s="402"/>
      <c r="W49" s="402"/>
      <c r="X49" s="402"/>
      <c r="Y49" s="402"/>
      <c r="Z49" s="402"/>
      <c r="AA49" s="402"/>
      <c r="AB49" s="402"/>
      <c r="AC49" s="402"/>
      <c r="AD49" s="402"/>
      <c r="AE49" s="402"/>
      <c r="AF49" s="402"/>
      <c r="AG49" s="402"/>
      <c r="AH49" s="402"/>
      <c r="AI49" s="402"/>
      <c r="AJ49" s="402"/>
      <c r="AK49" s="402"/>
      <c r="AL49" s="402"/>
      <c r="AM49" s="402"/>
      <c r="AN49" s="402"/>
      <c r="AO49" s="402"/>
      <c r="AP49" s="402"/>
      <c r="AQ49" s="402"/>
      <c r="AR49" s="402"/>
      <c r="AS49" s="402"/>
      <c r="AT49" s="402"/>
      <c r="AU49" s="403"/>
      <c r="AV49" s="403"/>
      <c r="AW49" s="403"/>
      <c r="AX49" s="385"/>
      <c r="AY49" s="385"/>
      <c r="AZ49" s="385"/>
      <c r="BA49" s="385"/>
      <c r="BB49" s="385"/>
      <c r="BC49" s="386"/>
      <c r="BD49" s="385"/>
      <c r="BE49" s="385"/>
      <c r="BF49" s="385"/>
      <c r="BG49" s="385"/>
      <c r="BH49" s="385"/>
      <c r="BI49" s="385"/>
      <c r="BJ49" s="385"/>
      <c r="BK49" s="385"/>
      <c r="BL49" s="386"/>
      <c r="BM49" s="385"/>
      <c r="BN49" s="385"/>
      <c r="BO49" s="385"/>
      <c r="BP49" s="385"/>
      <c r="BQ49" s="385"/>
      <c r="BR49" s="385"/>
      <c r="BS49" s="385"/>
      <c r="BT49" s="385"/>
      <c r="BU49" s="385"/>
      <c r="BV49" s="385"/>
    </row>
    <row r="50" spans="1:75" ht="20.100000000000001" customHeight="1" x14ac:dyDescent="0.25">
      <c r="G50" s="404"/>
      <c r="H50" s="405" t="s">
        <v>6</v>
      </c>
      <c r="I50" s="406"/>
      <c r="J50" s="407" t="s">
        <v>171</v>
      </c>
      <c r="K50" s="405"/>
      <c r="L50" s="405"/>
      <c r="M50" s="405"/>
      <c r="N50" s="405"/>
      <c r="O50" s="405"/>
      <c r="P50" s="405"/>
      <c r="Q50" s="405"/>
      <c r="R50" s="405"/>
      <c r="S50" s="405"/>
      <c r="T50" s="405"/>
      <c r="U50" s="405"/>
      <c r="V50" s="405"/>
      <c r="W50" s="405"/>
      <c r="X50" s="405"/>
      <c r="Y50" s="405"/>
      <c r="Z50" s="405"/>
      <c r="AA50" s="405"/>
      <c r="AB50" s="408"/>
      <c r="AC50" s="408"/>
      <c r="AD50" s="408"/>
      <c r="AE50" s="408"/>
      <c r="AF50" s="405" t="s">
        <v>6</v>
      </c>
      <c r="AG50" s="406"/>
      <c r="AH50" s="407" t="s">
        <v>171</v>
      </c>
      <c r="AI50" s="405"/>
      <c r="AJ50" s="405"/>
      <c r="AK50" s="405"/>
      <c r="AL50" s="405"/>
      <c r="AM50" s="405"/>
      <c r="AN50" s="405"/>
      <c r="AO50" s="405"/>
      <c r="AP50" s="405"/>
      <c r="AQ50" s="405"/>
      <c r="AR50" s="405"/>
      <c r="AS50" s="405"/>
      <c r="AT50" s="405"/>
      <c r="AU50" s="405"/>
      <c r="AV50" s="405"/>
      <c r="AW50" s="405"/>
      <c r="AX50" s="405"/>
      <c r="AY50" s="409"/>
      <c r="AZ50" s="385"/>
      <c r="BA50" s="385"/>
      <c r="BB50" s="385"/>
      <c r="BC50" s="386"/>
      <c r="BD50" s="385"/>
      <c r="BE50" s="385"/>
      <c r="BF50" s="385"/>
      <c r="BG50" s="385"/>
      <c r="BH50" s="385"/>
      <c r="BI50" s="385"/>
      <c r="BJ50" s="385"/>
      <c r="BK50" s="385"/>
      <c r="BL50" s="386"/>
      <c r="BM50" s="385"/>
      <c r="BN50" s="385"/>
      <c r="BO50" s="385"/>
      <c r="BP50" s="385"/>
      <c r="BQ50" s="385"/>
      <c r="BR50" s="385"/>
      <c r="BS50" s="385"/>
      <c r="BT50" s="385"/>
      <c r="BU50" s="385"/>
      <c r="BV50" s="385"/>
    </row>
    <row r="51" spans="1:75" ht="15.95" customHeight="1" x14ac:dyDescent="0.25">
      <c r="G51" s="409"/>
      <c r="H51" s="410" t="s">
        <v>172</v>
      </c>
      <c r="I51" s="411"/>
      <c r="J51" s="412" t="s">
        <v>173</v>
      </c>
      <c r="K51" s="413"/>
      <c r="L51" s="413"/>
      <c r="M51" s="413"/>
      <c r="N51" s="413"/>
      <c r="O51" s="413"/>
      <c r="P51" s="413"/>
      <c r="Q51" s="413"/>
      <c r="R51" s="413"/>
      <c r="S51" s="413"/>
      <c r="T51" s="413"/>
      <c r="U51" s="413"/>
      <c r="V51" s="413"/>
      <c r="W51" s="413"/>
      <c r="X51" s="413"/>
      <c r="Y51" s="413"/>
      <c r="Z51" s="413"/>
      <c r="AA51" s="413"/>
      <c r="AB51" s="413"/>
      <c r="AC51" s="413"/>
      <c r="AD51" s="413"/>
      <c r="AE51" s="413"/>
      <c r="AF51" s="414" t="s">
        <v>99</v>
      </c>
      <c r="AG51" s="415"/>
      <c r="AH51" s="412" t="s">
        <v>174</v>
      </c>
      <c r="AI51" s="413"/>
      <c r="AJ51" s="413"/>
      <c r="AK51" s="413"/>
      <c r="AL51" s="413"/>
      <c r="AM51" s="413"/>
      <c r="AN51" s="413"/>
      <c r="AO51" s="413"/>
      <c r="AP51" s="413"/>
      <c r="AQ51" s="413"/>
      <c r="AR51" s="413"/>
      <c r="AS51" s="413"/>
      <c r="AT51" s="413"/>
      <c r="AU51" s="416"/>
      <c r="AV51" s="416"/>
      <c r="AW51" s="416"/>
      <c r="AX51" s="409"/>
      <c r="AY51" s="409"/>
      <c r="AZ51" s="385"/>
      <c r="BA51" s="385"/>
      <c r="BB51" s="385"/>
      <c r="BC51" s="386"/>
      <c r="BD51" s="385"/>
      <c r="BE51" s="385"/>
      <c r="BF51" s="385"/>
      <c r="BG51" s="385"/>
      <c r="BH51" s="385"/>
      <c r="BI51" s="385"/>
      <c r="BJ51" s="385"/>
      <c r="BK51" s="385"/>
      <c r="BL51" s="386"/>
      <c r="BM51" s="385"/>
      <c r="BN51" s="385"/>
      <c r="BO51" s="385"/>
      <c r="BP51" s="385"/>
      <c r="BQ51" s="385"/>
      <c r="BR51" s="385"/>
      <c r="BS51" s="385"/>
      <c r="BT51" s="385"/>
      <c r="BU51" s="385"/>
      <c r="BV51" s="385"/>
    </row>
    <row r="52" spans="1:75" ht="15.95" customHeight="1" x14ac:dyDescent="0.25">
      <c r="G52" s="409"/>
      <c r="H52" s="417" t="s">
        <v>98</v>
      </c>
      <c r="I52" s="418"/>
      <c r="J52" s="412" t="s">
        <v>175</v>
      </c>
      <c r="K52" s="413"/>
      <c r="L52" s="413"/>
      <c r="M52" s="413"/>
      <c r="N52" s="413"/>
      <c r="O52" s="413"/>
      <c r="P52" s="413"/>
      <c r="Q52" s="413"/>
      <c r="R52" s="413"/>
      <c r="S52" s="413"/>
      <c r="T52" s="413"/>
      <c r="U52" s="413"/>
      <c r="V52" s="413"/>
      <c r="W52" s="413"/>
      <c r="X52" s="413"/>
      <c r="Y52" s="413"/>
      <c r="Z52" s="413"/>
      <c r="AA52" s="413"/>
      <c r="AB52" s="413"/>
      <c r="AC52" s="413"/>
      <c r="AD52" s="413"/>
      <c r="AE52" s="413"/>
      <c r="AF52" s="414" t="s">
        <v>111</v>
      </c>
      <c r="AG52" s="415"/>
      <c r="AH52" s="412" t="s">
        <v>176</v>
      </c>
      <c r="AI52" s="413"/>
      <c r="AJ52" s="413"/>
      <c r="AK52" s="413"/>
      <c r="AL52" s="413"/>
      <c r="AM52" s="413"/>
      <c r="AN52" s="413"/>
      <c r="AO52" s="413"/>
      <c r="AP52" s="413"/>
      <c r="AQ52" s="413"/>
      <c r="AR52" s="413"/>
      <c r="AS52" s="413"/>
      <c r="AT52" s="413"/>
      <c r="AU52" s="416"/>
      <c r="AV52" s="416"/>
      <c r="AW52" s="416"/>
      <c r="AX52" s="409"/>
      <c r="AY52" s="409"/>
      <c r="AZ52" s="385"/>
      <c r="BA52" s="385"/>
      <c r="BB52" s="385"/>
      <c r="BC52" s="386"/>
      <c r="BD52" s="385"/>
      <c r="BE52" s="385"/>
      <c r="BF52" s="385"/>
      <c r="BG52" s="385"/>
      <c r="BH52" s="385"/>
      <c r="BI52" s="385"/>
      <c r="BJ52" s="385"/>
      <c r="BK52" s="385"/>
      <c r="BL52" s="386"/>
      <c r="BM52" s="385"/>
      <c r="BN52" s="385"/>
      <c r="BO52" s="385"/>
      <c r="BP52" s="385"/>
      <c r="BQ52" s="385"/>
      <c r="BR52" s="385"/>
      <c r="BS52" s="385"/>
      <c r="BT52" s="385"/>
      <c r="BU52" s="385"/>
      <c r="BV52" s="385"/>
    </row>
    <row r="53" spans="1:75" ht="15.95" customHeight="1" x14ac:dyDescent="0.25">
      <c r="G53" s="409"/>
      <c r="H53" s="417" t="s">
        <v>107</v>
      </c>
      <c r="I53" s="418"/>
      <c r="J53" s="419" t="s">
        <v>177</v>
      </c>
      <c r="K53" s="413"/>
      <c r="L53" s="413"/>
      <c r="M53" s="413"/>
      <c r="N53" s="413"/>
      <c r="O53" s="413"/>
      <c r="P53" s="413"/>
      <c r="Q53" s="413"/>
      <c r="R53" s="413"/>
      <c r="S53" s="413"/>
      <c r="T53" s="413"/>
      <c r="U53" s="413"/>
      <c r="V53" s="413"/>
      <c r="W53" s="413"/>
      <c r="X53" s="413"/>
      <c r="Y53" s="413"/>
      <c r="Z53" s="413"/>
      <c r="AA53" s="413"/>
      <c r="AB53" s="413"/>
      <c r="AC53" s="413"/>
      <c r="AD53" s="413"/>
      <c r="AE53" s="413"/>
      <c r="AF53" s="414" t="s">
        <v>52</v>
      </c>
      <c r="AG53" s="415"/>
      <c r="AH53" s="412" t="s">
        <v>178</v>
      </c>
      <c r="AI53" s="413"/>
      <c r="AJ53" s="413"/>
      <c r="AK53" s="413"/>
      <c r="AL53" s="413"/>
      <c r="AM53" s="413"/>
      <c r="AN53" s="413"/>
      <c r="AO53" s="413"/>
      <c r="AP53" s="413"/>
      <c r="AQ53" s="413"/>
      <c r="AR53" s="413"/>
      <c r="AS53" s="413"/>
      <c r="AT53" s="413"/>
      <c r="AU53" s="416"/>
      <c r="AV53" s="416"/>
      <c r="AW53" s="416"/>
      <c r="AX53" s="409"/>
      <c r="AY53" s="409"/>
      <c r="AZ53" s="385"/>
      <c r="BA53" s="385"/>
      <c r="BB53" s="385"/>
      <c r="BC53" s="386"/>
      <c r="BD53" s="385"/>
      <c r="BE53" s="385"/>
      <c r="BF53" s="385"/>
      <c r="BG53" s="385"/>
      <c r="BH53" s="385"/>
      <c r="BI53" s="385"/>
      <c r="BJ53" s="385"/>
      <c r="BK53" s="385"/>
      <c r="BL53" s="386"/>
      <c r="BM53" s="385"/>
      <c r="BN53" s="385"/>
      <c r="BO53" s="385"/>
      <c r="BP53" s="385"/>
      <c r="BQ53" s="385"/>
      <c r="BR53" s="385"/>
      <c r="BS53" s="385"/>
      <c r="BT53" s="385"/>
      <c r="BU53" s="385"/>
      <c r="BV53" s="385"/>
      <c r="BW53" s="385"/>
    </row>
    <row r="54" spans="1:75" ht="15.95" customHeight="1" x14ac:dyDescent="0.25">
      <c r="G54" s="409"/>
      <c r="H54" s="417" t="s">
        <v>71</v>
      </c>
      <c r="I54" s="418"/>
      <c r="J54" s="419" t="s">
        <v>179</v>
      </c>
      <c r="K54" s="413"/>
      <c r="L54" s="413"/>
      <c r="M54" s="413"/>
      <c r="N54" s="413"/>
      <c r="O54" s="413"/>
      <c r="P54" s="413"/>
      <c r="Q54" s="413"/>
      <c r="R54" s="413"/>
      <c r="S54" s="413"/>
      <c r="T54" s="413"/>
      <c r="U54" s="413"/>
      <c r="V54" s="413"/>
      <c r="W54" s="413"/>
      <c r="X54" s="413"/>
      <c r="Y54" s="413"/>
      <c r="Z54" s="413"/>
      <c r="AA54" s="413"/>
      <c r="AB54" s="413"/>
      <c r="AC54" s="413"/>
      <c r="AD54" s="413"/>
      <c r="AE54" s="413"/>
      <c r="AF54" s="414" t="s">
        <v>56</v>
      </c>
      <c r="AG54" s="415"/>
      <c r="AH54" s="412" t="s">
        <v>180</v>
      </c>
      <c r="AI54" s="413"/>
      <c r="AJ54" s="413"/>
      <c r="AK54" s="413"/>
      <c r="AL54" s="413"/>
      <c r="AM54" s="413"/>
      <c r="AN54" s="413"/>
      <c r="AO54" s="413"/>
      <c r="AP54" s="413"/>
      <c r="AQ54" s="413"/>
      <c r="AR54" s="413"/>
      <c r="AS54" s="413"/>
      <c r="AT54" s="413"/>
      <c r="AU54" s="416"/>
      <c r="AV54" s="416"/>
      <c r="AW54" s="416"/>
      <c r="AX54" s="409"/>
      <c r="AY54" s="409"/>
      <c r="AZ54" s="385"/>
      <c r="BA54" s="385"/>
      <c r="BB54" s="385"/>
      <c r="BC54" s="386"/>
      <c r="BD54" s="385"/>
      <c r="BE54" s="385"/>
      <c r="BF54" s="385"/>
      <c r="BG54" s="385"/>
      <c r="BH54" s="385"/>
      <c r="BI54" s="385"/>
      <c r="BJ54" s="385"/>
      <c r="BK54" s="385"/>
      <c r="BL54" s="386"/>
      <c r="BM54" s="385"/>
      <c r="BN54" s="385"/>
      <c r="BO54" s="385"/>
      <c r="BP54" s="385"/>
      <c r="BQ54" s="385"/>
      <c r="BR54" s="385"/>
      <c r="BS54" s="385"/>
      <c r="BT54" s="385"/>
      <c r="BU54" s="385"/>
      <c r="BV54" s="385"/>
    </row>
    <row r="55" spans="1:75" ht="15.95" customHeight="1" x14ac:dyDescent="0.25">
      <c r="G55" s="409"/>
      <c r="H55" s="417" t="s">
        <v>57</v>
      </c>
      <c r="I55" s="418"/>
      <c r="J55" s="419" t="s">
        <v>181</v>
      </c>
      <c r="K55" s="413"/>
      <c r="L55" s="413"/>
      <c r="M55" s="413"/>
      <c r="N55" s="413"/>
      <c r="O55" s="413"/>
      <c r="P55" s="413"/>
      <c r="Q55" s="413"/>
      <c r="R55" s="413"/>
      <c r="S55" s="413"/>
      <c r="T55" s="413"/>
      <c r="U55" s="413"/>
      <c r="V55" s="413"/>
      <c r="W55" s="413"/>
      <c r="X55" s="413"/>
      <c r="Y55" s="413"/>
      <c r="Z55" s="413"/>
      <c r="AA55" s="413"/>
      <c r="AB55" s="413"/>
      <c r="AC55" s="413"/>
      <c r="AD55" s="413"/>
      <c r="AE55" s="413"/>
      <c r="AF55" s="414" t="s">
        <v>131</v>
      </c>
      <c r="AG55" s="415"/>
      <c r="AH55" s="419" t="s">
        <v>182</v>
      </c>
      <c r="AI55" s="413"/>
      <c r="AJ55" s="413"/>
      <c r="AK55" s="413"/>
      <c r="AL55" s="413"/>
      <c r="AM55" s="413"/>
      <c r="AN55" s="413"/>
      <c r="AO55" s="413"/>
      <c r="AP55" s="413"/>
      <c r="AQ55" s="413"/>
      <c r="AR55" s="413"/>
      <c r="AS55" s="413"/>
      <c r="AT55" s="413"/>
      <c r="AU55" s="416"/>
      <c r="AV55" s="416"/>
      <c r="AW55" s="416"/>
      <c r="AX55" s="409"/>
      <c r="AY55" s="409"/>
      <c r="AZ55" s="385"/>
      <c r="BA55" s="385"/>
      <c r="BB55" s="385"/>
      <c r="BC55" s="386"/>
      <c r="BD55" s="385"/>
      <c r="BE55" s="385"/>
      <c r="BF55" s="385"/>
      <c r="BG55" s="385"/>
      <c r="BH55" s="385"/>
      <c r="BI55" s="385"/>
      <c r="BJ55" s="385"/>
      <c r="BK55" s="385"/>
      <c r="BL55" s="386"/>
      <c r="BM55" s="385"/>
      <c r="BN55" s="385"/>
      <c r="BO55" s="385"/>
      <c r="BP55" s="385"/>
      <c r="BQ55" s="385"/>
      <c r="BR55" s="385"/>
      <c r="BS55" s="385"/>
      <c r="BT55" s="385"/>
      <c r="BU55" s="385"/>
      <c r="BV55" s="385"/>
    </row>
    <row r="56" spans="1:75" ht="15.95" customHeight="1" x14ac:dyDescent="0.25">
      <c r="G56" s="409"/>
      <c r="H56" s="417" t="s">
        <v>86</v>
      </c>
      <c r="I56" s="418"/>
      <c r="J56" s="419" t="s">
        <v>183</v>
      </c>
      <c r="K56" s="413"/>
      <c r="L56" s="413"/>
      <c r="M56" s="413"/>
      <c r="N56" s="413"/>
      <c r="O56" s="413"/>
      <c r="P56" s="413"/>
      <c r="Q56" s="413"/>
      <c r="R56" s="413"/>
      <c r="S56" s="413"/>
      <c r="T56" s="413"/>
      <c r="U56" s="413"/>
      <c r="V56" s="413"/>
      <c r="W56" s="413"/>
      <c r="X56" s="413"/>
      <c r="Y56" s="413"/>
      <c r="Z56" s="413"/>
      <c r="AA56" s="413"/>
      <c r="AB56" s="413"/>
      <c r="AC56" s="413"/>
      <c r="AD56" s="413"/>
      <c r="AE56" s="413"/>
      <c r="AF56" s="414" t="s">
        <v>128</v>
      </c>
      <c r="AG56" s="415"/>
      <c r="AH56" s="412" t="s">
        <v>184</v>
      </c>
      <c r="AI56" s="413"/>
      <c r="AJ56" s="413"/>
      <c r="AK56" s="413"/>
      <c r="AL56" s="413"/>
      <c r="AM56" s="413"/>
      <c r="AN56" s="413"/>
      <c r="AO56" s="413"/>
      <c r="AP56" s="413"/>
      <c r="AQ56" s="413"/>
      <c r="AR56" s="413"/>
      <c r="AS56" s="413"/>
      <c r="AT56" s="413"/>
      <c r="AU56" s="416"/>
      <c r="AV56" s="416"/>
      <c r="AW56" s="416"/>
      <c r="AX56" s="409"/>
      <c r="AY56" s="409"/>
      <c r="AZ56" s="385"/>
      <c r="BA56" s="385"/>
      <c r="BB56" s="385"/>
      <c r="BC56" s="386"/>
      <c r="BD56" s="385"/>
      <c r="BE56" s="385"/>
      <c r="BF56" s="385"/>
      <c r="BG56" s="385"/>
      <c r="BH56" s="385"/>
      <c r="BI56" s="385"/>
      <c r="BJ56" s="385"/>
      <c r="BK56" s="385"/>
      <c r="BL56" s="386"/>
      <c r="BM56" s="385"/>
      <c r="BN56" s="385"/>
      <c r="BO56" s="385"/>
      <c r="BP56" s="385"/>
      <c r="BQ56" s="385"/>
      <c r="BR56" s="385"/>
      <c r="BS56" s="385"/>
      <c r="BT56" s="385"/>
      <c r="BU56" s="385"/>
      <c r="BV56" s="385"/>
    </row>
    <row r="57" spans="1:75" ht="15.95" customHeight="1" x14ac:dyDescent="0.25">
      <c r="G57" s="409"/>
      <c r="H57" s="417" t="s">
        <v>84</v>
      </c>
      <c r="I57" s="418"/>
      <c r="J57" s="419" t="s">
        <v>185</v>
      </c>
      <c r="K57" s="413"/>
      <c r="L57" s="413"/>
      <c r="M57" s="413"/>
      <c r="N57" s="413"/>
      <c r="O57" s="413"/>
      <c r="P57" s="413"/>
      <c r="Q57" s="413"/>
      <c r="R57" s="413"/>
      <c r="S57" s="413"/>
      <c r="T57" s="413"/>
      <c r="U57" s="413"/>
      <c r="V57" s="413"/>
      <c r="W57" s="413"/>
      <c r="X57" s="413"/>
      <c r="Y57" s="413"/>
      <c r="Z57" s="413"/>
      <c r="AA57" s="413"/>
      <c r="AB57" s="413"/>
      <c r="AC57" s="413"/>
      <c r="AD57" s="413"/>
      <c r="AE57" s="413"/>
      <c r="AF57" s="414" t="s">
        <v>186</v>
      </c>
      <c r="AG57" s="415"/>
      <c r="AH57" s="412" t="s">
        <v>187</v>
      </c>
      <c r="AI57" s="413"/>
      <c r="AJ57" s="413"/>
      <c r="AK57" s="413"/>
      <c r="AL57" s="413"/>
      <c r="AM57" s="413"/>
      <c r="AN57" s="413"/>
      <c r="AO57" s="413"/>
      <c r="AP57" s="413"/>
      <c r="AQ57" s="413"/>
      <c r="AR57" s="413"/>
      <c r="AS57" s="413"/>
      <c r="AT57" s="413"/>
      <c r="AU57" s="416"/>
      <c r="AV57" s="416"/>
      <c r="AW57" s="416"/>
      <c r="AX57" s="409"/>
      <c r="AY57" s="409"/>
      <c r="AZ57" s="385"/>
      <c r="BA57" s="385"/>
      <c r="BB57" s="385"/>
      <c r="BC57" s="386"/>
      <c r="BD57" s="385"/>
      <c r="BE57" s="385"/>
      <c r="BF57" s="385"/>
      <c r="BG57" s="385"/>
      <c r="BH57" s="385"/>
      <c r="BI57" s="385"/>
      <c r="BJ57" s="385"/>
      <c r="BK57" s="385"/>
      <c r="BL57" s="386"/>
      <c r="BM57" s="385"/>
      <c r="BN57" s="385"/>
      <c r="BO57" s="385"/>
      <c r="BP57" s="385"/>
      <c r="BQ57" s="385"/>
      <c r="BR57" s="385"/>
      <c r="BS57" s="385"/>
      <c r="BT57" s="385"/>
      <c r="BU57" s="385"/>
      <c r="BV57" s="385"/>
    </row>
    <row r="58" spans="1:75" ht="15.95" customHeight="1" x14ac:dyDescent="0.25">
      <c r="G58" s="409"/>
      <c r="H58" s="417" t="s">
        <v>133</v>
      </c>
      <c r="I58" s="418"/>
      <c r="J58" s="419" t="s">
        <v>188</v>
      </c>
      <c r="K58" s="413"/>
      <c r="L58" s="413"/>
      <c r="M58" s="413"/>
      <c r="N58" s="413"/>
      <c r="O58" s="413"/>
      <c r="P58" s="413"/>
      <c r="Q58" s="413"/>
      <c r="R58" s="413"/>
      <c r="S58" s="413"/>
      <c r="T58" s="413"/>
      <c r="U58" s="413"/>
      <c r="V58" s="413"/>
      <c r="W58" s="413"/>
      <c r="X58" s="413"/>
      <c r="Y58" s="413"/>
      <c r="Z58" s="413"/>
      <c r="AA58" s="413"/>
      <c r="AB58" s="413"/>
      <c r="AC58" s="413"/>
      <c r="AD58" s="413"/>
      <c r="AE58" s="413"/>
      <c r="AF58" s="414" t="s">
        <v>49</v>
      </c>
      <c r="AG58" s="415"/>
      <c r="AH58" s="412" t="s">
        <v>189</v>
      </c>
      <c r="AI58" s="413"/>
      <c r="AJ58" s="413"/>
      <c r="AK58" s="413"/>
      <c r="AL58" s="413"/>
      <c r="AM58" s="413"/>
      <c r="AN58" s="413"/>
      <c r="AO58" s="413"/>
      <c r="AP58" s="413"/>
      <c r="AQ58" s="413"/>
      <c r="AR58" s="413"/>
      <c r="AS58" s="413"/>
      <c r="AT58" s="413"/>
      <c r="AU58" s="416"/>
      <c r="AV58" s="416"/>
      <c r="AW58" s="416"/>
      <c r="AX58" s="409"/>
      <c r="AY58" s="409"/>
      <c r="AZ58" s="385"/>
      <c r="BA58" s="385"/>
      <c r="BB58" s="385"/>
      <c r="BC58" s="386"/>
      <c r="BD58" s="385"/>
      <c r="BE58" s="385"/>
      <c r="BF58" s="385"/>
      <c r="BG58" s="385"/>
      <c r="BH58" s="385"/>
      <c r="BI58" s="385"/>
      <c r="BJ58" s="385"/>
      <c r="BK58" s="385"/>
      <c r="BL58" s="386"/>
      <c r="BM58" s="385"/>
      <c r="BN58" s="385"/>
      <c r="BO58" s="385"/>
      <c r="BP58" s="385"/>
      <c r="BQ58" s="385"/>
      <c r="BR58" s="385"/>
      <c r="BS58" s="385"/>
      <c r="BT58" s="385"/>
      <c r="BU58" s="385"/>
      <c r="BV58" s="385"/>
    </row>
    <row r="59" spans="1:75" ht="15.95" customHeight="1" x14ac:dyDescent="0.25">
      <c r="G59" s="409"/>
      <c r="H59" s="417" t="s">
        <v>85</v>
      </c>
      <c r="I59" s="418"/>
      <c r="J59" s="419" t="s">
        <v>190</v>
      </c>
      <c r="K59" s="413"/>
      <c r="L59" s="413"/>
      <c r="M59" s="413"/>
      <c r="N59" s="413"/>
      <c r="O59" s="413"/>
      <c r="P59" s="413"/>
      <c r="Q59" s="413"/>
      <c r="R59" s="413"/>
      <c r="S59" s="413"/>
      <c r="T59" s="413"/>
      <c r="U59" s="413"/>
      <c r="V59" s="413"/>
      <c r="W59" s="413"/>
      <c r="X59" s="413"/>
      <c r="Y59" s="413"/>
      <c r="Z59" s="413"/>
      <c r="AA59" s="413"/>
      <c r="AB59" s="413"/>
      <c r="AC59" s="413"/>
      <c r="AD59" s="413"/>
      <c r="AE59" s="413"/>
      <c r="AF59" s="414" t="s">
        <v>62</v>
      </c>
      <c r="AG59" s="415"/>
      <c r="AH59" s="412" t="s">
        <v>191</v>
      </c>
      <c r="AI59" s="413"/>
      <c r="AJ59" s="413"/>
      <c r="AK59" s="413"/>
      <c r="AL59" s="413"/>
      <c r="AM59" s="413"/>
      <c r="AN59" s="413"/>
      <c r="AO59" s="413"/>
      <c r="AP59" s="413"/>
      <c r="AQ59" s="413"/>
      <c r="AR59" s="413"/>
      <c r="AS59" s="413"/>
      <c r="AT59" s="413"/>
      <c r="AU59" s="416"/>
      <c r="AV59" s="416"/>
      <c r="AW59" s="416"/>
      <c r="AX59" s="409"/>
      <c r="AY59" s="409"/>
      <c r="AZ59" s="385"/>
      <c r="BA59" s="385"/>
      <c r="BB59" s="385"/>
      <c r="BC59" s="386"/>
      <c r="BD59" s="385"/>
      <c r="BE59" s="385"/>
      <c r="BF59" s="385"/>
      <c r="BG59" s="385"/>
      <c r="BH59" s="385"/>
      <c r="BI59" s="385"/>
      <c r="BJ59" s="385"/>
      <c r="BK59" s="385"/>
      <c r="BL59" s="386"/>
      <c r="BM59" s="385"/>
      <c r="BN59" s="385"/>
      <c r="BO59" s="385"/>
      <c r="BP59" s="385"/>
      <c r="BQ59" s="385"/>
      <c r="BR59" s="385"/>
      <c r="BS59" s="385"/>
      <c r="BT59" s="385"/>
      <c r="BU59" s="385"/>
      <c r="BV59" s="385"/>
    </row>
    <row r="60" spans="1:75" ht="15.95" customHeight="1" x14ac:dyDescent="0.25">
      <c r="G60" s="409"/>
      <c r="H60" s="417" t="s">
        <v>90</v>
      </c>
      <c r="I60" s="418"/>
      <c r="J60" s="419" t="s">
        <v>192</v>
      </c>
      <c r="K60" s="413"/>
      <c r="L60" s="413"/>
      <c r="M60" s="413"/>
      <c r="N60" s="413"/>
      <c r="O60" s="413"/>
      <c r="P60" s="413"/>
      <c r="Q60" s="413"/>
      <c r="R60" s="413"/>
      <c r="S60" s="413"/>
      <c r="T60" s="413"/>
      <c r="U60" s="413"/>
      <c r="V60" s="413"/>
      <c r="W60" s="413"/>
      <c r="X60" s="413"/>
      <c r="Y60" s="413"/>
      <c r="Z60" s="413"/>
      <c r="AA60" s="413"/>
      <c r="AB60" s="413"/>
      <c r="AC60" s="413"/>
      <c r="AD60" s="413"/>
      <c r="AE60" s="413"/>
      <c r="AF60" s="414" t="s">
        <v>114</v>
      </c>
      <c r="AG60" s="415"/>
      <c r="AH60" s="412" t="s">
        <v>193</v>
      </c>
      <c r="AI60" s="413"/>
      <c r="AJ60" s="413"/>
      <c r="AK60" s="413"/>
      <c r="AL60" s="413"/>
      <c r="AM60" s="413"/>
      <c r="AN60" s="413"/>
      <c r="AO60" s="413"/>
      <c r="AP60" s="413"/>
      <c r="AQ60" s="413"/>
      <c r="AR60" s="413"/>
      <c r="AS60" s="413"/>
      <c r="AT60" s="413"/>
      <c r="AU60" s="416"/>
      <c r="AV60" s="416"/>
      <c r="AW60" s="416"/>
      <c r="AX60" s="409"/>
      <c r="AY60" s="409"/>
      <c r="AZ60" s="385"/>
      <c r="BA60" s="385"/>
      <c r="BB60" s="385"/>
      <c r="BC60" s="386"/>
      <c r="BD60" s="385"/>
      <c r="BE60" s="385"/>
      <c r="BF60" s="385"/>
      <c r="BG60" s="385"/>
      <c r="BH60" s="385"/>
      <c r="BI60" s="385"/>
      <c r="BJ60" s="385"/>
      <c r="BK60" s="385"/>
      <c r="BL60" s="386"/>
      <c r="BM60" s="385"/>
      <c r="BN60" s="385"/>
      <c r="BO60" s="385"/>
      <c r="BP60" s="385"/>
      <c r="BQ60" s="385"/>
      <c r="BR60" s="385"/>
      <c r="BS60" s="385"/>
      <c r="BT60" s="385"/>
      <c r="BU60" s="385"/>
      <c r="BV60" s="385"/>
    </row>
    <row r="61" spans="1:75" ht="15.95" customHeight="1" x14ac:dyDescent="0.25">
      <c r="G61" s="409"/>
      <c r="H61" s="417" t="s">
        <v>91</v>
      </c>
      <c r="I61" s="418"/>
      <c r="J61" s="412" t="s">
        <v>194</v>
      </c>
      <c r="K61" s="413"/>
      <c r="L61" s="413"/>
      <c r="M61" s="413"/>
      <c r="N61" s="413"/>
      <c r="O61" s="413"/>
      <c r="P61" s="413"/>
      <c r="Q61" s="413"/>
      <c r="R61" s="413"/>
      <c r="S61" s="413"/>
      <c r="T61" s="413"/>
      <c r="U61" s="413"/>
      <c r="V61" s="413"/>
      <c r="W61" s="413"/>
      <c r="X61" s="413"/>
      <c r="Y61" s="413"/>
      <c r="Z61" s="413"/>
      <c r="AA61" s="413"/>
      <c r="AB61" s="413"/>
      <c r="AC61" s="413"/>
      <c r="AD61" s="413"/>
      <c r="AE61" s="413"/>
      <c r="AF61" s="414" t="s">
        <v>59</v>
      </c>
      <c r="AG61" s="415"/>
      <c r="AH61" s="412" t="s">
        <v>195</v>
      </c>
      <c r="AI61" s="413"/>
      <c r="AJ61" s="413"/>
      <c r="AK61" s="413"/>
      <c r="AL61" s="413"/>
      <c r="AM61" s="413"/>
      <c r="AN61" s="413"/>
      <c r="AO61" s="413"/>
      <c r="AP61" s="413"/>
      <c r="AQ61" s="413"/>
      <c r="AR61" s="413"/>
      <c r="AS61" s="413"/>
      <c r="AT61" s="413"/>
      <c r="AU61" s="416"/>
      <c r="AV61" s="416"/>
      <c r="AW61" s="416"/>
      <c r="AX61" s="409"/>
      <c r="AY61" s="409"/>
      <c r="AZ61" s="385"/>
      <c r="BA61" s="385"/>
      <c r="BB61" s="385"/>
      <c r="BC61" s="386"/>
      <c r="BD61" s="385"/>
      <c r="BE61" s="385"/>
      <c r="BF61" s="385"/>
      <c r="BG61" s="385"/>
      <c r="BH61" s="385"/>
      <c r="BI61" s="385"/>
      <c r="BJ61" s="385"/>
      <c r="BK61" s="385"/>
      <c r="BL61" s="386"/>
      <c r="BM61" s="385"/>
      <c r="BN61" s="385"/>
      <c r="BO61" s="385"/>
      <c r="BP61" s="385"/>
      <c r="BQ61" s="385"/>
      <c r="BR61" s="385"/>
      <c r="BS61" s="385"/>
      <c r="BT61" s="385"/>
      <c r="BU61" s="385"/>
      <c r="BV61" s="385"/>
    </row>
    <row r="62" spans="1:75" ht="15.95" customHeight="1" x14ac:dyDescent="0.25">
      <c r="G62" s="409"/>
      <c r="H62" s="417" t="s">
        <v>93</v>
      </c>
      <c r="I62" s="418"/>
      <c r="J62" s="419" t="s">
        <v>196</v>
      </c>
      <c r="K62" s="413"/>
      <c r="L62" s="413"/>
      <c r="M62" s="413"/>
      <c r="N62" s="413"/>
      <c r="O62" s="413"/>
      <c r="P62" s="413"/>
      <c r="Q62" s="413"/>
      <c r="R62" s="413"/>
      <c r="S62" s="413"/>
      <c r="T62" s="413"/>
      <c r="U62" s="413"/>
      <c r="V62" s="413"/>
      <c r="W62" s="413"/>
      <c r="X62" s="413"/>
      <c r="Y62" s="413"/>
      <c r="Z62" s="413"/>
      <c r="AA62" s="413"/>
      <c r="AB62" s="413"/>
      <c r="AC62" s="413"/>
      <c r="AD62" s="413"/>
      <c r="AE62" s="413"/>
      <c r="AF62" s="414" t="s">
        <v>45</v>
      </c>
      <c r="AG62" s="415"/>
      <c r="AH62" s="412" t="s">
        <v>197</v>
      </c>
      <c r="AI62" s="413"/>
      <c r="AJ62" s="413"/>
      <c r="AK62" s="413"/>
      <c r="AL62" s="413"/>
      <c r="AM62" s="413"/>
      <c r="AN62" s="413"/>
      <c r="AO62" s="413"/>
      <c r="AP62" s="413"/>
      <c r="AQ62" s="413"/>
      <c r="AR62" s="413"/>
      <c r="AS62" s="413"/>
      <c r="AT62" s="413"/>
      <c r="AU62" s="416"/>
      <c r="AV62" s="416"/>
      <c r="AW62" s="416"/>
      <c r="AX62" s="409"/>
      <c r="AY62" s="409"/>
      <c r="AZ62" s="385"/>
      <c r="BA62" s="385"/>
      <c r="BB62" s="385"/>
      <c r="BC62" s="386"/>
      <c r="BD62" s="385"/>
      <c r="BE62" s="385"/>
      <c r="BF62" s="385"/>
      <c r="BG62" s="385"/>
      <c r="BH62" s="385"/>
      <c r="BI62" s="385"/>
      <c r="BJ62" s="385"/>
      <c r="BK62" s="385"/>
      <c r="BL62" s="386"/>
      <c r="BM62" s="385"/>
      <c r="BN62" s="385"/>
      <c r="BO62" s="385"/>
      <c r="BP62" s="385"/>
      <c r="BQ62" s="385"/>
      <c r="BR62" s="385"/>
      <c r="BS62" s="385"/>
      <c r="BT62" s="385"/>
      <c r="BU62" s="385"/>
      <c r="BV62" s="385"/>
    </row>
    <row r="63" spans="1:75" ht="15.95" customHeight="1" x14ac:dyDescent="0.25">
      <c r="G63" s="409"/>
      <c r="H63" s="417" t="s">
        <v>95</v>
      </c>
      <c r="I63" s="418"/>
      <c r="J63" s="419" t="s">
        <v>198</v>
      </c>
      <c r="K63" s="413"/>
      <c r="L63" s="413"/>
      <c r="M63" s="413"/>
      <c r="N63" s="413"/>
      <c r="O63" s="413"/>
      <c r="P63" s="413"/>
      <c r="Q63" s="413"/>
      <c r="R63" s="413"/>
      <c r="S63" s="413"/>
      <c r="T63" s="413"/>
      <c r="U63" s="413"/>
      <c r="V63" s="413"/>
      <c r="W63" s="413"/>
      <c r="X63" s="413"/>
      <c r="Y63" s="413"/>
      <c r="Z63" s="413"/>
      <c r="AA63" s="413"/>
      <c r="AB63" s="413"/>
      <c r="AC63" s="413"/>
      <c r="AD63" s="413"/>
      <c r="AE63" s="413"/>
      <c r="AF63" s="414" t="s">
        <v>50</v>
      </c>
      <c r="AG63" s="415"/>
      <c r="AH63" s="412" t="s">
        <v>199</v>
      </c>
      <c r="AI63" s="413"/>
      <c r="AJ63" s="413"/>
      <c r="AK63" s="413"/>
      <c r="AL63" s="413"/>
      <c r="AM63" s="413"/>
      <c r="AN63" s="413"/>
      <c r="AO63" s="413"/>
      <c r="AP63" s="413"/>
      <c r="AQ63" s="413"/>
      <c r="AR63" s="413"/>
      <c r="AS63" s="413"/>
      <c r="AT63" s="413"/>
      <c r="AU63" s="416"/>
      <c r="AV63" s="416"/>
      <c r="AW63" s="416"/>
      <c r="AX63" s="409"/>
      <c r="AY63" s="409"/>
      <c r="AZ63" s="385"/>
      <c r="BA63" s="385"/>
      <c r="BB63" s="385"/>
      <c r="BC63" s="386"/>
      <c r="BD63" s="385"/>
      <c r="BE63" s="385"/>
      <c r="BF63" s="385"/>
      <c r="BG63" s="385"/>
      <c r="BH63" s="385"/>
      <c r="BI63" s="385"/>
      <c r="BJ63" s="385"/>
      <c r="BK63" s="385"/>
      <c r="BL63" s="386"/>
      <c r="BM63" s="385"/>
      <c r="BN63" s="385"/>
      <c r="BO63" s="385"/>
      <c r="BP63" s="385"/>
      <c r="BQ63" s="385"/>
      <c r="BR63" s="385"/>
      <c r="BS63" s="385"/>
      <c r="BT63" s="385"/>
      <c r="BU63" s="385"/>
      <c r="BV63" s="385"/>
    </row>
    <row r="64" spans="1:75" ht="15.95" customHeight="1" x14ac:dyDescent="0.25">
      <c r="G64" s="409"/>
      <c r="H64" s="417" t="s">
        <v>120</v>
      </c>
      <c r="I64" s="418"/>
      <c r="J64" s="419" t="s">
        <v>200</v>
      </c>
      <c r="K64" s="413"/>
      <c r="L64" s="413"/>
      <c r="M64" s="413"/>
      <c r="N64" s="413"/>
      <c r="O64" s="413"/>
      <c r="P64" s="413"/>
      <c r="Q64" s="413"/>
      <c r="R64" s="413"/>
      <c r="S64" s="413"/>
      <c r="T64" s="413"/>
      <c r="U64" s="413"/>
      <c r="V64" s="413"/>
      <c r="W64" s="413"/>
      <c r="X64" s="413"/>
      <c r="Y64" s="413"/>
      <c r="Z64" s="413"/>
      <c r="AA64" s="413"/>
      <c r="AB64" s="413"/>
      <c r="AC64" s="413"/>
      <c r="AD64" s="413"/>
      <c r="AE64" s="413"/>
      <c r="AF64" s="414" t="s">
        <v>53</v>
      </c>
      <c r="AG64" s="415"/>
      <c r="AH64" s="412" t="s">
        <v>201</v>
      </c>
      <c r="AI64" s="413"/>
      <c r="AJ64" s="413"/>
      <c r="AK64" s="413"/>
      <c r="AL64" s="413"/>
      <c r="AM64" s="413"/>
      <c r="AN64" s="413"/>
      <c r="AO64" s="413"/>
      <c r="AP64" s="413"/>
      <c r="AQ64" s="413"/>
      <c r="AR64" s="413"/>
      <c r="AS64" s="413"/>
      <c r="AT64" s="413"/>
      <c r="AU64" s="416"/>
      <c r="AV64" s="416"/>
      <c r="AW64" s="416"/>
      <c r="AX64" s="409"/>
      <c r="AY64" s="409"/>
      <c r="AZ64" s="385"/>
      <c r="BA64" s="385"/>
      <c r="BB64" s="385"/>
      <c r="BC64" s="386"/>
      <c r="BD64" s="385"/>
      <c r="BE64" s="385"/>
      <c r="BF64" s="385"/>
      <c r="BG64" s="385"/>
      <c r="BH64" s="385"/>
      <c r="BI64" s="385"/>
      <c r="BJ64" s="385"/>
      <c r="BK64" s="385"/>
      <c r="BL64" s="386"/>
      <c r="BM64" s="385"/>
      <c r="BN64" s="385"/>
      <c r="BO64" s="385"/>
      <c r="BP64" s="385"/>
      <c r="BQ64" s="385"/>
      <c r="BR64" s="385"/>
      <c r="BS64" s="385"/>
      <c r="BT64" s="385"/>
      <c r="BU64" s="385"/>
      <c r="BV64" s="385"/>
      <c r="BW64" s="385"/>
    </row>
    <row r="65" spans="7:75" ht="15.95" customHeight="1" x14ac:dyDescent="0.25">
      <c r="G65" s="409"/>
      <c r="H65" s="417" t="s">
        <v>57</v>
      </c>
      <c r="I65" s="418"/>
      <c r="J65" s="419" t="s">
        <v>202</v>
      </c>
      <c r="K65" s="413"/>
      <c r="L65" s="413"/>
      <c r="M65" s="413"/>
      <c r="N65" s="413"/>
      <c r="O65" s="413"/>
      <c r="P65" s="413"/>
      <c r="Q65" s="413"/>
      <c r="R65" s="413"/>
      <c r="S65" s="413"/>
      <c r="T65" s="413"/>
      <c r="U65" s="413"/>
      <c r="V65" s="413"/>
      <c r="W65" s="413"/>
      <c r="X65" s="413"/>
      <c r="Y65" s="413"/>
      <c r="Z65" s="413"/>
      <c r="AA65" s="413"/>
      <c r="AB65" s="413"/>
      <c r="AC65" s="413"/>
      <c r="AD65" s="413"/>
      <c r="AE65" s="413"/>
      <c r="AF65" s="414" t="s">
        <v>94</v>
      </c>
      <c r="AG65" s="415"/>
      <c r="AH65" s="412" t="s">
        <v>203</v>
      </c>
      <c r="AI65" s="413"/>
      <c r="AJ65" s="413"/>
      <c r="AK65" s="413"/>
      <c r="AL65" s="413"/>
      <c r="AM65" s="413"/>
      <c r="AN65" s="413"/>
      <c r="AO65" s="413"/>
      <c r="AP65" s="413"/>
      <c r="AQ65" s="413"/>
      <c r="AR65" s="413"/>
      <c r="AS65" s="413"/>
      <c r="AT65" s="413"/>
      <c r="AU65" s="416"/>
      <c r="AV65" s="416"/>
      <c r="AW65" s="416"/>
      <c r="AX65" s="409"/>
      <c r="AY65" s="409"/>
      <c r="AZ65" s="385"/>
      <c r="BA65" s="385"/>
      <c r="BB65" s="385"/>
      <c r="BC65" s="386"/>
      <c r="BD65" s="385"/>
      <c r="BE65" s="385"/>
      <c r="BF65" s="385"/>
      <c r="BG65" s="385"/>
      <c r="BH65" s="385"/>
      <c r="BI65" s="385"/>
      <c r="BJ65" s="385"/>
      <c r="BK65" s="385"/>
      <c r="BL65" s="386"/>
      <c r="BM65" s="385"/>
      <c r="BN65" s="385"/>
      <c r="BO65" s="385"/>
      <c r="BP65" s="385"/>
      <c r="BQ65" s="385"/>
      <c r="BR65" s="385"/>
      <c r="BS65" s="385"/>
      <c r="BT65" s="385"/>
      <c r="BU65" s="385"/>
      <c r="BV65" s="385"/>
    </row>
    <row r="66" spans="7:75" ht="15.95" customHeight="1" x14ac:dyDescent="0.25">
      <c r="G66" s="409"/>
      <c r="H66" s="417" t="s">
        <v>122</v>
      </c>
      <c r="I66" s="418"/>
      <c r="J66" s="419" t="s">
        <v>204</v>
      </c>
      <c r="K66" s="413"/>
      <c r="L66" s="413"/>
      <c r="M66" s="413"/>
      <c r="N66" s="413"/>
      <c r="O66" s="413"/>
      <c r="P66" s="413"/>
      <c r="Q66" s="413"/>
      <c r="R66" s="413"/>
      <c r="S66" s="413"/>
      <c r="T66" s="413"/>
      <c r="U66" s="413"/>
      <c r="V66" s="413"/>
      <c r="W66" s="413"/>
      <c r="X66" s="413"/>
      <c r="Y66" s="413"/>
      <c r="Z66" s="413"/>
      <c r="AA66" s="413"/>
      <c r="AB66" s="413"/>
      <c r="AC66" s="413"/>
      <c r="AD66" s="413"/>
      <c r="AE66" s="413"/>
      <c r="AF66" s="414" t="s">
        <v>157</v>
      </c>
      <c r="AG66" s="415"/>
      <c r="AH66" s="412" t="s">
        <v>205</v>
      </c>
      <c r="AI66" s="413"/>
      <c r="AJ66" s="413"/>
      <c r="AK66" s="413"/>
      <c r="AL66" s="413"/>
      <c r="AM66" s="413"/>
      <c r="AN66" s="413"/>
      <c r="AO66" s="413"/>
      <c r="AP66" s="413"/>
      <c r="AQ66" s="413"/>
      <c r="AR66" s="413"/>
      <c r="AS66" s="413"/>
      <c r="AT66" s="413"/>
      <c r="AU66" s="416"/>
      <c r="AV66" s="416"/>
      <c r="AW66" s="416"/>
      <c r="AX66" s="409"/>
      <c r="AY66" s="409"/>
      <c r="AZ66" s="385"/>
      <c r="BA66" s="385"/>
      <c r="BB66" s="385"/>
      <c r="BC66" s="386"/>
      <c r="BD66" s="385"/>
      <c r="BE66" s="385"/>
      <c r="BF66" s="385"/>
      <c r="BG66" s="385"/>
      <c r="BH66" s="385"/>
      <c r="BI66" s="385"/>
      <c r="BJ66" s="385"/>
      <c r="BK66" s="385"/>
      <c r="BL66" s="386"/>
      <c r="BM66" s="385"/>
      <c r="BN66" s="385"/>
      <c r="BO66" s="385"/>
      <c r="BP66" s="385"/>
      <c r="BQ66" s="385"/>
      <c r="BR66" s="385"/>
      <c r="BS66" s="385"/>
      <c r="BT66" s="385"/>
      <c r="BU66" s="385"/>
      <c r="BV66" s="385"/>
    </row>
    <row r="67" spans="7:75" ht="15.95" customHeight="1" x14ac:dyDescent="0.25">
      <c r="G67" s="409"/>
      <c r="H67" s="417" t="s">
        <v>104</v>
      </c>
      <c r="I67" s="418"/>
      <c r="J67" s="419" t="s">
        <v>206</v>
      </c>
      <c r="K67" s="413"/>
      <c r="L67" s="413"/>
      <c r="M67" s="413"/>
      <c r="N67" s="413"/>
      <c r="O67" s="413"/>
      <c r="P67" s="413"/>
      <c r="Q67" s="413"/>
      <c r="R67" s="413"/>
      <c r="S67" s="413"/>
      <c r="T67" s="413"/>
      <c r="U67" s="413"/>
      <c r="V67" s="413"/>
      <c r="W67" s="413"/>
      <c r="X67" s="413"/>
      <c r="Y67" s="413"/>
      <c r="Z67" s="413"/>
      <c r="AA67" s="413"/>
      <c r="AB67" s="413"/>
      <c r="AC67" s="413"/>
      <c r="AD67" s="413"/>
      <c r="AE67" s="413"/>
      <c r="AF67" s="414" t="s">
        <v>115</v>
      </c>
      <c r="AG67" s="415"/>
      <c r="AH67" s="412" t="s">
        <v>207</v>
      </c>
      <c r="AI67" s="413"/>
      <c r="AJ67" s="413"/>
      <c r="AK67" s="413"/>
      <c r="AL67" s="413"/>
      <c r="AM67" s="413"/>
      <c r="AN67" s="413"/>
      <c r="AO67" s="413"/>
      <c r="AP67" s="413"/>
      <c r="AQ67" s="413"/>
      <c r="AR67" s="413"/>
      <c r="AS67" s="413"/>
      <c r="AT67" s="413"/>
      <c r="AU67" s="416"/>
      <c r="AV67" s="416"/>
      <c r="AW67" s="416"/>
      <c r="AX67" s="409"/>
      <c r="AY67" s="409"/>
      <c r="AZ67" s="385"/>
      <c r="BA67" s="385"/>
      <c r="BB67" s="385"/>
      <c r="BC67" s="386"/>
      <c r="BD67" s="385"/>
      <c r="BE67" s="385"/>
      <c r="BF67" s="385"/>
      <c r="BG67" s="385"/>
      <c r="BH67" s="385"/>
      <c r="BI67" s="385"/>
      <c r="BJ67" s="385"/>
      <c r="BK67" s="385"/>
      <c r="BL67" s="386"/>
      <c r="BM67" s="385"/>
      <c r="BN67" s="385"/>
      <c r="BO67" s="385"/>
      <c r="BP67" s="385"/>
      <c r="BQ67" s="385"/>
      <c r="BR67" s="385"/>
      <c r="BS67" s="385"/>
      <c r="BT67" s="385"/>
      <c r="BU67" s="385"/>
      <c r="BV67" s="385"/>
    </row>
    <row r="68" spans="7:75" ht="15.95" customHeight="1" x14ac:dyDescent="0.25">
      <c r="G68" s="409"/>
      <c r="H68" s="417" t="s">
        <v>72</v>
      </c>
      <c r="I68" s="418"/>
      <c r="J68" s="419" t="s">
        <v>208</v>
      </c>
      <c r="K68" s="413"/>
      <c r="L68" s="413"/>
      <c r="M68" s="413"/>
      <c r="N68" s="413"/>
      <c r="O68" s="413"/>
      <c r="P68" s="413"/>
      <c r="Q68" s="413"/>
      <c r="R68" s="413"/>
      <c r="S68" s="413"/>
      <c r="T68" s="413"/>
      <c r="U68" s="413"/>
      <c r="V68" s="413"/>
      <c r="W68" s="413"/>
      <c r="X68" s="413"/>
      <c r="Y68" s="413"/>
      <c r="Z68" s="413"/>
      <c r="AA68" s="413"/>
      <c r="AB68" s="413"/>
      <c r="AC68" s="413"/>
      <c r="AD68" s="413"/>
      <c r="AE68" s="413"/>
      <c r="AF68" s="414" t="s">
        <v>48</v>
      </c>
      <c r="AG68" s="415"/>
      <c r="AH68" s="412" t="s">
        <v>209</v>
      </c>
      <c r="AI68" s="413"/>
      <c r="AJ68" s="413"/>
      <c r="AK68" s="413"/>
      <c r="AL68" s="413"/>
      <c r="AM68" s="413"/>
      <c r="AN68" s="413"/>
      <c r="AO68" s="413"/>
      <c r="AP68" s="413"/>
      <c r="AQ68" s="413"/>
      <c r="AR68" s="413"/>
      <c r="AS68" s="413"/>
      <c r="AT68" s="413"/>
      <c r="AU68" s="416"/>
      <c r="AV68" s="416"/>
      <c r="AW68" s="416"/>
      <c r="AX68" s="409"/>
      <c r="AY68" s="409"/>
      <c r="AZ68" s="385"/>
      <c r="BA68" s="385"/>
      <c r="BB68" s="385"/>
      <c r="BC68" s="386"/>
      <c r="BD68" s="385"/>
      <c r="BE68" s="385"/>
      <c r="BF68" s="385"/>
      <c r="BG68" s="385"/>
      <c r="BH68" s="385"/>
      <c r="BI68" s="385"/>
      <c r="BJ68" s="385"/>
      <c r="BK68" s="385"/>
      <c r="BL68" s="386"/>
      <c r="BM68" s="385"/>
      <c r="BN68" s="385"/>
      <c r="BO68" s="385"/>
      <c r="BP68" s="385"/>
      <c r="BQ68" s="385"/>
      <c r="BR68" s="385"/>
      <c r="BS68" s="385"/>
      <c r="BT68" s="385"/>
      <c r="BU68" s="385"/>
      <c r="BV68" s="385"/>
    </row>
    <row r="69" spans="7:75" ht="15.95" customHeight="1" x14ac:dyDescent="0.25">
      <c r="G69" s="409"/>
      <c r="H69" s="417" t="s">
        <v>118</v>
      </c>
      <c r="I69" s="418"/>
      <c r="J69" s="419" t="s">
        <v>210</v>
      </c>
      <c r="K69" s="413"/>
      <c r="L69" s="413"/>
      <c r="M69" s="413"/>
      <c r="N69" s="413"/>
      <c r="O69" s="413"/>
      <c r="P69" s="413"/>
      <c r="Q69" s="413"/>
      <c r="R69" s="413"/>
      <c r="S69" s="413"/>
      <c r="T69" s="413"/>
      <c r="U69" s="413"/>
      <c r="V69" s="413"/>
      <c r="W69" s="413"/>
      <c r="X69" s="413"/>
      <c r="Y69" s="413"/>
      <c r="Z69" s="413"/>
      <c r="AA69" s="413"/>
      <c r="AB69" s="413"/>
      <c r="AC69" s="413"/>
      <c r="AD69" s="413"/>
      <c r="AE69" s="413"/>
      <c r="AF69" s="414" t="s">
        <v>46</v>
      </c>
      <c r="AG69" s="415"/>
      <c r="AH69" s="412" t="s">
        <v>211</v>
      </c>
      <c r="AI69" s="413"/>
      <c r="AJ69" s="413"/>
      <c r="AK69" s="413"/>
      <c r="AL69" s="413"/>
      <c r="AM69" s="413"/>
      <c r="AN69" s="413"/>
      <c r="AO69" s="413"/>
      <c r="AP69" s="413"/>
      <c r="AQ69" s="413"/>
      <c r="AR69" s="413"/>
      <c r="AS69" s="413"/>
      <c r="AT69" s="413"/>
      <c r="AU69" s="416"/>
      <c r="AV69" s="416"/>
      <c r="AW69" s="416"/>
      <c r="AX69" s="409"/>
      <c r="AY69" s="409"/>
      <c r="AZ69" s="385"/>
      <c r="BA69" s="385"/>
      <c r="BB69" s="385"/>
      <c r="BC69" s="386"/>
      <c r="BD69" s="385"/>
      <c r="BE69" s="385"/>
      <c r="BF69" s="385"/>
      <c r="BG69" s="385"/>
      <c r="BH69" s="385"/>
      <c r="BI69" s="385"/>
      <c r="BJ69" s="385"/>
      <c r="BK69" s="385"/>
      <c r="BL69" s="386"/>
      <c r="BM69" s="385"/>
      <c r="BN69" s="385"/>
      <c r="BO69" s="385"/>
      <c r="BP69" s="385"/>
      <c r="BQ69" s="385"/>
      <c r="BR69" s="385"/>
      <c r="BS69" s="385"/>
      <c r="BT69" s="385"/>
      <c r="BU69" s="385"/>
      <c r="BV69" s="385"/>
    </row>
    <row r="70" spans="7:75" ht="15.95" customHeight="1" x14ac:dyDescent="0.25">
      <c r="G70" s="409"/>
      <c r="H70" s="417" t="s">
        <v>105</v>
      </c>
      <c r="I70" s="418"/>
      <c r="J70" s="419" t="s">
        <v>212</v>
      </c>
      <c r="K70" s="413"/>
      <c r="L70" s="413"/>
      <c r="M70" s="413"/>
      <c r="N70" s="413"/>
      <c r="O70" s="413"/>
      <c r="P70" s="413"/>
      <c r="Q70" s="413"/>
      <c r="R70" s="413"/>
      <c r="S70" s="413"/>
      <c r="T70" s="413"/>
      <c r="U70" s="413"/>
      <c r="V70" s="413"/>
      <c r="W70" s="413"/>
      <c r="X70" s="413"/>
      <c r="Y70" s="413"/>
      <c r="Z70" s="413"/>
      <c r="AA70" s="413"/>
      <c r="AB70" s="413"/>
      <c r="AC70" s="413"/>
      <c r="AD70" s="413"/>
      <c r="AE70" s="413"/>
      <c r="AF70" s="414" t="s">
        <v>213</v>
      </c>
      <c r="AG70" s="415"/>
      <c r="AH70" s="412" t="s">
        <v>214</v>
      </c>
      <c r="AI70" s="413"/>
      <c r="AJ70" s="413"/>
      <c r="AK70" s="413"/>
      <c r="AL70" s="413"/>
      <c r="AM70" s="413"/>
      <c r="AN70" s="413"/>
      <c r="AO70" s="413"/>
      <c r="AP70" s="413"/>
      <c r="AQ70" s="413"/>
      <c r="AR70" s="413"/>
      <c r="AS70" s="413"/>
      <c r="AT70" s="413"/>
      <c r="AU70" s="416"/>
      <c r="AV70" s="416"/>
      <c r="AW70" s="416"/>
      <c r="AX70" s="409"/>
      <c r="AY70" s="409"/>
      <c r="AZ70" s="385"/>
      <c r="BA70" s="385"/>
      <c r="BB70" s="385"/>
      <c r="BC70" s="386"/>
      <c r="BD70" s="385"/>
      <c r="BE70" s="385"/>
      <c r="BF70" s="385"/>
      <c r="BG70" s="385"/>
      <c r="BH70" s="385"/>
      <c r="BI70" s="385"/>
      <c r="BJ70" s="385"/>
      <c r="BK70" s="385"/>
      <c r="BL70" s="386"/>
      <c r="BM70" s="385"/>
      <c r="BN70" s="385"/>
      <c r="BO70" s="385"/>
      <c r="BP70" s="385"/>
      <c r="BQ70" s="385"/>
      <c r="BR70" s="385"/>
      <c r="BS70" s="385"/>
      <c r="BT70" s="385"/>
      <c r="BU70" s="385"/>
      <c r="BV70" s="385"/>
    </row>
    <row r="71" spans="7:75" ht="15.95" customHeight="1" x14ac:dyDescent="0.25">
      <c r="G71" s="409"/>
      <c r="H71" s="417" t="s">
        <v>75</v>
      </c>
      <c r="I71" s="418"/>
      <c r="J71" s="412" t="s">
        <v>215</v>
      </c>
      <c r="K71" s="413"/>
      <c r="L71" s="413"/>
      <c r="M71" s="413"/>
      <c r="N71" s="413"/>
      <c r="O71" s="413"/>
      <c r="P71" s="413"/>
      <c r="Q71" s="413"/>
      <c r="R71" s="413"/>
      <c r="S71" s="413"/>
      <c r="T71" s="413"/>
      <c r="U71" s="413"/>
      <c r="V71" s="413"/>
      <c r="W71" s="413"/>
      <c r="X71" s="413"/>
      <c r="Y71" s="413"/>
      <c r="Z71" s="413"/>
      <c r="AA71" s="413"/>
      <c r="AB71" s="413"/>
      <c r="AC71" s="413"/>
      <c r="AD71" s="413"/>
      <c r="AE71" s="413"/>
      <c r="AF71" s="414" t="s">
        <v>74</v>
      </c>
      <c r="AG71" s="415"/>
      <c r="AH71" s="412" t="s">
        <v>216</v>
      </c>
      <c r="AI71" s="413"/>
      <c r="AJ71" s="413"/>
      <c r="AK71" s="413"/>
      <c r="AL71" s="413"/>
      <c r="AM71" s="413"/>
      <c r="AN71" s="413"/>
      <c r="AO71" s="413"/>
      <c r="AP71" s="413"/>
      <c r="AQ71" s="413"/>
      <c r="AR71" s="413"/>
      <c r="AS71" s="413"/>
      <c r="AT71" s="413"/>
      <c r="AU71" s="416"/>
      <c r="AV71" s="416"/>
      <c r="AW71" s="416"/>
      <c r="AX71" s="409"/>
      <c r="AY71" s="409"/>
      <c r="AZ71" s="385"/>
      <c r="BA71" s="385"/>
      <c r="BB71" s="385"/>
      <c r="BC71" s="386"/>
      <c r="BD71" s="385"/>
      <c r="BE71" s="385"/>
      <c r="BF71" s="385"/>
      <c r="BG71" s="385"/>
      <c r="BH71" s="385"/>
      <c r="BI71" s="385"/>
      <c r="BJ71" s="385"/>
      <c r="BK71" s="385"/>
      <c r="BL71" s="386"/>
      <c r="BM71" s="385"/>
      <c r="BN71" s="385"/>
      <c r="BO71" s="385"/>
      <c r="BP71" s="385"/>
      <c r="BQ71" s="385"/>
      <c r="BR71" s="385"/>
      <c r="BS71" s="385"/>
      <c r="BT71" s="385"/>
      <c r="BU71" s="385"/>
      <c r="BV71" s="385"/>
    </row>
    <row r="72" spans="7:75" ht="15.95" customHeight="1" x14ac:dyDescent="0.25">
      <c r="G72" s="409"/>
      <c r="H72" s="417" t="s">
        <v>127</v>
      </c>
      <c r="I72" s="418"/>
      <c r="J72" s="420" t="s">
        <v>217</v>
      </c>
      <c r="K72" s="413"/>
      <c r="L72" s="413"/>
      <c r="M72" s="413"/>
      <c r="N72" s="413"/>
      <c r="O72" s="413"/>
      <c r="P72" s="413"/>
      <c r="Q72" s="413"/>
      <c r="R72" s="413"/>
      <c r="S72" s="413"/>
      <c r="T72" s="413"/>
      <c r="U72" s="413"/>
      <c r="V72" s="413"/>
      <c r="W72" s="413"/>
      <c r="X72" s="413"/>
      <c r="Y72" s="413"/>
      <c r="Z72" s="413"/>
      <c r="AA72" s="413"/>
      <c r="AB72" s="413"/>
      <c r="AC72" s="413"/>
      <c r="AD72" s="413"/>
      <c r="AE72" s="413"/>
      <c r="AF72" s="414" t="s">
        <v>69</v>
      </c>
      <c r="AG72" s="415"/>
      <c r="AH72" s="412" t="s">
        <v>218</v>
      </c>
      <c r="AI72" s="413"/>
      <c r="AJ72" s="413"/>
      <c r="AK72" s="413"/>
      <c r="AL72" s="413"/>
      <c r="AM72" s="413"/>
      <c r="AN72" s="413"/>
      <c r="AO72" s="413"/>
      <c r="AP72" s="413"/>
      <c r="AQ72" s="413"/>
      <c r="AR72" s="413"/>
      <c r="AS72" s="413"/>
      <c r="AT72" s="413"/>
      <c r="AU72" s="416"/>
      <c r="AV72" s="416"/>
      <c r="AW72" s="416"/>
      <c r="AX72" s="409"/>
      <c r="AY72" s="409"/>
      <c r="AZ72" s="385"/>
      <c r="BA72" s="385"/>
      <c r="BB72" s="385"/>
      <c r="BC72" s="386"/>
      <c r="BD72" s="385"/>
      <c r="BE72" s="385"/>
      <c r="BF72" s="385"/>
      <c r="BG72" s="385"/>
      <c r="BH72" s="385"/>
      <c r="BI72" s="385"/>
      <c r="BJ72" s="385"/>
      <c r="BK72" s="385"/>
      <c r="BL72" s="386"/>
      <c r="BM72" s="385"/>
      <c r="BN72" s="385"/>
      <c r="BO72" s="385"/>
      <c r="BP72" s="385"/>
      <c r="BQ72" s="385"/>
      <c r="BR72" s="385"/>
      <c r="BS72" s="385"/>
      <c r="BT72" s="385"/>
      <c r="BU72" s="385"/>
      <c r="BV72" s="385"/>
    </row>
    <row r="73" spans="7:75" ht="15.95" customHeight="1" x14ac:dyDescent="0.25">
      <c r="G73" s="409"/>
      <c r="H73" s="417" t="s">
        <v>130</v>
      </c>
      <c r="I73" s="418"/>
      <c r="J73" s="412" t="s">
        <v>219</v>
      </c>
      <c r="K73" s="413"/>
      <c r="L73" s="413"/>
      <c r="M73" s="413"/>
      <c r="N73" s="413"/>
      <c r="O73" s="413"/>
      <c r="P73" s="413"/>
      <c r="Q73" s="413"/>
      <c r="R73" s="413"/>
      <c r="S73" s="413"/>
      <c r="T73" s="413"/>
      <c r="U73" s="413"/>
      <c r="V73" s="413"/>
      <c r="W73" s="413"/>
      <c r="X73" s="413"/>
      <c r="Y73" s="413"/>
      <c r="Z73" s="413"/>
      <c r="AA73" s="413"/>
      <c r="AB73" s="413"/>
      <c r="AC73" s="413"/>
      <c r="AD73" s="413"/>
      <c r="AE73" s="413"/>
      <c r="AF73" s="414" t="s">
        <v>102</v>
      </c>
      <c r="AG73" s="415"/>
      <c r="AH73" s="412" t="s">
        <v>220</v>
      </c>
      <c r="AI73" s="413"/>
      <c r="AJ73" s="413"/>
      <c r="AK73" s="413"/>
      <c r="AL73" s="413"/>
      <c r="AM73" s="413"/>
      <c r="AN73" s="413"/>
      <c r="AO73" s="413"/>
      <c r="AP73" s="413"/>
      <c r="AQ73" s="413"/>
      <c r="AR73" s="413"/>
      <c r="AS73" s="413"/>
      <c r="AT73" s="413"/>
      <c r="AU73" s="416"/>
      <c r="AV73" s="416"/>
      <c r="AW73" s="416"/>
      <c r="AX73" s="409"/>
      <c r="AY73" s="409"/>
      <c r="AZ73" s="385"/>
      <c r="BA73" s="385"/>
      <c r="BB73" s="385"/>
      <c r="BC73" s="386"/>
      <c r="BD73" s="385"/>
      <c r="BE73" s="385"/>
      <c r="BF73" s="385"/>
      <c r="BG73" s="385"/>
      <c r="BH73" s="385"/>
      <c r="BI73" s="385"/>
      <c r="BJ73" s="385"/>
      <c r="BK73" s="385"/>
      <c r="BL73" s="386"/>
      <c r="BM73" s="385"/>
      <c r="BN73" s="385"/>
      <c r="BO73" s="385"/>
      <c r="BP73" s="385"/>
      <c r="BQ73" s="385"/>
      <c r="BR73" s="385"/>
      <c r="BS73" s="385"/>
      <c r="BT73" s="385"/>
      <c r="BU73" s="385"/>
      <c r="BV73" s="385"/>
    </row>
    <row r="74" spans="7:75" ht="15.95" customHeight="1" x14ac:dyDescent="0.25">
      <c r="G74" s="409"/>
      <c r="H74" s="417" t="s">
        <v>119</v>
      </c>
      <c r="I74" s="418"/>
      <c r="J74" s="412" t="s">
        <v>221</v>
      </c>
      <c r="K74" s="413"/>
      <c r="L74" s="413"/>
      <c r="M74" s="413"/>
      <c r="N74" s="413"/>
      <c r="O74" s="413"/>
      <c r="P74" s="413"/>
      <c r="Q74" s="413"/>
      <c r="R74" s="413"/>
      <c r="S74" s="413"/>
      <c r="T74" s="413"/>
      <c r="U74" s="413"/>
      <c r="V74" s="413"/>
      <c r="W74" s="413"/>
      <c r="X74" s="413"/>
      <c r="Y74" s="413"/>
      <c r="Z74" s="413"/>
      <c r="AA74" s="413"/>
      <c r="AB74" s="413"/>
      <c r="AC74" s="413"/>
      <c r="AD74" s="413"/>
      <c r="AE74" s="413"/>
      <c r="AF74" s="414" t="s">
        <v>222</v>
      </c>
      <c r="AG74" s="415"/>
      <c r="AH74" s="412" t="s">
        <v>223</v>
      </c>
      <c r="AI74" s="413"/>
      <c r="AJ74" s="413"/>
      <c r="AK74" s="413"/>
      <c r="AL74" s="413"/>
      <c r="AM74" s="413"/>
      <c r="AN74" s="413"/>
      <c r="AO74" s="413"/>
      <c r="AP74" s="413"/>
      <c r="AQ74" s="413"/>
      <c r="AR74" s="413"/>
      <c r="AS74" s="413"/>
      <c r="AT74" s="413"/>
      <c r="AU74" s="416"/>
      <c r="AV74" s="416"/>
      <c r="AW74" s="416"/>
      <c r="AX74" s="409"/>
      <c r="AY74" s="409"/>
      <c r="AZ74" s="385"/>
      <c r="BA74" s="385"/>
      <c r="BB74" s="385"/>
      <c r="BC74" s="386"/>
      <c r="BD74" s="385"/>
      <c r="BE74" s="385"/>
      <c r="BF74" s="385"/>
      <c r="BG74" s="385"/>
      <c r="BH74" s="385"/>
      <c r="BI74" s="385"/>
      <c r="BJ74" s="385"/>
      <c r="BK74" s="385"/>
      <c r="BL74" s="386"/>
      <c r="BM74" s="385"/>
      <c r="BN74" s="385"/>
      <c r="BO74" s="385"/>
      <c r="BP74" s="385"/>
      <c r="BQ74" s="385"/>
      <c r="BR74" s="385"/>
      <c r="BS74" s="385"/>
      <c r="BT74" s="385"/>
      <c r="BU74" s="385"/>
      <c r="BV74" s="385"/>
    </row>
    <row r="75" spans="7:75" ht="15.95" customHeight="1" x14ac:dyDescent="0.25">
      <c r="G75" s="409"/>
      <c r="H75" s="417" t="s">
        <v>63</v>
      </c>
      <c r="I75" s="418"/>
      <c r="J75" s="412" t="s">
        <v>224</v>
      </c>
      <c r="K75" s="413"/>
      <c r="L75" s="413"/>
      <c r="M75" s="413"/>
      <c r="N75" s="413"/>
      <c r="O75" s="413"/>
      <c r="P75" s="413"/>
      <c r="Q75" s="413"/>
      <c r="R75" s="413"/>
      <c r="S75" s="413"/>
      <c r="T75" s="413"/>
      <c r="U75" s="413"/>
      <c r="V75" s="413"/>
      <c r="W75" s="413"/>
      <c r="X75" s="413"/>
      <c r="Y75" s="413"/>
      <c r="Z75" s="413"/>
      <c r="AA75" s="413"/>
      <c r="AB75" s="413"/>
      <c r="AC75" s="413"/>
      <c r="AD75" s="413"/>
      <c r="AE75" s="413"/>
      <c r="AF75" s="414" t="s">
        <v>73</v>
      </c>
      <c r="AG75" s="415"/>
      <c r="AH75" s="412" t="s">
        <v>225</v>
      </c>
      <c r="AI75" s="413"/>
      <c r="AJ75" s="413"/>
      <c r="AK75" s="413"/>
      <c r="AL75" s="413"/>
      <c r="AM75" s="413"/>
      <c r="AN75" s="413"/>
      <c r="AO75" s="413"/>
      <c r="AP75" s="413"/>
      <c r="AQ75" s="413"/>
      <c r="AR75" s="413"/>
      <c r="AS75" s="413"/>
      <c r="AT75" s="413"/>
      <c r="AU75" s="416"/>
      <c r="AV75" s="416"/>
      <c r="AW75" s="416"/>
      <c r="AX75" s="409"/>
      <c r="AY75" s="409"/>
      <c r="AZ75" s="385"/>
      <c r="BA75" s="385"/>
      <c r="BB75" s="385"/>
      <c r="BC75" s="386"/>
      <c r="BD75" s="385"/>
      <c r="BE75" s="385"/>
      <c r="BF75" s="385"/>
      <c r="BG75" s="385"/>
      <c r="BH75" s="385"/>
      <c r="BI75" s="385"/>
      <c r="BJ75" s="385"/>
      <c r="BK75" s="385"/>
      <c r="BL75" s="386"/>
      <c r="BM75" s="385"/>
      <c r="BN75" s="385"/>
      <c r="BO75" s="385"/>
      <c r="BP75" s="385"/>
      <c r="BQ75" s="385"/>
      <c r="BR75" s="385"/>
      <c r="BS75" s="385"/>
      <c r="BT75" s="385"/>
      <c r="BU75" s="385"/>
      <c r="BV75" s="385"/>
    </row>
    <row r="76" spans="7:75" ht="15.95" customHeight="1" x14ac:dyDescent="0.25">
      <c r="G76" s="409"/>
      <c r="H76" s="417" t="s">
        <v>96</v>
      </c>
      <c r="I76" s="418"/>
      <c r="J76" s="412" t="s">
        <v>226</v>
      </c>
      <c r="K76" s="413"/>
      <c r="L76" s="413"/>
      <c r="M76" s="413"/>
      <c r="N76" s="413"/>
      <c r="O76" s="413"/>
      <c r="P76" s="413"/>
      <c r="Q76" s="413"/>
      <c r="R76" s="413"/>
      <c r="S76" s="413"/>
      <c r="T76" s="413"/>
      <c r="U76" s="413"/>
      <c r="V76" s="413"/>
      <c r="W76" s="413"/>
      <c r="X76" s="413"/>
      <c r="Y76" s="413"/>
      <c r="Z76" s="413"/>
      <c r="AA76" s="413"/>
      <c r="AB76" s="413"/>
      <c r="AC76" s="413"/>
      <c r="AD76" s="413"/>
      <c r="AE76" s="413"/>
      <c r="AF76" s="414" t="s">
        <v>110</v>
      </c>
      <c r="AG76" s="415"/>
      <c r="AH76" s="412" t="s">
        <v>227</v>
      </c>
      <c r="AI76" s="413"/>
      <c r="AJ76" s="413"/>
      <c r="AK76" s="413"/>
      <c r="AL76" s="413"/>
      <c r="AM76" s="413"/>
      <c r="AN76" s="413"/>
      <c r="AO76" s="413"/>
      <c r="AP76" s="413"/>
      <c r="AQ76" s="413"/>
      <c r="AR76" s="413"/>
      <c r="AS76" s="413"/>
      <c r="AT76" s="413"/>
      <c r="AU76" s="416"/>
      <c r="AV76" s="416"/>
      <c r="AW76" s="416"/>
      <c r="AX76" s="409"/>
      <c r="AY76" s="409"/>
      <c r="AZ76" s="385"/>
      <c r="BA76" s="385"/>
      <c r="BB76" s="385"/>
      <c r="BC76" s="386"/>
      <c r="BD76" s="385"/>
      <c r="BE76" s="385"/>
      <c r="BF76" s="385"/>
      <c r="BG76" s="385"/>
      <c r="BH76" s="385"/>
      <c r="BI76" s="385"/>
      <c r="BJ76" s="385"/>
      <c r="BK76" s="385"/>
      <c r="BL76" s="386"/>
      <c r="BM76" s="385"/>
      <c r="BN76" s="385"/>
      <c r="BO76" s="385"/>
      <c r="BP76" s="385"/>
      <c r="BQ76" s="385"/>
      <c r="BR76" s="385"/>
      <c r="BS76" s="385"/>
      <c r="BT76" s="385"/>
      <c r="BU76" s="385"/>
      <c r="BV76" s="385"/>
      <c r="BW76" s="385"/>
    </row>
    <row r="77" spans="7:75" ht="15.95" customHeight="1" x14ac:dyDescent="0.25">
      <c r="G77" s="409"/>
      <c r="H77" s="417" t="s">
        <v>116</v>
      </c>
      <c r="I77" s="418"/>
      <c r="J77" s="412" t="s">
        <v>228</v>
      </c>
      <c r="K77" s="413"/>
      <c r="L77" s="413"/>
      <c r="M77" s="413"/>
      <c r="N77" s="413"/>
      <c r="O77" s="413"/>
      <c r="P77" s="413"/>
      <c r="Q77" s="413"/>
      <c r="R77" s="413"/>
      <c r="S77" s="413"/>
      <c r="T77" s="413"/>
      <c r="U77" s="413"/>
      <c r="V77" s="413"/>
      <c r="W77" s="413"/>
      <c r="X77" s="413"/>
      <c r="Y77" s="413"/>
      <c r="Z77" s="413"/>
      <c r="AA77" s="413"/>
      <c r="AB77" s="413"/>
      <c r="AC77" s="413"/>
      <c r="AD77" s="413"/>
      <c r="AE77" s="413"/>
      <c r="AF77" s="414" t="s">
        <v>66</v>
      </c>
      <c r="AG77" s="415"/>
      <c r="AH77" s="412" t="s">
        <v>229</v>
      </c>
      <c r="AI77" s="413"/>
      <c r="AJ77" s="413"/>
      <c r="AK77" s="413"/>
      <c r="AL77" s="413"/>
      <c r="AM77" s="413"/>
      <c r="AN77" s="413"/>
      <c r="AO77" s="413"/>
      <c r="AP77" s="413"/>
      <c r="AQ77" s="413"/>
      <c r="AR77" s="413"/>
      <c r="AS77" s="413"/>
      <c r="AT77" s="413"/>
      <c r="AU77" s="416"/>
      <c r="AV77" s="416"/>
      <c r="AW77" s="416"/>
      <c r="AX77" s="409"/>
      <c r="AY77" s="409"/>
      <c r="AZ77" s="385"/>
      <c r="BA77" s="385"/>
      <c r="BB77" s="385"/>
      <c r="BC77" s="386"/>
      <c r="BD77" s="385"/>
      <c r="BE77" s="385"/>
      <c r="BF77" s="385"/>
      <c r="BG77" s="385"/>
      <c r="BH77" s="385"/>
      <c r="BI77" s="385"/>
      <c r="BJ77" s="385"/>
      <c r="BK77" s="385"/>
      <c r="BL77" s="386"/>
      <c r="BM77" s="385"/>
      <c r="BN77" s="385"/>
      <c r="BO77" s="385"/>
      <c r="BP77" s="385"/>
      <c r="BQ77" s="385"/>
      <c r="BR77" s="385"/>
      <c r="BS77" s="385"/>
      <c r="BT77" s="385"/>
      <c r="BU77" s="385"/>
      <c r="BV77" s="385"/>
    </row>
    <row r="78" spans="7:75" ht="15.95" customHeight="1" x14ac:dyDescent="0.25">
      <c r="G78" s="409"/>
      <c r="H78" s="417" t="s">
        <v>230</v>
      </c>
      <c r="I78" s="418"/>
      <c r="J78" s="412" t="s">
        <v>231</v>
      </c>
      <c r="K78" s="413"/>
      <c r="L78" s="413"/>
      <c r="M78" s="413"/>
      <c r="N78" s="413"/>
      <c r="O78" s="413"/>
      <c r="P78" s="413"/>
      <c r="Q78" s="413"/>
      <c r="R78" s="413"/>
      <c r="S78" s="413"/>
      <c r="T78" s="413"/>
      <c r="U78" s="413"/>
      <c r="V78" s="413"/>
      <c r="W78" s="413"/>
      <c r="X78" s="413"/>
      <c r="Y78" s="413"/>
      <c r="Z78" s="413"/>
      <c r="AA78" s="413"/>
      <c r="AB78" s="413"/>
      <c r="AC78" s="413"/>
      <c r="AD78" s="413"/>
      <c r="AE78" s="413"/>
      <c r="AF78" s="414" t="s">
        <v>54</v>
      </c>
      <c r="AG78" s="415"/>
      <c r="AH78" s="412" t="s">
        <v>232</v>
      </c>
      <c r="AI78" s="413"/>
      <c r="AJ78" s="413"/>
      <c r="AK78" s="413"/>
      <c r="AL78" s="413"/>
      <c r="AM78" s="413"/>
      <c r="AN78" s="413"/>
      <c r="AO78" s="413"/>
      <c r="AP78" s="413"/>
      <c r="AQ78" s="413"/>
      <c r="AR78" s="413"/>
      <c r="AS78" s="413"/>
      <c r="AT78" s="413"/>
      <c r="AU78" s="416"/>
      <c r="AV78" s="416"/>
      <c r="AW78" s="416"/>
      <c r="AX78" s="409"/>
      <c r="AY78" s="409"/>
      <c r="AZ78" s="385"/>
      <c r="BA78" s="385"/>
      <c r="BB78" s="385"/>
      <c r="BC78" s="386"/>
      <c r="BD78" s="385"/>
      <c r="BE78" s="385"/>
      <c r="BF78" s="385"/>
      <c r="BG78" s="385"/>
      <c r="BH78" s="385"/>
      <c r="BI78" s="385"/>
      <c r="BJ78" s="385"/>
      <c r="BK78" s="385"/>
      <c r="BL78" s="386"/>
      <c r="BM78" s="385"/>
      <c r="BN78" s="385"/>
      <c r="BO78" s="385"/>
      <c r="BP78" s="385"/>
      <c r="BQ78" s="385"/>
      <c r="BR78" s="385"/>
      <c r="BS78" s="385"/>
      <c r="BT78" s="385"/>
      <c r="BU78" s="385"/>
      <c r="BV78" s="385"/>
    </row>
    <row r="79" spans="7:75" ht="15.95" customHeight="1" x14ac:dyDescent="0.25">
      <c r="G79" s="409"/>
      <c r="H79" s="417" t="s">
        <v>55</v>
      </c>
      <c r="I79" s="418"/>
      <c r="J79" s="412" t="s">
        <v>233</v>
      </c>
      <c r="K79" s="413"/>
      <c r="L79" s="413"/>
      <c r="M79" s="413"/>
      <c r="N79" s="413"/>
      <c r="O79" s="413"/>
      <c r="P79" s="413"/>
      <c r="Q79" s="413"/>
      <c r="R79" s="413"/>
      <c r="S79" s="413"/>
      <c r="T79" s="413"/>
      <c r="U79" s="413"/>
      <c r="V79" s="413"/>
      <c r="W79" s="413"/>
      <c r="X79" s="413"/>
      <c r="Y79" s="413"/>
      <c r="Z79" s="413"/>
      <c r="AA79" s="413"/>
      <c r="AB79" s="413"/>
      <c r="AC79" s="413"/>
      <c r="AD79" s="413"/>
      <c r="AE79" s="413"/>
      <c r="AF79" s="414" t="s">
        <v>51</v>
      </c>
      <c r="AG79" s="415"/>
      <c r="AH79" s="412" t="s">
        <v>234</v>
      </c>
      <c r="AI79" s="413"/>
      <c r="AJ79" s="413"/>
      <c r="AK79" s="413"/>
      <c r="AL79" s="413"/>
      <c r="AM79" s="413"/>
      <c r="AN79" s="413"/>
      <c r="AO79" s="413"/>
      <c r="AP79" s="413"/>
      <c r="AQ79" s="413"/>
      <c r="AR79" s="413"/>
      <c r="AS79" s="413"/>
      <c r="AT79" s="413"/>
      <c r="AU79" s="416"/>
      <c r="AV79" s="416"/>
      <c r="AW79" s="416"/>
      <c r="AX79" s="409"/>
      <c r="AY79" s="409"/>
      <c r="AZ79" s="385"/>
      <c r="BA79" s="385"/>
      <c r="BB79" s="385"/>
      <c r="BC79" s="386"/>
      <c r="BD79" s="385"/>
      <c r="BE79" s="385"/>
      <c r="BF79" s="385"/>
      <c r="BG79" s="385"/>
      <c r="BH79" s="385"/>
      <c r="BI79" s="385"/>
      <c r="BJ79" s="385"/>
      <c r="BK79" s="385"/>
      <c r="BL79" s="386"/>
      <c r="BM79" s="385"/>
      <c r="BN79" s="385"/>
      <c r="BO79" s="385"/>
      <c r="BP79" s="385"/>
      <c r="BQ79" s="385"/>
      <c r="BR79" s="385"/>
      <c r="BS79" s="385"/>
      <c r="BT79" s="385"/>
      <c r="BU79" s="385"/>
      <c r="BV79" s="385"/>
    </row>
    <row r="80" spans="7:75" ht="15.95" customHeight="1" x14ac:dyDescent="0.25">
      <c r="G80" s="409"/>
      <c r="H80" s="417" t="s">
        <v>235</v>
      </c>
      <c r="I80" s="418"/>
      <c r="J80" s="412" t="s">
        <v>236</v>
      </c>
      <c r="K80" s="413"/>
      <c r="L80" s="413"/>
      <c r="M80" s="413"/>
      <c r="N80" s="413"/>
      <c r="O80" s="413"/>
      <c r="P80" s="413"/>
      <c r="Q80" s="413"/>
      <c r="R80" s="413"/>
      <c r="S80" s="413"/>
      <c r="T80" s="413"/>
      <c r="U80" s="413"/>
      <c r="V80" s="413"/>
      <c r="W80" s="413"/>
      <c r="X80" s="413"/>
      <c r="Y80" s="413"/>
      <c r="Z80" s="413"/>
      <c r="AA80" s="413"/>
      <c r="AB80" s="413"/>
      <c r="AC80" s="413"/>
      <c r="AD80" s="413"/>
      <c r="AE80" s="413"/>
      <c r="AF80" s="414" t="s">
        <v>82</v>
      </c>
      <c r="AG80" s="415"/>
      <c r="AH80" s="412" t="s">
        <v>237</v>
      </c>
      <c r="AI80" s="413"/>
      <c r="AJ80" s="413"/>
      <c r="AK80" s="413"/>
      <c r="AL80" s="413"/>
      <c r="AM80" s="413"/>
      <c r="AN80" s="413"/>
      <c r="AO80" s="413"/>
      <c r="AP80" s="413"/>
      <c r="AQ80" s="413"/>
      <c r="AR80" s="413"/>
      <c r="AS80" s="413"/>
      <c r="AT80" s="413"/>
      <c r="AU80" s="416"/>
      <c r="AV80" s="416"/>
      <c r="AW80" s="416"/>
      <c r="AX80" s="409"/>
      <c r="AY80" s="409"/>
      <c r="AZ80" s="385"/>
      <c r="BA80" s="385"/>
      <c r="BB80" s="385"/>
      <c r="BC80" s="386"/>
      <c r="BD80" s="385"/>
      <c r="BE80" s="385"/>
      <c r="BF80" s="385"/>
      <c r="BG80" s="385"/>
      <c r="BH80" s="385"/>
      <c r="BI80" s="385"/>
      <c r="BJ80" s="385"/>
      <c r="BK80" s="385"/>
      <c r="BL80" s="386"/>
      <c r="BM80" s="385"/>
      <c r="BN80" s="385"/>
      <c r="BO80" s="385"/>
      <c r="BP80" s="385"/>
      <c r="BQ80" s="385"/>
      <c r="BR80" s="385"/>
      <c r="BS80" s="385"/>
      <c r="BT80" s="385"/>
      <c r="BU80" s="385"/>
      <c r="BV80" s="385"/>
    </row>
    <row r="81" spans="1:75" ht="15.95" customHeight="1" x14ac:dyDescent="0.25">
      <c r="G81" s="409"/>
      <c r="H81" s="417" t="s">
        <v>101</v>
      </c>
      <c r="I81" s="418"/>
      <c r="J81" s="412" t="s">
        <v>238</v>
      </c>
      <c r="K81" s="413"/>
      <c r="L81" s="413"/>
      <c r="M81" s="413"/>
      <c r="N81" s="413"/>
      <c r="O81" s="413"/>
      <c r="P81" s="413"/>
      <c r="Q81" s="413"/>
      <c r="R81" s="413"/>
      <c r="S81" s="413"/>
      <c r="T81" s="413"/>
      <c r="U81" s="413"/>
      <c r="V81" s="413"/>
      <c r="W81" s="413"/>
      <c r="X81" s="413"/>
      <c r="Y81" s="413"/>
      <c r="Z81" s="413"/>
      <c r="AA81" s="413"/>
      <c r="AB81" s="413"/>
      <c r="AC81" s="413"/>
      <c r="AD81" s="413"/>
      <c r="AE81" s="413"/>
      <c r="AF81" s="414" t="s">
        <v>83</v>
      </c>
      <c r="AG81" s="415"/>
      <c r="AH81" s="412" t="s">
        <v>239</v>
      </c>
      <c r="AI81" s="413"/>
      <c r="AJ81" s="413"/>
      <c r="AK81" s="413"/>
      <c r="AL81" s="413"/>
      <c r="AM81" s="413"/>
      <c r="AN81" s="413"/>
      <c r="AO81" s="413"/>
      <c r="AP81" s="413"/>
      <c r="AQ81" s="413"/>
      <c r="AR81" s="413"/>
      <c r="AS81" s="413"/>
      <c r="AT81" s="413"/>
      <c r="AU81" s="416"/>
      <c r="AV81" s="416"/>
      <c r="AW81" s="416"/>
      <c r="AX81" s="409"/>
      <c r="AY81" s="409"/>
      <c r="AZ81" s="385"/>
      <c r="BA81" s="385"/>
      <c r="BB81" s="385"/>
      <c r="BC81" s="386"/>
      <c r="BD81" s="385"/>
      <c r="BE81" s="385"/>
      <c r="BF81" s="385"/>
      <c r="BG81" s="385"/>
      <c r="BH81" s="385"/>
      <c r="BI81" s="385"/>
      <c r="BJ81" s="385"/>
      <c r="BK81" s="385"/>
      <c r="BL81" s="386"/>
      <c r="BM81" s="385"/>
      <c r="BN81" s="385"/>
      <c r="BO81" s="385"/>
      <c r="BP81" s="385"/>
      <c r="BQ81" s="385"/>
      <c r="BR81" s="385"/>
      <c r="BS81" s="385"/>
      <c r="BT81" s="385"/>
      <c r="BU81" s="385"/>
      <c r="BV81" s="385"/>
    </row>
    <row r="82" spans="1:75" ht="15.95" customHeight="1" x14ac:dyDescent="0.25">
      <c r="G82" s="409"/>
      <c r="H82" s="417" t="s">
        <v>106</v>
      </c>
      <c r="I82" s="418"/>
      <c r="J82" s="412" t="s">
        <v>240</v>
      </c>
      <c r="K82" s="413"/>
      <c r="L82" s="413"/>
      <c r="M82" s="413"/>
      <c r="N82" s="413"/>
      <c r="O82" s="413"/>
      <c r="P82" s="413"/>
      <c r="Q82" s="413"/>
      <c r="R82" s="413"/>
      <c r="S82" s="413"/>
      <c r="T82" s="413"/>
      <c r="U82" s="413"/>
      <c r="V82" s="413"/>
      <c r="W82" s="413"/>
      <c r="X82" s="413"/>
      <c r="Y82" s="413"/>
      <c r="Z82" s="413"/>
      <c r="AA82" s="413"/>
      <c r="AB82" s="413"/>
      <c r="AC82" s="413"/>
      <c r="AD82" s="413"/>
      <c r="AE82" s="413"/>
      <c r="AF82" s="414" t="s">
        <v>124</v>
      </c>
      <c r="AG82" s="415"/>
      <c r="AH82" s="412" t="s">
        <v>241</v>
      </c>
      <c r="AI82" s="413"/>
      <c r="AJ82" s="413"/>
      <c r="AK82" s="413"/>
      <c r="AL82" s="413"/>
      <c r="AM82" s="413"/>
      <c r="AN82" s="413"/>
      <c r="AO82" s="413"/>
      <c r="AP82" s="413"/>
      <c r="AQ82" s="413"/>
      <c r="AR82" s="413"/>
      <c r="AS82" s="413"/>
      <c r="AT82" s="413"/>
      <c r="AU82" s="416"/>
      <c r="AV82" s="416"/>
      <c r="AW82" s="416"/>
      <c r="AX82" s="409"/>
      <c r="AY82" s="409"/>
      <c r="AZ82" s="385"/>
      <c r="BA82" s="385"/>
      <c r="BB82" s="385"/>
      <c r="BC82" s="386"/>
      <c r="BD82" s="385"/>
      <c r="BE82" s="385"/>
      <c r="BF82" s="385"/>
      <c r="BG82" s="385"/>
      <c r="BH82" s="385"/>
      <c r="BI82" s="385"/>
      <c r="BJ82" s="385"/>
      <c r="BK82" s="385"/>
      <c r="BL82" s="386"/>
      <c r="BM82" s="385"/>
      <c r="BN82" s="385"/>
      <c r="BO82" s="385"/>
      <c r="BP82" s="385"/>
      <c r="BQ82" s="385"/>
      <c r="BR82" s="385"/>
      <c r="BS82" s="385"/>
      <c r="BT82" s="385"/>
      <c r="BU82" s="385"/>
      <c r="BV82" s="385"/>
    </row>
    <row r="83" spans="1:75" ht="15.95" customHeight="1" x14ac:dyDescent="0.25">
      <c r="G83" s="409"/>
      <c r="H83" s="417" t="s">
        <v>87</v>
      </c>
      <c r="I83" s="418"/>
      <c r="J83" s="412" t="s">
        <v>242</v>
      </c>
      <c r="K83" s="413"/>
      <c r="L83" s="413"/>
      <c r="M83" s="413"/>
      <c r="N83" s="413"/>
      <c r="O83" s="413"/>
      <c r="P83" s="413"/>
      <c r="Q83" s="413"/>
      <c r="R83" s="413"/>
      <c r="S83" s="413"/>
      <c r="T83" s="413"/>
      <c r="U83" s="413"/>
      <c r="V83" s="413"/>
      <c r="W83" s="413"/>
      <c r="X83" s="413"/>
      <c r="Y83" s="413"/>
      <c r="Z83" s="413"/>
      <c r="AA83" s="413"/>
      <c r="AB83" s="413"/>
      <c r="AC83" s="413"/>
      <c r="AD83" s="413"/>
      <c r="AE83" s="413"/>
      <c r="AF83" s="414" t="s">
        <v>125</v>
      </c>
      <c r="AG83" s="415"/>
      <c r="AH83" s="419" t="s">
        <v>243</v>
      </c>
      <c r="AI83" s="413"/>
      <c r="AJ83" s="413"/>
      <c r="AK83" s="413"/>
      <c r="AL83" s="413"/>
      <c r="AM83" s="413"/>
      <c r="AN83" s="413"/>
      <c r="AO83" s="413"/>
      <c r="AP83" s="413"/>
      <c r="AQ83" s="413"/>
      <c r="AR83" s="413"/>
      <c r="AS83" s="413"/>
      <c r="AT83" s="413"/>
      <c r="AU83" s="416"/>
      <c r="AV83" s="416"/>
      <c r="AW83" s="416"/>
      <c r="AX83" s="409"/>
      <c r="AY83" s="409"/>
      <c r="AZ83" s="385"/>
      <c r="BA83" s="385"/>
      <c r="BB83" s="385"/>
      <c r="BC83" s="386"/>
      <c r="BD83" s="385"/>
      <c r="BE83" s="385"/>
      <c r="BF83" s="385"/>
      <c r="BG83" s="385"/>
      <c r="BH83" s="385"/>
      <c r="BI83" s="385"/>
      <c r="BJ83" s="385"/>
      <c r="BK83" s="385"/>
      <c r="BL83" s="386"/>
      <c r="BM83" s="385"/>
      <c r="BN83" s="385"/>
      <c r="BO83" s="385"/>
      <c r="BP83" s="385"/>
      <c r="BQ83" s="385"/>
      <c r="BR83" s="385"/>
      <c r="BS83" s="385"/>
      <c r="BT83" s="385"/>
      <c r="BU83" s="385"/>
      <c r="BV83" s="385"/>
    </row>
    <row r="84" spans="1:75" ht="15.95" customHeight="1" x14ac:dyDescent="0.25">
      <c r="G84" s="409"/>
      <c r="H84" s="417" t="s">
        <v>100</v>
      </c>
      <c r="I84" s="418"/>
      <c r="J84" s="412" t="s">
        <v>244</v>
      </c>
      <c r="K84" s="413"/>
      <c r="L84" s="413"/>
      <c r="M84" s="413"/>
      <c r="N84" s="413"/>
      <c r="O84" s="413"/>
      <c r="P84" s="413"/>
      <c r="Q84" s="413"/>
      <c r="R84" s="413"/>
      <c r="S84" s="413"/>
      <c r="T84" s="413"/>
      <c r="U84" s="413"/>
      <c r="V84" s="413"/>
      <c r="W84" s="413"/>
      <c r="X84" s="413"/>
      <c r="Y84" s="413"/>
      <c r="Z84" s="413"/>
      <c r="AA84" s="413"/>
      <c r="AB84" s="413"/>
      <c r="AC84" s="413"/>
      <c r="AD84" s="413"/>
      <c r="AE84" s="413"/>
      <c r="AF84" s="414" t="s">
        <v>129</v>
      </c>
      <c r="AG84" s="415"/>
      <c r="AH84" s="419" t="s">
        <v>245</v>
      </c>
      <c r="AI84" s="413"/>
      <c r="AJ84" s="413"/>
      <c r="AK84" s="413"/>
      <c r="AL84" s="413"/>
      <c r="AM84" s="413"/>
      <c r="AN84" s="413"/>
      <c r="AO84" s="413"/>
      <c r="AP84" s="413"/>
      <c r="AQ84" s="413"/>
      <c r="AR84" s="413"/>
      <c r="AS84" s="413"/>
      <c r="AT84" s="413"/>
      <c r="AU84" s="416"/>
      <c r="AV84" s="416"/>
      <c r="AW84" s="416"/>
      <c r="AX84" s="409"/>
      <c r="AY84" s="409"/>
      <c r="AZ84" s="385"/>
      <c r="BA84" s="385"/>
      <c r="BB84" s="385"/>
      <c r="BC84" s="386"/>
      <c r="BD84" s="385"/>
      <c r="BE84" s="385"/>
      <c r="BF84" s="385"/>
      <c r="BG84" s="385"/>
      <c r="BH84" s="385"/>
      <c r="BI84" s="385"/>
      <c r="BJ84" s="385"/>
      <c r="BK84" s="385"/>
      <c r="BL84" s="386"/>
      <c r="BM84" s="385"/>
      <c r="BN84" s="385"/>
      <c r="BO84" s="385"/>
      <c r="BP84" s="385"/>
      <c r="BQ84" s="385"/>
      <c r="BR84" s="385"/>
      <c r="BS84" s="385"/>
      <c r="BT84" s="385"/>
      <c r="BU84" s="385"/>
      <c r="BV84" s="385"/>
    </row>
    <row r="85" spans="1:75" ht="15.95" customHeight="1" x14ac:dyDescent="0.25">
      <c r="G85" s="409"/>
      <c r="H85" s="417" t="s">
        <v>117</v>
      </c>
      <c r="I85" s="418"/>
      <c r="J85" s="412" t="s">
        <v>246</v>
      </c>
      <c r="K85" s="413"/>
      <c r="L85" s="413"/>
      <c r="M85" s="413"/>
      <c r="N85" s="413"/>
      <c r="O85" s="413"/>
      <c r="P85" s="413"/>
      <c r="Q85" s="413"/>
      <c r="R85" s="413"/>
      <c r="S85" s="413"/>
      <c r="T85" s="413"/>
      <c r="U85" s="413"/>
      <c r="V85" s="413"/>
      <c r="W85" s="413"/>
      <c r="X85" s="413"/>
      <c r="Y85" s="413"/>
      <c r="Z85" s="413"/>
      <c r="AA85" s="413"/>
      <c r="AB85" s="413"/>
      <c r="AC85" s="413"/>
      <c r="AD85" s="413"/>
      <c r="AE85" s="413"/>
      <c r="AF85" s="414" t="s">
        <v>79</v>
      </c>
      <c r="AG85" s="415"/>
      <c r="AH85" s="412" t="s">
        <v>247</v>
      </c>
      <c r="AI85" s="413"/>
      <c r="AJ85" s="413"/>
      <c r="AK85" s="413"/>
      <c r="AL85" s="413"/>
      <c r="AM85" s="413"/>
      <c r="AN85" s="413"/>
      <c r="AO85" s="413"/>
      <c r="AP85" s="413"/>
      <c r="AQ85" s="413"/>
      <c r="AR85" s="413"/>
      <c r="AS85" s="413"/>
      <c r="AT85" s="413"/>
      <c r="AU85" s="416"/>
      <c r="AV85" s="416"/>
      <c r="AW85" s="416"/>
      <c r="AX85" s="409"/>
      <c r="AY85" s="409"/>
      <c r="AZ85" s="385"/>
      <c r="BA85" s="385"/>
      <c r="BB85" s="385"/>
      <c r="BC85" s="386"/>
      <c r="BD85" s="385"/>
      <c r="BE85" s="385"/>
      <c r="BF85" s="385"/>
      <c r="BG85" s="385"/>
      <c r="BH85" s="385"/>
      <c r="BI85" s="385"/>
      <c r="BJ85" s="385"/>
      <c r="BK85" s="385"/>
      <c r="BL85" s="386"/>
      <c r="BM85" s="385"/>
      <c r="BN85" s="385"/>
      <c r="BO85" s="385"/>
      <c r="BP85" s="385"/>
      <c r="BQ85" s="385"/>
      <c r="BR85" s="385"/>
      <c r="BS85" s="385"/>
      <c r="BT85" s="385"/>
      <c r="BU85" s="385"/>
      <c r="BV85" s="385"/>
    </row>
    <row r="86" spans="1:75" ht="15.95" customHeight="1" x14ac:dyDescent="0.25">
      <c r="G86" s="409"/>
      <c r="H86" s="417" t="s">
        <v>60</v>
      </c>
      <c r="I86" s="418"/>
      <c r="J86" s="412" t="s">
        <v>248</v>
      </c>
      <c r="K86" s="413"/>
      <c r="L86" s="413"/>
      <c r="M86" s="413"/>
      <c r="N86" s="413"/>
      <c r="O86" s="413"/>
      <c r="P86" s="413"/>
      <c r="Q86" s="413"/>
      <c r="R86" s="413"/>
      <c r="S86" s="413"/>
      <c r="T86" s="413"/>
      <c r="U86" s="413"/>
      <c r="V86" s="413"/>
      <c r="W86" s="413"/>
      <c r="X86" s="413"/>
      <c r="Y86" s="413"/>
      <c r="Z86" s="413"/>
      <c r="AA86" s="413"/>
      <c r="AB86" s="413"/>
      <c r="AC86" s="413"/>
      <c r="AD86" s="413"/>
      <c r="AE86" s="413"/>
      <c r="AF86" s="414" t="s">
        <v>76</v>
      </c>
      <c r="AG86" s="415"/>
      <c r="AH86" s="412" t="s">
        <v>249</v>
      </c>
      <c r="AI86" s="413"/>
      <c r="AJ86" s="413"/>
      <c r="AK86" s="413"/>
      <c r="AL86" s="413"/>
      <c r="AM86" s="413"/>
      <c r="AN86" s="413"/>
      <c r="AO86" s="413"/>
      <c r="AP86" s="413"/>
      <c r="AQ86" s="413"/>
      <c r="AR86" s="413"/>
      <c r="AS86" s="413"/>
      <c r="AT86" s="413"/>
      <c r="AU86" s="416"/>
      <c r="AV86" s="416"/>
      <c r="AW86" s="416"/>
      <c r="AX86" s="409"/>
      <c r="AY86" s="409"/>
      <c r="AZ86" s="385"/>
      <c r="BA86" s="385"/>
      <c r="BB86" s="385"/>
      <c r="BC86" s="386"/>
      <c r="BD86" s="385"/>
      <c r="BE86" s="385"/>
      <c r="BF86" s="385"/>
      <c r="BG86" s="385"/>
      <c r="BH86" s="385"/>
      <c r="BI86" s="385"/>
      <c r="BJ86" s="385"/>
      <c r="BK86" s="385"/>
      <c r="BL86" s="386"/>
      <c r="BM86" s="385"/>
      <c r="BN86" s="385"/>
      <c r="BO86" s="385"/>
      <c r="BP86" s="385"/>
      <c r="BQ86" s="385"/>
      <c r="BR86" s="385"/>
      <c r="BS86" s="385"/>
      <c r="BT86" s="385"/>
      <c r="BU86" s="385"/>
      <c r="BV86" s="385"/>
      <c r="BW86" s="385"/>
    </row>
    <row r="87" spans="1:75" ht="15.95" customHeight="1" x14ac:dyDescent="0.25">
      <c r="G87" s="409"/>
      <c r="H87" s="417" t="s">
        <v>89</v>
      </c>
      <c r="I87" s="418"/>
      <c r="J87" s="412" t="s">
        <v>250</v>
      </c>
      <c r="K87" s="413"/>
      <c r="L87" s="413"/>
      <c r="M87" s="413"/>
      <c r="N87" s="413"/>
      <c r="O87" s="413"/>
      <c r="P87" s="413"/>
      <c r="Q87" s="413"/>
      <c r="R87" s="413"/>
      <c r="S87" s="413"/>
      <c r="T87" s="413"/>
      <c r="U87" s="413"/>
      <c r="V87" s="413"/>
      <c r="W87" s="413"/>
      <c r="X87" s="413"/>
      <c r="Y87" s="413"/>
      <c r="Z87" s="413"/>
      <c r="AA87" s="413"/>
      <c r="AB87" s="413"/>
      <c r="AC87" s="413"/>
      <c r="AD87" s="413"/>
      <c r="AE87" s="413"/>
      <c r="AF87" s="414" t="s">
        <v>121</v>
      </c>
      <c r="AG87" s="415"/>
      <c r="AH87" s="412" t="s">
        <v>251</v>
      </c>
      <c r="AI87" s="413"/>
      <c r="AJ87" s="413"/>
      <c r="AK87" s="413"/>
      <c r="AL87" s="413"/>
      <c r="AM87" s="413"/>
      <c r="AN87" s="413"/>
      <c r="AO87" s="413"/>
      <c r="AP87" s="413"/>
      <c r="AQ87" s="413"/>
      <c r="AR87" s="413"/>
      <c r="AS87" s="413"/>
      <c r="AT87" s="413"/>
      <c r="AU87" s="416"/>
      <c r="AV87" s="416"/>
      <c r="AW87" s="416"/>
      <c r="AX87" s="409"/>
      <c r="AY87" s="409"/>
      <c r="AZ87" s="385"/>
      <c r="BA87" s="385"/>
      <c r="BB87" s="385"/>
      <c r="BC87" s="386"/>
      <c r="BD87" s="385"/>
      <c r="BE87" s="385"/>
      <c r="BF87" s="385"/>
      <c r="BG87" s="385"/>
      <c r="BH87" s="385"/>
      <c r="BI87" s="385"/>
      <c r="BJ87" s="385"/>
      <c r="BK87" s="385"/>
      <c r="BL87" s="386"/>
      <c r="BM87" s="385"/>
      <c r="BN87" s="385"/>
      <c r="BO87" s="385"/>
      <c r="BP87" s="385"/>
      <c r="BQ87" s="385"/>
      <c r="BR87" s="385"/>
      <c r="BS87" s="385"/>
      <c r="BT87" s="385"/>
      <c r="BU87" s="385"/>
      <c r="BV87" s="385"/>
    </row>
    <row r="88" spans="1:75" ht="15.95" customHeight="1" x14ac:dyDescent="0.25">
      <c r="G88" s="409"/>
      <c r="H88" s="417" t="s">
        <v>61</v>
      </c>
      <c r="I88" s="418"/>
      <c r="J88" s="412" t="s">
        <v>252</v>
      </c>
      <c r="K88" s="413"/>
      <c r="L88" s="413"/>
      <c r="M88" s="413"/>
      <c r="N88" s="413"/>
      <c r="O88" s="413"/>
      <c r="P88" s="413"/>
      <c r="Q88" s="413"/>
      <c r="R88" s="413"/>
      <c r="S88" s="413"/>
      <c r="T88" s="413"/>
      <c r="U88" s="413"/>
      <c r="V88" s="413"/>
      <c r="W88" s="413"/>
      <c r="X88" s="413"/>
      <c r="Y88" s="413"/>
      <c r="Z88" s="413"/>
      <c r="AA88" s="413"/>
      <c r="AB88" s="413"/>
      <c r="AC88" s="413"/>
      <c r="AD88" s="413"/>
      <c r="AE88" s="413"/>
      <c r="AF88" s="414" t="s">
        <v>77</v>
      </c>
      <c r="AG88" s="415"/>
      <c r="AH88" s="419" t="s">
        <v>253</v>
      </c>
      <c r="AI88" s="413"/>
      <c r="AJ88" s="413"/>
      <c r="AK88" s="413"/>
      <c r="AL88" s="413"/>
      <c r="AM88" s="413"/>
      <c r="AN88" s="413"/>
      <c r="AO88" s="413"/>
      <c r="AP88" s="413"/>
      <c r="AQ88" s="413"/>
      <c r="AR88" s="413"/>
      <c r="AS88" s="413"/>
      <c r="AT88" s="413"/>
      <c r="AU88" s="416"/>
      <c r="AV88" s="416"/>
      <c r="AW88" s="416"/>
      <c r="AX88" s="409"/>
      <c r="AY88" s="409"/>
      <c r="AZ88" s="385"/>
      <c r="BA88" s="385"/>
      <c r="BB88" s="385"/>
      <c r="BC88" s="386"/>
      <c r="BD88" s="385"/>
      <c r="BE88" s="385"/>
      <c r="BF88" s="385"/>
      <c r="BG88" s="385"/>
      <c r="BH88" s="385"/>
      <c r="BI88" s="385"/>
      <c r="BJ88" s="385"/>
      <c r="BK88" s="385"/>
      <c r="BL88" s="386"/>
      <c r="BM88" s="385"/>
      <c r="BN88" s="385"/>
      <c r="BO88" s="385"/>
      <c r="BP88" s="385"/>
      <c r="BQ88" s="385"/>
      <c r="BR88" s="385"/>
      <c r="BS88" s="385"/>
      <c r="BT88" s="385"/>
      <c r="BU88" s="385"/>
      <c r="BV88" s="385"/>
    </row>
    <row r="89" spans="1:75" ht="15.95" customHeight="1" x14ac:dyDescent="0.25">
      <c r="G89" s="409"/>
      <c r="H89" s="417" t="s">
        <v>64</v>
      </c>
      <c r="I89" s="418"/>
      <c r="J89" s="412" t="s">
        <v>254</v>
      </c>
      <c r="K89" s="413"/>
      <c r="L89" s="413"/>
      <c r="M89" s="413"/>
      <c r="N89" s="413"/>
      <c r="O89" s="413"/>
      <c r="P89" s="413"/>
      <c r="Q89" s="413"/>
      <c r="R89" s="413"/>
      <c r="S89" s="413"/>
      <c r="T89" s="413"/>
      <c r="U89" s="413"/>
      <c r="V89" s="413"/>
      <c r="W89" s="413"/>
      <c r="X89" s="413"/>
      <c r="Y89" s="413"/>
      <c r="Z89" s="413"/>
      <c r="AA89" s="413"/>
      <c r="AB89" s="413"/>
      <c r="AC89" s="413"/>
      <c r="AD89" s="413"/>
      <c r="AE89" s="413"/>
      <c r="AF89" s="414" t="s">
        <v>70</v>
      </c>
      <c r="AG89" s="415"/>
      <c r="AH89" s="412" t="s">
        <v>255</v>
      </c>
      <c r="AI89" s="413"/>
      <c r="AJ89" s="413"/>
      <c r="AK89" s="413"/>
      <c r="AL89" s="413"/>
      <c r="AM89" s="413"/>
      <c r="AN89" s="413"/>
      <c r="AO89" s="413"/>
      <c r="AP89" s="413"/>
      <c r="AQ89" s="413"/>
      <c r="AR89" s="413"/>
      <c r="AS89" s="413"/>
      <c r="AT89" s="413"/>
      <c r="AU89" s="416"/>
      <c r="AV89" s="416"/>
      <c r="AW89" s="416"/>
      <c r="AX89" s="409"/>
      <c r="AY89" s="409"/>
      <c r="AZ89" s="385"/>
      <c r="BA89" s="385"/>
      <c r="BB89" s="385"/>
      <c r="BC89" s="386"/>
      <c r="BD89" s="385"/>
      <c r="BE89" s="385"/>
      <c r="BF89" s="385"/>
      <c r="BG89" s="385"/>
      <c r="BH89" s="385"/>
      <c r="BI89" s="385"/>
      <c r="BJ89" s="385"/>
      <c r="BK89" s="385"/>
      <c r="BL89" s="386"/>
      <c r="BM89" s="385"/>
      <c r="BN89" s="385"/>
      <c r="BO89" s="385"/>
      <c r="BP89" s="385"/>
      <c r="BQ89" s="385"/>
      <c r="BR89" s="385"/>
      <c r="BS89" s="385"/>
      <c r="BT89" s="385"/>
      <c r="BU89" s="385"/>
      <c r="BV89" s="385"/>
    </row>
    <row r="90" spans="1:75" ht="15.95" customHeight="1" x14ac:dyDescent="0.25">
      <c r="A90" s="421"/>
      <c r="B90" s="421"/>
      <c r="C90" s="412"/>
      <c r="D90" s="413"/>
      <c r="E90" s="413"/>
      <c r="F90" s="402"/>
      <c r="G90" s="402"/>
      <c r="H90" s="402"/>
      <c r="I90" s="402"/>
      <c r="J90" s="402"/>
      <c r="K90" s="402"/>
      <c r="L90" s="402"/>
      <c r="M90" s="402"/>
      <c r="N90" s="402"/>
      <c r="O90" s="402"/>
      <c r="P90" s="402"/>
      <c r="Q90" s="402"/>
      <c r="R90" s="402"/>
      <c r="S90" s="402"/>
      <c r="T90" s="402"/>
      <c r="U90" s="402"/>
      <c r="V90" s="402"/>
      <c r="W90" s="402"/>
      <c r="X90" s="402"/>
      <c r="Y90" s="402"/>
      <c r="Z90" s="402"/>
      <c r="AA90" s="402"/>
      <c r="AB90" s="402"/>
      <c r="AC90" s="402"/>
      <c r="AD90" s="402"/>
      <c r="AE90" s="402"/>
      <c r="AF90" s="402"/>
      <c r="AG90" s="402"/>
      <c r="AH90" s="402"/>
      <c r="AI90" s="402"/>
      <c r="AJ90" s="402"/>
      <c r="AK90" s="402"/>
      <c r="AL90" s="402"/>
      <c r="AM90" s="402"/>
      <c r="AN90" s="402"/>
      <c r="AO90" s="402"/>
      <c r="AP90" s="402"/>
      <c r="AQ90" s="402"/>
      <c r="AR90" s="402"/>
      <c r="AS90" s="402"/>
      <c r="AT90" s="402"/>
      <c r="AU90" s="403"/>
      <c r="AV90" s="403"/>
      <c r="AW90" s="403"/>
      <c r="AX90" s="385"/>
      <c r="AY90" s="385"/>
      <c r="AZ90" s="385"/>
      <c r="BA90" s="385"/>
      <c r="BB90" s="385"/>
      <c r="BC90" s="386"/>
      <c r="BD90" s="385"/>
      <c r="BE90" s="385"/>
      <c r="BF90" s="385"/>
      <c r="BG90" s="385"/>
      <c r="BH90" s="385"/>
      <c r="BI90" s="385"/>
      <c r="BJ90" s="385"/>
      <c r="BK90" s="385"/>
      <c r="BL90" s="386"/>
      <c r="BM90" s="385"/>
      <c r="BN90" s="385"/>
      <c r="BO90" s="385"/>
      <c r="BP90" s="385"/>
      <c r="BQ90" s="385"/>
      <c r="BR90" s="385"/>
      <c r="BS90" s="385"/>
      <c r="BT90" s="385"/>
      <c r="BU90" s="385"/>
      <c r="BV90" s="385"/>
    </row>
    <row r="91" spans="1:75" ht="15.95" customHeight="1" x14ac:dyDescent="0.25">
      <c r="A91" s="421"/>
      <c r="B91" s="421"/>
      <c r="C91" s="412"/>
      <c r="D91" s="413"/>
      <c r="E91" s="413"/>
      <c r="F91" s="402"/>
      <c r="G91" s="402"/>
      <c r="H91" s="402"/>
      <c r="I91" s="402"/>
      <c r="J91" s="402"/>
      <c r="K91" s="402"/>
      <c r="L91" s="402"/>
      <c r="M91" s="402"/>
      <c r="N91" s="402"/>
      <c r="O91" s="402"/>
      <c r="P91" s="402"/>
      <c r="Q91" s="402"/>
      <c r="R91" s="402"/>
      <c r="S91" s="402"/>
      <c r="T91" s="402"/>
      <c r="U91" s="402"/>
      <c r="V91" s="402"/>
      <c r="W91" s="402"/>
      <c r="X91" s="402"/>
      <c r="Y91" s="402"/>
      <c r="Z91" s="402"/>
      <c r="AA91" s="402"/>
      <c r="AB91" s="402"/>
      <c r="AC91" s="402"/>
      <c r="AD91" s="402"/>
      <c r="AE91" s="402"/>
      <c r="AF91" s="402"/>
      <c r="AG91" s="402"/>
      <c r="AH91" s="402"/>
      <c r="AI91" s="402"/>
      <c r="AJ91" s="402"/>
      <c r="AK91" s="402"/>
      <c r="AL91" s="402"/>
      <c r="AM91" s="402"/>
      <c r="AN91" s="402"/>
      <c r="AO91" s="402"/>
      <c r="AP91" s="402"/>
      <c r="AQ91" s="402"/>
      <c r="AR91" s="402"/>
      <c r="AS91" s="402"/>
      <c r="AT91" s="402"/>
      <c r="AU91" s="403"/>
      <c r="AV91" s="403"/>
      <c r="AW91" s="403"/>
      <c r="AX91" s="385"/>
      <c r="AY91" s="385"/>
      <c r="AZ91" s="385"/>
      <c r="BA91" s="385"/>
      <c r="BB91" s="385"/>
      <c r="BC91" s="386"/>
      <c r="BD91" s="385"/>
      <c r="BE91" s="385"/>
      <c r="BF91" s="385"/>
      <c r="BG91" s="385"/>
      <c r="BH91" s="385"/>
      <c r="BI91" s="385"/>
      <c r="BJ91" s="385"/>
      <c r="BK91" s="385"/>
      <c r="BL91" s="386"/>
      <c r="BM91" s="385"/>
      <c r="BN91" s="385"/>
      <c r="BO91" s="385"/>
      <c r="BP91" s="385"/>
      <c r="BQ91" s="385"/>
      <c r="BR91" s="385"/>
      <c r="BS91" s="385"/>
      <c r="BT91" s="385"/>
      <c r="BU91" s="385"/>
      <c r="BV91" s="385"/>
    </row>
    <row r="92" spans="1:75" ht="15.95" customHeight="1" x14ac:dyDescent="0.25">
      <c r="A92" s="421"/>
      <c r="B92" s="421"/>
      <c r="C92" s="412"/>
      <c r="D92" s="413"/>
      <c r="E92" s="413"/>
      <c r="F92" s="402"/>
      <c r="G92" s="402"/>
      <c r="H92" s="402"/>
      <c r="I92" s="402"/>
      <c r="J92" s="402"/>
      <c r="K92" s="402"/>
      <c r="L92" s="402"/>
      <c r="M92" s="402"/>
      <c r="N92" s="402"/>
      <c r="O92" s="402"/>
      <c r="P92" s="402"/>
      <c r="Q92" s="402"/>
      <c r="R92" s="402"/>
      <c r="S92" s="402"/>
      <c r="T92" s="402"/>
      <c r="U92" s="402"/>
      <c r="V92" s="402"/>
      <c r="W92" s="402"/>
      <c r="X92" s="402"/>
      <c r="Y92" s="402"/>
      <c r="Z92" s="402"/>
      <c r="AA92" s="402"/>
      <c r="AB92" s="402"/>
      <c r="AC92" s="402"/>
      <c r="AD92" s="402"/>
      <c r="AE92" s="402"/>
      <c r="AF92" s="402"/>
      <c r="AG92" s="402"/>
      <c r="AH92" s="402"/>
      <c r="AI92" s="402"/>
      <c r="AJ92" s="402"/>
      <c r="AK92" s="402"/>
      <c r="AL92" s="402"/>
      <c r="AM92" s="402"/>
      <c r="AN92" s="402"/>
      <c r="AO92" s="402"/>
      <c r="AP92" s="402"/>
      <c r="AQ92" s="402"/>
      <c r="AR92" s="402"/>
      <c r="AS92" s="402"/>
      <c r="AT92" s="402"/>
      <c r="AU92" s="403"/>
      <c r="AV92" s="403"/>
      <c r="AW92" s="403"/>
      <c r="AX92" s="385"/>
      <c r="AY92" s="385"/>
      <c r="AZ92" s="385"/>
      <c r="BA92" s="385"/>
      <c r="BB92" s="385"/>
      <c r="BC92" s="386"/>
      <c r="BD92" s="385"/>
      <c r="BE92" s="385"/>
      <c r="BF92" s="385"/>
      <c r="BG92" s="385"/>
      <c r="BH92" s="385"/>
      <c r="BI92" s="385"/>
      <c r="BJ92" s="385"/>
      <c r="BK92" s="385"/>
      <c r="BL92" s="386"/>
      <c r="BM92" s="385"/>
      <c r="BN92" s="385"/>
      <c r="BO92" s="385"/>
      <c r="BP92" s="385"/>
      <c r="BQ92" s="385"/>
      <c r="BR92" s="385"/>
      <c r="BS92" s="385"/>
      <c r="BT92" s="385"/>
      <c r="BU92" s="385"/>
      <c r="BV92" s="385"/>
    </row>
    <row r="93" spans="1:75" ht="15.95" customHeight="1" x14ac:dyDescent="0.25">
      <c r="A93" s="421"/>
      <c r="B93" s="421"/>
      <c r="C93" s="412"/>
      <c r="D93" s="413"/>
      <c r="E93" s="413"/>
      <c r="F93" s="402"/>
      <c r="G93" s="402"/>
      <c r="H93" s="402"/>
      <c r="I93" s="402"/>
      <c r="J93" s="402"/>
      <c r="K93" s="402"/>
      <c r="L93" s="402"/>
      <c r="M93" s="402"/>
      <c r="N93" s="402"/>
      <c r="O93" s="402"/>
      <c r="P93" s="402"/>
      <c r="Q93" s="402"/>
      <c r="R93" s="402"/>
      <c r="S93" s="402"/>
      <c r="T93" s="402"/>
      <c r="U93" s="402"/>
      <c r="V93" s="402"/>
      <c r="W93" s="402"/>
      <c r="X93" s="402"/>
      <c r="Y93" s="402"/>
      <c r="Z93" s="402"/>
      <c r="AA93" s="402"/>
      <c r="AB93" s="402"/>
      <c r="AC93" s="402"/>
      <c r="AD93" s="402"/>
      <c r="AE93" s="402"/>
      <c r="AF93" s="402"/>
      <c r="AG93" s="402"/>
      <c r="AH93" s="402"/>
      <c r="AI93" s="402"/>
      <c r="AJ93" s="402"/>
      <c r="AK93" s="402"/>
      <c r="AL93" s="402"/>
      <c r="AM93" s="402"/>
      <c r="AN93" s="402"/>
      <c r="AO93" s="402"/>
      <c r="AP93" s="402"/>
      <c r="AQ93" s="402"/>
      <c r="AR93" s="402"/>
      <c r="AS93" s="402"/>
      <c r="AT93" s="402"/>
      <c r="AU93" s="403"/>
      <c r="AV93" s="403"/>
      <c r="AW93" s="403"/>
      <c r="AX93" s="385"/>
      <c r="AY93" s="385"/>
      <c r="AZ93" s="385"/>
      <c r="BA93" s="385"/>
      <c r="BB93" s="385"/>
      <c r="BC93" s="386"/>
      <c r="BD93" s="385"/>
      <c r="BE93" s="385"/>
      <c r="BF93" s="385"/>
      <c r="BG93" s="385"/>
      <c r="BH93" s="385"/>
      <c r="BI93" s="385"/>
      <c r="BJ93" s="385"/>
      <c r="BK93" s="385"/>
      <c r="BL93" s="386"/>
      <c r="BM93" s="385"/>
      <c r="BN93" s="385"/>
      <c r="BO93" s="385"/>
      <c r="BP93" s="385"/>
      <c r="BQ93" s="385"/>
      <c r="BR93" s="385"/>
      <c r="BS93" s="385"/>
      <c r="BT93" s="385"/>
      <c r="BU93" s="385"/>
      <c r="BV93" s="385"/>
    </row>
    <row r="94" spans="1:75" ht="15.95" customHeight="1" x14ac:dyDescent="0.25">
      <c r="A94" s="421"/>
      <c r="B94" s="421"/>
      <c r="C94" s="419"/>
      <c r="D94" s="413"/>
      <c r="E94" s="413"/>
      <c r="F94" s="402"/>
      <c r="G94" s="402"/>
      <c r="H94" s="402"/>
      <c r="I94" s="402"/>
      <c r="J94" s="402"/>
      <c r="K94" s="402"/>
      <c r="L94" s="402"/>
      <c r="M94" s="402"/>
      <c r="N94" s="402"/>
      <c r="O94" s="402"/>
      <c r="P94" s="402"/>
      <c r="Q94" s="402"/>
      <c r="R94" s="402"/>
      <c r="S94" s="402"/>
      <c r="T94" s="402"/>
      <c r="U94" s="402"/>
      <c r="V94" s="402"/>
      <c r="W94" s="402"/>
      <c r="X94" s="402"/>
      <c r="Y94" s="402"/>
      <c r="Z94" s="402"/>
      <c r="AA94" s="402"/>
      <c r="AB94" s="402"/>
      <c r="AC94" s="402"/>
      <c r="AD94" s="402"/>
      <c r="AE94" s="402"/>
      <c r="AF94" s="402"/>
      <c r="AG94" s="402"/>
      <c r="AH94" s="402"/>
      <c r="AI94" s="402"/>
      <c r="AJ94" s="402"/>
      <c r="AK94" s="402"/>
      <c r="AL94" s="402"/>
      <c r="AM94" s="402"/>
      <c r="AN94" s="402"/>
      <c r="AO94" s="402"/>
      <c r="AP94" s="402"/>
      <c r="AQ94" s="402"/>
      <c r="AR94" s="402"/>
      <c r="AS94" s="402"/>
      <c r="AT94" s="402"/>
      <c r="AU94" s="403"/>
      <c r="AV94" s="403"/>
      <c r="AW94" s="403"/>
      <c r="AX94" s="385"/>
      <c r="AY94" s="385"/>
      <c r="AZ94" s="385"/>
      <c r="BA94" s="385"/>
      <c r="BB94" s="385"/>
      <c r="BC94" s="386"/>
      <c r="BD94" s="385"/>
      <c r="BE94" s="385"/>
      <c r="BF94" s="385"/>
      <c r="BG94" s="385"/>
      <c r="BH94" s="385"/>
      <c r="BI94" s="385"/>
      <c r="BJ94" s="385"/>
      <c r="BK94" s="385"/>
      <c r="BL94" s="386"/>
      <c r="BM94" s="385"/>
      <c r="BN94" s="385"/>
      <c r="BO94" s="385"/>
      <c r="BP94" s="385"/>
      <c r="BQ94" s="385"/>
      <c r="BR94" s="385"/>
      <c r="BS94" s="385"/>
      <c r="BT94" s="385"/>
      <c r="BU94" s="385"/>
      <c r="BV94" s="385"/>
    </row>
    <row r="95" spans="1:75" ht="15.95" customHeight="1" x14ac:dyDescent="0.25">
      <c r="A95" s="421"/>
      <c r="B95" s="421"/>
      <c r="C95" s="412"/>
      <c r="D95" s="413"/>
      <c r="E95" s="413"/>
      <c r="F95" s="402"/>
      <c r="G95" s="402"/>
      <c r="H95" s="402"/>
      <c r="I95" s="402"/>
      <c r="J95" s="402"/>
      <c r="K95" s="402"/>
      <c r="L95" s="402"/>
      <c r="M95" s="402"/>
      <c r="N95" s="402"/>
      <c r="O95" s="402"/>
      <c r="P95" s="402"/>
      <c r="Q95" s="402"/>
      <c r="R95" s="402"/>
      <c r="S95" s="402"/>
      <c r="T95" s="402"/>
      <c r="U95" s="402"/>
      <c r="V95" s="402"/>
      <c r="W95" s="402"/>
      <c r="X95" s="402"/>
      <c r="Y95" s="402"/>
      <c r="Z95" s="402"/>
      <c r="AA95" s="402"/>
      <c r="AB95" s="402"/>
      <c r="AC95" s="402"/>
      <c r="AD95" s="402"/>
      <c r="AE95" s="402"/>
      <c r="AF95" s="402"/>
      <c r="AG95" s="402"/>
      <c r="AH95" s="402"/>
      <c r="AI95" s="402"/>
      <c r="AJ95" s="402"/>
      <c r="AK95" s="402"/>
      <c r="AL95" s="402"/>
      <c r="AM95" s="402"/>
      <c r="AN95" s="402"/>
      <c r="AO95" s="402"/>
      <c r="AP95" s="402"/>
      <c r="AQ95" s="402"/>
      <c r="AR95" s="402"/>
      <c r="AS95" s="402"/>
      <c r="AT95" s="402"/>
      <c r="AU95" s="403"/>
      <c r="AV95" s="403"/>
      <c r="AW95" s="403"/>
      <c r="AX95" s="385"/>
      <c r="AY95" s="385"/>
      <c r="AZ95" s="385"/>
      <c r="BA95" s="385"/>
      <c r="BB95" s="385"/>
      <c r="BC95" s="386"/>
      <c r="BD95" s="385"/>
      <c r="BE95" s="385"/>
      <c r="BF95" s="385"/>
      <c r="BG95" s="385"/>
      <c r="BH95" s="385"/>
      <c r="BI95" s="385"/>
      <c r="BJ95" s="385"/>
      <c r="BK95" s="385"/>
      <c r="BL95" s="386"/>
      <c r="BM95" s="385"/>
      <c r="BN95" s="385"/>
      <c r="BO95" s="385"/>
      <c r="BP95" s="385"/>
      <c r="BQ95" s="385"/>
      <c r="BR95" s="385"/>
      <c r="BS95" s="385"/>
      <c r="BT95" s="385"/>
      <c r="BU95" s="385"/>
      <c r="BV95" s="385"/>
    </row>
    <row r="96" spans="1:75" ht="15.95" customHeight="1" x14ac:dyDescent="0.25">
      <c r="A96" s="421"/>
      <c r="B96" s="421"/>
      <c r="C96" s="412"/>
      <c r="D96" s="413"/>
      <c r="E96" s="413"/>
      <c r="F96" s="402"/>
      <c r="G96" s="402"/>
      <c r="H96" s="402"/>
      <c r="I96" s="402"/>
      <c r="J96" s="402"/>
      <c r="K96" s="402"/>
      <c r="L96" s="402"/>
      <c r="M96" s="402"/>
      <c r="N96" s="402"/>
      <c r="O96" s="402"/>
      <c r="P96" s="402"/>
      <c r="Q96" s="402"/>
      <c r="R96" s="402"/>
      <c r="S96" s="402"/>
      <c r="T96" s="402"/>
      <c r="U96" s="402"/>
      <c r="V96" s="402"/>
      <c r="W96" s="402"/>
      <c r="X96" s="402"/>
      <c r="Y96" s="402"/>
      <c r="Z96" s="402"/>
      <c r="AA96" s="402"/>
      <c r="AB96" s="402"/>
      <c r="AC96" s="402"/>
      <c r="AD96" s="402"/>
      <c r="AE96" s="402"/>
      <c r="AF96" s="402"/>
      <c r="AG96" s="402"/>
      <c r="AH96" s="402"/>
      <c r="AI96" s="402"/>
      <c r="AJ96" s="402"/>
      <c r="AK96" s="402"/>
      <c r="AL96" s="402"/>
      <c r="AM96" s="402"/>
      <c r="AN96" s="402"/>
      <c r="AO96" s="402"/>
      <c r="AP96" s="402"/>
      <c r="AQ96" s="402"/>
      <c r="AR96" s="402"/>
      <c r="AS96" s="402"/>
      <c r="AT96" s="402"/>
      <c r="AU96" s="403"/>
      <c r="AV96" s="403"/>
      <c r="AW96" s="403"/>
      <c r="AX96" s="385"/>
      <c r="AY96" s="385"/>
      <c r="AZ96" s="385"/>
      <c r="BA96" s="385"/>
      <c r="BB96" s="385"/>
      <c r="BC96" s="386"/>
      <c r="BD96" s="385"/>
      <c r="BE96" s="385"/>
      <c r="BF96" s="385"/>
      <c r="BG96" s="385"/>
      <c r="BH96" s="385"/>
      <c r="BI96" s="385"/>
      <c r="BJ96" s="385"/>
      <c r="BK96" s="385"/>
      <c r="BL96" s="386"/>
      <c r="BM96" s="385"/>
      <c r="BN96" s="385"/>
      <c r="BO96" s="385"/>
      <c r="BP96" s="385"/>
      <c r="BQ96" s="385"/>
      <c r="BR96" s="385"/>
      <c r="BS96" s="385"/>
      <c r="BT96" s="385"/>
      <c r="BU96" s="385"/>
      <c r="BV96" s="385"/>
    </row>
    <row r="97" spans="1:75" ht="15.95" customHeight="1" x14ac:dyDescent="0.25">
      <c r="A97" s="421"/>
      <c r="B97" s="421"/>
      <c r="C97" s="412"/>
      <c r="D97" s="413"/>
      <c r="E97" s="413"/>
      <c r="F97" s="402"/>
      <c r="G97" s="402"/>
      <c r="H97" s="402"/>
      <c r="I97" s="402"/>
      <c r="J97" s="402"/>
      <c r="K97" s="402"/>
      <c r="L97" s="402"/>
      <c r="M97" s="402"/>
      <c r="N97" s="402"/>
      <c r="O97" s="402"/>
      <c r="P97" s="402"/>
      <c r="Q97" s="402"/>
      <c r="R97" s="402"/>
      <c r="S97" s="402"/>
      <c r="T97" s="402"/>
      <c r="U97" s="402"/>
      <c r="V97" s="402"/>
      <c r="W97" s="402"/>
      <c r="X97" s="402"/>
      <c r="Y97" s="402"/>
      <c r="Z97" s="402"/>
      <c r="AA97" s="402"/>
      <c r="AB97" s="402"/>
      <c r="AC97" s="402"/>
      <c r="AD97" s="402"/>
      <c r="AE97" s="402"/>
      <c r="AF97" s="402"/>
      <c r="AG97" s="402"/>
      <c r="AH97" s="402"/>
      <c r="AI97" s="402"/>
      <c r="AJ97" s="402"/>
      <c r="AK97" s="402"/>
      <c r="AL97" s="402"/>
      <c r="AM97" s="402"/>
      <c r="AN97" s="402"/>
      <c r="AO97" s="402"/>
      <c r="AP97" s="402"/>
      <c r="AQ97" s="402"/>
      <c r="AR97" s="402"/>
      <c r="AS97" s="402"/>
      <c r="AT97" s="402"/>
      <c r="AU97" s="403"/>
      <c r="AV97" s="403"/>
      <c r="AW97" s="403"/>
      <c r="AX97" s="385"/>
      <c r="AY97" s="385"/>
      <c r="AZ97" s="385"/>
      <c r="BA97" s="385"/>
      <c r="BB97" s="385"/>
      <c r="BC97" s="386"/>
      <c r="BD97" s="385"/>
      <c r="BE97" s="385"/>
      <c r="BF97" s="385"/>
      <c r="BG97" s="385"/>
      <c r="BH97" s="385"/>
      <c r="BI97" s="385"/>
      <c r="BJ97" s="385"/>
      <c r="BK97" s="385"/>
      <c r="BL97" s="386"/>
      <c r="BM97" s="385"/>
      <c r="BN97" s="385"/>
      <c r="BO97" s="385"/>
      <c r="BP97" s="385"/>
      <c r="BQ97" s="385"/>
      <c r="BR97" s="385"/>
      <c r="BS97" s="385"/>
      <c r="BT97" s="385"/>
      <c r="BU97" s="385"/>
      <c r="BV97" s="385"/>
    </row>
    <row r="98" spans="1:75" ht="15.95" customHeight="1" x14ac:dyDescent="0.25">
      <c r="A98" s="421"/>
      <c r="B98" s="421"/>
      <c r="C98" s="412"/>
      <c r="D98" s="413"/>
      <c r="E98" s="413"/>
      <c r="F98" s="402"/>
      <c r="G98" s="402"/>
      <c r="H98" s="402"/>
      <c r="I98" s="402"/>
      <c r="J98" s="402"/>
      <c r="K98" s="402"/>
      <c r="L98" s="402"/>
      <c r="M98" s="402"/>
      <c r="N98" s="402"/>
      <c r="O98" s="402"/>
      <c r="P98" s="402"/>
      <c r="Q98" s="402"/>
      <c r="R98" s="402"/>
      <c r="S98" s="402"/>
      <c r="T98" s="402"/>
      <c r="U98" s="402"/>
      <c r="V98" s="402"/>
      <c r="W98" s="402"/>
      <c r="X98" s="402"/>
      <c r="Y98" s="402"/>
      <c r="Z98" s="402"/>
      <c r="AA98" s="402"/>
      <c r="AB98" s="402"/>
      <c r="AC98" s="402"/>
      <c r="AD98" s="402"/>
      <c r="AE98" s="402"/>
      <c r="AF98" s="402"/>
      <c r="AG98" s="402"/>
      <c r="AH98" s="402"/>
      <c r="AI98" s="402"/>
      <c r="AJ98" s="402"/>
      <c r="AK98" s="402"/>
      <c r="AL98" s="402"/>
      <c r="AM98" s="402"/>
      <c r="AN98" s="402"/>
      <c r="AO98" s="402"/>
      <c r="AP98" s="402"/>
      <c r="AQ98" s="402"/>
      <c r="AR98" s="402"/>
      <c r="AS98" s="402"/>
      <c r="AT98" s="402"/>
      <c r="AU98" s="403"/>
      <c r="AV98" s="403"/>
      <c r="AW98" s="403"/>
      <c r="AX98" s="385"/>
      <c r="AY98" s="385"/>
      <c r="AZ98" s="385"/>
      <c r="BA98" s="385"/>
      <c r="BB98" s="385"/>
      <c r="BC98" s="386"/>
      <c r="BD98" s="385"/>
      <c r="BE98" s="385"/>
      <c r="BF98" s="385"/>
      <c r="BG98" s="385"/>
      <c r="BH98" s="385"/>
      <c r="BI98" s="385"/>
      <c r="BJ98" s="385"/>
      <c r="BK98" s="385"/>
      <c r="BL98" s="386"/>
      <c r="BM98" s="385"/>
      <c r="BN98" s="385"/>
      <c r="BO98" s="385"/>
      <c r="BP98" s="385"/>
      <c r="BQ98" s="385"/>
      <c r="BR98" s="385"/>
      <c r="BS98" s="385"/>
      <c r="BT98" s="385"/>
      <c r="BU98" s="385"/>
      <c r="BV98" s="385"/>
      <c r="BW98" s="385"/>
    </row>
    <row r="99" spans="1:75" ht="15.95" customHeight="1" x14ac:dyDescent="0.25">
      <c r="A99" s="421"/>
      <c r="B99" s="421"/>
      <c r="C99" s="412"/>
      <c r="D99" s="413"/>
      <c r="E99" s="413"/>
      <c r="F99" s="402"/>
      <c r="G99" s="402"/>
      <c r="H99" s="402"/>
      <c r="I99" s="402"/>
      <c r="J99" s="402"/>
      <c r="K99" s="402"/>
      <c r="L99" s="402"/>
      <c r="M99" s="402"/>
      <c r="N99" s="402"/>
      <c r="O99" s="402"/>
      <c r="P99" s="402"/>
      <c r="Q99" s="402"/>
      <c r="R99" s="402"/>
      <c r="S99" s="402"/>
      <c r="T99" s="402"/>
      <c r="U99" s="402"/>
      <c r="V99" s="402"/>
      <c r="W99" s="402"/>
      <c r="X99" s="402"/>
      <c r="Y99" s="402"/>
      <c r="Z99" s="402"/>
      <c r="AA99" s="402"/>
      <c r="AB99" s="402"/>
      <c r="AC99" s="402"/>
      <c r="AD99" s="402"/>
      <c r="AE99" s="402"/>
      <c r="AF99" s="402"/>
      <c r="AG99" s="402"/>
      <c r="AH99" s="402"/>
      <c r="AI99" s="402"/>
      <c r="AJ99" s="402"/>
      <c r="AK99" s="402"/>
      <c r="AL99" s="402"/>
      <c r="AM99" s="402"/>
      <c r="AN99" s="402"/>
      <c r="AO99" s="402"/>
      <c r="AP99" s="402"/>
      <c r="AQ99" s="402"/>
      <c r="AR99" s="402"/>
      <c r="AS99" s="402"/>
      <c r="AT99" s="402"/>
      <c r="AU99" s="403"/>
      <c r="AV99" s="403"/>
      <c r="AW99" s="403"/>
      <c r="AX99" s="385"/>
      <c r="AY99" s="385"/>
      <c r="AZ99" s="385"/>
      <c r="BA99" s="385"/>
      <c r="BB99" s="385"/>
      <c r="BC99" s="386"/>
      <c r="BD99" s="385"/>
      <c r="BE99" s="385"/>
      <c r="BF99" s="385"/>
      <c r="BG99" s="385"/>
      <c r="BH99" s="385"/>
      <c r="BI99" s="385"/>
      <c r="BJ99" s="385"/>
      <c r="BK99" s="385"/>
      <c r="BL99" s="386"/>
      <c r="BM99" s="385"/>
      <c r="BN99" s="385"/>
      <c r="BO99" s="385"/>
      <c r="BP99" s="385"/>
      <c r="BQ99" s="385"/>
      <c r="BR99" s="385"/>
      <c r="BS99" s="385"/>
      <c r="BT99" s="385"/>
      <c r="BU99" s="385"/>
      <c r="BV99" s="385"/>
    </row>
    <row r="100" spans="1:75" ht="15.95" customHeight="1" x14ac:dyDescent="0.25">
      <c r="A100" s="421"/>
      <c r="B100" s="421"/>
      <c r="C100" s="412"/>
      <c r="D100" s="413"/>
      <c r="E100" s="413"/>
      <c r="F100" s="402"/>
      <c r="G100" s="402"/>
      <c r="H100" s="402"/>
      <c r="I100" s="402"/>
      <c r="J100" s="402"/>
      <c r="K100" s="402"/>
      <c r="L100" s="402"/>
      <c r="M100" s="402"/>
      <c r="N100" s="402"/>
      <c r="O100" s="402"/>
      <c r="P100" s="402"/>
      <c r="Q100" s="402"/>
      <c r="R100" s="402"/>
      <c r="S100" s="402"/>
      <c r="T100" s="402"/>
      <c r="U100" s="402"/>
      <c r="V100" s="402"/>
      <c r="W100" s="402"/>
      <c r="X100" s="402"/>
      <c r="Y100" s="402"/>
      <c r="Z100" s="402"/>
      <c r="AA100" s="402"/>
      <c r="AB100" s="402"/>
      <c r="AC100" s="402"/>
      <c r="AD100" s="402"/>
      <c r="AE100" s="402"/>
      <c r="AF100" s="402"/>
      <c r="AG100" s="402"/>
      <c r="AH100" s="402"/>
      <c r="AI100" s="402"/>
      <c r="AJ100" s="402"/>
      <c r="AK100" s="402"/>
      <c r="AL100" s="402"/>
      <c r="AM100" s="402"/>
      <c r="AN100" s="402"/>
      <c r="AO100" s="402"/>
      <c r="AP100" s="402"/>
      <c r="AQ100" s="402"/>
      <c r="AR100" s="402"/>
      <c r="AS100" s="402"/>
      <c r="AT100" s="402"/>
      <c r="AU100" s="403"/>
      <c r="AV100" s="403"/>
      <c r="AW100" s="403"/>
      <c r="AX100" s="385"/>
      <c r="AY100" s="385"/>
      <c r="AZ100" s="385"/>
      <c r="BA100" s="385"/>
      <c r="BB100" s="385"/>
      <c r="BC100" s="386"/>
      <c r="BD100" s="385"/>
      <c r="BE100" s="385"/>
      <c r="BF100" s="385"/>
      <c r="BG100" s="385"/>
      <c r="BH100" s="385"/>
      <c r="BI100" s="385"/>
      <c r="BJ100" s="385"/>
      <c r="BK100" s="385"/>
      <c r="BL100" s="386"/>
      <c r="BM100" s="385"/>
      <c r="BN100" s="385"/>
      <c r="BO100" s="385"/>
      <c r="BP100" s="385"/>
      <c r="BQ100" s="385"/>
      <c r="BR100" s="385"/>
      <c r="BS100" s="385"/>
      <c r="BT100" s="385"/>
      <c r="BU100" s="385"/>
      <c r="BV100" s="385"/>
    </row>
    <row r="101" spans="1:75" ht="15.95" customHeight="1" x14ac:dyDescent="0.25">
      <c r="A101" s="421"/>
      <c r="B101" s="421"/>
      <c r="C101" s="412"/>
      <c r="D101" s="413"/>
      <c r="E101" s="413"/>
      <c r="F101" s="402"/>
      <c r="G101" s="402"/>
      <c r="H101" s="402"/>
      <c r="I101" s="402"/>
      <c r="J101" s="402"/>
      <c r="K101" s="402"/>
      <c r="L101" s="402"/>
      <c r="M101" s="402"/>
      <c r="N101" s="402"/>
      <c r="O101" s="402"/>
      <c r="P101" s="402"/>
      <c r="Q101" s="402"/>
      <c r="R101" s="402"/>
      <c r="S101" s="402"/>
      <c r="T101" s="402"/>
      <c r="U101" s="402"/>
      <c r="V101" s="402"/>
      <c r="W101" s="402"/>
      <c r="X101" s="402"/>
      <c r="Y101" s="402"/>
      <c r="Z101" s="402"/>
      <c r="AA101" s="402"/>
      <c r="AB101" s="402"/>
      <c r="AC101" s="402"/>
      <c r="AD101" s="402"/>
      <c r="AE101" s="402"/>
      <c r="AF101" s="402"/>
      <c r="AG101" s="402"/>
      <c r="AH101" s="402"/>
      <c r="AI101" s="402"/>
      <c r="AJ101" s="402"/>
      <c r="AK101" s="402"/>
      <c r="AL101" s="402"/>
      <c r="AM101" s="402"/>
      <c r="AN101" s="402"/>
      <c r="AO101" s="402"/>
      <c r="AP101" s="402"/>
      <c r="AQ101" s="402"/>
      <c r="AR101" s="402"/>
      <c r="AS101" s="402"/>
      <c r="AT101" s="402"/>
      <c r="AU101" s="403"/>
      <c r="AV101" s="403"/>
      <c r="AW101" s="403"/>
      <c r="AX101" s="385"/>
      <c r="AY101" s="385"/>
      <c r="AZ101" s="385"/>
      <c r="BA101" s="385"/>
      <c r="BB101" s="385"/>
      <c r="BC101" s="386"/>
      <c r="BD101" s="385"/>
      <c r="BE101" s="385"/>
      <c r="BF101" s="385"/>
      <c r="BG101" s="385"/>
      <c r="BH101" s="385"/>
      <c r="BI101" s="385"/>
      <c r="BJ101" s="385"/>
      <c r="BK101" s="385"/>
      <c r="BL101" s="386"/>
      <c r="BM101" s="385"/>
      <c r="BN101" s="385"/>
      <c r="BO101" s="385"/>
      <c r="BP101" s="385"/>
      <c r="BQ101" s="385"/>
      <c r="BR101" s="385"/>
      <c r="BS101" s="385"/>
      <c r="BT101" s="385"/>
      <c r="BU101" s="385"/>
      <c r="BV101" s="385"/>
    </row>
    <row r="102" spans="1:75" ht="15.95" customHeight="1" x14ac:dyDescent="0.25">
      <c r="A102" s="421"/>
      <c r="B102" s="421"/>
      <c r="C102" s="412"/>
      <c r="D102" s="413"/>
      <c r="E102" s="413"/>
      <c r="F102" s="402"/>
      <c r="G102" s="402"/>
      <c r="H102" s="402"/>
      <c r="I102" s="402"/>
      <c r="J102" s="402"/>
      <c r="K102" s="402"/>
      <c r="L102" s="402"/>
      <c r="M102" s="402"/>
      <c r="N102" s="402"/>
      <c r="O102" s="402"/>
      <c r="P102" s="402"/>
      <c r="Q102" s="402"/>
      <c r="R102" s="402"/>
      <c r="S102" s="402"/>
      <c r="T102" s="402"/>
      <c r="U102" s="402"/>
      <c r="V102" s="402"/>
      <c r="W102" s="402"/>
      <c r="X102" s="402"/>
      <c r="Y102" s="402"/>
      <c r="Z102" s="402"/>
      <c r="AA102" s="402"/>
      <c r="AB102" s="402"/>
      <c r="AC102" s="402"/>
      <c r="AD102" s="402"/>
      <c r="AE102" s="402"/>
      <c r="AF102" s="402"/>
      <c r="AG102" s="402"/>
      <c r="AH102" s="402"/>
      <c r="AI102" s="402"/>
      <c r="AJ102" s="402"/>
      <c r="AK102" s="402"/>
      <c r="AL102" s="402"/>
      <c r="AM102" s="402"/>
      <c r="AN102" s="402"/>
      <c r="AO102" s="402"/>
      <c r="AP102" s="402"/>
      <c r="AQ102" s="402"/>
      <c r="AR102" s="402"/>
      <c r="AS102" s="402"/>
      <c r="AT102" s="402"/>
      <c r="AU102" s="403"/>
      <c r="AV102" s="403"/>
      <c r="AW102" s="403"/>
      <c r="AX102" s="385"/>
      <c r="AY102" s="385"/>
      <c r="AZ102" s="385"/>
      <c r="BA102" s="385"/>
      <c r="BB102" s="385"/>
      <c r="BC102" s="386"/>
      <c r="BD102" s="385"/>
      <c r="BE102" s="385"/>
      <c r="BF102" s="385"/>
      <c r="BG102" s="385"/>
      <c r="BH102" s="385"/>
      <c r="BI102" s="385"/>
      <c r="BJ102" s="385"/>
      <c r="BK102" s="385"/>
      <c r="BL102" s="386"/>
      <c r="BM102" s="385"/>
      <c r="BN102" s="385"/>
      <c r="BO102" s="385"/>
      <c r="BP102" s="385"/>
      <c r="BQ102" s="385"/>
      <c r="BR102" s="385"/>
      <c r="BS102" s="385"/>
      <c r="BT102" s="385"/>
      <c r="BU102" s="385"/>
      <c r="BV102" s="385"/>
      <c r="BW102" s="385"/>
    </row>
    <row r="103" spans="1:75" ht="15.95" customHeight="1" x14ac:dyDescent="0.25">
      <c r="A103" s="421"/>
      <c r="B103" s="421"/>
      <c r="C103" s="412"/>
      <c r="D103" s="413"/>
      <c r="E103" s="413"/>
      <c r="F103" s="402"/>
      <c r="G103" s="402"/>
      <c r="H103" s="402"/>
      <c r="I103" s="402"/>
      <c r="J103" s="402"/>
      <c r="K103" s="402"/>
      <c r="L103" s="402"/>
      <c r="M103" s="402"/>
      <c r="N103" s="402"/>
      <c r="O103" s="402"/>
      <c r="P103" s="402"/>
      <c r="Q103" s="402"/>
      <c r="R103" s="402"/>
      <c r="S103" s="402"/>
      <c r="T103" s="402"/>
      <c r="U103" s="402"/>
      <c r="V103" s="402"/>
      <c r="W103" s="402"/>
      <c r="X103" s="402"/>
      <c r="Y103" s="402"/>
      <c r="Z103" s="402"/>
      <c r="AA103" s="402"/>
      <c r="AB103" s="402"/>
      <c r="AC103" s="402"/>
      <c r="AD103" s="402"/>
      <c r="AE103" s="402"/>
      <c r="AF103" s="402"/>
      <c r="AG103" s="402"/>
      <c r="AH103" s="402"/>
      <c r="AI103" s="402"/>
      <c r="AJ103" s="402"/>
      <c r="AK103" s="402"/>
      <c r="AL103" s="402"/>
      <c r="AM103" s="402"/>
      <c r="AN103" s="402"/>
      <c r="AO103" s="402"/>
      <c r="AP103" s="402"/>
      <c r="AQ103" s="402"/>
      <c r="AR103" s="402"/>
      <c r="AS103" s="402"/>
      <c r="AT103" s="402"/>
      <c r="AU103" s="403"/>
      <c r="AV103" s="403"/>
      <c r="AW103" s="403"/>
      <c r="AX103" s="385"/>
      <c r="AY103" s="385"/>
      <c r="AZ103" s="385"/>
      <c r="BA103" s="385"/>
      <c r="BB103" s="385"/>
      <c r="BC103" s="386"/>
      <c r="BD103" s="385"/>
      <c r="BE103" s="385"/>
      <c r="BF103" s="385"/>
      <c r="BG103" s="385"/>
      <c r="BH103" s="385"/>
      <c r="BI103" s="385"/>
      <c r="BJ103" s="385"/>
      <c r="BK103" s="385"/>
      <c r="BL103" s="386"/>
      <c r="BM103" s="385"/>
      <c r="BN103" s="385"/>
      <c r="BO103" s="385"/>
      <c r="BP103" s="385"/>
      <c r="BQ103" s="385"/>
      <c r="BR103" s="385"/>
      <c r="BS103" s="385"/>
      <c r="BT103" s="385"/>
      <c r="BU103" s="385"/>
      <c r="BV103" s="385"/>
    </row>
    <row r="104" spans="1:75" ht="15.95" customHeight="1" x14ac:dyDescent="0.25">
      <c r="A104" s="421"/>
      <c r="B104" s="421"/>
      <c r="C104" s="412"/>
      <c r="D104" s="413"/>
      <c r="E104" s="413"/>
      <c r="F104" s="402"/>
      <c r="G104" s="402"/>
      <c r="H104" s="402"/>
      <c r="I104" s="402"/>
      <c r="J104" s="402"/>
      <c r="K104" s="402"/>
      <c r="L104" s="402"/>
      <c r="M104" s="402"/>
      <c r="N104" s="402"/>
      <c r="O104" s="402"/>
      <c r="P104" s="402"/>
      <c r="Q104" s="402"/>
      <c r="R104" s="402"/>
      <c r="S104" s="402"/>
      <c r="T104" s="402"/>
      <c r="U104" s="402"/>
      <c r="V104" s="402"/>
      <c r="W104" s="402"/>
      <c r="X104" s="402"/>
      <c r="Y104" s="402"/>
      <c r="Z104" s="402"/>
      <c r="AA104" s="402"/>
      <c r="AB104" s="402"/>
      <c r="AC104" s="402"/>
      <c r="AD104" s="402"/>
      <c r="AE104" s="402"/>
      <c r="AF104" s="402"/>
      <c r="AG104" s="402"/>
      <c r="AH104" s="402"/>
      <c r="AI104" s="402"/>
      <c r="AJ104" s="402"/>
      <c r="AK104" s="402"/>
      <c r="AL104" s="402"/>
      <c r="AM104" s="402"/>
      <c r="AN104" s="402"/>
      <c r="AO104" s="402"/>
      <c r="AP104" s="402"/>
      <c r="AQ104" s="402"/>
      <c r="AR104" s="402"/>
      <c r="AS104" s="402"/>
      <c r="AT104" s="402"/>
      <c r="AU104" s="403"/>
      <c r="AV104" s="403"/>
      <c r="AW104" s="403"/>
      <c r="AX104" s="385"/>
      <c r="AY104" s="385"/>
      <c r="AZ104" s="385"/>
      <c r="BA104" s="385"/>
      <c r="BB104" s="385"/>
      <c r="BC104" s="386"/>
      <c r="BD104" s="385"/>
      <c r="BE104" s="385"/>
      <c r="BF104" s="385"/>
      <c r="BG104" s="385"/>
      <c r="BH104" s="385"/>
      <c r="BI104" s="385"/>
      <c r="BJ104" s="385"/>
      <c r="BK104" s="385"/>
      <c r="BL104" s="386"/>
      <c r="BM104" s="385"/>
      <c r="BN104" s="385"/>
      <c r="BO104" s="385"/>
      <c r="BP104" s="385"/>
      <c r="BQ104" s="385"/>
      <c r="BR104" s="385"/>
      <c r="BS104" s="385"/>
      <c r="BT104" s="385"/>
      <c r="BU104" s="385"/>
      <c r="BV104" s="385"/>
    </row>
    <row r="105" spans="1:75" ht="15.95" customHeight="1" x14ac:dyDescent="0.25">
      <c r="A105" s="421"/>
      <c r="B105" s="421"/>
      <c r="C105" s="412"/>
      <c r="D105" s="413"/>
      <c r="E105" s="413"/>
      <c r="F105" s="402"/>
      <c r="G105" s="402"/>
      <c r="H105" s="402"/>
      <c r="I105" s="402"/>
      <c r="J105" s="402"/>
      <c r="K105" s="402"/>
      <c r="L105" s="402"/>
      <c r="M105" s="402"/>
      <c r="N105" s="402"/>
      <c r="O105" s="402"/>
      <c r="P105" s="402"/>
      <c r="Q105" s="402"/>
      <c r="R105" s="402"/>
      <c r="S105" s="402"/>
      <c r="T105" s="402"/>
      <c r="U105" s="402"/>
      <c r="V105" s="402"/>
      <c r="W105" s="402"/>
      <c r="X105" s="402"/>
      <c r="Y105" s="402"/>
      <c r="Z105" s="402"/>
      <c r="AA105" s="402"/>
      <c r="AB105" s="402"/>
      <c r="AC105" s="402"/>
      <c r="AD105" s="402"/>
      <c r="AE105" s="402"/>
      <c r="AF105" s="402"/>
      <c r="AG105" s="402"/>
      <c r="AH105" s="402"/>
      <c r="AI105" s="402"/>
      <c r="AJ105" s="402"/>
      <c r="AK105" s="402"/>
      <c r="AL105" s="402"/>
      <c r="AM105" s="402"/>
      <c r="AN105" s="402"/>
      <c r="AO105" s="402"/>
      <c r="AP105" s="402"/>
      <c r="AQ105" s="402"/>
      <c r="AR105" s="402"/>
      <c r="AS105" s="402"/>
      <c r="AT105" s="402"/>
      <c r="AU105" s="403"/>
      <c r="AV105" s="403"/>
      <c r="AW105" s="403"/>
      <c r="AX105" s="385"/>
      <c r="AY105" s="385"/>
      <c r="AZ105" s="385"/>
      <c r="BA105" s="385"/>
      <c r="BB105" s="385"/>
      <c r="BC105" s="386"/>
      <c r="BD105" s="385"/>
      <c r="BE105" s="385"/>
      <c r="BF105" s="385"/>
      <c r="BG105" s="385"/>
      <c r="BH105" s="385"/>
      <c r="BI105" s="385"/>
      <c r="BJ105" s="385"/>
      <c r="BK105" s="385"/>
      <c r="BL105" s="386"/>
      <c r="BM105" s="385"/>
      <c r="BN105" s="385"/>
      <c r="BO105" s="385"/>
      <c r="BP105" s="385"/>
      <c r="BQ105" s="385"/>
      <c r="BR105" s="385"/>
      <c r="BS105" s="385"/>
      <c r="BT105" s="385"/>
      <c r="BU105" s="385"/>
      <c r="BV105" s="385"/>
    </row>
    <row r="106" spans="1:75" ht="15.95" customHeight="1" x14ac:dyDescent="0.25">
      <c r="A106" s="421"/>
      <c r="B106" s="421"/>
      <c r="C106" s="412"/>
      <c r="D106" s="413"/>
      <c r="E106" s="413"/>
      <c r="F106" s="402"/>
      <c r="G106" s="402"/>
      <c r="H106" s="402"/>
      <c r="I106" s="402"/>
      <c r="J106" s="402"/>
      <c r="K106" s="402"/>
      <c r="L106" s="402"/>
      <c r="M106" s="402"/>
      <c r="N106" s="402"/>
      <c r="O106" s="402"/>
      <c r="P106" s="402"/>
      <c r="Q106" s="402"/>
      <c r="R106" s="402"/>
      <c r="S106" s="402"/>
      <c r="T106" s="402"/>
      <c r="U106" s="402"/>
      <c r="V106" s="402"/>
      <c r="W106" s="402"/>
      <c r="X106" s="402"/>
      <c r="Y106" s="402"/>
      <c r="Z106" s="402"/>
      <c r="AA106" s="402"/>
      <c r="AB106" s="402"/>
      <c r="AC106" s="402"/>
      <c r="AD106" s="402"/>
      <c r="AE106" s="402"/>
      <c r="AF106" s="402"/>
      <c r="AG106" s="402"/>
      <c r="AH106" s="402"/>
      <c r="AI106" s="402"/>
      <c r="AJ106" s="402"/>
      <c r="AK106" s="402"/>
      <c r="AL106" s="402"/>
      <c r="AM106" s="402"/>
      <c r="AN106" s="402"/>
      <c r="AO106" s="402"/>
      <c r="AP106" s="402"/>
      <c r="AQ106" s="402"/>
      <c r="AR106" s="402"/>
      <c r="AS106" s="402"/>
      <c r="AT106" s="402"/>
      <c r="AU106" s="403"/>
      <c r="AV106" s="403"/>
      <c r="AW106" s="403"/>
      <c r="AX106" s="385"/>
      <c r="AY106" s="385"/>
      <c r="AZ106" s="385"/>
      <c r="BA106" s="385"/>
      <c r="BB106" s="385"/>
      <c r="BC106" s="386"/>
      <c r="BD106" s="385"/>
      <c r="BE106" s="385"/>
      <c r="BF106" s="385"/>
      <c r="BG106" s="385"/>
      <c r="BH106" s="385"/>
      <c r="BI106" s="385"/>
      <c r="BJ106" s="385"/>
      <c r="BK106" s="385"/>
      <c r="BL106" s="386"/>
      <c r="BM106" s="385"/>
      <c r="BN106" s="385"/>
      <c r="BO106" s="385"/>
      <c r="BP106" s="385"/>
      <c r="BQ106" s="385"/>
      <c r="BR106" s="385"/>
      <c r="BS106" s="385"/>
      <c r="BT106" s="385"/>
      <c r="BU106" s="385"/>
      <c r="BV106" s="385"/>
    </row>
    <row r="107" spans="1:75" ht="15.95" customHeight="1" x14ac:dyDescent="0.25">
      <c r="A107" s="421"/>
      <c r="B107" s="421"/>
      <c r="C107" s="412"/>
      <c r="D107" s="413"/>
      <c r="E107" s="413"/>
      <c r="F107" s="402"/>
      <c r="G107" s="402"/>
      <c r="H107" s="402"/>
      <c r="I107" s="402"/>
      <c r="J107" s="402"/>
      <c r="K107" s="402"/>
      <c r="L107" s="402"/>
      <c r="M107" s="402"/>
      <c r="N107" s="402"/>
      <c r="O107" s="402"/>
      <c r="P107" s="402"/>
      <c r="Q107" s="402"/>
      <c r="R107" s="402"/>
      <c r="S107" s="402"/>
      <c r="T107" s="402"/>
      <c r="U107" s="402"/>
      <c r="V107" s="402"/>
      <c r="W107" s="402"/>
      <c r="X107" s="402"/>
      <c r="Y107" s="402"/>
      <c r="Z107" s="402"/>
      <c r="AA107" s="402"/>
      <c r="AB107" s="402"/>
      <c r="AC107" s="402"/>
      <c r="AD107" s="402"/>
      <c r="AE107" s="402"/>
      <c r="AF107" s="402"/>
      <c r="AG107" s="402"/>
      <c r="AH107" s="402"/>
      <c r="AI107" s="402"/>
      <c r="AJ107" s="402"/>
      <c r="AK107" s="402"/>
      <c r="AL107" s="402"/>
      <c r="AM107" s="402"/>
      <c r="AN107" s="402"/>
      <c r="AO107" s="402"/>
      <c r="AP107" s="402"/>
      <c r="AQ107" s="402"/>
      <c r="AR107" s="402"/>
      <c r="AS107" s="402"/>
      <c r="AT107" s="402"/>
      <c r="AU107" s="403"/>
      <c r="AV107" s="403"/>
      <c r="AW107" s="403"/>
      <c r="AX107" s="385"/>
      <c r="AY107" s="385"/>
      <c r="AZ107" s="385"/>
      <c r="BA107" s="385"/>
      <c r="BB107" s="385"/>
      <c r="BC107" s="386"/>
      <c r="BD107" s="385"/>
      <c r="BE107" s="385"/>
      <c r="BF107" s="385"/>
      <c r="BG107" s="385"/>
      <c r="BH107" s="385"/>
      <c r="BI107" s="385"/>
      <c r="BJ107" s="385"/>
      <c r="BK107" s="385"/>
      <c r="BL107" s="386"/>
      <c r="BM107" s="385"/>
      <c r="BN107" s="385"/>
      <c r="BO107" s="385"/>
      <c r="BP107" s="385"/>
      <c r="BQ107" s="385"/>
      <c r="BR107" s="385"/>
      <c r="BS107" s="385"/>
      <c r="BT107" s="385"/>
      <c r="BU107" s="385"/>
      <c r="BV107" s="385"/>
    </row>
    <row r="108" spans="1:75" ht="15.95" customHeight="1" x14ac:dyDescent="0.25">
      <c r="A108" s="421"/>
      <c r="B108" s="421"/>
      <c r="C108" s="412"/>
      <c r="D108" s="413"/>
      <c r="E108" s="413"/>
      <c r="F108" s="402"/>
      <c r="G108" s="402"/>
      <c r="H108" s="402"/>
      <c r="I108" s="402"/>
      <c r="J108" s="402"/>
      <c r="K108" s="402"/>
      <c r="L108" s="402"/>
      <c r="M108" s="402"/>
      <c r="N108" s="402"/>
      <c r="O108" s="402"/>
      <c r="P108" s="402"/>
      <c r="Q108" s="402"/>
      <c r="R108" s="402"/>
      <c r="S108" s="402"/>
      <c r="T108" s="402"/>
      <c r="U108" s="402"/>
      <c r="V108" s="402"/>
      <c r="W108" s="402"/>
      <c r="X108" s="402"/>
      <c r="Y108" s="402"/>
      <c r="Z108" s="402"/>
      <c r="AA108" s="402"/>
      <c r="AB108" s="402"/>
      <c r="AC108" s="402"/>
      <c r="AD108" s="402"/>
      <c r="AE108" s="402"/>
      <c r="AF108" s="402"/>
      <c r="AG108" s="402"/>
      <c r="AH108" s="402"/>
      <c r="AI108" s="402"/>
      <c r="AJ108" s="402"/>
      <c r="AK108" s="402"/>
      <c r="AL108" s="402"/>
      <c r="AM108" s="402"/>
      <c r="AN108" s="402"/>
      <c r="AO108" s="402"/>
      <c r="AP108" s="402"/>
      <c r="AQ108" s="402"/>
      <c r="AR108" s="402"/>
      <c r="AS108" s="402"/>
      <c r="AT108" s="402"/>
      <c r="AU108" s="403"/>
      <c r="AV108" s="403"/>
      <c r="AW108" s="403"/>
      <c r="AX108" s="385"/>
      <c r="AY108" s="385"/>
      <c r="AZ108" s="385"/>
      <c r="BA108" s="385"/>
      <c r="BB108" s="385"/>
      <c r="BC108" s="386"/>
      <c r="BD108" s="385"/>
      <c r="BE108" s="385"/>
      <c r="BF108" s="385"/>
      <c r="BG108" s="385"/>
      <c r="BH108" s="385"/>
      <c r="BI108" s="385"/>
      <c r="BJ108" s="385"/>
      <c r="BK108" s="385"/>
      <c r="BL108" s="386"/>
      <c r="BM108" s="385"/>
      <c r="BN108" s="385"/>
      <c r="BO108" s="385"/>
      <c r="BP108" s="385"/>
      <c r="BQ108" s="385"/>
      <c r="BR108" s="385"/>
      <c r="BS108" s="385"/>
      <c r="BT108" s="385"/>
      <c r="BU108" s="385"/>
      <c r="BV108" s="385"/>
      <c r="BW108" s="385"/>
    </row>
    <row r="109" spans="1:75" ht="15.95" customHeight="1" x14ac:dyDescent="0.25">
      <c r="A109" s="421"/>
      <c r="B109" s="421"/>
      <c r="C109" s="412"/>
      <c r="D109" s="413"/>
      <c r="E109" s="413"/>
      <c r="F109" s="402"/>
      <c r="G109" s="402"/>
      <c r="H109" s="402"/>
      <c r="I109" s="402"/>
      <c r="J109" s="402"/>
      <c r="K109" s="402"/>
      <c r="L109" s="402"/>
      <c r="M109" s="402"/>
      <c r="N109" s="402"/>
      <c r="O109" s="402"/>
      <c r="P109" s="402"/>
      <c r="Q109" s="402"/>
      <c r="R109" s="402"/>
      <c r="S109" s="402"/>
      <c r="T109" s="402"/>
      <c r="U109" s="402"/>
      <c r="V109" s="402"/>
      <c r="W109" s="402"/>
      <c r="X109" s="402"/>
      <c r="Y109" s="402"/>
      <c r="Z109" s="402"/>
      <c r="AA109" s="402"/>
      <c r="AB109" s="402"/>
      <c r="AC109" s="402"/>
      <c r="AD109" s="402"/>
      <c r="AE109" s="402"/>
      <c r="AF109" s="402"/>
      <c r="AG109" s="402"/>
      <c r="AH109" s="402"/>
      <c r="AI109" s="402"/>
      <c r="AJ109" s="402"/>
      <c r="AK109" s="402"/>
      <c r="AL109" s="402"/>
      <c r="AM109" s="402"/>
      <c r="AN109" s="402"/>
      <c r="AO109" s="402"/>
      <c r="AP109" s="402"/>
      <c r="AQ109" s="402"/>
      <c r="AR109" s="402"/>
      <c r="AS109" s="402"/>
      <c r="AT109" s="402"/>
      <c r="AU109" s="403"/>
      <c r="AV109" s="403"/>
      <c r="AW109" s="403"/>
      <c r="AX109" s="385"/>
      <c r="AY109" s="385"/>
      <c r="AZ109" s="385"/>
      <c r="BA109" s="385"/>
      <c r="BB109" s="385"/>
      <c r="BC109" s="386"/>
      <c r="BD109" s="385"/>
      <c r="BE109" s="385"/>
      <c r="BF109" s="385"/>
      <c r="BG109" s="385"/>
      <c r="BH109" s="385"/>
      <c r="BI109" s="385"/>
      <c r="BJ109" s="385"/>
      <c r="BK109" s="385"/>
      <c r="BL109" s="386"/>
      <c r="BM109" s="385"/>
      <c r="BN109" s="385"/>
      <c r="BO109" s="385"/>
      <c r="BP109" s="385"/>
      <c r="BQ109" s="385"/>
      <c r="BR109" s="385"/>
      <c r="BS109" s="385"/>
      <c r="BT109" s="385"/>
      <c r="BU109" s="385"/>
      <c r="BV109" s="385"/>
    </row>
    <row r="110" spans="1:75" ht="15.95" customHeight="1" x14ac:dyDescent="0.25">
      <c r="A110" s="421"/>
      <c r="B110" s="421"/>
      <c r="C110" s="412"/>
      <c r="D110" s="413"/>
      <c r="E110" s="413"/>
      <c r="F110" s="402"/>
      <c r="G110" s="402"/>
      <c r="H110" s="402"/>
      <c r="I110" s="402"/>
      <c r="J110" s="402"/>
      <c r="K110" s="402"/>
      <c r="L110" s="402"/>
      <c r="M110" s="402"/>
      <c r="N110" s="402"/>
      <c r="O110" s="402"/>
      <c r="P110" s="402"/>
      <c r="Q110" s="402"/>
      <c r="R110" s="402"/>
      <c r="S110" s="402"/>
      <c r="T110" s="402"/>
      <c r="U110" s="402"/>
      <c r="V110" s="402"/>
      <c r="W110" s="402"/>
      <c r="X110" s="402"/>
      <c r="Y110" s="402"/>
      <c r="Z110" s="402"/>
      <c r="AA110" s="402"/>
      <c r="AB110" s="402"/>
      <c r="AC110" s="402"/>
      <c r="AD110" s="402"/>
      <c r="AE110" s="402"/>
      <c r="AF110" s="402"/>
      <c r="AG110" s="402"/>
      <c r="AH110" s="402"/>
      <c r="AI110" s="402"/>
      <c r="AJ110" s="402"/>
      <c r="AK110" s="402"/>
      <c r="AL110" s="402"/>
      <c r="AM110" s="402"/>
      <c r="AN110" s="402"/>
      <c r="AO110" s="402"/>
      <c r="AP110" s="402"/>
      <c r="AQ110" s="402"/>
      <c r="AR110" s="402"/>
      <c r="AS110" s="402"/>
      <c r="AT110" s="402"/>
      <c r="AU110" s="403"/>
      <c r="AV110" s="403"/>
      <c r="AW110" s="403"/>
      <c r="AX110" s="385"/>
      <c r="AY110" s="385"/>
      <c r="AZ110" s="385"/>
      <c r="BA110" s="385"/>
      <c r="BB110" s="385"/>
      <c r="BC110" s="386"/>
      <c r="BD110" s="385"/>
      <c r="BE110" s="385"/>
      <c r="BF110" s="385"/>
      <c r="BG110" s="385"/>
      <c r="BH110" s="385"/>
      <c r="BI110" s="385"/>
      <c r="BJ110" s="385"/>
      <c r="BK110" s="385"/>
      <c r="BL110" s="386"/>
      <c r="BM110" s="385"/>
      <c r="BN110" s="385"/>
      <c r="BO110" s="385"/>
      <c r="BP110" s="385"/>
      <c r="BQ110" s="385"/>
      <c r="BR110" s="385"/>
      <c r="BS110" s="385"/>
      <c r="BT110" s="385"/>
      <c r="BU110" s="385"/>
      <c r="BV110" s="385"/>
    </row>
    <row r="111" spans="1:75" ht="15.95" customHeight="1" x14ac:dyDescent="0.25">
      <c r="A111" s="421"/>
      <c r="B111" s="421"/>
      <c r="C111" s="419"/>
      <c r="D111" s="413"/>
      <c r="E111" s="413"/>
      <c r="F111" s="402"/>
      <c r="G111" s="402"/>
      <c r="H111" s="402"/>
      <c r="I111" s="402"/>
      <c r="J111" s="402"/>
      <c r="K111" s="402"/>
      <c r="L111" s="402"/>
      <c r="M111" s="402"/>
      <c r="N111" s="402"/>
      <c r="O111" s="402"/>
      <c r="P111" s="402"/>
      <c r="Q111" s="402"/>
      <c r="R111" s="402"/>
      <c r="S111" s="402"/>
      <c r="T111" s="402"/>
      <c r="U111" s="402"/>
      <c r="V111" s="402"/>
      <c r="W111" s="402"/>
      <c r="X111" s="402"/>
      <c r="Y111" s="402"/>
      <c r="Z111" s="402"/>
      <c r="AA111" s="402"/>
      <c r="AB111" s="402"/>
      <c r="AC111" s="402"/>
      <c r="AD111" s="402"/>
      <c r="AE111" s="402"/>
      <c r="AF111" s="402"/>
      <c r="AG111" s="402"/>
      <c r="AH111" s="402"/>
      <c r="AI111" s="402"/>
      <c r="AJ111" s="402"/>
      <c r="AK111" s="402"/>
      <c r="AL111" s="402"/>
      <c r="AM111" s="402"/>
      <c r="AN111" s="402"/>
      <c r="AO111" s="402"/>
      <c r="AP111" s="402"/>
      <c r="AQ111" s="402"/>
      <c r="AR111" s="402"/>
      <c r="AS111" s="402"/>
      <c r="AT111" s="402"/>
      <c r="AU111" s="403"/>
      <c r="AV111" s="403"/>
      <c r="AW111" s="403"/>
      <c r="AX111" s="385"/>
      <c r="AY111" s="385"/>
      <c r="AZ111" s="385"/>
      <c r="BA111" s="385"/>
      <c r="BB111" s="385"/>
      <c r="BC111" s="386"/>
      <c r="BD111" s="385"/>
      <c r="BE111" s="385"/>
      <c r="BF111" s="385"/>
      <c r="BG111" s="385"/>
      <c r="BH111" s="385"/>
      <c r="BI111" s="385"/>
      <c r="BJ111" s="385"/>
      <c r="BK111" s="385"/>
      <c r="BL111" s="386"/>
      <c r="BM111" s="385"/>
      <c r="BN111" s="385"/>
      <c r="BO111" s="385"/>
      <c r="BP111" s="385"/>
      <c r="BQ111" s="385"/>
      <c r="BR111" s="385"/>
      <c r="BS111" s="385"/>
      <c r="BT111" s="385"/>
      <c r="BU111" s="385"/>
      <c r="BV111" s="385"/>
    </row>
    <row r="112" spans="1:75" ht="15.95" customHeight="1" x14ac:dyDescent="0.25">
      <c r="A112" s="421"/>
      <c r="B112" s="421"/>
      <c r="C112" s="419"/>
      <c r="D112" s="413"/>
      <c r="E112" s="413"/>
      <c r="F112" s="402"/>
      <c r="G112" s="402"/>
      <c r="H112" s="402"/>
      <c r="I112" s="402"/>
      <c r="J112" s="402"/>
      <c r="K112" s="402"/>
      <c r="L112" s="402"/>
      <c r="M112" s="402"/>
      <c r="N112" s="402"/>
      <c r="O112" s="402"/>
      <c r="P112" s="402"/>
      <c r="Q112" s="402"/>
      <c r="R112" s="402"/>
      <c r="S112" s="402"/>
      <c r="T112" s="402"/>
      <c r="U112" s="402"/>
      <c r="V112" s="402"/>
      <c r="W112" s="402"/>
      <c r="X112" s="402"/>
      <c r="Y112" s="402"/>
      <c r="Z112" s="402"/>
      <c r="AA112" s="402"/>
      <c r="AB112" s="402"/>
      <c r="AC112" s="402"/>
      <c r="AD112" s="402"/>
      <c r="AE112" s="402"/>
      <c r="AF112" s="402"/>
      <c r="AG112" s="402"/>
      <c r="AH112" s="402"/>
      <c r="AI112" s="402"/>
      <c r="AJ112" s="402"/>
      <c r="AK112" s="402"/>
      <c r="AL112" s="402"/>
      <c r="AM112" s="402"/>
      <c r="AN112" s="402"/>
      <c r="AO112" s="402"/>
      <c r="AP112" s="402"/>
      <c r="AQ112" s="402"/>
      <c r="AR112" s="402"/>
      <c r="AS112" s="402"/>
      <c r="AT112" s="402"/>
      <c r="AU112" s="403"/>
      <c r="AV112" s="403"/>
      <c r="AW112" s="403"/>
      <c r="AX112" s="385"/>
      <c r="AY112" s="385"/>
      <c r="AZ112" s="385"/>
      <c r="BA112" s="385"/>
      <c r="BB112" s="385"/>
      <c r="BC112" s="386"/>
      <c r="BD112" s="385"/>
      <c r="BE112" s="385"/>
      <c r="BF112" s="385"/>
      <c r="BG112" s="385"/>
      <c r="BH112" s="385"/>
      <c r="BI112" s="385"/>
      <c r="BJ112" s="385"/>
      <c r="BK112" s="385"/>
      <c r="BL112" s="386"/>
      <c r="BM112" s="385"/>
      <c r="BN112" s="385"/>
      <c r="BO112" s="385"/>
      <c r="BP112" s="385"/>
      <c r="BQ112" s="385"/>
      <c r="BR112" s="385"/>
      <c r="BS112" s="385"/>
      <c r="BT112" s="385"/>
      <c r="BU112" s="385"/>
      <c r="BV112" s="385"/>
    </row>
    <row r="113" spans="1:74" ht="15.95" customHeight="1" x14ac:dyDescent="0.25">
      <c r="A113" s="421"/>
      <c r="B113" s="421"/>
      <c r="C113" s="412"/>
      <c r="D113" s="413"/>
      <c r="E113" s="413"/>
      <c r="F113" s="402"/>
      <c r="G113" s="402"/>
      <c r="H113" s="402"/>
      <c r="I113" s="402"/>
      <c r="J113" s="402"/>
      <c r="K113" s="402"/>
      <c r="L113" s="402"/>
      <c r="M113" s="402"/>
      <c r="N113" s="402"/>
      <c r="O113" s="402"/>
      <c r="P113" s="402"/>
      <c r="Q113" s="402"/>
      <c r="R113" s="402"/>
      <c r="S113" s="402"/>
      <c r="T113" s="402"/>
      <c r="U113" s="402"/>
      <c r="V113" s="402"/>
      <c r="W113" s="402"/>
      <c r="X113" s="402"/>
      <c r="Y113" s="402"/>
      <c r="Z113" s="402"/>
      <c r="AA113" s="402"/>
      <c r="AB113" s="402"/>
      <c r="AC113" s="402"/>
      <c r="AD113" s="402"/>
      <c r="AE113" s="402"/>
      <c r="AF113" s="402"/>
      <c r="AG113" s="402"/>
      <c r="AH113" s="402"/>
      <c r="AI113" s="402"/>
      <c r="AJ113" s="402"/>
      <c r="AK113" s="402"/>
      <c r="AL113" s="402"/>
      <c r="AM113" s="402"/>
      <c r="AN113" s="402"/>
      <c r="AO113" s="402"/>
      <c r="AP113" s="402"/>
      <c r="AQ113" s="402"/>
      <c r="AR113" s="402"/>
      <c r="AS113" s="402"/>
      <c r="AT113" s="402"/>
      <c r="AU113" s="403"/>
      <c r="AV113" s="403"/>
      <c r="AW113" s="403"/>
      <c r="AX113" s="385"/>
      <c r="AY113" s="385"/>
      <c r="AZ113" s="385"/>
      <c r="BA113" s="385"/>
      <c r="BB113" s="385"/>
      <c r="BC113" s="386"/>
      <c r="BD113" s="385"/>
      <c r="BE113" s="385"/>
      <c r="BF113" s="385"/>
      <c r="BG113" s="385"/>
      <c r="BH113" s="385"/>
      <c r="BI113" s="385"/>
      <c r="BJ113" s="385"/>
      <c r="BK113" s="385"/>
      <c r="BL113" s="386"/>
      <c r="BM113" s="385"/>
      <c r="BN113" s="385"/>
      <c r="BO113" s="385"/>
      <c r="BP113" s="385"/>
      <c r="BQ113" s="385"/>
      <c r="BR113" s="385"/>
      <c r="BS113" s="385"/>
      <c r="BT113" s="385"/>
      <c r="BU113" s="385"/>
      <c r="BV113" s="385"/>
    </row>
    <row r="114" spans="1:74" ht="15.95" customHeight="1" x14ac:dyDescent="0.25">
      <c r="A114" s="421"/>
      <c r="B114" s="421"/>
      <c r="C114" s="412"/>
      <c r="D114" s="413"/>
      <c r="E114" s="413"/>
      <c r="F114" s="402"/>
      <c r="G114" s="402"/>
      <c r="H114" s="402"/>
      <c r="I114" s="402"/>
      <c r="J114" s="402"/>
      <c r="K114" s="402"/>
      <c r="L114" s="402"/>
      <c r="M114" s="402"/>
      <c r="N114" s="402"/>
      <c r="O114" s="402"/>
      <c r="P114" s="402"/>
      <c r="Q114" s="402"/>
      <c r="R114" s="402"/>
      <c r="S114" s="402"/>
      <c r="T114" s="402"/>
      <c r="U114" s="402"/>
      <c r="V114" s="402"/>
      <c r="W114" s="402"/>
      <c r="X114" s="402"/>
      <c r="Y114" s="402"/>
      <c r="Z114" s="402"/>
      <c r="AA114" s="402"/>
      <c r="AB114" s="402"/>
      <c r="AC114" s="402"/>
      <c r="AD114" s="402"/>
      <c r="AE114" s="402"/>
      <c r="AF114" s="402"/>
      <c r="AG114" s="402"/>
      <c r="AH114" s="402"/>
      <c r="AI114" s="402"/>
      <c r="AJ114" s="402"/>
      <c r="AK114" s="402"/>
      <c r="AL114" s="402"/>
      <c r="AM114" s="402"/>
      <c r="AN114" s="402"/>
      <c r="AO114" s="402"/>
      <c r="AP114" s="402"/>
      <c r="AQ114" s="402"/>
      <c r="AR114" s="402"/>
      <c r="AS114" s="402"/>
      <c r="AT114" s="402"/>
      <c r="AU114" s="403"/>
      <c r="AV114" s="403"/>
      <c r="AW114" s="403"/>
      <c r="AX114" s="385"/>
      <c r="AY114" s="385"/>
      <c r="AZ114" s="385"/>
      <c r="BA114" s="385"/>
      <c r="BB114" s="385"/>
      <c r="BC114" s="386"/>
      <c r="BD114" s="385"/>
      <c r="BE114" s="385"/>
      <c r="BF114" s="385"/>
      <c r="BG114" s="385"/>
      <c r="BH114" s="385"/>
      <c r="BI114" s="385"/>
      <c r="BJ114" s="385"/>
      <c r="BK114" s="385"/>
      <c r="BL114" s="386"/>
      <c r="BM114" s="385"/>
      <c r="BN114" s="385"/>
      <c r="BO114" s="385"/>
      <c r="BP114" s="385"/>
      <c r="BQ114" s="385"/>
      <c r="BR114" s="385"/>
      <c r="BS114" s="385"/>
      <c r="BT114" s="385"/>
      <c r="BU114" s="385"/>
      <c r="BV114" s="385"/>
    </row>
    <row r="115" spans="1:74" ht="15.95" customHeight="1" x14ac:dyDescent="0.25">
      <c r="A115" s="421"/>
      <c r="B115" s="421"/>
      <c r="C115" s="412"/>
      <c r="D115" s="413"/>
      <c r="E115" s="413"/>
      <c r="F115" s="402"/>
      <c r="G115" s="402"/>
      <c r="H115" s="402"/>
      <c r="I115" s="402"/>
      <c r="J115" s="402"/>
      <c r="K115" s="402"/>
      <c r="L115" s="402"/>
      <c r="M115" s="402"/>
      <c r="N115" s="402"/>
      <c r="O115" s="402"/>
      <c r="P115" s="402"/>
      <c r="Q115" s="402"/>
      <c r="R115" s="402"/>
      <c r="S115" s="402"/>
      <c r="T115" s="402"/>
      <c r="U115" s="402"/>
      <c r="V115" s="402"/>
      <c r="W115" s="402"/>
      <c r="X115" s="402"/>
      <c r="Y115" s="402"/>
      <c r="Z115" s="402"/>
      <c r="AA115" s="402"/>
      <c r="AB115" s="402"/>
      <c r="AC115" s="402"/>
      <c r="AD115" s="402"/>
      <c r="AE115" s="402"/>
      <c r="AF115" s="402"/>
      <c r="AG115" s="402"/>
      <c r="AH115" s="402"/>
      <c r="AI115" s="402"/>
      <c r="AJ115" s="402"/>
      <c r="AK115" s="402"/>
      <c r="AL115" s="402"/>
      <c r="AM115" s="402"/>
      <c r="AN115" s="402"/>
      <c r="AO115" s="402"/>
      <c r="AP115" s="402"/>
      <c r="AQ115" s="402"/>
      <c r="AR115" s="402"/>
      <c r="AS115" s="402"/>
      <c r="AT115" s="402"/>
      <c r="AU115" s="403"/>
      <c r="AV115" s="403"/>
      <c r="AW115" s="403"/>
      <c r="AX115" s="385"/>
      <c r="AY115" s="385"/>
      <c r="AZ115" s="385"/>
      <c r="BA115" s="385"/>
      <c r="BB115" s="385"/>
      <c r="BC115" s="386"/>
      <c r="BD115" s="385"/>
      <c r="BE115" s="385"/>
      <c r="BF115" s="385"/>
      <c r="BG115" s="385"/>
      <c r="BH115" s="385"/>
      <c r="BI115" s="385"/>
      <c r="BJ115" s="385"/>
      <c r="BK115" s="385"/>
      <c r="BL115" s="386"/>
      <c r="BM115" s="385"/>
      <c r="BN115" s="385"/>
      <c r="BO115" s="385"/>
      <c r="BP115" s="385"/>
      <c r="BQ115" s="385"/>
      <c r="BR115" s="385"/>
      <c r="BS115" s="385"/>
      <c r="BT115" s="385"/>
      <c r="BU115" s="385"/>
      <c r="BV115" s="385"/>
    </row>
    <row r="116" spans="1:74" ht="15.95" customHeight="1" x14ac:dyDescent="0.25">
      <c r="A116" s="421"/>
      <c r="B116" s="421"/>
      <c r="C116" s="419"/>
      <c r="D116" s="413"/>
      <c r="E116" s="413"/>
      <c r="F116" s="402"/>
      <c r="G116" s="402"/>
      <c r="H116" s="402"/>
      <c r="I116" s="402"/>
      <c r="J116" s="402"/>
      <c r="K116" s="402"/>
      <c r="L116" s="402"/>
      <c r="M116" s="402"/>
      <c r="N116" s="402"/>
      <c r="O116" s="402"/>
      <c r="P116" s="402"/>
      <c r="Q116" s="402"/>
      <c r="R116" s="402"/>
      <c r="S116" s="402"/>
      <c r="T116" s="402"/>
      <c r="U116" s="402"/>
      <c r="V116" s="402"/>
      <c r="W116" s="402"/>
      <c r="X116" s="402"/>
      <c r="Y116" s="402"/>
      <c r="Z116" s="402"/>
      <c r="AA116" s="402"/>
      <c r="AB116" s="402"/>
      <c r="AC116" s="402"/>
      <c r="AD116" s="402"/>
      <c r="AE116" s="402"/>
      <c r="AF116" s="402"/>
      <c r="AG116" s="402"/>
      <c r="AH116" s="402"/>
      <c r="AI116" s="402"/>
      <c r="AJ116" s="402"/>
      <c r="AK116" s="402"/>
      <c r="AL116" s="402"/>
      <c r="AM116" s="402"/>
      <c r="AN116" s="402"/>
      <c r="AO116" s="402"/>
      <c r="AP116" s="402"/>
      <c r="AQ116" s="402"/>
      <c r="AR116" s="402"/>
      <c r="AS116" s="402"/>
      <c r="AT116" s="402"/>
      <c r="AU116" s="403"/>
      <c r="AV116" s="403"/>
      <c r="AW116" s="403"/>
      <c r="AX116" s="385"/>
      <c r="AY116" s="385"/>
      <c r="AZ116" s="385"/>
      <c r="BA116" s="385"/>
      <c r="BB116" s="385"/>
      <c r="BC116" s="386"/>
      <c r="BD116" s="385"/>
      <c r="BE116" s="385"/>
      <c r="BF116" s="385"/>
      <c r="BG116" s="385"/>
      <c r="BH116" s="385"/>
      <c r="BI116" s="385"/>
      <c r="BJ116" s="385"/>
      <c r="BK116" s="385"/>
      <c r="BL116" s="386"/>
      <c r="BM116" s="385"/>
      <c r="BN116" s="385"/>
      <c r="BO116" s="385"/>
      <c r="BP116" s="385"/>
      <c r="BQ116" s="385"/>
      <c r="BR116" s="385"/>
      <c r="BS116" s="385"/>
      <c r="BT116" s="385"/>
      <c r="BU116" s="385"/>
      <c r="BV116" s="385"/>
    </row>
    <row r="117" spans="1:74" ht="15.95" customHeight="1" x14ac:dyDescent="0.25">
      <c r="A117" s="421"/>
      <c r="B117" s="421"/>
      <c r="C117" s="412"/>
      <c r="D117" s="413"/>
      <c r="E117" s="413"/>
      <c r="F117" s="402"/>
      <c r="G117" s="402"/>
      <c r="H117" s="402"/>
      <c r="I117" s="402"/>
      <c r="J117" s="402"/>
      <c r="K117" s="402"/>
      <c r="L117" s="402"/>
      <c r="M117" s="402"/>
      <c r="N117" s="402"/>
      <c r="O117" s="402"/>
      <c r="P117" s="402"/>
      <c r="Q117" s="402"/>
      <c r="R117" s="402"/>
      <c r="S117" s="402"/>
      <c r="T117" s="402"/>
      <c r="U117" s="402"/>
      <c r="V117" s="402"/>
      <c r="W117" s="402"/>
      <c r="X117" s="402"/>
      <c r="Y117" s="402"/>
      <c r="Z117" s="402"/>
      <c r="AA117" s="402"/>
      <c r="AB117" s="402"/>
      <c r="AC117" s="402"/>
      <c r="AD117" s="402"/>
      <c r="AE117" s="402"/>
      <c r="AF117" s="402"/>
      <c r="AG117" s="402"/>
      <c r="AH117" s="402"/>
      <c r="AI117" s="402"/>
      <c r="AJ117" s="402"/>
      <c r="AK117" s="402"/>
      <c r="AL117" s="402"/>
      <c r="AM117" s="402"/>
      <c r="AN117" s="402"/>
      <c r="AO117" s="402"/>
      <c r="AP117" s="402"/>
      <c r="AQ117" s="402"/>
      <c r="AR117" s="402"/>
      <c r="AS117" s="402"/>
      <c r="AT117" s="402"/>
      <c r="AU117" s="403"/>
      <c r="AV117" s="403"/>
      <c r="AW117" s="403"/>
      <c r="AX117" s="385"/>
      <c r="AY117" s="385"/>
      <c r="AZ117" s="385"/>
      <c r="BA117" s="385"/>
      <c r="BB117" s="385"/>
      <c r="BC117" s="386"/>
      <c r="BD117" s="385"/>
      <c r="BE117" s="385"/>
      <c r="BF117" s="385"/>
      <c r="BG117" s="385"/>
      <c r="BH117" s="385"/>
      <c r="BI117" s="385"/>
      <c r="BJ117" s="385"/>
      <c r="BK117" s="385"/>
      <c r="BL117" s="386"/>
      <c r="BM117" s="385"/>
      <c r="BN117" s="385"/>
      <c r="BO117" s="385"/>
      <c r="BP117" s="385"/>
      <c r="BQ117" s="385"/>
      <c r="BR117" s="385"/>
      <c r="BS117" s="385"/>
      <c r="BT117" s="385"/>
      <c r="BU117" s="385"/>
      <c r="BV117" s="385"/>
    </row>
    <row r="118" spans="1:74" ht="20.100000000000001" customHeight="1" x14ac:dyDescent="0.2">
      <c r="A118" s="422"/>
      <c r="B118" s="423"/>
      <c r="C118" s="423"/>
      <c r="D118" s="402"/>
      <c r="E118" s="402"/>
      <c r="F118" s="402"/>
      <c r="G118" s="402"/>
      <c r="H118" s="402"/>
      <c r="I118" s="402"/>
      <c r="J118" s="402"/>
      <c r="K118" s="402"/>
      <c r="L118" s="402"/>
      <c r="M118" s="402"/>
      <c r="N118" s="402"/>
      <c r="O118" s="402"/>
      <c r="P118" s="402"/>
      <c r="Q118" s="402"/>
      <c r="R118" s="402"/>
      <c r="S118" s="402"/>
      <c r="T118" s="402"/>
      <c r="U118" s="402"/>
      <c r="V118" s="402"/>
      <c r="W118" s="402"/>
      <c r="X118" s="402"/>
      <c r="Y118" s="402"/>
      <c r="Z118" s="402"/>
      <c r="AA118" s="402"/>
      <c r="AB118" s="402"/>
      <c r="AC118" s="402"/>
      <c r="AD118" s="402"/>
      <c r="AE118" s="402"/>
      <c r="AF118" s="402"/>
      <c r="AG118" s="402"/>
      <c r="AH118" s="402"/>
      <c r="AI118" s="402"/>
      <c r="AJ118" s="402"/>
      <c r="AK118" s="402"/>
      <c r="AL118" s="402"/>
      <c r="AM118" s="402"/>
      <c r="AN118" s="402"/>
      <c r="AO118" s="402"/>
      <c r="AP118" s="402"/>
      <c r="AQ118" s="402"/>
      <c r="AR118" s="402"/>
      <c r="AS118" s="402"/>
      <c r="AT118" s="402"/>
      <c r="AU118" s="403"/>
      <c r="AV118" s="403"/>
      <c r="AW118" s="403"/>
      <c r="AX118" s="385"/>
      <c r="AY118" s="385"/>
      <c r="AZ118" s="385"/>
      <c r="BA118" s="385"/>
      <c r="BB118" s="385"/>
      <c r="BC118" s="386"/>
      <c r="BD118" s="385"/>
      <c r="BE118" s="385"/>
      <c r="BF118" s="385"/>
      <c r="BG118" s="385"/>
      <c r="BH118" s="385"/>
      <c r="BI118" s="385"/>
      <c r="BJ118" s="385"/>
      <c r="BK118" s="385"/>
      <c r="BL118" s="386"/>
      <c r="BM118" s="385"/>
      <c r="BN118" s="385"/>
      <c r="BO118" s="385"/>
      <c r="BP118" s="385"/>
      <c r="BQ118" s="385"/>
      <c r="BR118" s="385"/>
      <c r="BS118" s="385"/>
      <c r="BT118" s="385"/>
      <c r="BU118" s="385"/>
      <c r="BV118" s="385"/>
    </row>
    <row r="119" spans="1:74" ht="12.75" customHeight="1" x14ac:dyDescent="0.2">
      <c r="B119" s="403"/>
      <c r="C119" s="403"/>
      <c r="D119" s="403"/>
      <c r="E119" s="403"/>
      <c r="F119" s="403"/>
      <c r="G119" s="403"/>
      <c r="H119" s="403"/>
      <c r="I119" s="403"/>
      <c r="J119" s="403"/>
      <c r="K119" s="403"/>
      <c r="L119" s="403"/>
      <c r="M119" s="403"/>
      <c r="N119" s="403"/>
      <c r="O119" s="403"/>
      <c r="P119" s="403"/>
      <c r="Q119" s="403"/>
      <c r="R119" s="403"/>
      <c r="S119" s="403"/>
      <c r="T119" s="403"/>
      <c r="U119" s="403"/>
      <c r="V119" s="403"/>
      <c r="W119" s="403"/>
      <c r="X119" s="403"/>
      <c r="Y119" s="403"/>
      <c r="Z119" s="403"/>
      <c r="AA119" s="403"/>
      <c r="AB119" s="403"/>
      <c r="AC119" s="403"/>
      <c r="AD119" s="403"/>
      <c r="AE119" s="403"/>
      <c r="AF119" s="403"/>
      <c r="AG119" s="403"/>
      <c r="AH119" s="403"/>
      <c r="AI119" s="403"/>
      <c r="AJ119" s="403"/>
      <c r="AK119" s="403"/>
      <c r="AL119" s="403"/>
      <c r="AM119" s="403"/>
      <c r="AN119" s="403"/>
      <c r="AO119" s="403"/>
      <c r="AP119" s="403"/>
      <c r="AQ119" s="403"/>
      <c r="AR119" s="403"/>
      <c r="AS119" s="403"/>
      <c r="AT119" s="403"/>
      <c r="AU119" s="403"/>
      <c r="AV119" s="424"/>
      <c r="AW119" s="424"/>
      <c r="AX119" s="385"/>
      <c r="AY119" s="385"/>
      <c r="AZ119" s="385"/>
      <c r="BA119" s="385"/>
      <c r="BB119" s="385"/>
      <c r="BC119" s="386"/>
      <c r="BD119" s="385"/>
      <c r="BE119" s="385"/>
      <c r="BF119" s="385"/>
      <c r="BG119" s="385"/>
      <c r="BH119" s="385"/>
      <c r="BI119" s="385"/>
      <c r="BJ119" s="385"/>
      <c r="BK119" s="385"/>
      <c r="BL119" s="386"/>
      <c r="BM119" s="385"/>
      <c r="BN119" s="385"/>
      <c r="BO119" s="385"/>
      <c r="BP119" s="385"/>
      <c r="BQ119" s="385" t="str">
        <f>IF(OR(IFERROR(VLOOKUP(CA119,[1]ARS!A:EL,MATCH("Price To Earnings",[1]ARS!$4:$4,0),FALSE),"-")&lt;0,IFERROR(VLOOKUP(CA119,[1]ARS!A:EL,MATCH("Price To Earnings",[1]ARS!$4:$4,0),FALSE),"-")&gt;500),"-",IFERROR(VLOOKUP(CA119,[1]ARS!A:EL,MATCH("Price To Earnings",[1]ARS!$4:$4,0),FALSE),"-"))</f>
        <v>-</v>
      </c>
      <c r="BR119" s="385"/>
      <c r="BS119" s="385"/>
      <c r="BT119" s="385"/>
      <c r="BU119" s="385"/>
      <c r="BV119" s="385"/>
    </row>
    <row r="120" spans="1:74" ht="12.75" customHeight="1" x14ac:dyDescent="0.2">
      <c r="B120" s="403"/>
      <c r="C120" s="403"/>
      <c r="D120" s="403"/>
      <c r="E120" s="403"/>
      <c r="F120" s="403"/>
      <c r="G120" s="403"/>
      <c r="H120" s="403"/>
      <c r="I120" s="403"/>
      <c r="J120" s="403"/>
      <c r="K120" s="403"/>
      <c r="L120" s="403"/>
      <c r="M120" s="403"/>
      <c r="N120" s="403"/>
      <c r="O120" s="403"/>
      <c r="P120" s="403"/>
      <c r="Q120" s="403"/>
      <c r="R120" s="403"/>
      <c r="S120" s="403"/>
      <c r="T120" s="403"/>
      <c r="U120" s="403"/>
      <c r="V120" s="403"/>
      <c r="W120" s="403"/>
      <c r="X120" s="403"/>
      <c r="Y120" s="403"/>
      <c r="Z120" s="403"/>
      <c r="AA120" s="403"/>
      <c r="AB120" s="403"/>
      <c r="AC120" s="403"/>
      <c r="AD120" s="403"/>
      <c r="AE120" s="403"/>
      <c r="AF120" s="403"/>
      <c r="AG120" s="403"/>
      <c r="AH120" s="403"/>
      <c r="AI120" s="403"/>
      <c r="AJ120" s="403"/>
      <c r="AK120" s="403"/>
      <c r="AL120" s="403"/>
      <c r="AM120" s="403"/>
      <c r="AN120" s="403"/>
      <c r="AO120" s="403"/>
      <c r="AP120" s="403"/>
      <c r="AQ120" s="403"/>
      <c r="AR120" s="403"/>
      <c r="AS120" s="403"/>
      <c r="AT120" s="403"/>
      <c r="AU120" s="403"/>
      <c r="AV120" s="403"/>
      <c r="AW120" s="403"/>
      <c r="AX120" s="385"/>
      <c r="AY120" s="385"/>
      <c r="AZ120" s="385"/>
      <c r="BA120" s="385"/>
      <c r="BB120" s="385"/>
      <c r="BC120" s="386"/>
      <c r="BD120" s="385"/>
      <c r="BE120" s="385"/>
      <c r="BF120" s="385"/>
      <c r="BG120" s="385"/>
      <c r="BH120" s="385"/>
      <c r="BI120" s="385"/>
      <c r="BJ120" s="385"/>
      <c r="BK120" s="385"/>
      <c r="BL120" s="386"/>
      <c r="BM120" s="385"/>
      <c r="BN120" s="385"/>
      <c r="BO120" s="385"/>
      <c r="BP120" s="385"/>
      <c r="BQ120" s="385" t="str">
        <f>IF(OR(IFERROR(VLOOKUP(CA120,[1]ARS!A:EL,MATCH("Price To Earnings",[1]ARS!$4:$4,0),FALSE),"-")&lt;0,IFERROR(VLOOKUP(CA120,[1]ARS!A:EL,MATCH("Price To Earnings",[1]ARS!$4:$4,0),FALSE),"-")&gt;500),"-",IFERROR(VLOOKUP(CA120,[1]ARS!A:EL,MATCH("Price To Earnings",[1]ARS!$4:$4,0),FALSE),"-"))</f>
        <v>-</v>
      </c>
      <c r="BR120" s="385"/>
      <c r="BS120" s="385"/>
      <c r="BT120" s="385"/>
      <c r="BU120" s="385"/>
      <c r="BV120" s="385"/>
    </row>
    <row r="121" spans="1:74" ht="12.75" customHeight="1" x14ac:dyDescent="0.2">
      <c r="A121" s="403"/>
      <c r="B121" s="403"/>
      <c r="C121" s="403"/>
      <c r="D121" s="403"/>
      <c r="E121" s="403"/>
      <c r="F121" s="403"/>
      <c r="G121" s="403"/>
      <c r="H121" s="403"/>
      <c r="I121" s="403"/>
      <c r="J121" s="403"/>
      <c r="K121" s="403"/>
      <c r="L121" s="403"/>
      <c r="M121" s="403"/>
      <c r="N121" s="403"/>
      <c r="O121" s="403"/>
      <c r="P121" s="403"/>
      <c r="Q121" s="403"/>
      <c r="R121" s="403"/>
      <c r="S121" s="403"/>
      <c r="T121" s="403"/>
      <c r="U121" s="403"/>
      <c r="V121" s="403"/>
      <c r="W121" s="403"/>
      <c r="X121" s="403"/>
      <c r="Y121" s="403"/>
      <c r="Z121" s="403"/>
      <c r="AA121" s="403"/>
      <c r="AB121" s="403"/>
      <c r="AC121" s="403"/>
      <c r="AD121" s="403"/>
      <c r="AE121" s="403"/>
      <c r="AF121" s="403"/>
      <c r="AG121" s="403"/>
      <c r="AH121" s="403"/>
      <c r="AI121" s="403"/>
      <c r="AJ121" s="403"/>
      <c r="AK121" s="403"/>
      <c r="AL121" s="403"/>
      <c r="AM121" s="403"/>
      <c r="AN121" s="403"/>
      <c r="AO121" s="403"/>
      <c r="AP121" s="403"/>
      <c r="AQ121" s="403"/>
      <c r="AR121" s="403"/>
      <c r="AS121" s="403"/>
      <c r="AT121" s="403"/>
      <c r="AU121" s="403"/>
      <c r="AV121" s="403"/>
      <c r="AW121" s="403"/>
      <c r="AX121" s="385"/>
      <c r="AY121" s="385"/>
      <c r="AZ121" s="385"/>
      <c r="BA121" s="385"/>
      <c r="BB121" s="385"/>
      <c r="BC121" s="386"/>
      <c r="BD121" s="385"/>
      <c r="BE121" s="385"/>
      <c r="BF121" s="385"/>
      <c r="BG121" s="385"/>
      <c r="BH121" s="385"/>
      <c r="BI121" s="385"/>
      <c r="BJ121" s="385"/>
      <c r="BK121" s="385"/>
      <c r="BL121" s="386"/>
      <c r="BM121" s="385"/>
      <c r="BN121" s="385"/>
      <c r="BO121" s="385"/>
      <c r="BP121" s="385"/>
      <c r="BQ121" s="385" t="str">
        <f>IF(OR(IFERROR(VLOOKUP(CA121,[1]ARS!A:EL,MATCH("Price To Earnings",[1]ARS!$4:$4,0),FALSE),"-")&lt;0,IFERROR(VLOOKUP(CA121,[1]ARS!A:EL,MATCH("Price To Earnings",[1]ARS!$4:$4,0),FALSE),"-")&gt;500),"-",IFERROR(VLOOKUP(CA121,[1]ARS!A:EL,MATCH("Price To Earnings",[1]ARS!$4:$4,0),FALSE),"-"))</f>
        <v>-</v>
      </c>
      <c r="BR121" s="385"/>
      <c r="BS121" s="385"/>
      <c r="BT121" s="385"/>
      <c r="BU121" s="385"/>
      <c r="BV121" s="385"/>
    </row>
    <row r="122" spans="1:74" ht="12.75" customHeight="1" x14ac:dyDescent="0.2">
      <c r="A122" s="403"/>
      <c r="B122" s="403"/>
      <c r="C122" s="403"/>
      <c r="D122" s="403"/>
      <c r="E122" s="403"/>
      <c r="F122" s="403"/>
      <c r="G122" s="403"/>
      <c r="H122" s="403"/>
      <c r="I122" s="403"/>
      <c r="J122" s="403"/>
      <c r="K122" s="403"/>
      <c r="L122" s="403"/>
      <c r="M122" s="403"/>
      <c r="N122" s="403"/>
      <c r="O122" s="403"/>
      <c r="P122" s="403"/>
      <c r="Q122" s="403"/>
      <c r="R122" s="403"/>
      <c r="S122" s="403"/>
      <c r="T122" s="403"/>
      <c r="U122" s="403"/>
      <c r="V122" s="403"/>
      <c r="W122" s="403"/>
      <c r="X122" s="403"/>
      <c r="Y122" s="403"/>
      <c r="Z122" s="403"/>
      <c r="AA122" s="403"/>
      <c r="AB122" s="403"/>
      <c r="AC122" s="403"/>
      <c r="AD122" s="403"/>
      <c r="AE122" s="403"/>
      <c r="AF122" s="403"/>
      <c r="AG122" s="403"/>
      <c r="AH122" s="425"/>
      <c r="AI122" s="403"/>
      <c r="AJ122" s="403"/>
      <c r="AK122" s="403"/>
      <c r="AL122" s="403"/>
      <c r="AM122" s="403"/>
      <c r="AN122" s="403"/>
      <c r="AO122" s="403"/>
      <c r="AP122" s="403"/>
      <c r="AQ122" s="403"/>
      <c r="AR122" s="403"/>
      <c r="AS122" s="403"/>
      <c r="AT122" s="403"/>
      <c r="AU122" s="403"/>
      <c r="AV122" s="403"/>
      <c r="AW122" s="403"/>
      <c r="AX122" s="385"/>
      <c r="AY122" s="385"/>
      <c r="AZ122" s="385"/>
      <c r="BA122" s="385"/>
      <c r="BB122" s="385"/>
      <c r="BC122" s="386"/>
      <c r="BD122" s="385"/>
      <c r="BE122" s="385"/>
      <c r="BF122" s="385"/>
      <c r="BG122" s="385"/>
      <c r="BH122" s="385"/>
      <c r="BI122" s="385"/>
      <c r="BJ122" s="385"/>
      <c r="BK122" s="385"/>
      <c r="BL122" s="386"/>
      <c r="BM122" s="385"/>
      <c r="BN122" s="385"/>
      <c r="BO122" s="385"/>
      <c r="BP122" s="385"/>
      <c r="BQ122" s="385" t="str">
        <f>IF(OR(IFERROR(VLOOKUP(CA122,[1]ARS!A:EL,MATCH("Price To Earnings",[1]ARS!$4:$4,0),FALSE),"-")&lt;0,IFERROR(VLOOKUP(CA122,[1]ARS!A:EL,MATCH("Price To Earnings",[1]ARS!$4:$4,0),FALSE),"-")&gt;500),"-",IFERROR(VLOOKUP(CA122,[1]ARS!A:EL,MATCH("Price To Earnings",[1]ARS!$4:$4,0),FALSE),"-"))</f>
        <v>-</v>
      </c>
      <c r="BR122" s="385"/>
      <c r="BS122" s="385"/>
      <c r="BT122" s="385"/>
      <c r="BU122" s="385"/>
      <c r="BV122" s="385"/>
    </row>
    <row r="123" spans="1:74" ht="12.75" customHeight="1" x14ac:dyDescent="0.2">
      <c r="A123" s="426"/>
      <c r="B123" s="426"/>
      <c r="C123" s="426"/>
      <c r="D123" s="426"/>
      <c r="E123" s="427"/>
      <c r="F123" s="426"/>
      <c r="G123" s="428"/>
      <c r="H123" s="429"/>
      <c r="I123" s="428"/>
      <c r="J123" s="430"/>
      <c r="K123" s="430"/>
      <c r="L123" s="431"/>
      <c r="M123" s="431"/>
      <c r="N123" s="431"/>
      <c r="O123" s="431"/>
      <c r="P123" s="431"/>
      <c r="Q123" s="431"/>
      <c r="R123" s="431"/>
      <c r="S123" s="431"/>
      <c r="T123" s="431"/>
      <c r="U123" s="431"/>
      <c r="V123" s="431"/>
      <c r="W123" s="431"/>
      <c r="X123" s="431"/>
      <c r="Y123" s="431"/>
      <c r="Z123" s="431"/>
      <c r="AA123" s="431"/>
      <c r="AB123" s="431"/>
      <c r="AC123" s="431"/>
      <c r="AD123" s="431"/>
      <c r="AE123" s="431"/>
      <c r="AF123" s="431"/>
      <c r="AG123" s="431"/>
      <c r="AH123" s="431"/>
      <c r="AI123" s="431"/>
      <c r="AJ123" s="431"/>
      <c r="AK123" s="431"/>
      <c r="AL123" s="431"/>
      <c r="AM123" s="431"/>
      <c r="AN123" s="431"/>
      <c r="AO123" s="431"/>
      <c r="AP123" s="431"/>
      <c r="AQ123" s="431"/>
      <c r="AR123" s="431"/>
      <c r="AS123" s="431"/>
      <c r="AT123" s="431"/>
      <c r="AU123" s="431"/>
      <c r="AV123" s="431"/>
      <c r="AW123" s="431"/>
      <c r="AX123" s="385"/>
      <c r="AY123" s="385"/>
      <c r="AZ123" s="385"/>
      <c r="BA123" s="385"/>
      <c r="BB123" s="385"/>
      <c r="BC123" s="386"/>
      <c r="BD123" s="385"/>
      <c r="BE123" s="385"/>
      <c r="BF123" s="385"/>
      <c r="BG123" s="385"/>
      <c r="BH123" s="385"/>
      <c r="BI123" s="385"/>
      <c r="BJ123" s="385"/>
      <c r="BK123" s="385"/>
      <c r="BL123" s="386"/>
      <c r="BM123" s="385"/>
      <c r="BN123" s="385"/>
      <c r="BO123" s="385"/>
      <c r="BP123" s="385"/>
      <c r="BQ123" s="385" t="str">
        <f>IF(OR(IFERROR(VLOOKUP(CA123,[1]ARS!A:EL,MATCH("Price To Earnings",[1]ARS!$4:$4,0),FALSE),"-")&lt;0,IFERROR(VLOOKUP(CA123,[1]ARS!A:EL,MATCH("Price To Earnings",[1]ARS!$4:$4,0),FALSE),"-")&gt;500),"-",IFERROR(VLOOKUP(CA123,[1]ARS!A:EL,MATCH("Price To Earnings",[1]ARS!$4:$4,0),FALSE),"-"))</f>
        <v>-</v>
      </c>
      <c r="BR123" s="385"/>
      <c r="BS123" s="385"/>
      <c r="BT123" s="385"/>
      <c r="BU123" s="385"/>
      <c r="BV123" s="385"/>
    </row>
    <row r="124" spans="1:74" ht="12.75" customHeight="1" x14ac:dyDescent="0.2">
      <c r="A124" s="426"/>
      <c r="B124" s="426"/>
      <c r="C124" s="426"/>
      <c r="D124" s="426"/>
      <c r="E124" s="426"/>
      <c r="F124" s="426"/>
      <c r="G124" s="428"/>
      <c r="H124" s="429"/>
      <c r="I124" s="428"/>
      <c r="J124" s="430"/>
      <c r="K124" s="430"/>
      <c r="L124" s="431"/>
      <c r="M124" s="431"/>
      <c r="N124" s="431"/>
      <c r="O124" s="431"/>
      <c r="P124" s="431"/>
      <c r="Q124" s="431"/>
      <c r="R124" s="431"/>
      <c r="S124" s="431"/>
      <c r="T124" s="431"/>
      <c r="U124" s="431"/>
      <c r="V124" s="431"/>
      <c r="W124" s="431"/>
      <c r="X124" s="431"/>
      <c r="Y124" s="431"/>
      <c r="Z124" s="431"/>
      <c r="AA124" s="431"/>
      <c r="AB124" s="431"/>
      <c r="AC124" s="431"/>
      <c r="AD124" s="431"/>
      <c r="AE124" s="431"/>
      <c r="AF124" s="431"/>
      <c r="AG124" s="431"/>
      <c r="AH124" s="431"/>
      <c r="AI124" s="431"/>
      <c r="AJ124" s="431"/>
      <c r="AK124" s="431"/>
      <c r="AL124" s="431"/>
      <c r="AM124" s="431"/>
      <c r="AN124" s="431"/>
      <c r="AO124" s="431"/>
      <c r="AP124" s="431"/>
      <c r="AQ124" s="431"/>
      <c r="AR124" s="431"/>
      <c r="AS124" s="431"/>
      <c r="AT124" s="431"/>
      <c r="AU124" s="431"/>
      <c r="AV124" s="431"/>
      <c r="AW124" s="431"/>
      <c r="AX124" s="385"/>
      <c r="AY124" s="385"/>
      <c r="AZ124" s="385"/>
      <c r="BA124" s="385"/>
      <c r="BB124" s="385"/>
      <c r="BC124" s="386"/>
      <c r="BD124" s="385"/>
      <c r="BE124" s="385"/>
      <c r="BF124" s="385"/>
      <c r="BG124" s="385"/>
      <c r="BH124" s="385"/>
      <c r="BI124" s="385"/>
      <c r="BJ124" s="385"/>
      <c r="BK124" s="385"/>
      <c r="BL124" s="386"/>
      <c r="BM124" s="385"/>
      <c r="BN124" s="385"/>
      <c r="BO124" s="385"/>
      <c r="BP124" s="385"/>
      <c r="BQ124" s="385" t="str">
        <f>IF(OR(IFERROR(VLOOKUP(CA124,[1]ARS!A:EL,MATCH("Price To Earnings",[1]ARS!$4:$4,0),FALSE),"-")&lt;0,IFERROR(VLOOKUP(CA124,[1]ARS!A:EL,MATCH("Price To Earnings",[1]ARS!$4:$4,0),FALSE),"-")&gt;500),"-",IFERROR(VLOOKUP(CA124,[1]ARS!A:EL,MATCH("Price To Earnings",[1]ARS!$4:$4,0),FALSE),"-"))</f>
        <v>-</v>
      </c>
      <c r="BR124" s="385"/>
      <c r="BS124" s="385"/>
      <c r="BT124" s="385"/>
      <c r="BU124" s="385"/>
      <c r="BV124" s="385"/>
    </row>
    <row r="125" spans="1:74" ht="12.75" customHeight="1" x14ac:dyDescent="0.2">
      <c r="A125" s="426"/>
      <c r="B125" s="426"/>
      <c r="C125" s="426"/>
      <c r="D125" s="426"/>
      <c r="E125" s="426"/>
      <c r="F125" s="426"/>
      <c r="G125" s="428"/>
      <c r="H125" s="429"/>
      <c r="I125" s="428"/>
      <c r="J125" s="430"/>
      <c r="K125" s="430"/>
      <c r="L125" s="431"/>
      <c r="M125" s="431"/>
      <c r="N125" s="431"/>
      <c r="O125" s="431"/>
      <c r="P125" s="431"/>
      <c r="Q125" s="431"/>
      <c r="R125" s="431"/>
      <c r="S125" s="431"/>
      <c r="T125" s="431"/>
      <c r="U125" s="431"/>
      <c r="V125" s="431"/>
      <c r="W125" s="431"/>
      <c r="X125" s="431"/>
      <c r="Y125" s="431"/>
      <c r="Z125" s="431"/>
      <c r="AA125" s="431"/>
      <c r="AB125" s="431"/>
      <c r="AC125" s="431"/>
      <c r="AD125" s="431"/>
      <c r="AE125" s="431"/>
      <c r="AF125" s="431"/>
      <c r="AG125" s="431"/>
      <c r="AH125" s="431"/>
      <c r="AI125" s="431"/>
      <c r="AJ125" s="431"/>
      <c r="AK125" s="431"/>
      <c r="AL125" s="431"/>
      <c r="AM125" s="431"/>
      <c r="AN125" s="431"/>
      <c r="AO125" s="431"/>
      <c r="AP125" s="431"/>
      <c r="AQ125" s="431"/>
      <c r="AR125" s="431"/>
      <c r="AS125" s="431"/>
      <c r="AT125" s="431"/>
      <c r="AU125" s="431"/>
      <c r="AV125" s="431"/>
      <c r="AW125" s="431"/>
      <c r="AX125" s="385"/>
      <c r="AY125" s="385"/>
      <c r="AZ125" s="385"/>
      <c r="BA125" s="385"/>
      <c r="BB125" s="385"/>
      <c r="BC125" s="386"/>
      <c r="BD125" s="385"/>
      <c r="BE125" s="385"/>
      <c r="BF125" s="385"/>
      <c r="BG125" s="385"/>
      <c r="BH125" s="385"/>
      <c r="BI125" s="385"/>
      <c r="BJ125" s="385"/>
      <c r="BK125" s="385"/>
      <c r="BL125" s="386"/>
      <c r="BM125" s="385"/>
      <c r="BN125" s="385"/>
      <c r="BO125" s="385"/>
      <c r="BP125" s="385"/>
      <c r="BQ125" s="385" t="str">
        <f>IF(OR(IFERROR(VLOOKUP(CA125,[1]ARS!A:EL,MATCH("Price To Earnings",[1]ARS!$4:$4,0),FALSE),"-")&lt;0,IFERROR(VLOOKUP(CA125,[1]ARS!A:EL,MATCH("Price To Earnings",[1]ARS!$4:$4,0),FALSE),"-")&gt;500),"-",IFERROR(VLOOKUP(CA125,[1]ARS!A:EL,MATCH("Price To Earnings",[1]ARS!$4:$4,0),FALSE),"-"))</f>
        <v>-</v>
      </c>
      <c r="BR125" s="385"/>
      <c r="BS125" s="385"/>
      <c r="BT125" s="385"/>
      <c r="BU125" s="385"/>
      <c r="BV125" s="385"/>
    </row>
    <row r="126" spans="1:74" ht="12.75" customHeight="1" x14ac:dyDescent="0.2">
      <c r="A126" s="426"/>
      <c r="B126" s="426"/>
      <c r="C126" s="426"/>
      <c r="D126" s="426"/>
      <c r="E126" s="426"/>
      <c r="F126" s="426"/>
      <c r="G126" s="428"/>
      <c r="H126" s="429"/>
      <c r="I126" s="428"/>
      <c r="J126" s="430"/>
      <c r="K126" s="430"/>
      <c r="L126" s="431"/>
      <c r="M126" s="432"/>
      <c r="N126" s="431"/>
      <c r="O126" s="431"/>
      <c r="P126" s="431"/>
      <c r="Q126" s="431"/>
      <c r="R126" s="431"/>
      <c r="S126" s="431"/>
      <c r="T126" s="431"/>
      <c r="U126" s="431"/>
      <c r="V126" s="431"/>
      <c r="W126" s="431"/>
      <c r="X126" s="431"/>
      <c r="Y126" s="431"/>
      <c r="Z126" s="431"/>
      <c r="AA126" s="431"/>
      <c r="AB126" s="431"/>
      <c r="AC126" s="431"/>
      <c r="AD126" s="431"/>
      <c r="AE126" s="431"/>
      <c r="AF126" s="431"/>
      <c r="AG126" s="431"/>
      <c r="AH126" s="431"/>
      <c r="AI126" s="431"/>
      <c r="AJ126" s="431"/>
      <c r="AK126" s="431"/>
      <c r="AL126" s="431"/>
      <c r="AM126" s="431"/>
      <c r="AN126" s="431"/>
      <c r="AO126" s="431"/>
      <c r="AP126" s="431"/>
      <c r="AQ126" s="431"/>
      <c r="AR126" s="431"/>
      <c r="AS126" s="431"/>
      <c r="AT126" s="431"/>
      <c r="AU126" s="431"/>
      <c r="AV126" s="431"/>
      <c r="AW126" s="431"/>
      <c r="AX126" s="385"/>
      <c r="AY126" s="385"/>
      <c r="AZ126" s="385"/>
      <c r="BA126" s="385"/>
      <c r="BB126" s="385"/>
      <c r="BC126" s="386"/>
      <c r="BD126" s="385"/>
      <c r="BE126" s="385"/>
      <c r="BF126" s="385"/>
      <c r="BG126" s="385"/>
      <c r="BH126" s="385"/>
      <c r="BI126" s="385"/>
      <c r="BJ126" s="385"/>
      <c r="BK126" s="385"/>
      <c r="BL126" s="386"/>
      <c r="BM126" s="385"/>
      <c r="BN126" s="385"/>
      <c r="BO126" s="385"/>
      <c r="BP126" s="385"/>
      <c r="BQ126" s="385"/>
      <c r="BR126" s="385"/>
      <c r="BS126" s="385"/>
      <c r="BT126" s="385"/>
      <c r="BU126" s="385"/>
      <c r="BV126" s="385"/>
    </row>
    <row r="127" spans="1:74" ht="12.75" customHeight="1" x14ac:dyDescent="0.2">
      <c r="A127" s="433"/>
      <c r="B127" s="433"/>
      <c r="C127" s="433"/>
      <c r="D127" s="433"/>
      <c r="E127" s="433"/>
      <c r="F127" s="433"/>
      <c r="G127" s="433"/>
      <c r="H127" s="433"/>
      <c r="I127" s="434"/>
      <c r="J127" s="433"/>
      <c r="K127" s="433"/>
      <c r="L127" s="431"/>
      <c r="M127" s="431"/>
      <c r="N127" s="431"/>
      <c r="O127" s="431"/>
      <c r="P127" s="431"/>
      <c r="Q127" s="431"/>
      <c r="R127" s="431"/>
      <c r="S127" s="431"/>
      <c r="T127" s="431"/>
      <c r="U127" s="431"/>
      <c r="V127" s="431"/>
      <c r="W127" s="431"/>
      <c r="X127" s="431"/>
      <c r="Y127" s="431"/>
      <c r="Z127" s="431"/>
      <c r="AA127" s="431"/>
      <c r="AB127" s="431"/>
      <c r="AC127" s="431"/>
      <c r="AD127" s="431"/>
      <c r="AE127" s="431"/>
      <c r="AF127" s="431"/>
      <c r="AG127" s="431"/>
      <c r="AH127" s="431"/>
      <c r="AI127" s="431"/>
      <c r="AJ127" s="431"/>
      <c r="AK127" s="431"/>
      <c r="AL127" s="431"/>
      <c r="AM127" s="431"/>
      <c r="AN127" s="431"/>
      <c r="AO127" s="431"/>
      <c r="AP127" s="431"/>
      <c r="AQ127" s="431"/>
      <c r="AR127" s="431"/>
      <c r="AS127" s="431"/>
      <c r="AT127" s="431"/>
      <c r="AU127" s="431"/>
      <c r="AV127" s="431"/>
      <c r="AW127" s="431"/>
      <c r="AX127" s="385"/>
      <c r="AY127" s="385"/>
      <c r="AZ127" s="385"/>
      <c r="BA127" s="385"/>
      <c r="BB127" s="385"/>
      <c r="BC127" s="386"/>
      <c r="BD127" s="385"/>
      <c r="BE127" s="385"/>
      <c r="BF127" s="385"/>
      <c r="BG127" s="385"/>
      <c r="BH127" s="385"/>
      <c r="BI127" s="385"/>
      <c r="BJ127" s="385"/>
      <c r="BK127" s="385"/>
      <c r="BL127" s="386"/>
      <c r="BM127" s="385"/>
      <c r="BN127" s="385"/>
      <c r="BO127" s="385"/>
      <c r="BP127" s="385"/>
      <c r="BQ127" s="385" t="str">
        <f>IF(OR(IFERROR(VLOOKUP(CA127,[1]ARS!A:EL,MATCH("Price To Earnings",[1]ARS!$4:$4,0),FALSE),"-")&lt;0,IFERROR(VLOOKUP(CA127,[1]ARS!A:EL,MATCH("Price To Earnings",[1]ARS!$4:$4,0),FALSE),"-")&gt;500),"-",IFERROR(VLOOKUP(CA127,[1]ARS!A:EL,MATCH("Price To Earnings",[1]ARS!$4:$4,0),FALSE),"-"))</f>
        <v>-</v>
      </c>
      <c r="BR127" s="385"/>
      <c r="BS127" s="385"/>
      <c r="BT127" s="385"/>
      <c r="BU127" s="385"/>
      <c r="BV127" s="385"/>
    </row>
    <row r="128" spans="1:74" ht="12.75" customHeight="1" x14ac:dyDescent="0.2">
      <c r="A128" s="433"/>
      <c r="B128" s="433"/>
      <c r="C128" s="433"/>
      <c r="D128" s="433"/>
      <c r="E128" s="433"/>
      <c r="F128" s="433"/>
      <c r="G128" s="433"/>
      <c r="H128" s="433"/>
      <c r="I128" s="434"/>
      <c r="J128" s="433"/>
      <c r="K128" s="433"/>
      <c r="L128" s="431"/>
      <c r="M128" s="431"/>
      <c r="N128" s="431"/>
      <c r="O128" s="431"/>
      <c r="P128" s="431"/>
      <c r="Q128" s="431"/>
      <c r="R128" s="431"/>
      <c r="S128" s="431"/>
      <c r="T128" s="431"/>
      <c r="U128" s="431"/>
      <c r="V128" s="431"/>
      <c r="W128" s="431"/>
      <c r="X128" s="431"/>
      <c r="Y128" s="431"/>
      <c r="Z128" s="431"/>
      <c r="AA128" s="431"/>
      <c r="AB128" s="431"/>
      <c r="AC128" s="431"/>
      <c r="AD128" s="431"/>
      <c r="AE128" s="431"/>
      <c r="AF128" s="431"/>
      <c r="AG128" s="431"/>
      <c r="AH128" s="431"/>
      <c r="AI128" s="431"/>
      <c r="AJ128" s="431"/>
      <c r="AK128" s="431"/>
      <c r="AL128" s="431"/>
      <c r="AM128" s="431"/>
      <c r="AN128" s="431"/>
      <c r="AO128" s="431"/>
      <c r="AP128" s="431"/>
      <c r="AQ128" s="431"/>
      <c r="AR128" s="431"/>
      <c r="AS128" s="431"/>
      <c r="AT128" s="431"/>
      <c r="AU128" s="431"/>
      <c r="AV128" s="431"/>
      <c r="AW128" s="431"/>
      <c r="AX128" s="385"/>
      <c r="AY128" s="385"/>
      <c r="AZ128" s="385"/>
      <c r="BA128" s="385"/>
      <c r="BB128" s="385"/>
      <c r="BC128" s="386"/>
      <c r="BD128" s="385"/>
      <c r="BE128" s="385"/>
      <c r="BF128" s="385"/>
      <c r="BG128" s="385"/>
      <c r="BH128" s="385"/>
      <c r="BI128" s="385"/>
      <c r="BJ128" s="385"/>
      <c r="BK128" s="385"/>
      <c r="BL128" s="386"/>
      <c r="BM128" s="385"/>
      <c r="BN128" s="385"/>
      <c r="BO128" s="385"/>
      <c r="BP128" s="385"/>
      <c r="BQ128" s="385" t="str">
        <f>IF(OR(IFERROR(VLOOKUP(CA128,[1]ARS!A:EL,MATCH("Price To Earnings",[1]ARS!$4:$4,0),FALSE),"-")&lt;0,IFERROR(VLOOKUP(CA128,[1]ARS!A:EL,MATCH("Price To Earnings",[1]ARS!$4:$4,0),FALSE),"-")&gt;500),"-",IFERROR(VLOOKUP(CA128,[1]ARS!A:EL,MATCH("Price To Earnings",[1]ARS!$4:$4,0),FALSE),"-"))</f>
        <v>-</v>
      </c>
      <c r="BR128" s="385"/>
      <c r="BS128" s="385"/>
      <c r="BT128" s="385"/>
      <c r="BU128" s="385"/>
      <c r="BV128" s="385"/>
    </row>
    <row r="129" spans="1:74" ht="12.75" customHeight="1" x14ac:dyDescent="0.2">
      <c r="A129" s="433"/>
      <c r="B129" s="433"/>
      <c r="C129" s="433"/>
      <c r="D129" s="433"/>
      <c r="E129" s="435"/>
      <c r="F129" s="433"/>
      <c r="G129" s="433"/>
      <c r="H129" s="433"/>
      <c r="I129" s="434"/>
      <c r="J129" s="433"/>
      <c r="K129" s="433"/>
      <c r="L129" s="431"/>
      <c r="M129" s="431"/>
      <c r="N129" s="431"/>
      <c r="O129" s="431"/>
      <c r="P129" s="431"/>
      <c r="Q129" s="431"/>
      <c r="R129" s="431"/>
      <c r="S129" s="431"/>
      <c r="T129" s="431"/>
      <c r="U129" s="431"/>
      <c r="V129" s="431"/>
      <c r="W129" s="431"/>
      <c r="X129" s="431"/>
      <c r="Y129" s="431"/>
      <c r="Z129" s="431"/>
      <c r="AA129" s="431"/>
      <c r="AB129" s="431"/>
      <c r="AC129" s="431"/>
      <c r="AD129" s="431"/>
      <c r="AE129" s="431"/>
      <c r="AF129" s="431"/>
      <c r="AG129" s="431"/>
      <c r="AH129" s="431"/>
      <c r="AI129" s="431"/>
      <c r="AJ129" s="431"/>
      <c r="AK129" s="431"/>
      <c r="AL129" s="431"/>
      <c r="AM129" s="431"/>
      <c r="AN129" s="431"/>
      <c r="AO129" s="431"/>
      <c r="AP129" s="431"/>
      <c r="AQ129" s="431"/>
      <c r="AR129" s="431"/>
      <c r="AS129" s="431"/>
      <c r="AT129" s="431"/>
      <c r="AU129" s="431"/>
      <c r="AV129" s="431"/>
      <c r="AW129" s="431"/>
      <c r="AX129" s="385"/>
      <c r="AY129" s="385"/>
      <c r="AZ129" s="385"/>
      <c r="BA129" s="385"/>
      <c r="BB129" s="385"/>
      <c r="BC129" s="386"/>
      <c r="BD129" s="385"/>
      <c r="BE129" s="385"/>
      <c r="BF129" s="385"/>
      <c r="BG129" s="385"/>
      <c r="BH129" s="385"/>
      <c r="BI129" s="385"/>
      <c r="BJ129" s="385"/>
      <c r="BK129" s="385"/>
      <c r="BL129" s="386"/>
      <c r="BM129" s="385"/>
      <c r="BN129" s="385"/>
      <c r="BO129" s="385"/>
      <c r="BP129" s="385"/>
      <c r="BQ129" s="385" t="str">
        <f>IF(OR(IFERROR(VLOOKUP(CA129,[1]ARS!A:EL,MATCH("Price To Earnings",[1]ARS!$4:$4,0),FALSE),"-")&lt;0,IFERROR(VLOOKUP(CA129,[1]ARS!A:EL,MATCH("Price To Earnings",[1]ARS!$4:$4,0),FALSE),"-")&gt;500),"-",IFERROR(VLOOKUP(CA129,[1]ARS!A:EL,MATCH("Price To Earnings",[1]ARS!$4:$4,0),FALSE),"-"))</f>
        <v>-</v>
      </c>
      <c r="BR129" s="385"/>
      <c r="BS129" s="385"/>
      <c r="BT129" s="385"/>
      <c r="BU129" s="385"/>
      <c r="BV129" s="385"/>
    </row>
    <row r="130" spans="1:74" ht="12.75" customHeight="1" x14ac:dyDescent="0.2">
      <c r="A130" s="431"/>
      <c r="B130" s="431"/>
      <c r="C130" s="431"/>
      <c r="D130" s="431"/>
      <c r="E130" s="431"/>
      <c r="F130" s="431"/>
      <c r="G130" s="431"/>
      <c r="H130" s="431"/>
      <c r="I130" s="436"/>
      <c r="J130" s="431"/>
      <c r="K130" s="431"/>
      <c r="L130" s="431"/>
      <c r="M130" s="431"/>
      <c r="N130" s="431"/>
      <c r="O130" s="431"/>
      <c r="P130" s="431"/>
      <c r="Q130" s="431"/>
      <c r="R130" s="431"/>
      <c r="S130" s="431"/>
      <c r="T130" s="431"/>
      <c r="U130" s="431"/>
      <c r="V130" s="431"/>
      <c r="W130" s="431"/>
      <c r="X130" s="431"/>
      <c r="Y130" s="431"/>
      <c r="Z130" s="431"/>
      <c r="AA130" s="431"/>
      <c r="AB130" s="431"/>
      <c r="AC130" s="431"/>
      <c r="AD130" s="431"/>
      <c r="AE130" s="431"/>
      <c r="AF130" s="431"/>
      <c r="AG130" s="431"/>
      <c r="AH130" s="431"/>
      <c r="AI130" s="431"/>
      <c r="AJ130" s="431"/>
      <c r="AK130" s="431"/>
      <c r="AL130" s="431"/>
      <c r="AM130" s="431"/>
      <c r="AN130" s="431"/>
      <c r="AO130" s="431"/>
      <c r="AP130" s="431"/>
      <c r="AQ130" s="431"/>
      <c r="AR130" s="431"/>
      <c r="AS130" s="431"/>
      <c r="AT130" s="431"/>
      <c r="AU130" s="431"/>
      <c r="AV130" s="431"/>
      <c r="AW130" s="431"/>
      <c r="AX130" s="385"/>
      <c r="AY130" s="385"/>
      <c r="AZ130" s="385"/>
      <c r="BA130" s="385"/>
      <c r="BB130" s="385"/>
      <c r="BC130" s="386"/>
      <c r="BD130" s="385"/>
      <c r="BE130" s="385"/>
      <c r="BF130" s="385"/>
      <c r="BG130" s="385"/>
      <c r="BH130" s="385"/>
      <c r="BI130" s="385"/>
      <c r="BJ130" s="385"/>
      <c r="BK130" s="385"/>
      <c r="BL130" s="386"/>
      <c r="BM130" s="385"/>
      <c r="BN130" s="385"/>
      <c r="BO130" s="385"/>
      <c r="BP130" s="385"/>
      <c r="BQ130" s="385" t="str">
        <f>IF(OR(IFERROR(VLOOKUP(CA130,[1]ARS!A:EL,MATCH("Price To Earnings",[1]ARS!$4:$4,0),FALSE),"-")&lt;0,IFERROR(VLOOKUP(CA130,[1]ARS!A:EL,MATCH("Price To Earnings",[1]ARS!$4:$4,0),FALSE),"-")&gt;500),"-",IFERROR(VLOOKUP(CA130,[1]ARS!A:EL,MATCH("Price To Earnings",[1]ARS!$4:$4,0),FALSE),"-"))</f>
        <v>-</v>
      </c>
      <c r="BR130" s="385"/>
      <c r="BS130" s="385"/>
      <c r="BT130" s="385"/>
      <c r="BU130" s="385"/>
      <c r="BV130" s="385"/>
    </row>
    <row r="131" spans="1:74" ht="12.75" customHeight="1" x14ac:dyDescent="0.2">
      <c r="A131" s="431"/>
      <c r="B131" s="431"/>
      <c r="C131" s="431"/>
      <c r="D131" s="431"/>
      <c r="E131" s="431"/>
      <c r="F131" s="431"/>
      <c r="G131" s="431"/>
      <c r="H131" s="431"/>
      <c r="I131" s="436"/>
      <c r="J131" s="431"/>
      <c r="K131" s="431"/>
      <c r="L131" s="431"/>
      <c r="M131" s="431"/>
      <c r="N131" s="431"/>
      <c r="O131" s="431"/>
      <c r="P131" s="431"/>
      <c r="Q131" s="431"/>
      <c r="R131" s="431"/>
      <c r="S131" s="431"/>
      <c r="T131" s="431"/>
      <c r="U131" s="431"/>
      <c r="V131" s="431"/>
      <c r="W131" s="431"/>
      <c r="X131" s="431"/>
      <c r="Y131" s="431"/>
      <c r="Z131" s="431"/>
      <c r="AA131" s="431"/>
      <c r="AB131" s="431"/>
      <c r="AC131" s="431"/>
      <c r="AD131" s="431"/>
      <c r="AE131" s="431"/>
      <c r="AF131" s="431"/>
      <c r="AG131" s="431"/>
      <c r="AH131" s="431"/>
      <c r="AI131" s="431"/>
      <c r="AJ131" s="431"/>
      <c r="AK131" s="431"/>
      <c r="AL131" s="431"/>
      <c r="AM131" s="431"/>
      <c r="AN131" s="431"/>
      <c r="AO131" s="431"/>
      <c r="AP131" s="431"/>
      <c r="AQ131" s="431"/>
      <c r="AR131" s="431"/>
      <c r="AS131" s="431"/>
      <c r="AT131" s="431"/>
      <c r="AU131" s="431"/>
      <c r="AV131" s="431"/>
      <c r="AW131" s="431"/>
      <c r="AX131" s="385"/>
      <c r="AY131" s="385"/>
      <c r="AZ131" s="385"/>
      <c r="BA131" s="385"/>
      <c r="BB131" s="385"/>
      <c r="BC131" s="386"/>
      <c r="BD131" s="385"/>
      <c r="BE131" s="385"/>
      <c r="BF131" s="385"/>
      <c r="BG131" s="385"/>
      <c r="BH131" s="385"/>
      <c r="BI131" s="385"/>
      <c r="BJ131" s="385"/>
      <c r="BK131" s="385"/>
      <c r="BL131" s="386"/>
      <c r="BM131" s="385"/>
      <c r="BN131" s="385"/>
      <c r="BO131" s="385"/>
      <c r="BP131" s="385"/>
      <c r="BQ131" s="385" t="str">
        <f>IF(OR(IFERROR(VLOOKUP(CA131,[1]ARS!A:EL,MATCH("Price To Earnings",[1]ARS!$4:$4,0),FALSE),"-")&lt;0,IFERROR(VLOOKUP(CA131,[1]ARS!A:EL,MATCH("Price To Earnings",[1]ARS!$4:$4,0),FALSE),"-")&gt;500),"-",IFERROR(VLOOKUP(CA131,[1]ARS!A:EL,MATCH("Price To Earnings",[1]ARS!$4:$4,0),FALSE),"-"))</f>
        <v>-</v>
      </c>
      <c r="BR131" s="385"/>
      <c r="BS131" s="385"/>
      <c r="BT131" s="385"/>
      <c r="BU131" s="385"/>
      <c r="BV131" s="385"/>
    </row>
    <row r="132" spans="1:74" ht="12.75" customHeight="1" x14ac:dyDescent="0.2">
      <c r="A132" s="385"/>
      <c r="B132" s="385"/>
      <c r="C132" s="385"/>
      <c r="D132" s="385"/>
      <c r="E132" s="385"/>
      <c r="F132" s="385"/>
      <c r="G132" s="385"/>
      <c r="H132" s="385"/>
      <c r="I132" s="437"/>
      <c r="J132" s="385"/>
      <c r="K132" s="385"/>
      <c r="L132" s="385"/>
      <c r="M132" s="385"/>
      <c r="N132" s="385"/>
      <c r="O132" s="385"/>
      <c r="P132" s="385"/>
      <c r="Q132" s="385"/>
      <c r="R132" s="385"/>
      <c r="S132" s="385"/>
      <c r="T132" s="385"/>
      <c r="U132" s="385"/>
      <c r="V132" s="385"/>
      <c r="W132" s="385"/>
      <c r="X132" s="385"/>
      <c r="Y132" s="385"/>
      <c r="Z132" s="385"/>
      <c r="AA132" s="385"/>
      <c r="AB132" s="385"/>
      <c r="AC132" s="385"/>
      <c r="AD132" s="385"/>
      <c r="AE132" s="385"/>
      <c r="AF132" s="385"/>
      <c r="AG132" s="385"/>
      <c r="AH132" s="385"/>
      <c r="AI132" s="385"/>
      <c r="AJ132" s="385"/>
      <c r="AK132" s="385"/>
      <c r="AL132" s="385"/>
      <c r="AM132" s="385"/>
      <c r="AN132" s="385"/>
      <c r="AO132" s="385"/>
      <c r="AP132" s="385"/>
      <c r="AQ132" s="385"/>
      <c r="AR132" s="385"/>
      <c r="AS132" s="385"/>
      <c r="AT132" s="385"/>
      <c r="AU132" s="385"/>
      <c r="AV132" s="385"/>
      <c r="AW132" s="385"/>
      <c r="AX132" s="385"/>
      <c r="AY132" s="385"/>
      <c r="AZ132" s="385"/>
      <c r="BA132" s="385"/>
      <c r="BB132" s="385"/>
      <c r="BC132" s="385"/>
      <c r="BD132" s="385"/>
      <c r="BE132" s="385"/>
      <c r="BF132" s="385"/>
      <c r="BG132" s="385"/>
      <c r="BH132" s="385"/>
      <c r="BI132" s="385"/>
      <c r="BJ132" s="385"/>
      <c r="BK132" s="385"/>
      <c r="BL132" s="385"/>
      <c r="BM132" s="385"/>
      <c r="BN132" s="385"/>
      <c r="BO132" s="385"/>
      <c r="BP132" s="385"/>
      <c r="BQ132" s="385" t="str">
        <f>IF(OR(IFERROR(VLOOKUP(CA132,[1]ARS!A:EL,MATCH("Price To Earnings",[1]ARS!$4:$4,0),FALSE),"-")&lt;0,IFERROR(VLOOKUP(CA132,[1]ARS!A:EL,MATCH("Price To Earnings",[1]ARS!$4:$4,0),FALSE),"-")&gt;500),"-",IFERROR(VLOOKUP(CA132,[1]ARS!A:EL,MATCH("Price To Earnings",[1]ARS!$4:$4,0),FALSE),"-"))</f>
        <v>-</v>
      </c>
      <c r="BR132" s="385"/>
      <c r="BS132" s="385"/>
      <c r="BT132" s="385"/>
      <c r="BU132" s="385"/>
      <c r="BV132" s="385"/>
    </row>
    <row r="133" spans="1:74" ht="12.75" customHeight="1" x14ac:dyDescent="0.2">
      <c r="A133" s="385"/>
      <c r="B133" s="385"/>
      <c r="C133" s="385"/>
      <c r="D133" s="385"/>
      <c r="E133" s="438"/>
      <c r="F133" s="385"/>
      <c r="G133" s="385"/>
      <c r="H133" s="385"/>
      <c r="I133" s="437"/>
      <c r="J133" s="385"/>
      <c r="K133" s="385"/>
      <c r="L133" s="385"/>
      <c r="M133" s="385"/>
      <c r="N133" s="385"/>
      <c r="O133" s="385"/>
      <c r="P133" s="385"/>
      <c r="Q133" s="385"/>
      <c r="R133" s="385"/>
      <c r="S133" s="385"/>
      <c r="T133" s="385"/>
      <c r="U133" s="385"/>
      <c r="V133" s="385"/>
      <c r="W133" s="385"/>
      <c r="X133" s="385"/>
      <c r="Y133" s="385"/>
      <c r="Z133" s="385"/>
      <c r="AA133" s="385"/>
      <c r="AB133" s="385"/>
      <c r="AC133" s="385"/>
      <c r="AD133" s="385"/>
      <c r="AE133" s="385"/>
      <c r="AF133" s="385"/>
      <c r="AG133" s="385"/>
      <c r="AH133" s="385"/>
      <c r="AI133" s="385"/>
      <c r="AJ133" s="385"/>
      <c r="AK133" s="385"/>
      <c r="AL133" s="385"/>
      <c r="AM133" s="385"/>
      <c r="AN133" s="385"/>
      <c r="AO133" s="385"/>
      <c r="AP133" s="385"/>
      <c r="AQ133" s="385"/>
      <c r="AR133" s="385"/>
      <c r="AS133" s="385"/>
      <c r="AT133" s="385"/>
      <c r="AU133" s="385"/>
      <c r="AV133" s="385"/>
      <c r="AW133" s="385"/>
      <c r="AX133" s="385"/>
      <c r="AY133" s="385"/>
      <c r="AZ133" s="385"/>
      <c r="BA133" s="385"/>
      <c r="BB133" s="385"/>
      <c r="BC133" s="385"/>
      <c r="BD133" s="385"/>
      <c r="BE133" s="385"/>
      <c r="BF133" s="385"/>
      <c r="BG133" s="385"/>
      <c r="BH133" s="385"/>
      <c r="BI133" s="385"/>
      <c r="BJ133" s="385"/>
      <c r="BK133" s="385"/>
      <c r="BL133" s="385"/>
      <c r="BM133" s="385"/>
      <c r="BN133" s="385"/>
      <c r="BO133" s="385"/>
      <c r="BP133" s="385"/>
      <c r="BQ133" s="385" t="str">
        <f>IF(OR(IFERROR(VLOOKUP(CA133,[1]ARS!A:EL,MATCH("Price To Earnings",[1]ARS!$4:$4,0),FALSE),"-")&lt;0,IFERROR(VLOOKUP(CA133,[1]ARS!A:EL,MATCH("Price To Earnings",[1]ARS!$4:$4,0),FALSE),"-")&gt;500),"-",IFERROR(VLOOKUP(CA133,[1]ARS!A:EL,MATCH("Price To Earnings",[1]ARS!$4:$4,0),FALSE),"-"))</f>
        <v>-</v>
      </c>
      <c r="BR133" s="385"/>
      <c r="BS133" s="385"/>
      <c r="BT133" s="385"/>
      <c r="BU133" s="385"/>
      <c r="BV133" s="385"/>
    </row>
    <row r="134" spans="1:74" ht="12.75" customHeight="1" x14ac:dyDescent="0.2">
      <c r="A134" s="385"/>
      <c r="B134" s="385"/>
      <c r="C134" s="385"/>
      <c r="D134" s="385"/>
      <c r="E134" s="385"/>
      <c r="F134" s="385"/>
      <c r="G134" s="385"/>
      <c r="H134" s="385"/>
      <c r="I134" s="437"/>
      <c r="J134" s="385"/>
      <c r="K134" s="385"/>
      <c r="L134" s="385"/>
      <c r="M134" s="385"/>
      <c r="N134" s="385"/>
      <c r="O134" s="385"/>
      <c r="P134" s="385"/>
      <c r="Q134" s="385"/>
      <c r="R134" s="385"/>
      <c r="S134" s="385"/>
      <c r="T134" s="385"/>
      <c r="U134" s="385"/>
      <c r="V134" s="385"/>
      <c r="W134" s="385"/>
      <c r="X134" s="385"/>
      <c r="Y134" s="385"/>
      <c r="Z134" s="385"/>
      <c r="AA134" s="385"/>
      <c r="AB134" s="385"/>
      <c r="AC134" s="385"/>
      <c r="AD134" s="385"/>
      <c r="AE134" s="385"/>
      <c r="AF134" s="385"/>
      <c r="AG134" s="385"/>
      <c r="AH134" s="385"/>
      <c r="AI134" s="385"/>
      <c r="AJ134" s="385"/>
      <c r="AK134" s="385"/>
      <c r="AL134" s="385"/>
      <c r="AM134" s="385"/>
      <c r="AN134" s="385"/>
      <c r="AO134" s="385"/>
      <c r="AP134" s="385"/>
      <c r="AQ134" s="385"/>
      <c r="AR134" s="385"/>
      <c r="AS134" s="385"/>
      <c r="AT134" s="385"/>
      <c r="AU134" s="385"/>
      <c r="AV134" s="385"/>
      <c r="AW134" s="385"/>
      <c r="AX134" s="385"/>
      <c r="AY134" s="385"/>
      <c r="AZ134" s="385"/>
      <c r="BA134" s="385"/>
      <c r="BB134" s="385"/>
      <c r="BC134" s="385"/>
      <c r="BD134" s="385"/>
      <c r="BE134" s="385"/>
      <c r="BF134" s="385"/>
      <c r="BG134" s="385"/>
      <c r="BH134" s="385"/>
      <c r="BI134" s="385"/>
      <c r="BJ134" s="385"/>
      <c r="BK134" s="385"/>
      <c r="BL134" s="385"/>
      <c r="BM134" s="385"/>
      <c r="BN134" s="385"/>
      <c r="BO134" s="385"/>
      <c r="BP134" s="385"/>
      <c r="BQ134" s="385" t="str">
        <f>IF(OR(IFERROR(VLOOKUP(CA134,[1]ARS!A:EL,MATCH("Price To Earnings",[1]ARS!$4:$4,0),FALSE),"-")&lt;0,IFERROR(VLOOKUP(CA134,[1]ARS!A:EL,MATCH("Price To Earnings",[1]ARS!$4:$4,0),FALSE),"-")&gt;500),"-",IFERROR(VLOOKUP(CA134,[1]ARS!A:EL,MATCH("Price To Earnings",[1]ARS!$4:$4,0),FALSE),"-"))</f>
        <v>-</v>
      </c>
      <c r="BR134" s="385"/>
      <c r="BS134" s="385"/>
      <c r="BT134" s="385"/>
      <c r="BU134" s="385"/>
      <c r="BV134" s="385"/>
    </row>
    <row r="135" spans="1:74" ht="12.75" customHeight="1" x14ac:dyDescent="0.2">
      <c r="A135" s="385"/>
      <c r="B135" s="385"/>
      <c r="C135" s="385"/>
      <c r="D135" s="385"/>
      <c r="E135" s="385"/>
      <c r="F135" s="385"/>
      <c r="G135" s="385"/>
      <c r="H135" s="385"/>
      <c r="I135" s="437"/>
      <c r="J135" s="385"/>
      <c r="K135" s="385"/>
      <c r="L135" s="385"/>
      <c r="M135" s="385"/>
      <c r="N135" s="385"/>
      <c r="O135" s="385"/>
      <c r="P135" s="385"/>
      <c r="Q135" s="385"/>
      <c r="R135" s="385"/>
      <c r="S135" s="385"/>
      <c r="T135" s="385"/>
      <c r="U135" s="385"/>
      <c r="V135" s="385"/>
      <c r="W135" s="385"/>
      <c r="X135" s="385"/>
      <c r="Y135" s="385"/>
      <c r="Z135" s="385"/>
      <c r="AA135" s="385"/>
      <c r="AB135" s="385"/>
      <c r="AC135" s="385"/>
      <c r="AD135" s="385"/>
      <c r="AE135" s="385"/>
      <c r="AF135" s="385"/>
      <c r="AG135" s="385"/>
      <c r="AH135" s="385"/>
      <c r="AI135" s="385"/>
      <c r="AJ135" s="385"/>
      <c r="AK135" s="385"/>
      <c r="AL135" s="385"/>
      <c r="AM135" s="385"/>
      <c r="AN135" s="385"/>
      <c r="AO135" s="385"/>
      <c r="AP135" s="385"/>
      <c r="AQ135" s="385"/>
      <c r="AR135" s="385"/>
      <c r="AS135" s="385"/>
      <c r="AT135" s="385"/>
      <c r="AU135" s="385"/>
      <c r="AV135" s="385"/>
      <c r="AW135" s="385"/>
      <c r="AX135" s="385"/>
      <c r="AY135" s="385"/>
      <c r="AZ135" s="385"/>
      <c r="BA135" s="385"/>
      <c r="BB135" s="385"/>
      <c r="BC135" s="385"/>
      <c r="BD135" s="385"/>
      <c r="BE135" s="385"/>
      <c r="BF135" s="385"/>
      <c r="BG135" s="385"/>
      <c r="BH135" s="385"/>
      <c r="BI135" s="385"/>
      <c r="BJ135" s="385"/>
      <c r="BK135" s="385"/>
      <c r="BL135" s="385"/>
      <c r="BM135" s="385"/>
      <c r="BN135" s="385"/>
      <c r="BO135" s="385"/>
      <c r="BP135" s="385"/>
      <c r="BQ135" s="385" t="str">
        <f>IF(OR(IFERROR(VLOOKUP(CA135,[1]ARS!A:EL,MATCH("Price To Earnings",[1]ARS!$4:$4,0),FALSE),"-")&lt;0,IFERROR(VLOOKUP(CA135,[1]ARS!A:EL,MATCH("Price To Earnings",[1]ARS!$4:$4,0),FALSE),"-")&gt;500),"-",IFERROR(VLOOKUP(CA135,[1]ARS!A:EL,MATCH("Price To Earnings",[1]ARS!$4:$4,0),FALSE),"-"))</f>
        <v>-</v>
      </c>
      <c r="BR135" s="385"/>
      <c r="BS135" s="385"/>
      <c r="BT135" s="385"/>
      <c r="BU135" s="385"/>
      <c r="BV135" s="385"/>
    </row>
    <row r="136" spans="1:74" ht="12.75" customHeight="1" x14ac:dyDescent="0.2">
      <c r="A136" s="385"/>
      <c r="B136" s="385"/>
      <c r="C136" s="385"/>
      <c r="D136" s="385"/>
      <c r="E136" s="438"/>
      <c r="F136" s="385"/>
      <c r="G136" s="385"/>
      <c r="H136" s="385"/>
      <c r="I136" s="437"/>
      <c r="J136" s="385"/>
      <c r="K136" s="385"/>
      <c r="L136" s="385"/>
      <c r="M136" s="385"/>
      <c r="N136" s="385"/>
      <c r="O136" s="385"/>
      <c r="P136" s="385"/>
      <c r="Q136" s="385"/>
      <c r="R136" s="385"/>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5"/>
      <c r="BK136" s="385"/>
      <c r="BL136" s="385"/>
      <c r="BM136" s="385"/>
      <c r="BN136" s="385"/>
      <c r="BO136" s="385"/>
      <c r="BP136" s="385"/>
      <c r="BQ136" s="385"/>
      <c r="BR136" s="385"/>
      <c r="BS136" s="385"/>
      <c r="BT136" s="385"/>
      <c r="BU136" s="385"/>
      <c r="BV136" s="385"/>
    </row>
    <row r="137" spans="1:74" ht="12.75" customHeight="1" x14ac:dyDescent="0.2">
      <c r="A137" s="385"/>
      <c r="B137" s="385"/>
      <c r="C137" s="385"/>
      <c r="D137" s="385"/>
      <c r="E137" s="439"/>
      <c r="F137" s="385"/>
      <c r="G137" s="385"/>
      <c r="H137" s="385"/>
      <c r="I137" s="437"/>
      <c r="J137" s="385"/>
      <c r="K137" s="385"/>
      <c r="L137" s="385"/>
      <c r="M137" s="385"/>
      <c r="N137" s="385"/>
      <c r="O137" s="385"/>
      <c r="P137" s="385"/>
      <c r="Q137" s="385"/>
      <c r="R137" s="385"/>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c r="BG137" s="385"/>
      <c r="BH137" s="385"/>
      <c r="BI137" s="385"/>
      <c r="BJ137" s="385"/>
      <c r="BK137" s="385"/>
      <c r="BL137" s="385"/>
      <c r="BM137" s="385"/>
      <c r="BN137" s="385"/>
      <c r="BO137" s="385"/>
      <c r="BP137" s="385"/>
      <c r="BQ137" s="385" t="str">
        <f>IF(OR(IFERROR(VLOOKUP(CA137,[1]ARS!A:EL,MATCH("Price To Earnings",[1]ARS!$4:$4,0),FALSE),"-")&lt;0,IFERROR(VLOOKUP(CA137,[1]ARS!A:EL,MATCH("Price To Earnings",[1]ARS!$4:$4,0),FALSE),"-")&gt;500),"-",IFERROR(VLOOKUP(CA137,[1]ARS!A:EL,MATCH("Price To Earnings",[1]ARS!$4:$4,0),FALSE),"-"))</f>
        <v>-</v>
      </c>
      <c r="BR137" s="385"/>
      <c r="BS137" s="385"/>
      <c r="BT137" s="385"/>
      <c r="BU137" s="385"/>
      <c r="BV137" s="385"/>
    </row>
    <row r="138" spans="1:74" ht="12.75" customHeight="1" x14ac:dyDescent="0.2">
      <c r="A138" s="385"/>
      <c r="B138" s="385"/>
      <c r="C138" s="385"/>
      <c r="D138" s="385"/>
      <c r="E138" s="385"/>
      <c r="F138" s="385"/>
      <c r="G138" s="385"/>
      <c r="H138" s="385"/>
      <c r="I138" s="437"/>
      <c r="J138" s="385"/>
      <c r="K138" s="385"/>
      <c r="L138" s="385"/>
      <c r="M138" s="385"/>
      <c r="N138" s="385"/>
      <c r="O138" s="385"/>
      <c r="P138" s="385"/>
      <c r="Q138" s="385"/>
      <c r="R138" s="385"/>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5"/>
      <c r="BK138" s="385"/>
      <c r="BL138" s="385"/>
      <c r="BM138" s="385"/>
      <c r="BN138" s="385"/>
      <c r="BO138" s="385"/>
      <c r="BP138" s="385"/>
      <c r="BQ138" s="385" t="str">
        <f>IF(OR(IFERROR(VLOOKUP(CA138,[1]ARS!A:EL,MATCH("Price To Earnings",[1]ARS!$4:$4,0),FALSE),"-")&lt;0,IFERROR(VLOOKUP(CA138,[1]ARS!A:EL,MATCH("Price To Earnings",[1]ARS!$4:$4,0),FALSE),"-")&gt;500),"-",IFERROR(VLOOKUP(CA138,[1]ARS!A:EL,MATCH("Price To Earnings",[1]ARS!$4:$4,0),FALSE),"-"))</f>
        <v>-</v>
      </c>
      <c r="BR138" s="385"/>
      <c r="BS138" s="385"/>
      <c r="BT138" s="385"/>
      <c r="BU138" s="385"/>
      <c r="BV138" s="385"/>
    </row>
    <row r="139" spans="1:74" ht="12.75" customHeight="1" x14ac:dyDescent="0.2">
      <c r="A139" s="385"/>
      <c r="B139" s="385"/>
      <c r="C139" s="385"/>
      <c r="D139" s="385"/>
      <c r="E139" s="385"/>
      <c r="F139" s="385"/>
      <c r="G139" s="385"/>
      <c r="H139" s="385"/>
      <c r="I139" s="437"/>
      <c r="J139" s="385"/>
      <c r="K139" s="385"/>
      <c r="L139" s="385"/>
      <c r="M139" s="385"/>
      <c r="N139" s="385"/>
      <c r="O139" s="385"/>
      <c r="P139" s="385"/>
      <c r="Q139" s="385"/>
      <c r="R139" s="385"/>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c r="BG139" s="385"/>
      <c r="BH139" s="385"/>
      <c r="BI139" s="385"/>
      <c r="BJ139" s="385"/>
      <c r="BK139" s="385"/>
      <c r="BL139" s="385"/>
      <c r="BM139" s="385"/>
      <c r="BN139" s="385"/>
      <c r="BO139" s="385"/>
      <c r="BP139" s="385"/>
      <c r="BQ139" s="385" t="str">
        <f>IF(OR(IFERROR(VLOOKUP(CA139,[1]ARS!A:EL,MATCH("Price To Earnings",[1]ARS!$4:$4,0),FALSE),"-")&lt;0,IFERROR(VLOOKUP(CA139,[1]ARS!A:EL,MATCH("Price To Earnings",[1]ARS!$4:$4,0),FALSE),"-")&gt;500),"-",IFERROR(VLOOKUP(CA139,[1]ARS!A:EL,MATCH("Price To Earnings",[1]ARS!$4:$4,0),FALSE),"-"))</f>
        <v>-</v>
      </c>
      <c r="BR139" s="385"/>
      <c r="BS139" s="385"/>
      <c r="BT139" s="385"/>
      <c r="BU139" s="385"/>
      <c r="BV139" s="385"/>
    </row>
    <row r="140" spans="1:74" ht="12.75" customHeight="1" x14ac:dyDescent="0.2">
      <c r="A140" s="385"/>
      <c r="B140" s="385"/>
      <c r="C140" s="385"/>
      <c r="D140" s="385"/>
      <c r="E140" s="385"/>
      <c r="F140" s="385"/>
      <c r="G140" s="385"/>
      <c r="H140" s="385"/>
      <c r="I140" s="437"/>
      <c r="J140" s="385"/>
      <c r="K140" s="385"/>
      <c r="L140" s="385"/>
      <c r="M140" s="385"/>
      <c r="N140" s="385"/>
      <c r="O140" s="385"/>
      <c r="P140" s="385"/>
      <c r="Q140" s="385"/>
      <c r="R140" s="385"/>
      <c r="S140" s="385"/>
      <c r="T140" s="385"/>
      <c r="U140" s="385"/>
      <c r="V140" s="385"/>
      <c r="W140" s="385"/>
      <c r="X140" s="385"/>
      <c r="Y140" s="385"/>
      <c r="Z140" s="385"/>
      <c r="AA140" s="385"/>
      <c r="AB140" s="385"/>
      <c r="AC140" s="385"/>
      <c r="AD140" s="385"/>
      <c r="AE140" s="385"/>
      <c r="AF140" s="385"/>
      <c r="AG140" s="385"/>
      <c r="AH140" s="385"/>
      <c r="AI140" s="385"/>
      <c r="AJ140" s="385"/>
      <c r="AK140" s="385"/>
      <c r="AL140" s="385"/>
      <c r="AM140" s="385"/>
      <c r="AN140" s="385"/>
      <c r="AO140" s="385"/>
      <c r="AP140" s="385"/>
      <c r="AQ140" s="385"/>
      <c r="AR140" s="385"/>
      <c r="AS140" s="385"/>
      <c r="AT140" s="385"/>
      <c r="AU140" s="385"/>
      <c r="AV140" s="385"/>
      <c r="AW140" s="385"/>
      <c r="AX140" s="385"/>
      <c r="AY140" s="385"/>
      <c r="AZ140" s="385"/>
      <c r="BA140" s="385"/>
      <c r="BB140" s="385"/>
      <c r="BC140" s="385"/>
      <c r="BD140" s="385"/>
      <c r="BE140" s="385"/>
      <c r="BF140" s="385"/>
      <c r="BG140" s="385"/>
      <c r="BH140" s="385"/>
      <c r="BI140" s="385"/>
      <c r="BJ140" s="385"/>
      <c r="BK140" s="385"/>
      <c r="BL140" s="385"/>
      <c r="BM140" s="385"/>
      <c r="BN140" s="385"/>
      <c r="BO140" s="385"/>
      <c r="BP140" s="385"/>
      <c r="BQ140" s="385" t="str">
        <f>IF(OR(IFERROR(VLOOKUP(CA140,[1]ARS!A:EL,MATCH("Price To Earnings",[1]ARS!$4:$4,0),FALSE),"-")&lt;0,IFERROR(VLOOKUP(CA140,[1]ARS!A:EL,MATCH("Price To Earnings",[1]ARS!$4:$4,0),FALSE),"-")&gt;500),"-",IFERROR(VLOOKUP(CA140,[1]ARS!A:EL,MATCH("Price To Earnings",[1]ARS!$4:$4,0),FALSE),"-"))</f>
        <v>-</v>
      </c>
      <c r="BR140" s="385"/>
      <c r="BS140" s="385"/>
      <c r="BT140" s="385"/>
      <c r="BU140" s="385"/>
      <c r="BV140" s="385"/>
    </row>
    <row r="141" spans="1:74" ht="12.75" customHeight="1" x14ac:dyDescent="0.2">
      <c r="A141" s="385"/>
      <c r="B141" s="385"/>
      <c r="C141" s="385"/>
      <c r="D141" s="385"/>
      <c r="E141" s="385"/>
      <c r="F141" s="385"/>
      <c r="G141" s="385"/>
      <c r="H141" s="385"/>
      <c r="I141" s="437"/>
      <c r="J141" s="385"/>
      <c r="K141" s="385"/>
      <c r="L141" s="385"/>
      <c r="M141" s="385"/>
      <c r="N141" s="385"/>
      <c r="O141" s="385"/>
      <c r="P141" s="385"/>
      <c r="Q141" s="385"/>
      <c r="R141" s="385"/>
      <c r="S141" s="385"/>
      <c r="T141" s="385"/>
      <c r="U141" s="385"/>
      <c r="V141" s="385"/>
      <c r="W141" s="385"/>
      <c r="X141" s="385"/>
      <c r="Y141" s="385"/>
      <c r="Z141" s="385"/>
      <c r="AA141" s="385"/>
      <c r="AB141" s="385"/>
      <c r="AC141" s="385"/>
      <c r="AD141" s="385"/>
      <c r="AE141" s="385"/>
      <c r="AF141" s="385"/>
      <c r="AG141" s="385"/>
      <c r="AH141" s="385"/>
      <c r="AI141" s="385"/>
      <c r="AJ141" s="385"/>
      <c r="AK141" s="385"/>
      <c r="AL141" s="385"/>
      <c r="AM141" s="385"/>
      <c r="AN141" s="385"/>
      <c r="AO141" s="385"/>
      <c r="AP141" s="385"/>
      <c r="AQ141" s="385"/>
      <c r="AR141" s="385"/>
      <c r="AS141" s="385"/>
      <c r="AT141" s="385"/>
      <c r="AU141" s="385"/>
      <c r="AV141" s="385"/>
      <c r="AW141" s="385"/>
      <c r="AX141" s="385"/>
      <c r="AY141" s="385"/>
      <c r="AZ141" s="385"/>
      <c r="BA141" s="385"/>
      <c r="BB141" s="385"/>
      <c r="BC141" s="385"/>
      <c r="BD141" s="385"/>
      <c r="BE141" s="385"/>
      <c r="BF141" s="385"/>
      <c r="BG141" s="385"/>
      <c r="BH141" s="385"/>
      <c r="BI141" s="385"/>
      <c r="BJ141" s="385"/>
      <c r="BK141" s="385"/>
      <c r="BL141" s="385"/>
      <c r="BM141" s="385"/>
      <c r="BN141" s="385"/>
      <c r="BO141" s="385"/>
      <c r="BP141" s="385"/>
      <c r="BQ141" s="385" t="str">
        <f>IF(OR(IFERROR(VLOOKUP(CA141,[1]ARS!A:EL,MATCH("Price To Earnings",[1]ARS!$4:$4,0),FALSE),"-")&lt;0,IFERROR(VLOOKUP(CA141,[1]ARS!A:EL,MATCH("Price To Earnings",[1]ARS!$4:$4,0),FALSE),"-")&gt;500),"-",IFERROR(VLOOKUP(CA141,[1]ARS!A:EL,MATCH("Price To Earnings",[1]ARS!$4:$4,0),FALSE),"-"))</f>
        <v>-</v>
      </c>
      <c r="BR141" s="385"/>
      <c r="BS141" s="385"/>
      <c r="BT141" s="385"/>
      <c r="BU141" s="385"/>
      <c r="BV141" s="385"/>
    </row>
    <row r="142" spans="1:74" ht="12.75" customHeight="1" x14ac:dyDescent="0.2">
      <c r="A142" s="385"/>
      <c r="B142" s="385"/>
      <c r="C142" s="385"/>
      <c r="D142" s="385"/>
      <c r="E142" s="385"/>
      <c r="F142" s="385"/>
      <c r="G142" s="385"/>
      <c r="H142" s="385"/>
      <c r="I142" s="437"/>
      <c r="J142" s="385"/>
      <c r="K142" s="385"/>
      <c r="L142" s="385"/>
      <c r="M142" s="385"/>
      <c r="N142" s="385"/>
      <c r="O142" s="385"/>
      <c r="P142" s="385"/>
      <c r="Q142" s="385"/>
      <c r="R142" s="385"/>
      <c r="S142" s="385"/>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c r="BB142" s="385"/>
      <c r="BC142" s="385"/>
      <c r="BD142" s="385"/>
      <c r="BE142" s="385"/>
      <c r="BF142" s="385"/>
      <c r="BG142" s="385"/>
      <c r="BH142" s="385"/>
      <c r="BI142" s="385"/>
      <c r="BJ142" s="385"/>
      <c r="BK142" s="385"/>
      <c r="BL142" s="385"/>
      <c r="BM142" s="385"/>
      <c r="BN142" s="385"/>
      <c r="BO142" s="385"/>
      <c r="BP142" s="385"/>
      <c r="BQ142" s="385" t="str">
        <f>IF(OR(IFERROR(VLOOKUP(CA142,[1]ARS!A:EL,MATCH("Price To Earnings",[1]ARS!$4:$4,0),FALSE),"-")&lt;0,IFERROR(VLOOKUP(CA142,[1]ARS!A:EL,MATCH("Price To Earnings",[1]ARS!$4:$4,0),FALSE),"-")&gt;500),"-",IFERROR(VLOOKUP(CA142,[1]ARS!A:EL,MATCH("Price To Earnings",[1]ARS!$4:$4,0),FALSE),"-"))</f>
        <v>-</v>
      </c>
      <c r="BR142" s="385"/>
      <c r="BS142" s="385"/>
      <c r="BT142" s="385"/>
      <c r="BU142" s="385"/>
      <c r="BV142" s="385"/>
    </row>
    <row r="143" spans="1:74" ht="12.75" customHeight="1" x14ac:dyDescent="0.2">
      <c r="A143" s="385"/>
      <c r="B143" s="385"/>
      <c r="C143" s="385"/>
      <c r="D143" s="385"/>
      <c r="E143" s="385"/>
      <c r="F143" s="385"/>
      <c r="G143" s="385"/>
      <c r="H143" s="385"/>
      <c r="I143" s="437"/>
      <c r="J143" s="385"/>
      <c r="K143" s="385"/>
      <c r="L143" s="385"/>
      <c r="M143" s="385"/>
      <c r="N143" s="385"/>
      <c r="O143" s="385"/>
      <c r="P143" s="385"/>
      <c r="Q143" s="385"/>
      <c r="R143" s="385"/>
      <c r="S143" s="385"/>
      <c r="T143" s="385"/>
      <c r="U143" s="385"/>
      <c r="V143" s="385"/>
      <c r="W143" s="385"/>
      <c r="X143" s="385"/>
      <c r="Y143" s="385"/>
      <c r="Z143" s="385"/>
      <c r="AA143" s="385"/>
      <c r="AB143" s="385"/>
      <c r="AC143" s="385"/>
      <c r="AD143" s="385"/>
      <c r="AE143" s="385"/>
      <c r="AF143" s="385"/>
      <c r="AG143" s="385"/>
      <c r="AH143" s="385"/>
      <c r="AI143" s="385"/>
      <c r="AJ143" s="385"/>
      <c r="AK143" s="385"/>
      <c r="AL143" s="385"/>
      <c r="AM143" s="385"/>
      <c r="AN143" s="385"/>
      <c r="AO143" s="385"/>
      <c r="AP143" s="385"/>
      <c r="AQ143" s="385"/>
      <c r="AR143" s="385"/>
      <c r="AS143" s="385"/>
      <c r="AT143" s="385"/>
      <c r="AU143" s="385"/>
      <c r="AV143" s="385"/>
      <c r="AW143" s="385"/>
      <c r="AX143" s="385"/>
      <c r="AY143" s="385"/>
      <c r="AZ143" s="385"/>
      <c r="BA143" s="385"/>
      <c r="BB143" s="385"/>
      <c r="BC143" s="385"/>
      <c r="BD143" s="385"/>
      <c r="BE143" s="385"/>
      <c r="BF143" s="385"/>
      <c r="BG143" s="385"/>
      <c r="BH143" s="385"/>
      <c r="BI143" s="385"/>
      <c r="BJ143" s="385"/>
      <c r="BK143" s="385"/>
      <c r="BL143" s="385"/>
      <c r="BM143" s="385"/>
      <c r="BN143" s="385"/>
      <c r="BO143" s="385"/>
      <c r="BP143" s="385"/>
      <c r="BQ143" s="385"/>
      <c r="BR143" s="385"/>
      <c r="BS143" s="385"/>
      <c r="BT143" s="385"/>
      <c r="BU143" s="385"/>
      <c r="BV143" s="385"/>
    </row>
    <row r="144" spans="1:74" ht="12.75" customHeight="1" x14ac:dyDescent="0.2">
      <c r="A144" s="385"/>
      <c r="B144" s="385"/>
      <c r="C144" s="385"/>
      <c r="D144" s="385"/>
      <c r="E144" s="385"/>
      <c r="F144" s="385"/>
      <c r="G144" s="385"/>
      <c r="H144" s="385"/>
      <c r="I144" s="437"/>
      <c r="J144" s="385"/>
      <c r="K144" s="385"/>
      <c r="L144" s="385"/>
      <c r="M144" s="385"/>
      <c r="N144" s="385"/>
      <c r="O144" s="385"/>
      <c r="P144" s="385"/>
      <c r="Q144" s="385"/>
      <c r="R144" s="385"/>
      <c r="S144" s="385"/>
      <c r="T144" s="385"/>
      <c r="U144" s="385"/>
      <c r="V144" s="385"/>
      <c r="W144" s="385"/>
      <c r="X144" s="385"/>
      <c r="Y144" s="385"/>
      <c r="Z144" s="385"/>
      <c r="AA144" s="385"/>
      <c r="AB144" s="385"/>
      <c r="AC144" s="385"/>
      <c r="AD144" s="385"/>
      <c r="AE144" s="385"/>
      <c r="AF144" s="385"/>
      <c r="AG144" s="385"/>
      <c r="AH144" s="385"/>
      <c r="AI144" s="385"/>
      <c r="AJ144" s="385"/>
      <c r="AK144" s="385"/>
      <c r="AL144" s="385"/>
      <c r="AM144" s="385"/>
      <c r="AN144" s="385"/>
      <c r="AO144" s="385"/>
      <c r="AP144" s="385"/>
      <c r="AQ144" s="385"/>
      <c r="AR144" s="385"/>
      <c r="AS144" s="385"/>
      <c r="AT144" s="385"/>
      <c r="AU144" s="385"/>
      <c r="AV144" s="385"/>
      <c r="AW144" s="385"/>
      <c r="AX144" s="385"/>
      <c r="AY144" s="385"/>
      <c r="AZ144" s="385"/>
      <c r="BA144" s="385"/>
      <c r="BB144" s="385"/>
      <c r="BC144" s="385"/>
      <c r="BD144" s="385"/>
      <c r="BE144" s="385"/>
      <c r="BF144" s="385"/>
      <c r="BG144" s="385"/>
      <c r="BH144" s="385"/>
      <c r="BI144" s="385"/>
      <c r="BJ144" s="385"/>
      <c r="BK144" s="385"/>
      <c r="BL144" s="385"/>
      <c r="BM144" s="385"/>
      <c r="BN144" s="385"/>
      <c r="BO144" s="385"/>
      <c r="BP144" s="385"/>
      <c r="BQ144" s="385" t="str">
        <f>IF(OR(IFERROR(VLOOKUP(CA144,[1]ARS!A:EL,MATCH("Price To Earnings",[1]ARS!$4:$4,0),FALSE),"-")&lt;0,IFERROR(VLOOKUP(CA144,[1]ARS!A:EL,MATCH("Price To Earnings",[1]ARS!$4:$4,0),FALSE),"-")&gt;500),"-",IFERROR(VLOOKUP(CA144,[1]ARS!A:EL,MATCH("Price To Earnings",[1]ARS!$4:$4,0),FALSE),"-"))</f>
        <v>-</v>
      </c>
      <c r="BR144" s="385"/>
      <c r="BS144" s="385"/>
      <c r="BT144" s="385"/>
      <c r="BU144" s="385"/>
      <c r="BV144" s="385"/>
    </row>
    <row r="145" spans="1:74" ht="12.75" customHeight="1" x14ac:dyDescent="0.2">
      <c r="A145" s="385"/>
      <c r="B145" s="385"/>
      <c r="C145" s="385"/>
      <c r="D145" s="385"/>
      <c r="E145" s="440"/>
      <c r="F145" s="385"/>
      <c r="G145" s="385"/>
      <c r="H145" s="385"/>
      <c r="I145" s="437"/>
      <c r="J145" s="385"/>
      <c r="K145" s="385"/>
      <c r="L145" s="385"/>
      <c r="M145" s="385"/>
      <c r="N145" s="385"/>
      <c r="O145" s="385"/>
      <c r="P145" s="385"/>
      <c r="Q145" s="385"/>
      <c r="R145" s="385"/>
      <c r="S145" s="385"/>
      <c r="T145" s="385"/>
      <c r="U145" s="385"/>
      <c r="V145" s="385"/>
      <c r="W145" s="385"/>
      <c r="X145" s="385"/>
      <c r="Y145" s="385"/>
      <c r="Z145" s="385"/>
      <c r="AA145" s="385"/>
      <c r="AB145" s="385"/>
      <c r="AC145" s="385"/>
      <c r="AD145" s="385"/>
      <c r="AE145" s="385"/>
      <c r="AF145" s="385"/>
      <c r="AG145" s="385"/>
      <c r="AH145" s="385"/>
      <c r="AI145" s="385"/>
      <c r="AJ145" s="385"/>
      <c r="AK145" s="385"/>
      <c r="AL145" s="385"/>
      <c r="AM145" s="385"/>
      <c r="AN145" s="385"/>
      <c r="AO145" s="385"/>
      <c r="AP145" s="385"/>
      <c r="AQ145" s="385"/>
      <c r="AR145" s="385"/>
      <c r="AS145" s="385"/>
      <c r="AT145" s="385"/>
      <c r="AU145" s="385"/>
      <c r="AV145" s="385"/>
      <c r="AW145" s="385"/>
      <c r="AX145" s="385"/>
      <c r="AY145" s="385"/>
      <c r="AZ145" s="385"/>
      <c r="BA145" s="385"/>
      <c r="BB145" s="385"/>
      <c r="BC145" s="385"/>
      <c r="BD145" s="385"/>
      <c r="BE145" s="385"/>
      <c r="BF145" s="385"/>
      <c r="BG145" s="385"/>
      <c r="BH145" s="385"/>
      <c r="BI145" s="385"/>
      <c r="BJ145" s="385"/>
      <c r="BK145" s="385"/>
      <c r="BL145" s="385"/>
      <c r="BM145" s="385"/>
      <c r="BN145" s="385"/>
      <c r="BO145" s="385"/>
      <c r="BP145" s="385"/>
      <c r="BQ145" s="385" t="str">
        <f>IF(OR(IFERROR(VLOOKUP(CA145,[1]ARS!A:EL,MATCH("Price To Earnings",[1]ARS!$4:$4,0),FALSE),"-")&lt;0,IFERROR(VLOOKUP(CA145,[1]ARS!A:EL,MATCH("Price To Earnings",[1]ARS!$4:$4,0),FALSE),"-")&gt;500),"-",IFERROR(VLOOKUP(CA145,[1]ARS!A:EL,MATCH("Price To Earnings",[1]ARS!$4:$4,0),FALSE),"-"))</f>
        <v>-</v>
      </c>
      <c r="BR145" s="385"/>
      <c r="BS145" s="385"/>
      <c r="BT145" s="385"/>
      <c r="BU145" s="385"/>
      <c r="BV145" s="385"/>
    </row>
    <row r="146" spans="1:74" ht="12.75" customHeight="1" x14ac:dyDescent="0.2">
      <c r="A146" s="385"/>
      <c r="B146" s="385"/>
      <c r="C146" s="385"/>
      <c r="D146" s="385"/>
      <c r="E146" s="385"/>
      <c r="F146" s="385"/>
      <c r="G146" s="385"/>
      <c r="H146" s="385"/>
      <c r="I146" s="437"/>
      <c r="J146" s="385"/>
      <c r="K146" s="385"/>
      <c r="L146" s="385"/>
      <c r="M146" s="385"/>
      <c r="N146" s="385"/>
      <c r="O146" s="385"/>
      <c r="P146" s="385"/>
      <c r="Q146" s="385"/>
      <c r="R146" s="385"/>
      <c r="S146" s="385"/>
      <c r="T146" s="385"/>
      <c r="U146" s="385"/>
      <c r="V146" s="385"/>
      <c r="W146" s="385"/>
      <c r="X146" s="385"/>
      <c r="Y146" s="385"/>
      <c r="Z146" s="385"/>
      <c r="AA146" s="385"/>
      <c r="AB146" s="385"/>
      <c r="AC146" s="385"/>
      <c r="AD146" s="385"/>
      <c r="AE146" s="385"/>
      <c r="AF146" s="385"/>
      <c r="AG146" s="385"/>
      <c r="AH146" s="385"/>
      <c r="AI146" s="385"/>
      <c r="AJ146" s="385"/>
      <c r="AK146" s="385"/>
      <c r="AL146" s="385"/>
      <c r="AM146" s="385"/>
      <c r="AN146" s="385"/>
      <c r="AO146" s="385"/>
      <c r="AP146" s="385"/>
      <c r="AQ146" s="385"/>
      <c r="AR146" s="385"/>
      <c r="AS146" s="385"/>
      <c r="AT146" s="385"/>
      <c r="AU146" s="385"/>
      <c r="AV146" s="385"/>
      <c r="AW146" s="385"/>
      <c r="AX146" s="385"/>
      <c r="AY146" s="385"/>
      <c r="AZ146" s="385"/>
      <c r="BA146" s="385"/>
      <c r="BB146" s="385"/>
      <c r="BC146" s="385"/>
      <c r="BD146" s="385"/>
      <c r="BE146" s="385"/>
      <c r="BF146" s="385"/>
      <c r="BG146" s="385"/>
      <c r="BH146" s="385"/>
      <c r="BI146" s="385"/>
      <c r="BJ146" s="385"/>
      <c r="BK146" s="385"/>
      <c r="BL146" s="385"/>
      <c r="BM146" s="385"/>
      <c r="BN146" s="385"/>
      <c r="BO146" s="385"/>
      <c r="BP146" s="385"/>
      <c r="BQ146" s="385" t="str">
        <f>IF(OR(IFERROR(VLOOKUP(CA146,[1]ARS!A:EL,MATCH("Price To Earnings",[1]ARS!$4:$4,0),FALSE),"-")&lt;0,IFERROR(VLOOKUP(CA146,[1]ARS!A:EL,MATCH("Price To Earnings",[1]ARS!$4:$4,0),FALSE),"-")&gt;500),"-",IFERROR(VLOOKUP(CA146,[1]ARS!A:EL,MATCH("Price To Earnings",[1]ARS!$4:$4,0),FALSE),"-"))</f>
        <v>-</v>
      </c>
      <c r="BR146" s="385"/>
      <c r="BS146" s="385"/>
      <c r="BT146" s="385"/>
      <c r="BU146" s="385"/>
      <c r="BV146" s="385"/>
    </row>
    <row r="147" spans="1:74" ht="12.75" customHeight="1" x14ac:dyDescent="0.2">
      <c r="A147" s="385"/>
      <c r="B147" s="385"/>
      <c r="C147" s="385"/>
      <c r="D147" s="385"/>
      <c r="E147" s="385"/>
      <c r="F147" s="385"/>
      <c r="G147" s="385"/>
      <c r="H147" s="385"/>
      <c r="I147" s="437"/>
      <c r="J147" s="385"/>
      <c r="K147" s="385"/>
      <c r="L147" s="385"/>
      <c r="M147" s="385"/>
      <c r="N147" s="385"/>
      <c r="O147" s="385"/>
      <c r="P147" s="385"/>
      <c r="Q147" s="385"/>
      <c r="R147" s="385"/>
      <c r="S147" s="385"/>
      <c r="T147" s="385"/>
      <c r="U147" s="385"/>
      <c r="V147" s="385"/>
      <c r="W147" s="385"/>
      <c r="X147" s="385"/>
      <c r="Y147" s="385"/>
      <c r="Z147" s="385"/>
      <c r="AA147" s="385"/>
      <c r="AB147" s="385"/>
      <c r="AC147" s="385"/>
      <c r="AD147" s="385"/>
      <c r="AE147" s="385"/>
      <c r="AF147" s="385"/>
      <c r="AG147" s="385"/>
      <c r="AH147" s="385"/>
      <c r="AI147" s="385"/>
      <c r="AJ147" s="385"/>
      <c r="AK147" s="385"/>
      <c r="AL147" s="385"/>
      <c r="AM147" s="385"/>
      <c r="AN147" s="385"/>
      <c r="AO147" s="385"/>
      <c r="AP147" s="385"/>
      <c r="AQ147" s="385"/>
      <c r="AR147" s="385"/>
      <c r="AS147" s="385"/>
      <c r="AT147" s="385"/>
      <c r="AU147" s="385"/>
      <c r="AV147" s="385"/>
      <c r="AW147" s="385"/>
      <c r="AX147" s="385"/>
      <c r="AY147" s="385"/>
      <c r="AZ147" s="385"/>
      <c r="BA147" s="385"/>
      <c r="BB147" s="385"/>
      <c r="BC147" s="385"/>
      <c r="BD147" s="385"/>
      <c r="BE147" s="385"/>
      <c r="BF147" s="385"/>
      <c r="BG147" s="385"/>
      <c r="BH147" s="385"/>
      <c r="BI147" s="385"/>
      <c r="BJ147" s="385"/>
      <c r="BK147" s="385"/>
      <c r="BL147" s="385"/>
      <c r="BM147" s="385"/>
      <c r="BN147" s="385"/>
      <c r="BO147" s="385"/>
      <c r="BP147" s="385"/>
      <c r="BQ147" s="385" t="str">
        <f>IF(OR(IFERROR(VLOOKUP(CA147,[1]ARS!A:EL,MATCH("Price To Earnings",[1]ARS!$4:$4,0),FALSE),"-")&lt;0,IFERROR(VLOOKUP(CA147,[1]ARS!A:EL,MATCH("Price To Earnings",[1]ARS!$4:$4,0),FALSE),"-")&gt;500),"-",IFERROR(VLOOKUP(CA147,[1]ARS!A:EL,MATCH("Price To Earnings",[1]ARS!$4:$4,0),FALSE),"-"))</f>
        <v>-</v>
      </c>
      <c r="BR147" s="385"/>
      <c r="BS147" s="385"/>
      <c r="BT147" s="385"/>
      <c r="BU147" s="385"/>
      <c r="BV147" s="385"/>
    </row>
    <row r="148" spans="1:74" ht="12.75" customHeight="1" x14ac:dyDescent="0.2">
      <c r="A148" s="385"/>
      <c r="B148" s="385"/>
      <c r="C148" s="385"/>
      <c r="D148" s="385"/>
      <c r="E148" s="385"/>
      <c r="F148" s="385"/>
      <c r="G148" s="385"/>
      <c r="H148" s="385"/>
      <c r="I148" s="437"/>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5"/>
      <c r="AK148" s="385"/>
      <c r="AL148" s="385"/>
      <c r="AM148" s="385"/>
      <c r="AN148" s="385"/>
      <c r="AO148" s="385"/>
      <c r="AP148" s="385"/>
      <c r="AQ148" s="385"/>
      <c r="AR148" s="385"/>
      <c r="AS148" s="385"/>
      <c r="AT148" s="385"/>
      <c r="AU148" s="385"/>
      <c r="AV148" s="385"/>
      <c r="AW148" s="385"/>
      <c r="AX148" s="385"/>
      <c r="AY148" s="385"/>
      <c r="AZ148" s="385"/>
      <c r="BA148" s="385"/>
      <c r="BB148" s="385"/>
      <c r="BC148" s="385"/>
      <c r="BD148" s="385"/>
      <c r="BE148" s="385"/>
      <c r="BF148" s="385"/>
      <c r="BG148" s="385"/>
      <c r="BH148" s="385"/>
      <c r="BI148" s="385"/>
      <c r="BJ148" s="385"/>
      <c r="BK148" s="385"/>
      <c r="BL148" s="385"/>
      <c r="BM148" s="385"/>
      <c r="BN148" s="385"/>
      <c r="BO148" s="385"/>
      <c r="BP148" s="385"/>
      <c r="BQ148" s="385" t="str">
        <f>IF(OR(IFERROR(VLOOKUP(CA148,[1]ARS!A:EL,MATCH("Price To Earnings",[1]ARS!$4:$4,0),FALSE),"-")&lt;0,IFERROR(VLOOKUP(CA148,[1]ARS!A:EL,MATCH("Price To Earnings",[1]ARS!$4:$4,0),FALSE),"-")&gt;500),"-",IFERROR(VLOOKUP(CA148,[1]ARS!A:EL,MATCH("Price To Earnings",[1]ARS!$4:$4,0),FALSE),"-"))</f>
        <v>-</v>
      </c>
      <c r="BR148" s="385"/>
      <c r="BS148" s="385"/>
      <c r="BT148" s="385"/>
      <c r="BU148" s="385"/>
      <c r="BV148" s="385"/>
    </row>
    <row r="149" spans="1:74" ht="12.75" customHeight="1" x14ac:dyDescent="0.2">
      <c r="A149" s="385"/>
      <c r="B149" s="385"/>
      <c r="C149" s="385"/>
      <c r="D149" s="385"/>
      <c r="E149" s="385"/>
      <c r="F149" s="385"/>
      <c r="G149" s="385"/>
      <c r="H149" s="385"/>
      <c r="I149" s="437"/>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5"/>
      <c r="AK149" s="385"/>
      <c r="AL149" s="385"/>
      <c r="AM149" s="385"/>
      <c r="AN149" s="385"/>
      <c r="AO149" s="385"/>
      <c r="AP149" s="385"/>
      <c r="AQ149" s="385"/>
      <c r="AR149" s="385"/>
      <c r="AS149" s="385"/>
      <c r="AT149" s="385"/>
      <c r="AU149" s="385"/>
      <c r="AV149" s="385"/>
      <c r="AW149" s="385"/>
      <c r="AX149" s="385"/>
      <c r="AY149" s="385"/>
      <c r="AZ149" s="385"/>
      <c r="BA149" s="385"/>
      <c r="BB149" s="385"/>
      <c r="BC149" s="385"/>
      <c r="BD149" s="385"/>
      <c r="BE149" s="385"/>
      <c r="BF149" s="385"/>
      <c r="BG149" s="385"/>
      <c r="BH149" s="385"/>
      <c r="BI149" s="385"/>
      <c r="BJ149" s="385"/>
      <c r="BK149" s="385"/>
      <c r="BL149" s="385"/>
      <c r="BM149" s="385"/>
      <c r="BN149" s="385"/>
      <c r="BO149" s="385"/>
      <c r="BP149" s="385"/>
      <c r="BQ149" s="385" t="str">
        <f>IF(OR(IFERROR(VLOOKUP(CA149,[1]ARS!A:EL,MATCH("Price To Earnings",[1]ARS!$4:$4,0),FALSE),"-")&lt;0,IFERROR(VLOOKUP(CA149,[1]ARS!A:EL,MATCH("Price To Earnings",[1]ARS!$4:$4,0),FALSE),"-")&gt;500),"-",IFERROR(VLOOKUP(CA149,[1]ARS!A:EL,MATCH("Price To Earnings",[1]ARS!$4:$4,0),FALSE),"-"))</f>
        <v>-</v>
      </c>
      <c r="BR149" s="385"/>
      <c r="BS149" s="385"/>
      <c r="BT149" s="385"/>
      <c r="BU149" s="385"/>
      <c r="BV149" s="385"/>
    </row>
    <row r="150" spans="1:74" ht="12.75" customHeight="1" x14ac:dyDescent="0.2">
      <c r="A150" s="385"/>
      <c r="B150" s="385"/>
      <c r="C150" s="385"/>
      <c r="D150" s="385"/>
      <c r="E150" s="438"/>
      <c r="F150" s="385"/>
      <c r="G150" s="385"/>
      <c r="H150" s="385"/>
      <c r="I150" s="437"/>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5"/>
      <c r="AK150" s="385"/>
      <c r="AL150" s="385"/>
      <c r="AM150" s="385"/>
      <c r="AN150" s="385"/>
      <c r="AO150" s="385"/>
      <c r="AP150" s="385"/>
      <c r="AQ150" s="385"/>
      <c r="AR150" s="385"/>
      <c r="AS150" s="385"/>
      <c r="AT150" s="385"/>
      <c r="AU150" s="385"/>
      <c r="AV150" s="385"/>
      <c r="AW150" s="385"/>
      <c r="AX150" s="385"/>
      <c r="AY150" s="385"/>
      <c r="AZ150" s="385"/>
      <c r="BA150" s="385"/>
      <c r="BB150" s="385"/>
      <c r="BC150" s="385"/>
      <c r="BD150" s="385"/>
      <c r="BE150" s="385"/>
      <c r="BF150" s="385"/>
      <c r="BG150" s="385"/>
      <c r="BH150" s="385"/>
      <c r="BI150" s="385"/>
      <c r="BJ150" s="385"/>
      <c r="BK150" s="385"/>
      <c r="BL150" s="385"/>
      <c r="BM150" s="385"/>
      <c r="BN150" s="385"/>
      <c r="BO150" s="385"/>
      <c r="BP150" s="385"/>
      <c r="BQ150" s="385" t="str">
        <f>IF(OR(IFERROR(VLOOKUP(CA150,[1]ARS!A:EL,MATCH("Price To Earnings",[1]ARS!$4:$4,0),FALSE),"-")&lt;0,IFERROR(VLOOKUP(CA150,[1]ARS!A:EL,MATCH("Price To Earnings",[1]ARS!$4:$4,0),FALSE),"-")&gt;500),"-",IFERROR(VLOOKUP(CA150,[1]ARS!A:EL,MATCH("Price To Earnings",[1]ARS!$4:$4,0),FALSE),"-"))</f>
        <v>-</v>
      </c>
      <c r="BR150" s="385"/>
      <c r="BS150" s="385"/>
      <c r="BT150" s="385"/>
      <c r="BU150" s="385"/>
      <c r="BV150" s="385"/>
    </row>
    <row r="151" spans="1:74" ht="12.75" customHeight="1" x14ac:dyDescent="0.2">
      <c r="A151" s="385"/>
      <c r="B151" s="385"/>
      <c r="C151" s="385"/>
      <c r="D151" s="385"/>
      <c r="E151" s="385"/>
      <c r="F151" s="385"/>
      <c r="G151" s="385"/>
      <c r="H151" s="385"/>
      <c r="I151" s="437"/>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5"/>
      <c r="AK151" s="385"/>
      <c r="AL151" s="385"/>
      <c r="AM151" s="385"/>
      <c r="AN151" s="385"/>
      <c r="AO151" s="385"/>
      <c r="AP151" s="385"/>
      <c r="AQ151" s="385"/>
      <c r="AR151" s="385"/>
      <c r="AS151" s="385"/>
      <c r="AT151" s="385"/>
      <c r="AU151" s="385"/>
      <c r="AV151" s="385"/>
      <c r="AW151" s="385"/>
      <c r="AX151" s="385"/>
      <c r="AY151" s="385"/>
      <c r="AZ151" s="385"/>
      <c r="BA151" s="385"/>
      <c r="BB151" s="385"/>
      <c r="BC151" s="385"/>
      <c r="BD151" s="385"/>
      <c r="BE151" s="385"/>
      <c r="BF151" s="385"/>
      <c r="BG151" s="385"/>
      <c r="BH151" s="385"/>
      <c r="BI151" s="385"/>
      <c r="BJ151" s="385"/>
      <c r="BK151" s="385"/>
      <c r="BL151" s="385"/>
      <c r="BM151" s="385"/>
      <c r="BN151" s="385"/>
      <c r="BO151" s="385"/>
      <c r="BP151" s="385"/>
      <c r="BQ151" s="385" t="str">
        <f>IF(OR(IFERROR(VLOOKUP(CA151,[1]ARS!A:EL,MATCH("Price To Earnings",[1]ARS!$4:$4,0),FALSE),"-")&lt;0,IFERROR(VLOOKUP(CA151,[1]ARS!A:EL,MATCH("Price To Earnings",[1]ARS!$4:$4,0),FALSE),"-")&gt;500),"-",IFERROR(VLOOKUP(CA151,[1]ARS!A:EL,MATCH("Price To Earnings",[1]ARS!$4:$4,0),FALSE),"-"))</f>
        <v>-</v>
      </c>
      <c r="BR151" s="385"/>
      <c r="BS151" s="385"/>
      <c r="BT151" s="385"/>
      <c r="BU151" s="385"/>
      <c r="BV151" s="385"/>
    </row>
    <row r="152" spans="1:74" ht="12.75" customHeight="1" x14ac:dyDescent="0.2">
      <c r="A152" s="385"/>
      <c r="B152" s="385"/>
      <c r="C152" s="385"/>
      <c r="D152" s="385"/>
      <c r="E152" s="385"/>
      <c r="F152" s="385"/>
      <c r="G152" s="385"/>
      <c r="H152" s="385"/>
      <c r="I152" s="437"/>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5"/>
      <c r="AK152" s="385"/>
      <c r="AL152" s="385"/>
      <c r="AM152" s="385"/>
      <c r="AN152" s="385"/>
      <c r="AO152" s="385"/>
      <c r="AP152" s="385"/>
      <c r="AQ152" s="385"/>
      <c r="AR152" s="385"/>
      <c r="AS152" s="385"/>
      <c r="AT152" s="385"/>
      <c r="AU152" s="385"/>
      <c r="AV152" s="385"/>
      <c r="AW152" s="385"/>
      <c r="AX152" s="385"/>
      <c r="AY152" s="385"/>
      <c r="AZ152" s="385"/>
      <c r="BA152" s="385"/>
      <c r="BB152" s="385"/>
      <c r="BC152" s="385"/>
      <c r="BD152" s="385"/>
      <c r="BE152" s="385"/>
      <c r="BF152" s="385"/>
      <c r="BG152" s="385"/>
      <c r="BH152" s="385"/>
      <c r="BI152" s="385"/>
      <c r="BJ152" s="385"/>
      <c r="BK152" s="385"/>
      <c r="BL152" s="385"/>
      <c r="BM152" s="385"/>
      <c r="BN152" s="385"/>
      <c r="BO152" s="385"/>
      <c r="BP152" s="385"/>
      <c r="BQ152" s="385" t="str">
        <f>IF(OR(IFERROR(VLOOKUP(CA152,[1]ARS!A:EL,MATCH("Price To Earnings",[1]ARS!$4:$4,0),FALSE),"-")&lt;0,IFERROR(VLOOKUP(CA152,[1]ARS!A:EL,MATCH("Price To Earnings",[1]ARS!$4:$4,0),FALSE),"-")&gt;500),"-",IFERROR(VLOOKUP(CA152,[1]ARS!A:EL,MATCH("Price To Earnings",[1]ARS!$4:$4,0),FALSE),"-"))</f>
        <v>-</v>
      </c>
      <c r="BR152" s="385"/>
      <c r="BS152" s="385"/>
      <c r="BT152" s="385"/>
      <c r="BU152" s="385"/>
      <c r="BV152" s="385"/>
    </row>
    <row r="153" spans="1:74" ht="12.75" customHeight="1" x14ac:dyDescent="0.2">
      <c r="A153" s="385"/>
      <c r="B153" s="385"/>
      <c r="C153" s="385"/>
      <c r="D153" s="385"/>
      <c r="E153" s="385"/>
      <c r="F153" s="385"/>
      <c r="G153" s="385"/>
      <c r="H153" s="385"/>
      <c r="I153" s="437"/>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5"/>
      <c r="AK153" s="385"/>
      <c r="AL153" s="385"/>
      <c r="AM153" s="385"/>
      <c r="AN153" s="385"/>
      <c r="AO153" s="385"/>
      <c r="AP153" s="385"/>
      <c r="AQ153" s="385"/>
      <c r="AR153" s="385"/>
      <c r="AS153" s="385"/>
      <c r="AT153" s="385"/>
      <c r="AU153" s="385"/>
      <c r="AV153" s="385"/>
      <c r="AW153" s="385"/>
      <c r="AX153" s="385"/>
      <c r="AY153" s="385"/>
      <c r="AZ153" s="385"/>
      <c r="BA153" s="385"/>
      <c r="BB153" s="385"/>
      <c r="BC153" s="385"/>
      <c r="BD153" s="385"/>
      <c r="BE153" s="385"/>
      <c r="BF153" s="385"/>
      <c r="BG153" s="385"/>
      <c r="BH153" s="385"/>
      <c r="BI153" s="385"/>
      <c r="BJ153" s="385"/>
      <c r="BK153" s="385"/>
      <c r="BL153" s="385"/>
      <c r="BM153" s="385"/>
      <c r="BN153" s="385"/>
      <c r="BO153" s="385"/>
      <c r="BP153" s="385"/>
      <c r="BQ153" s="385" t="str">
        <f>IF(OR(IFERROR(VLOOKUP(CA153,[1]ARS!A:EL,MATCH("Price To Earnings",[1]ARS!$4:$4,0),FALSE),"-")&lt;0,IFERROR(VLOOKUP(CA153,[1]ARS!A:EL,MATCH("Price To Earnings",[1]ARS!$4:$4,0),FALSE),"-")&gt;500),"-",IFERROR(VLOOKUP(CA153,[1]ARS!A:EL,MATCH("Price To Earnings",[1]ARS!$4:$4,0),FALSE),"-"))</f>
        <v>-</v>
      </c>
      <c r="BR153" s="385"/>
      <c r="BS153" s="385"/>
      <c r="BT153" s="385"/>
      <c r="BU153" s="385"/>
      <c r="BV153" s="385"/>
    </row>
    <row r="154" spans="1:74" ht="12.75" customHeight="1" x14ac:dyDescent="0.2">
      <c r="A154" s="385"/>
      <c r="B154" s="385"/>
      <c r="C154" s="385"/>
      <c r="D154" s="385"/>
      <c r="E154" s="385"/>
      <c r="F154" s="385"/>
      <c r="G154" s="385"/>
      <c r="H154" s="385"/>
      <c r="I154" s="437"/>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5"/>
      <c r="AK154" s="385"/>
      <c r="AL154" s="385"/>
      <c r="AM154" s="385"/>
      <c r="AN154" s="385"/>
      <c r="AO154" s="385"/>
      <c r="AP154" s="385"/>
      <c r="AQ154" s="385"/>
      <c r="AR154" s="385"/>
      <c r="AS154" s="385"/>
      <c r="AT154" s="385"/>
      <c r="AU154" s="385"/>
      <c r="AV154" s="385"/>
      <c r="AW154" s="385"/>
      <c r="AX154" s="385"/>
      <c r="AY154" s="385"/>
      <c r="AZ154" s="385"/>
      <c r="BA154" s="385"/>
      <c r="BB154" s="385"/>
      <c r="BC154" s="385"/>
      <c r="BD154" s="385"/>
      <c r="BE154" s="385"/>
      <c r="BF154" s="385"/>
      <c r="BG154" s="385"/>
      <c r="BH154" s="385"/>
      <c r="BI154" s="385"/>
      <c r="BJ154" s="385"/>
      <c r="BK154" s="385"/>
      <c r="BL154" s="385"/>
      <c r="BM154" s="385"/>
      <c r="BN154" s="385"/>
      <c r="BO154" s="385"/>
      <c r="BP154" s="385"/>
      <c r="BQ154" s="385"/>
      <c r="BR154" s="385"/>
      <c r="BS154" s="385"/>
      <c r="BT154" s="385"/>
      <c r="BU154" s="385"/>
      <c r="BV154" s="385"/>
    </row>
    <row r="155" spans="1:74" ht="12.75" customHeight="1" x14ac:dyDescent="0.2">
      <c r="A155" s="385"/>
      <c r="B155" s="385"/>
      <c r="C155" s="385"/>
      <c r="D155" s="385"/>
      <c r="E155" s="385"/>
      <c r="F155" s="385"/>
      <c r="G155" s="385"/>
      <c r="H155" s="385"/>
      <c r="I155" s="437"/>
      <c r="J155" s="385"/>
      <c r="K155" s="385"/>
      <c r="L155" s="385"/>
      <c r="M155" s="385"/>
      <c r="N155" s="385"/>
      <c r="O155" s="385"/>
      <c r="P155" s="385"/>
      <c r="Q155" s="385"/>
      <c r="R155" s="385"/>
      <c r="S155" s="385"/>
      <c r="T155" s="385"/>
      <c r="U155" s="385"/>
      <c r="V155" s="385"/>
      <c r="W155" s="385"/>
      <c r="X155" s="385"/>
      <c r="Y155" s="385"/>
      <c r="Z155" s="385"/>
      <c r="AA155" s="385"/>
      <c r="AB155" s="385"/>
      <c r="AC155" s="385"/>
      <c r="AD155" s="385"/>
      <c r="AE155" s="385"/>
      <c r="AF155" s="385"/>
      <c r="AG155" s="385"/>
      <c r="AH155" s="385"/>
      <c r="AI155" s="385"/>
      <c r="AJ155" s="385"/>
      <c r="AK155" s="385"/>
      <c r="AL155" s="385"/>
      <c r="AM155" s="385"/>
      <c r="AN155" s="385"/>
      <c r="AO155" s="385"/>
      <c r="AP155" s="385"/>
      <c r="AQ155" s="385"/>
      <c r="AR155" s="385"/>
      <c r="AS155" s="385"/>
      <c r="AT155" s="385"/>
      <c r="AU155" s="385"/>
      <c r="AV155" s="385"/>
      <c r="AW155" s="385"/>
      <c r="AX155" s="385"/>
      <c r="AY155" s="385"/>
      <c r="AZ155" s="385"/>
      <c r="BA155" s="385"/>
      <c r="BB155" s="385"/>
      <c r="BC155" s="385"/>
      <c r="BD155" s="385"/>
      <c r="BE155" s="385"/>
      <c r="BF155" s="385"/>
      <c r="BG155" s="385"/>
      <c r="BH155" s="385"/>
      <c r="BI155" s="385"/>
      <c r="BJ155" s="385"/>
      <c r="BK155" s="385"/>
      <c r="BL155" s="385"/>
      <c r="BM155" s="385"/>
      <c r="BN155" s="385"/>
      <c r="BO155" s="385"/>
      <c r="BP155" s="385"/>
      <c r="BQ155" s="385" t="str">
        <f>IF(OR(IFERROR(VLOOKUP(CA155,[1]ARS!A:EL,MATCH("Price To Earnings",[1]ARS!$4:$4,0),FALSE),"-")&lt;0,IFERROR(VLOOKUP(CA155,[1]ARS!A:EL,MATCH("Price To Earnings",[1]ARS!$4:$4,0),FALSE),"-")&gt;500),"-",IFERROR(VLOOKUP(CA155,[1]ARS!A:EL,MATCH("Price To Earnings",[1]ARS!$4:$4,0),FALSE),"-"))</f>
        <v>-</v>
      </c>
      <c r="BR155" s="385"/>
      <c r="BS155" s="385"/>
      <c r="BT155" s="385"/>
      <c r="BU155" s="385"/>
      <c r="BV155" s="385"/>
    </row>
    <row r="156" spans="1:74" ht="12.75" customHeight="1" x14ac:dyDescent="0.2">
      <c r="A156" s="385"/>
      <c r="B156" s="385"/>
      <c r="C156" s="385"/>
      <c r="D156" s="385"/>
      <c r="E156" s="385"/>
      <c r="F156" s="385"/>
      <c r="G156" s="385"/>
      <c r="H156" s="385"/>
      <c r="I156" s="437"/>
      <c r="J156" s="385"/>
      <c r="K156" s="385"/>
      <c r="L156" s="385"/>
      <c r="M156" s="385"/>
      <c r="N156" s="385"/>
      <c r="O156" s="385"/>
      <c r="P156" s="385"/>
      <c r="Q156" s="385"/>
      <c r="R156" s="385"/>
      <c r="S156" s="385"/>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c r="BG156" s="385"/>
      <c r="BH156" s="385"/>
      <c r="BI156" s="385"/>
      <c r="BJ156" s="385"/>
      <c r="BK156" s="385"/>
      <c r="BL156" s="385"/>
      <c r="BM156" s="385"/>
      <c r="BN156" s="385"/>
      <c r="BO156" s="385"/>
      <c r="BP156" s="385"/>
      <c r="BQ156" s="385" t="str">
        <f>IF(OR(IFERROR(VLOOKUP(CA156,[1]ARS!A:EL,MATCH("Price To Earnings",[1]ARS!$4:$4,0),FALSE),"-")&lt;0,IFERROR(VLOOKUP(CA156,[1]ARS!A:EL,MATCH("Price To Earnings",[1]ARS!$4:$4,0),FALSE),"-")&gt;500),"-",IFERROR(VLOOKUP(CA156,[1]ARS!A:EL,MATCH("Price To Earnings",[1]ARS!$4:$4,0),FALSE),"-"))</f>
        <v>-</v>
      </c>
      <c r="BR156" s="385"/>
      <c r="BS156" s="385"/>
      <c r="BT156" s="385"/>
      <c r="BU156" s="385"/>
      <c r="BV156" s="385"/>
    </row>
    <row r="157" spans="1:74" ht="12.75" customHeight="1" x14ac:dyDescent="0.2">
      <c r="A157" s="385"/>
      <c r="B157" s="385"/>
      <c r="C157" s="385"/>
      <c r="D157" s="385"/>
      <c r="E157" s="385"/>
      <c r="F157" s="385"/>
      <c r="G157" s="385"/>
      <c r="H157" s="385"/>
      <c r="I157" s="437"/>
      <c r="J157" s="385"/>
      <c r="K157" s="385"/>
      <c r="L157" s="385"/>
      <c r="M157" s="385"/>
      <c r="N157" s="385"/>
      <c r="O157" s="385"/>
      <c r="P157" s="385"/>
      <c r="Q157" s="385"/>
      <c r="R157" s="385"/>
      <c r="S157" s="385"/>
      <c r="T157" s="385"/>
      <c r="U157" s="385"/>
      <c r="V157" s="385"/>
      <c r="W157" s="385"/>
      <c r="X157" s="385"/>
      <c r="Y157" s="385"/>
      <c r="Z157" s="385"/>
      <c r="AA157" s="385"/>
      <c r="AB157" s="385"/>
      <c r="AC157" s="385"/>
      <c r="AD157" s="385"/>
      <c r="AE157" s="385"/>
      <c r="AF157" s="385"/>
      <c r="AG157" s="385"/>
      <c r="AH157" s="385"/>
      <c r="AI157" s="385"/>
      <c r="AJ157" s="385"/>
      <c r="AK157" s="385"/>
      <c r="AL157" s="385"/>
      <c r="AM157" s="385"/>
      <c r="AN157" s="385"/>
      <c r="AO157" s="385"/>
      <c r="AP157" s="385"/>
      <c r="AQ157" s="385"/>
      <c r="AR157" s="385"/>
      <c r="AS157" s="385"/>
      <c r="AT157" s="385"/>
      <c r="AU157" s="385"/>
      <c r="AV157" s="385"/>
      <c r="AW157" s="385"/>
      <c r="AX157" s="385"/>
      <c r="AY157" s="385"/>
      <c r="AZ157" s="385"/>
      <c r="BA157" s="385"/>
      <c r="BB157" s="385"/>
      <c r="BC157" s="385"/>
      <c r="BD157" s="385"/>
      <c r="BE157" s="385"/>
      <c r="BF157" s="385"/>
      <c r="BG157" s="385"/>
      <c r="BH157" s="385"/>
      <c r="BI157" s="385"/>
      <c r="BJ157" s="385"/>
      <c r="BK157" s="385"/>
      <c r="BL157" s="385"/>
      <c r="BM157" s="385"/>
      <c r="BN157" s="385"/>
      <c r="BO157" s="385"/>
      <c r="BP157" s="385"/>
      <c r="BQ157" s="385"/>
      <c r="BR157" s="385"/>
      <c r="BS157" s="385"/>
      <c r="BT157" s="385"/>
      <c r="BU157" s="385"/>
      <c r="BV157" s="385"/>
    </row>
    <row r="158" spans="1:74" ht="12.75" customHeight="1" x14ac:dyDescent="0.2">
      <c r="A158" s="385"/>
      <c r="B158" s="385"/>
      <c r="C158" s="385"/>
      <c r="D158" s="385"/>
      <c r="E158" s="385"/>
      <c r="F158" s="385"/>
      <c r="G158" s="385"/>
      <c r="H158" s="385"/>
      <c r="I158" s="437"/>
      <c r="J158" s="385"/>
      <c r="K158" s="385"/>
      <c r="L158" s="385"/>
      <c r="M158" s="385"/>
      <c r="N158" s="385"/>
      <c r="O158" s="385"/>
      <c r="P158" s="385"/>
      <c r="Q158" s="385"/>
      <c r="R158" s="385"/>
      <c r="S158" s="385"/>
      <c r="T158" s="385"/>
      <c r="U158" s="385"/>
      <c r="V158" s="385"/>
      <c r="W158" s="385"/>
      <c r="X158" s="385"/>
      <c r="Y158" s="385"/>
      <c r="Z158" s="385"/>
      <c r="AA158" s="385"/>
      <c r="AB158" s="385"/>
      <c r="AC158" s="385"/>
      <c r="AD158" s="385"/>
      <c r="AE158" s="385"/>
      <c r="AF158" s="385"/>
      <c r="AG158" s="385"/>
      <c r="AH158" s="385"/>
      <c r="AI158" s="385"/>
      <c r="AJ158" s="385"/>
      <c r="AK158" s="385"/>
      <c r="AL158" s="385"/>
      <c r="AM158" s="385"/>
      <c r="AN158" s="385"/>
      <c r="AO158" s="385"/>
      <c r="AP158" s="385"/>
      <c r="AQ158" s="385"/>
      <c r="AR158" s="385"/>
      <c r="AS158" s="385"/>
      <c r="AT158" s="385"/>
      <c r="AU158" s="385"/>
      <c r="AV158" s="385"/>
      <c r="AW158" s="385"/>
      <c r="AX158" s="385"/>
      <c r="AY158" s="385"/>
      <c r="AZ158" s="385"/>
      <c r="BA158" s="385"/>
      <c r="BB158" s="385"/>
      <c r="BC158" s="385"/>
      <c r="BD158" s="385"/>
      <c r="BE158" s="385"/>
      <c r="BF158" s="385"/>
      <c r="BG158" s="385"/>
      <c r="BH158" s="385"/>
      <c r="BI158" s="385"/>
      <c r="BJ158" s="385"/>
      <c r="BK158" s="385"/>
      <c r="BL158" s="385"/>
      <c r="BM158" s="385"/>
      <c r="BN158" s="385"/>
      <c r="BO158" s="385"/>
      <c r="BP158" s="385"/>
      <c r="BQ158" s="385"/>
      <c r="BR158" s="385"/>
      <c r="BS158" s="385"/>
      <c r="BT158" s="385"/>
      <c r="BU158" s="385"/>
      <c r="BV158" s="385"/>
    </row>
    <row r="159" spans="1:74" ht="12.75" customHeight="1" x14ac:dyDescent="0.2">
      <c r="A159" s="385"/>
      <c r="B159" s="385"/>
      <c r="C159" s="385"/>
      <c r="D159" s="385"/>
      <c r="E159" s="385"/>
      <c r="F159" s="385"/>
      <c r="G159" s="385"/>
      <c r="H159" s="385"/>
      <c r="I159" s="437"/>
      <c r="J159" s="385"/>
      <c r="K159" s="385"/>
      <c r="L159" s="385"/>
      <c r="M159" s="385"/>
      <c r="N159" s="385"/>
      <c r="O159" s="385"/>
      <c r="P159" s="385"/>
      <c r="Q159" s="385"/>
      <c r="R159" s="385"/>
      <c r="S159" s="385"/>
      <c r="T159" s="385"/>
      <c r="U159" s="385"/>
      <c r="V159" s="385"/>
      <c r="W159" s="385"/>
      <c r="X159" s="385"/>
      <c r="Y159" s="385"/>
      <c r="Z159" s="385"/>
      <c r="AA159" s="385"/>
      <c r="AB159" s="385"/>
      <c r="AC159" s="385"/>
      <c r="AD159" s="385"/>
      <c r="AE159" s="385"/>
      <c r="AF159" s="385"/>
      <c r="AG159" s="385"/>
      <c r="AH159" s="385"/>
      <c r="AI159" s="385"/>
      <c r="AJ159" s="385"/>
      <c r="AK159" s="385"/>
      <c r="AL159" s="385"/>
      <c r="AM159" s="385"/>
      <c r="AN159" s="385"/>
      <c r="AO159" s="385"/>
      <c r="AP159" s="385"/>
      <c r="AQ159" s="385"/>
      <c r="AR159" s="385"/>
      <c r="AS159" s="385"/>
      <c r="AT159" s="385"/>
      <c r="AU159" s="385"/>
      <c r="AV159" s="385"/>
      <c r="AW159" s="385"/>
      <c r="AX159" s="385"/>
      <c r="AY159" s="385"/>
      <c r="AZ159" s="385"/>
      <c r="BA159" s="385"/>
      <c r="BB159" s="385"/>
      <c r="BC159" s="385"/>
      <c r="BD159" s="385"/>
      <c r="BE159" s="385"/>
      <c r="BF159" s="385"/>
      <c r="BG159" s="385"/>
      <c r="BH159" s="385"/>
      <c r="BI159" s="385"/>
      <c r="BJ159" s="385"/>
      <c r="BK159" s="385"/>
      <c r="BL159" s="385"/>
      <c r="BM159" s="385"/>
      <c r="BN159" s="385"/>
      <c r="BO159" s="385"/>
      <c r="BP159" s="385"/>
      <c r="BQ159" s="385"/>
      <c r="BR159" s="385"/>
      <c r="BS159" s="385"/>
      <c r="BT159" s="385"/>
      <c r="BU159" s="385"/>
      <c r="BV159" s="385"/>
    </row>
    <row r="160" spans="1:74" ht="12.75" customHeight="1" x14ac:dyDescent="0.2">
      <c r="A160" s="385"/>
      <c r="B160" s="385"/>
      <c r="C160" s="385"/>
      <c r="D160" s="385"/>
      <c r="E160" s="385"/>
      <c r="F160" s="385"/>
      <c r="G160" s="385"/>
      <c r="H160" s="385"/>
      <c r="I160" s="437"/>
      <c r="J160" s="385"/>
      <c r="K160" s="385"/>
      <c r="L160" s="385"/>
      <c r="M160" s="385"/>
      <c r="N160" s="385"/>
      <c r="O160" s="385"/>
      <c r="P160" s="385"/>
      <c r="Q160" s="385"/>
      <c r="R160" s="385"/>
      <c r="S160" s="385"/>
      <c r="T160" s="385"/>
      <c r="U160" s="385"/>
      <c r="V160" s="385"/>
      <c r="W160" s="385"/>
      <c r="X160" s="385"/>
      <c r="Y160" s="385"/>
      <c r="Z160" s="385"/>
      <c r="AA160" s="385"/>
      <c r="AB160" s="385"/>
      <c r="AC160" s="385"/>
      <c r="AD160" s="385"/>
      <c r="AE160" s="385"/>
      <c r="AF160" s="385"/>
      <c r="AG160" s="385"/>
      <c r="AH160" s="385"/>
      <c r="AI160" s="385"/>
      <c r="AJ160" s="385"/>
      <c r="AK160" s="385"/>
      <c r="AL160" s="385"/>
      <c r="AM160" s="385"/>
      <c r="AN160" s="385"/>
      <c r="AO160" s="385"/>
      <c r="AP160" s="385"/>
      <c r="AQ160" s="385"/>
      <c r="AR160" s="385"/>
      <c r="AS160" s="385"/>
      <c r="AT160" s="385"/>
      <c r="AU160" s="385"/>
      <c r="AV160" s="385"/>
      <c r="AW160" s="385"/>
      <c r="AX160" s="385"/>
      <c r="AY160" s="385"/>
      <c r="AZ160" s="385"/>
      <c r="BA160" s="385"/>
      <c r="BB160" s="385"/>
      <c r="BC160" s="385"/>
      <c r="BD160" s="385"/>
      <c r="BE160" s="385"/>
      <c r="BF160" s="385"/>
      <c r="BG160" s="385"/>
      <c r="BH160" s="385"/>
      <c r="BI160" s="385"/>
      <c r="BJ160" s="385"/>
      <c r="BK160" s="385"/>
      <c r="BL160" s="385"/>
      <c r="BM160" s="385"/>
      <c r="BN160" s="385"/>
      <c r="BO160" s="385"/>
      <c r="BP160" s="385"/>
      <c r="BQ160" s="385"/>
      <c r="BR160" s="385"/>
      <c r="BS160" s="385"/>
      <c r="BT160" s="385"/>
      <c r="BU160" s="385"/>
      <c r="BV160" s="385"/>
    </row>
    <row r="161" spans="1:74" ht="12.75" customHeight="1" x14ac:dyDescent="0.2">
      <c r="A161" s="385"/>
      <c r="B161" s="385"/>
      <c r="C161" s="385"/>
      <c r="D161" s="385"/>
      <c r="E161" s="385"/>
      <c r="F161" s="385"/>
      <c r="G161" s="385"/>
      <c r="H161" s="385"/>
      <c r="I161" s="437"/>
      <c r="J161" s="385"/>
      <c r="K161" s="385"/>
      <c r="L161" s="385"/>
      <c r="M161" s="385"/>
      <c r="N161" s="385"/>
      <c r="O161" s="385"/>
      <c r="P161" s="385"/>
      <c r="Q161" s="385"/>
      <c r="R161" s="385"/>
      <c r="S161" s="385"/>
      <c r="T161" s="385"/>
      <c r="U161" s="385"/>
      <c r="V161" s="385"/>
      <c r="W161" s="385"/>
      <c r="X161" s="385"/>
      <c r="Y161" s="385"/>
      <c r="Z161" s="385"/>
      <c r="AA161" s="385"/>
      <c r="AB161" s="385"/>
      <c r="AC161" s="385"/>
      <c r="AD161" s="385"/>
      <c r="AE161" s="385"/>
      <c r="AF161" s="385"/>
      <c r="AG161" s="385"/>
      <c r="AH161" s="385"/>
      <c r="AI161" s="385"/>
      <c r="AJ161" s="385"/>
      <c r="AK161" s="385"/>
      <c r="AL161" s="385"/>
      <c r="AM161" s="385"/>
      <c r="AN161" s="385"/>
      <c r="AO161" s="385"/>
      <c r="AP161" s="385"/>
      <c r="AQ161" s="385"/>
      <c r="AR161" s="385"/>
      <c r="AS161" s="385"/>
      <c r="AT161" s="385"/>
      <c r="AU161" s="385"/>
      <c r="AV161" s="385"/>
      <c r="AW161" s="385"/>
      <c r="AX161" s="385"/>
      <c r="AY161" s="385"/>
      <c r="AZ161" s="385"/>
      <c r="BA161" s="385"/>
      <c r="BB161" s="385"/>
      <c r="BC161" s="385"/>
      <c r="BD161" s="385"/>
      <c r="BE161" s="385"/>
      <c r="BF161" s="385"/>
      <c r="BG161" s="385"/>
      <c r="BH161" s="385"/>
      <c r="BI161" s="385"/>
      <c r="BJ161" s="385"/>
      <c r="BK161" s="385"/>
      <c r="BL161" s="385"/>
      <c r="BM161" s="385"/>
      <c r="BN161" s="385"/>
      <c r="BO161" s="385"/>
      <c r="BP161" s="385"/>
      <c r="BQ161" s="385"/>
      <c r="BR161" s="385"/>
      <c r="BS161" s="385"/>
      <c r="BT161" s="385"/>
      <c r="BU161" s="385"/>
      <c r="BV161" s="385"/>
    </row>
    <row r="162" spans="1:74" ht="12.75" customHeight="1" x14ac:dyDescent="0.2">
      <c r="A162" s="385"/>
      <c r="B162" s="385"/>
      <c r="C162" s="385"/>
      <c r="D162" s="385"/>
      <c r="E162" s="385"/>
      <c r="F162" s="385"/>
      <c r="G162" s="385"/>
      <c r="H162" s="385"/>
      <c r="I162" s="437"/>
      <c r="J162" s="385"/>
      <c r="K162" s="385"/>
      <c r="L162" s="385"/>
      <c r="M162" s="385"/>
      <c r="N162" s="385"/>
      <c r="O162" s="385"/>
      <c r="P162" s="385"/>
      <c r="Q162" s="385"/>
      <c r="R162" s="385"/>
      <c r="S162" s="385"/>
      <c r="T162" s="385"/>
      <c r="U162" s="385"/>
      <c r="V162" s="385"/>
      <c r="W162" s="385"/>
      <c r="X162" s="385"/>
      <c r="Y162" s="385"/>
      <c r="Z162" s="385"/>
      <c r="AA162" s="385"/>
      <c r="AB162" s="385"/>
      <c r="AC162" s="385"/>
      <c r="AD162" s="385"/>
      <c r="AE162" s="385"/>
      <c r="AF162" s="385"/>
      <c r="AG162" s="385"/>
      <c r="AH162" s="385"/>
      <c r="AI162" s="385"/>
      <c r="AJ162" s="385"/>
      <c r="AK162" s="385"/>
      <c r="AL162" s="385"/>
      <c r="AM162" s="385"/>
      <c r="AN162" s="385"/>
      <c r="AO162" s="385"/>
      <c r="AP162" s="385"/>
      <c r="AQ162" s="385"/>
      <c r="AR162" s="385"/>
      <c r="AS162" s="385"/>
      <c r="AT162" s="385"/>
      <c r="AU162" s="385"/>
      <c r="AV162" s="385"/>
      <c r="AW162" s="385"/>
      <c r="AX162" s="385"/>
      <c r="AY162" s="385"/>
      <c r="AZ162" s="385"/>
      <c r="BA162" s="385"/>
      <c r="BB162" s="385"/>
      <c r="BC162" s="385"/>
      <c r="BD162" s="385"/>
      <c r="BE162" s="385"/>
      <c r="BF162" s="385"/>
      <c r="BG162" s="385"/>
      <c r="BH162" s="385"/>
      <c r="BI162" s="385"/>
      <c r="BJ162" s="385"/>
      <c r="BK162" s="385"/>
      <c r="BL162" s="385"/>
      <c r="BM162" s="385"/>
      <c r="BN162" s="385"/>
      <c r="BO162" s="385"/>
      <c r="BP162" s="385"/>
      <c r="BQ162" s="385"/>
      <c r="BR162" s="385"/>
      <c r="BS162" s="385"/>
      <c r="BT162" s="385"/>
      <c r="BU162" s="385"/>
      <c r="BV162" s="385"/>
    </row>
    <row r="163" spans="1:74" ht="12.75" customHeight="1" x14ac:dyDescent="0.2">
      <c r="A163" s="385"/>
      <c r="B163" s="385"/>
      <c r="C163" s="385"/>
      <c r="D163" s="385"/>
      <c r="E163" s="385"/>
      <c r="F163" s="385"/>
      <c r="G163" s="385"/>
      <c r="H163" s="385"/>
      <c r="I163" s="437"/>
      <c r="J163" s="385"/>
      <c r="K163" s="385"/>
      <c r="L163" s="385"/>
      <c r="M163" s="385"/>
      <c r="N163" s="385"/>
      <c r="O163" s="385"/>
      <c r="P163" s="385"/>
      <c r="Q163" s="385"/>
      <c r="R163" s="385"/>
      <c r="S163" s="385"/>
      <c r="T163" s="385"/>
      <c r="U163" s="385"/>
      <c r="V163" s="385"/>
      <c r="W163" s="385"/>
      <c r="X163" s="385"/>
      <c r="Y163" s="385"/>
      <c r="Z163" s="385"/>
      <c r="AA163" s="385"/>
      <c r="AB163" s="385"/>
      <c r="AC163" s="385"/>
      <c r="AD163" s="385"/>
      <c r="AE163" s="385"/>
      <c r="AF163" s="385"/>
      <c r="AG163" s="385"/>
      <c r="AH163" s="385"/>
      <c r="AI163" s="385"/>
      <c r="AJ163" s="385"/>
      <c r="AK163" s="385"/>
      <c r="AL163" s="385"/>
      <c r="AM163" s="385"/>
      <c r="AN163" s="385"/>
      <c r="AO163" s="385"/>
      <c r="AP163" s="385"/>
      <c r="AQ163" s="385"/>
      <c r="AR163" s="385"/>
      <c r="AS163" s="385"/>
      <c r="AT163" s="385"/>
      <c r="AU163" s="385"/>
      <c r="AV163" s="385"/>
      <c r="AW163" s="385"/>
      <c r="AX163" s="385"/>
      <c r="AY163" s="385"/>
      <c r="AZ163" s="385"/>
      <c r="BA163" s="385"/>
      <c r="BB163" s="385"/>
      <c r="BC163" s="385"/>
      <c r="BD163" s="385"/>
      <c r="BE163" s="385"/>
      <c r="BF163" s="385"/>
      <c r="BG163" s="385"/>
      <c r="BH163" s="385"/>
      <c r="BI163" s="385"/>
      <c r="BJ163" s="385"/>
      <c r="BK163" s="385"/>
      <c r="BL163" s="385"/>
      <c r="BM163" s="385"/>
      <c r="BN163" s="385"/>
      <c r="BO163" s="385"/>
      <c r="BP163" s="385"/>
      <c r="BQ163" s="385"/>
      <c r="BR163" s="385"/>
      <c r="BS163" s="385"/>
      <c r="BT163" s="385"/>
      <c r="BU163" s="385"/>
      <c r="BV163" s="385"/>
    </row>
    <row r="164" spans="1:74" ht="12.75" customHeight="1" x14ac:dyDescent="0.2">
      <c r="A164" s="385"/>
      <c r="B164" s="385"/>
      <c r="C164" s="385"/>
      <c r="D164" s="385"/>
      <c r="E164" s="385"/>
      <c r="F164" s="385"/>
      <c r="G164" s="385"/>
      <c r="H164" s="385"/>
      <c r="I164" s="437"/>
      <c r="J164" s="385"/>
      <c r="K164" s="385"/>
      <c r="L164" s="385"/>
      <c r="M164" s="385"/>
      <c r="N164" s="385"/>
      <c r="O164" s="385"/>
      <c r="P164" s="385"/>
      <c r="Q164" s="385"/>
      <c r="R164" s="385"/>
      <c r="S164" s="385"/>
      <c r="T164" s="385"/>
      <c r="U164" s="385"/>
      <c r="V164" s="385"/>
      <c r="W164" s="385"/>
      <c r="X164" s="385"/>
      <c r="Y164" s="385"/>
      <c r="Z164" s="385"/>
      <c r="AA164" s="385"/>
      <c r="AB164" s="385"/>
      <c r="AC164" s="385"/>
      <c r="AD164" s="385"/>
      <c r="AE164" s="385"/>
      <c r="AF164" s="385"/>
      <c r="AG164" s="385"/>
      <c r="AH164" s="385"/>
      <c r="AI164" s="385"/>
      <c r="AJ164" s="385"/>
      <c r="AK164" s="385"/>
      <c r="AL164" s="385"/>
      <c r="AM164" s="385"/>
      <c r="AN164" s="385"/>
      <c r="AO164" s="385"/>
      <c r="AP164" s="385"/>
      <c r="AQ164" s="385"/>
      <c r="AR164" s="385"/>
      <c r="AS164" s="385"/>
      <c r="AT164" s="385"/>
      <c r="AU164" s="385"/>
      <c r="AV164" s="385"/>
      <c r="AW164" s="385"/>
      <c r="AX164" s="385"/>
      <c r="AY164" s="385"/>
      <c r="AZ164" s="385"/>
      <c r="BA164" s="385"/>
      <c r="BB164" s="385"/>
      <c r="BC164" s="385"/>
      <c r="BD164" s="385"/>
      <c r="BE164" s="385"/>
      <c r="BF164" s="385"/>
      <c r="BG164" s="385"/>
      <c r="BH164" s="385"/>
      <c r="BI164" s="385"/>
      <c r="BJ164" s="385"/>
      <c r="BK164" s="385"/>
      <c r="BL164" s="385"/>
      <c r="BM164" s="385"/>
      <c r="BN164" s="385"/>
      <c r="BO164" s="385"/>
      <c r="BP164" s="385"/>
      <c r="BQ164" s="385"/>
      <c r="BR164" s="385"/>
      <c r="BS164" s="385"/>
      <c r="BT164" s="385"/>
      <c r="BU164" s="385"/>
      <c r="BV164" s="385"/>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BJ15" sqref="BJ15:BL15"/>
    </sheetView>
  </sheetViews>
  <sheetFormatPr baseColWidth="10" defaultRowHeight="12.75" customHeight="1" x14ac:dyDescent="0.2"/>
  <cols>
    <col min="1" max="4" width="3.28515625" style="442" customWidth="1"/>
    <col min="5" max="5" width="4.42578125" style="442" customWidth="1"/>
    <col min="6" max="7" width="3.28515625" style="442" customWidth="1"/>
    <col min="8" max="8" width="2.28515625" style="442" customWidth="1"/>
    <col min="9" max="10" width="3.28515625" style="442" customWidth="1"/>
    <col min="11" max="11" width="5.85546875" style="442" customWidth="1"/>
    <col min="12" max="13" width="3.28515625" style="442" customWidth="1"/>
    <col min="14" max="14" width="1.28515625" style="442" customWidth="1"/>
    <col min="15" max="25" width="3.28515625" style="442" customWidth="1"/>
    <col min="26" max="26" width="3.42578125" style="442" customWidth="1"/>
    <col min="27" max="31" width="3.28515625" style="442" customWidth="1"/>
    <col min="32" max="32" width="2.140625" style="442" customWidth="1"/>
    <col min="33" max="34" width="3.28515625" style="442" customWidth="1"/>
    <col min="35" max="35" width="3" style="442" customWidth="1"/>
    <col min="36" max="36" width="3.28515625" style="376" customWidth="1"/>
    <col min="37" max="40" width="3.28515625" style="442" customWidth="1"/>
    <col min="41" max="41" width="4" style="442" customWidth="1"/>
    <col min="42" max="43" width="3.28515625" style="442" customWidth="1"/>
    <col min="44" max="44" width="3.42578125" style="442" customWidth="1"/>
    <col min="45" max="45" width="8.140625" style="442" customWidth="1"/>
    <col min="46" max="46" width="8.28515625" style="442" customWidth="1"/>
    <col min="47" max="47" width="6.140625" style="442" customWidth="1"/>
    <col min="48" max="48" width="11.42578125" style="442"/>
    <col min="49" max="49" width="5.140625" style="442" customWidth="1"/>
    <col min="50" max="51" width="11.42578125" style="442"/>
    <col min="52" max="52" width="3.140625" style="442" customWidth="1"/>
    <col min="53" max="53" width="11.42578125" style="442" customWidth="1"/>
    <col min="54" max="54" width="11.42578125" style="442"/>
    <col min="55" max="55" width="2.42578125" style="442" customWidth="1"/>
    <col min="56" max="63" width="11.42578125" style="442"/>
    <col min="64" max="64" width="2.42578125" style="442" customWidth="1"/>
    <col min="65" max="66" width="11.42578125" style="442"/>
    <col min="67" max="67" width="6" style="442" customWidth="1"/>
    <col min="68" max="70" width="11.42578125" style="442"/>
    <col min="71" max="71" width="5.28515625" style="442" customWidth="1"/>
    <col min="72" max="72" width="11.42578125" style="442"/>
    <col min="73" max="73" width="6.140625" style="442" customWidth="1"/>
    <col min="74" max="74" width="9.5703125" style="442" customWidth="1"/>
    <col min="75" max="271" width="11.42578125" style="442"/>
    <col min="272" max="272" width="14.5703125" style="442" customWidth="1"/>
    <col min="273" max="273" width="12.7109375" style="442" customWidth="1"/>
    <col min="274" max="274" width="1.5703125" style="442" customWidth="1"/>
    <col min="275" max="275" width="18.28515625" style="442" customWidth="1"/>
    <col min="276" max="276" width="11" style="442" customWidth="1"/>
    <col min="277" max="277" width="13.28515625" style="442" bestFit="1" customWidth="1"/>
    <col min="278" max="278" width="18" style="442" customWidth="1"/>
    <col min="279" max="279" width="11.42578125" style="442"/>
    <col min="280" max="280" width="11.140625" style="442" customWidth="1"/>
    <col min="281" max="281" width="11.42578125" style="442"/>
    <col min="282" max="282" width="17.42578125" style="442" customWidth="1"/>
    <col min="283" max="527" width="11.42578125" style="442"/>
    <col min="528" max="528" width="14.5703125" style="442" customWidth="1"/>
    <col min="529" max="529" width="12.7109375" style="442" customWidth="1"/>
    <col min="530" max="530" width="1.5703125" style="442" customWidth="1"/>
    <col min="531" max="531" width="18.28515625" style="442" customWidth="1"/>
    <col min="532" max="532" width="11" style="442" customWidth="1"/>
    <col min="533" max="533" width="13.28515625" style="442" bestFit="1" customWidth="1"/>
    <col min="534" max="534" width="18" style="442" customWidth="1"/>
    <col min="535" max="535" width="11.42578125" style="442"/>
    <col min="536" max="536" width="11.140625" style="442" customWidth="1"/>
    <col min="537" max="537" width="11.42578125" style="442"/>
    <col min="538" max="538" width="17.42578125" style="442" customWidth="1"/>
    <col min="539" max="783" width="11.42578125" style="442"/>
    <col min="784" max="784" width="14.5703125" style="442" customWidth="1"/>
    <col min="785" max="785" width="12.7109375" style="442" customWidth="1"/>
    <col min="786" max="786" width="1.5703125" style="442" customWidth="1"/>
    <col min="787" max="787" width="18.28515625" style="442" customWidth="1"/>
    <col min="788" max="788" width="11" style="442" customWidth="1"/>
    <col min="789" max="789" width="13.28515625" style="442" bestFit="1" customWidth="1"/>
    <col min="790" max="790" width="18" style="442" customWidth="1"/>
    <col min="791" max="791" width="11.42578125" style="442"/>
    <col min="792" max="792" width="11.140625" style="442" customWidth="1"/>
    <col min="793" max="793" width="11.42578125" style="442"/>
    <col min="794" max="794" width="17.42578125" style="442" customWidth="1"/>
    <col min="795" max="1039" width="11.42578125" style="442"/>
    <col min="1040" max="1040" width="14.5703125" style="442" customWidth="1"/>
    <col min="1041" max="1041" width="12.7109375" style="442" customWidth="1"/>
    <col min="1042" max="1042" width="1.5703125" style="442" customWidth="1"/>
    <col min="1043" max="1043" width="18.28515625" style="442" customWidth="1"/>
    <col min="1044" max="1044" width="11" style="442" customWidth="1"/>
    <col min="1045" max="1045" width="13.28515625" style="442" bestFit="1" customWidth="1"/>
    <col min="1046" max="1046" width="18" style="442" customWidth="1"/>
    <col min="1047" max="1047" width="11.42578125" style="442"/>
    <col min="1048" max="1048" width="11.140625" style="442" customWidth="1"/>
    <col min="1049" max="1049" width="11.42578125" style="442"/>
    <col min="1050" max="1050" width="17.42578125" style="442" customWidth="1"/>
    <col min="1051" max="1295" width="11.42578125" style="442"/>
    <col min="1296" max="1296" width="14.5703125" style="442" customWidth="1"/>
    <col min="1297" max="1297" width="12.7109375" style="442" customWidth="1"/>
    <col min="1298" max="1298" width="1.5703125" style="442" customWidth="1"/>
    <col min="1299" max="1299" width="18.28515625" style="442" customWidth="1"/>
    <col min="1300" max="1300" width="11" style="442" customWidth="1"/>
    <col min="1301" max="1301" width="13.28515625" style="442" bestFit="1" customWidth="1"/>
    <col min="1302" max="1302" width="18" style="442" customWidth="1"/>
    <col min="1303" max="1303" width="11.42578125" style="442"/>
    <col min="1304" max="1304" width="11.140625" style="442" customWidth="1"/>
    <col min="1305" max="1305" width="11.42578125" style="442"/>
    <col min="1306" max="1306" width="17.42578125" style="442" customWidth="1"/>
    <col min="1307" max="1551" width="11.42578125" style="442"/>
    <col min="1552" max="1552" width="14.5703125" style="442" customWidth="1"/>
    <col min="1553" max="1553" width="12.7109375" style="442" customWidth="1"/>
    <col min="1554" max="1554" width="1.5703125" style="442" customWidth="1"/>
    <col min="1555" max="1555" width="18.28515625" style="442" customWidth="1"/>
    <col min="1556" max="1556" width="11" style="442" customWidth="1"/>
    <col min="1557" max="1557" width="13.28515625" style="442" bestFit="1" customWidth="1"/>
    <col min="1558" max="1558" width="18" style="442" customWidth="1"/>
    <col min="1559" max="1559" width="11.42578125" style="442"/>
    <col min="1560" max="1560" width="11.140625" style="442" customWidth="1"/>
    <col min="1561" max="1561" width="11.42578125" style="442"/>
    <col min="1562" max="1562" width="17.42578125" style="442" customWidth="1"/>
    <col min="1563" max="1807" width="11.42578125" style="442"/>
    <col min="1808" max="1808" width="14.5703125" style="442" customWidth="1"/>
    <col min="1809" max="1809" width="12.7109375" style="442" customWidth="1"/>
    <col min="1810" max="1810" width="1.5703125" style="442" customWidth="1"/>
    <col min="1811" max="1811" width="18.28515625" style="442" customWidth="1"/>
    <col min="1812" max="1812" width="11" style="442" customWidth="1"/>
    <col min="1813" max="1813" width="13.28515625" style="442" bestFit="1" customWidth="1"/>
    <col min="1814" max="1814" width="18" style="442" customWidth="1"/>
    <col min="1815" max="1815" width="11.42578125" style="442"/>
    <col min="1816" max="1816" width="11.140625" style="442" customWidth="1"/>
    <col min="1817" max="1817" width="11.42578125" style="442"/>
    <col min="1818" max="1818" width="17.42578125" style="442" customWidth="1"/>
    <col min="1819" max="2063" width="11.42578125" style="442"/>
    <col min="2064" max="2064" width="14.5703125" style="442" customWidth="1"/>
    <col min="2065" max="2065" width="12.7109375" style="442" customWidth="1"/>
    <col min="2066" max="2066" width="1.5703125" style="442" customWidth="1"/>
    <col min="2067" max="2067" width="18.28515625" style="442" customWidth="1"/>
    <col min="2068" max="2068" width="11" style="442" customWidth="1"/>
    <col min="2069" max="2069" width="13.28515625" style="442" bestFit="1" customWidth="1"/>
    <col min="2070" max="2070" width="18" style="442" customWidth="1"/>
    <col min="2071" max="2071" width="11.42578125" style="442"/>
    <col min="2072" max="2072" width="11.140625" style="442" customWidth="1"/>
    <col min="2073" max="2073" width="11.42578125" style="442"/>
    <col min="2074" max="2074" width="17.42578125" style="442" customWidth="1"/>
    <col min="2075" max="2319" width="11.42578125" style="442"/>
    <col min="2320" max="2320" width="14.5703125" style="442" customWidth="1"/>
    <col min="2321" max="2321" width="12.7109375" style="442" customWidth="1"/>
    <col min="2322" max="2322" width="1.5703125" style="442" customWidth="1"/>
    <col min="2323" max="2323" width="18.28515625" style="442" customWidth="1"/>
    <col min="2324" max="2324" width="11" style="442" customWidth="1"/>
    <col min="2325" max="2325" width="13.28515625" style="442" bestFit="1" customWidth="1"/>
    <col min="2326" max="2326" width="18" style="442" customWidth="1"/>
    <col min="2327" max="2327" width="11.42578125" style="442"/>
    <col min="2328" max="2328" width="11.140625" style="442" customWidth="1"/>
    <col min="2329" max="2329" width="11.42578125" style="442"/>
    <col min="2330" max="2330" width="17.42578125" style="442" customWidth="1"/>
    <col min="2331" max="2575" width="11.42578125" style="442"/>
    <col min="2576" max="2576" width="14.5703125" style="442" customWidth="1"/>
    <col min="2577" max="2577" width="12.7109375" style="442" customWidth="1"/>
    <col min="2578" max="2578" width="1.5703125" style="442" customWidth="1"/>
    <col min="2579" max="2579" width="18.28515625" style="442" customWidth="1"/>
    <col min="2580" max="2580" width="11" style="442" customWidth="1"/>
    <col min="2581" max="2581" width="13.28515625" style="442" bestFit="1" customWidth="1"/>
    <col min="2582" max="2582" width="18" style="442" customWidth="1"/>
    <col min="2583" max="2583" width="11.42578125" style="442"/>
    <col min="2584" max="2584" width="11.140625" style="442" customWidth="1"/>
    <col min="2585" max="2585" width="11.42578125" style="442"/>
    <col min="2586" max="2586" width="17.42578125" style="442" customWidth="1"/>
    <col min="2587" max="2831" width="11.42578125" style="442"/>
    <col min="2832" max="2832" width="14.5703125" style="442" customWidth="1"/>
    <col min="2833" max="2833" width="12.7109375" style="442" customWidth="1"/>
    <col min="2834" max="2834" width="1.5703125" style="442" customWidth="1"/>
    <col min="2835" max="2835" width="18.28515625" style="442" customWidth="1"/>
    <col min="2836" max="2836" width="11" style="442" customWidth="1"/>
    <col min="2837" max="2837" width="13.28515625" style="442" bestFit="1" customWidth="1"/>
    <col min="2838" max="2838" width="18" style="442" customWidth="1"/>
    <col min="2839" max="2839" width="11.42578125" style="442"/>
    <col min="2840" max="2840" width="11.140625" style="442" customWidth="1"/>
    <col min="2841" max="2841" width="11.42578125" style="442"/>
    <col min="2842" max="2842" width="17.42578125" style="442" customWidth="1"/>
    <col min="2843" max="3087" width="11.42578125" style="442"/>
    <col min="3088" max="3088" width="14.5703125" style="442" customWidth="1"/>
    <col min="3089" max="3089" width="12.7109375" style="442" customWidth="1"/>
    <col min="3090" max="3090" width="1.5703125" style="442" customWidth="1"/>
    <col min="3091" max="3091" width="18.28515625" style="442" customWidth="1"/>
    <col min="3092" max="3092" width="11" style="442" customWidth="1"/>
    <col min="3093" max="3093" width="13.28515625" style="442" bestFit="1" customWidth="1"/>
    <col min="3094" max="3094" width="18" style="442" customWidth="1"/>
    <col min="3095" max="3095" width="11.42578125" style="442"/>
    <col min="3096" max="3096" width="11.140625" style="442" customWidth="1"/>
    <col min="3097" max="3097" width="11.42578125" style="442"/>
    <col min="3098" max="3098" width="17.42578125" style="442" customWidth="1"/>
    <col min="3099" max="3343" width="11.42578125" style="442"/>
    <col min="3344" max="3344" width="14.5703125" style="442" customWidth="1"/>
    <col min="3345" max="3345" width="12.7109375" style="442" customWidth="1"/>
    <col min="3346" max="3346" width="1.5703125" style="442" customWidth="1"/>
    <col min="3347" max="3347" width="18.28515625" style="442" customWidth="1"/>
    <col min="3348" max="3348" width="11" style="442" customWidth="1"/>
    <col min="3349" max="3349" width="13.28515625" style="442" bestFit="1" customWidth="1"/>
    <col min="3350" max="3350" width="18" style="442" customWidth="1"/>
    <col min="3351" max="3351" width="11.42578125" style="442"/>
    <col min="3352" max="3352" width="11.140625" style="442" customWidth="1"/>
    <col min="3353" max="3353" width="11.42578125" style="442"/>
    <col min="3354" max="3354" width="17.42578125" style="442" customWidth="1"/>
    <col min="3355" max="3599" width="11.42578125" style="442"/>
    <col min="3600" max="3600" width="14.5703125" style="442" customWidth="1"/>
    <col min="3601" max="3601" width="12.7109375" style="442" customWidth="1"/>
    <col min="3602" max="3602" width="1.5703125" style="442" customWidth="1"/>
    <col min="3603" max="3603" width="18.28515625" style="442" customWidth="1"/>
    <col min="3604" max="3604" width="11" style="442" customWidth="1"/>
    <col min="3605" max="3605" width="13.28515625" style="442" bestFit="1" customWidth="1"/>
    <col min="3606" max="3606" width="18" style="442" customWidth="1"/>
    <col min="3607" max="3607" width="11.42578125" style="442"/>
    <col min="3608" max="3608" width="11.140625" style="442" customWidth="1"/>
    <col min="3609" max="3609" width="11.42578125" style="442"/>
    <col min="3610" max="3610" width="17.42578125" style="442" customWidth="1"/>
    <col min="3611" max="3855" width="11.42578125" style="442"/>
    <col min="3856" max="3856" width="14.5703125" style="442" customWidth="1"/>
    <col min="3857" max="3857" width="12.7109375" style="442" customWidth="1"/>
    <col min="3858" max="3858" width="1.5703125" style="442" customWidth="1"/>
    <col min="3859" max="3859" width="18.28515625" style="442" customWidth="1"/>
    <col min="3860" max="3860" width="11" style="442" customWidth="1"/>
    <col min="3861" max="3861" width="13.28515625" style="442" bestFit="1" customWidth="1"/>
    <col min="3862" max="3862" width="18" style="442" customWidth="1"/>
    <col min="3863" max="3863" width="11.42578125" style="442"/>
    <col min="3864" max="3864" width="11.140625" style="442" customWidth="1"/>
    <col min="3865" max="3865" width="11.42578125" style="442"/>
    <col min="3866" max="3866" width="17.42578125" style="442" customWidth="1"/>
    <col min="3867" max="4111" width="11.42578125" style="442"/>
    <col min="4112" max="4112" width="14.5703125" style="442" customWidth="1"/>
    <col min="4113" max="4113" width="12.7109375" style="442" customWidth="1"/>
    <col min="4114" max="4114" width="1.5703125" style="442" customWidth="1"/>
    <col min="4115" max="4115" width="18.28515625" style="442" customWidth="1"/>
    <col min="4116" max="4116" width="11" style="442" customWidth="1"/>
    <col min="4117" max="4117" width="13.28515625" style="442" bestFit="1" customWidth="1"/>
    <col min="4118" max="4118" width="18" style="442" customWidth="1"/>
    <col min="4119" max="4119" width="11.42578125" style="442"/>
    <col min="4120" max="4120" width="11.140625" style="442" customWidth="1"/>
    <col min="4121" max="4121" width="11.42578125" style="442"/>
    <col min="4122" max="4122" width="17.42578125" style="442" customWidth="1"/>
    <col min="4123" max="4367" width="11.42578125" style="442"/>
    <col min="4368" max="4368" width="14.5703125" style="442" customWidth="1"/>
    <col min="4369" max="4369" width="12.7109375" style="442" customWidth="1"/>
    <col min="4370" max="4370" width="1.5703125" style="442" customWidth="1"/>
    <col min="4371" max="4371" width="18.28515625" style="442" customWidth="1"/>
    <col min="4372" max="4372" width="11" style="442" customWidth="1"/>
    <col min="4373" max="4373" width="13.28515625" style="442" bestFit="1" customWidth="1"/>
    <col min="4374" max="4374" width="18" style="442" customWidth="1"/>
    <col min="4375" max="4375" width="11.42578125" style="442"/>
    <col min="4376" max="4376" width="11.140625" style="442" customWidth="1"/>
    <col min="4377" max="4377" width="11.42578125" style="442"/>
    <col min="4378" max="4378" width="17.42578125" style="442" customWidth="1"/>
    <col min="4379" max="4623" width="11.42578125" style="442"/>
    <col min="4624" max="4624" width="14.5703125" style="442" customWidth="1"/>
    <col min="4625" max="4625" width="12.7109375" style="442" customWidth="1"/>
    <col min="4626" max="4626" width="1.5703125" style="442" customWidth="1"/>
    <col min="4627" max="4627" width="18.28515625" style="442" customWidth="1"/>
    <col min="4628" max="4628" width="11" style="442" customWidth="1"/>
    <col min="4629" max="4629" width="13.28515625" style="442" bestFit="1" customWidth="1"/>
    <col min="4630" max="4630" width="18" style="442" customWidth="1"/>
    <col min="4631" max="4631" width="11.42578125" style="442"/>
    <col min="4632" max="4632" width="11.140625" style="442" customWidth="1"/>
    <col min="4633" max="4633" width="11.42578125" style="442"/>
    <col min="4634" max="4634" width="17.42578125" style="442" customWidth="1"/>
    <col min="4635" max="4879" width="11.42578125" style="442"/>
    <col min="4880" max="4880" width="14.5703125" style="442" customWidth="1"/>
    <col min="4881" max="4881" width="12.7109375" style="442" customWidth="1"/>
    <col min="4882" max="4882" width="1.5703125" style="442" customWidth="1"/>
    <col min="4883" max="4883" width="18.28515625" style="442" customWidth="1"/>
    <col min="4884" max="4884" width="11" style="442" customWidth="1"/>
    <col min="4885" max="4885" width="13.28515625" style="442" bestFit="1" customWidth="1"/>
    <col min="4886" max="4886" width="18" style="442" customWidth="1"/>
    <col min="4887" max="4887" width="11.42578125" style="442"/>
    <col min="4888" max="4888" width="11.140625" style="442" customWidth="1"/>
    <col min="4889" max="4889" width="11.42578125" style="442"/>
    <col min="4890" max="4890" width="17.42578125" style="442" customWidth="1"/>
    <col min="4891" max="5135" width="11.42578125" style="442"/>
    <col min="5136" max="5136" width="14.5703125" style="442" customWidth="1"/>
    <col min="5137" max="5137" width="12.7109375" style="442" customWidth="1"/>
    <col min="5138" max="5138" width="1.5703125" style="442" customWidth="1"/>
    <col min="5139" max="5139" width="18.28515625" style="442" customWidth="1"/>
    <col min="5140" max="5140" width="11" style="442" customWidth="1"/>
    <col min="5141" max="5141" width="13.28515625" style="442" bestFit="1" customWidth="1"/>
    <col min="5142" max="5142" width="18" style="442" customWidth="1"/>
    <col min="5143" max="5143" width="11.42578125" style="442"/>
    <col min="5144" max="5144" width="11.140625" style="442" customWidth="1"/>
    <col min="5145" max="5145" width="11.42578125" style="442"/>
    <col min="5146" max="5146" width="17.42578125" style="442" customWidth="1"/>
    <col min="5147" max="5391" width="11.42578125" style="442"/>
    <col min="5392" max="5392" width="14.5703125" style="442" customWidth="1"/>
    <col min="5393" max="5393" width="12.7109375" style="442" customWidth="1"/>
    <col min="5394" max="5394" width="1.5703125" style="442" customWidth="1"/>
    <col min="5395" max="5395" width="18.28515625" style="442" customWidth="1"/>
    <col min="5396" max="5396" width="11" style="442" customWidth="1"/>
    <col min="5397" max="5397" width="13.28515625" style="442" bestFit="1" customWidth="1"/>
    <col min="5398" max="5398" width="18" style="442" customWidth="1"/>
    <col min="5399" max="5399" width="11.42578125" style="442"/>
    <col min="5400" max="5400" width="11.140625" style="442" customWidth="1"/>
    <col min="5401" max="5401" width="11.42578125" style="442"/>
    <col min="5402" max="5402" width="17.42578125" style="442" customWidth="1"/>
    <col min="5403" max="5647" width="11.42578125" style="442"/>
    <col min="5648" max="5648" width="14.5703125" style="442" customWidth="1"/>
    <col min="5649" max="5649" width="12.7109375" style="442" customWidth="1"/>
    <col min="5650" max="5650" width="1.5703125" style="442" customWidth="1"/>
    <col min="5651" max="5651" width="18.28515625" style="442" customWidth="1"/>
    <col min="5652" max="5652" width="11" style="442" customWidth="1"/>
    <col min="5653" max="5653" width="13.28515625" style="442" bestFit="1" customWidth="1"/>
    <col min="5654" max="5654" width="18" style="442" customWidth="1"/>
    <col min="5655" max="5655" width="11.42578125" style="442"/>
    <col min="5656" max="5656" width="11.140625" style="442" customWidth="1"/>
    <col min="5657" max="5657" width="11.42578125" style="442"/>
    <col min="5658" max="5658" width="17.42578125" style="442" customWidth="1"/>
    <col min="5659" max="5903" width="11.42578125" style="442"/>
    <col min="5904" max="5904" width="14.5703125" style="442" customWidth="1"/>
    <col min="5905" max="5905" width="12.7109375" style="442" customWidth="1"/>
    <col min="5906" max="5906" width="1.5703125" style="442" customWidth="1"/>
    <col min="5907" max="5907" width="18.28515625" style="442" customWidth="1"/>
    <col min="5908" max="5908" width="11" style="442" customWidth="1"/>
    <col min="5909" max="5909" width="13.28515625" style="442" bestFit="1" customWidth="1"/>
    <col min="5910" max="5910" width="18" style="442" customWidth="1"/>
    <col min="5911" max="5911" width="11.42578125" style="442"/>
    <col min="5912" max="5912" width="11.140625" style="442" customWidth="1"/>
    <col min="5913" max="5913" width="11.42578125" style="442"/>
    <col min="5914" max="5914" width="17.42578125" style="442" customWidth="1"/>
    <col min="5915" max="6159" width="11.42578125" style="442"/>
    <col min="6160" max="6160" width="14.5703125" style="442" customWidth="1"/>
    <col min="6161" max="6161" width="12.7109375" style="442" customWidth="1"/>
    <col min="6162" max="6162" width="1.5703125" style="442" customWidth="1"/>
    <col min="6163" max="6163" width="18.28515625" style="442" customWidth="1"/>
    <col min="6164" max="6164" width="11" style="442" customWidth="1"/>
    <col min="6165" max="6165" width="13.28515625" style="442" bestFit="1" customWidth="1"/>
    <col min="6166" max="6166" width="18" style="442" customWidth="1"/>
    <col min="6167" max="6167" width="11.42578125" style="442"/>
    <col min="6168" max="6168" width="11.140625" style="442" customWidth="1"/>
    <col min="6169" max="6169" width="11.42578125" style="442"/>
    <col min="6170" max="6170" width="17.42578125" style="442" customWidth="1"/>
    <col min="6171" max="6415" width="11.42578125" style="442"/>
    <col min="6416" max="6416" width="14.5703125" style="442" customWidth="1"/>
    <col min="6417" max="6417" width="12.7109375" style="442" customWidth="1"/>
    <col min="6418" max="6418" width="1.5703125" style="442" customWidth="1"/>
    <col min="6419" max="6419" width="18.28515625" style="442" customWidth="1"/>
    <col min="6420" max="6420" width="11" style="442" customWidth="1"/>
    <col min="6421" max="6421" width="13.28515625" style="442" bestFit="1" customWidth="1"/>
    <col min="6422" max="6422" width="18" style="442" customWidth="1"/>
    <col min="6423" max="6423" width="11.42578125" style="442"/>
    <col min="6424" max="6424" width="11.140625" style="442" customWidth="1"/>
    <col min="6425" max="6425" width="11.42578125" style="442"/>
    <col min="6426" max="6426" width="17.42578125" style="442" customWidth="1"/>
    <col min="6427" max="6671" width="11.42578125" style="442"/>
    <col min="6672" max="6672" width="14.5703125" style="442" customWidth="1"/>
    <col min="6673" max="6673" width="12.7109375" style="442" customWidth="1"/>
    <col min="6674" max="6674" width="1.5703125" style="442" customWidth="1"/>
    <col min="6675" max="6675" width="18.28515625" style="442" customWidth="1"/>
    <col min="6676" max="6676" width="11" style="442" customWidth="1"/>
    <col min="6677" max="6677" width="13.28515625" style="442" bestFit="1" customWidth="1"/>
    <col min="6678" max="6678" width="18" style="442" customWidth="1"/>
    <col min="6679" max="6679" width="11.42578125" style="442"/>
    <col min="6680" max="6680" width="11.140625" style="442" customWidth="1"/>
    <col min="6681" max="6681" width="11.42578125" style="442"/>
    <col min="6682" max="6682" width="17.42578125" style="442" customWidth="1"/>
    <col min="6683" max="6927" width="11.42578125" style="442"/>
    <col min="6928" max="6928" width="14.5703125" style="442" customWidth="1"/>
    <col min="6929" max="6929" width="12.7109375" style="442" customWidth="1"/>
    <col min="6930" max="6930" width="1.5703125" style="442" customWidth="1"/>
    <col min="6931" max="6931" width="18.28515625" style="442" customWidth="1"/>
    <col min="6932" max="6932" width="11" style="442" customWidth="1"/>
    <col min="6933" max="6933" width="13.28515625" style="442" bestFit="1" customWidth="1"/>
    <col min="6934" max="6934" width="18" style="442" customWidth="1"/>
    <col min="6935" max="6935" width="11.42578125" style="442"/>
    <col min="6936" max="6936" width="11.140625" style="442" customWidth="1"/>
    <col min="6937" max="6937" width="11.42578125" style="442"/>
    <col min="6938" max="6938" width="17.42578125" style="442" customWidth="1"/>
    <col min="6939" max="7183" width="11.42578125" style="442"/>
    <col min="7184" max="7184" width="14.5703125" style="442" customWidth="1"/>
    <col min="7185" max="7185" width="12.7109375" style="442" customWidth="1"/>
    <col min="7186" max="7186" width="1.5703125" style="442" customWidth="1"/>
    <col min="7187" max="7187" width="18.28515625" style="442" customWidth="1"/>
    <col min="7188" max="7188" width="11" style="442" customWidth="1"/>
    <col min="7189" max="7189" width="13.28515625" style="442" bestFit="1" customWidth="1"/>
    <col min="7190" max="7190" width="18" style="442" customWidth="1"/>
    <col min="7191" max="7191" width="11.42578125" style="442"/>
    <col min="7192" max="7192" width="11.140625" style="442" customWidth="1"/>
    <col min="7193" max="7193" width="11.42578125" style="442"/>
    <col min="7194" max="7194" width="17.42578125" style="442" customWidth="1"/>
    <col min="7195" max="7439" width="11.42578125" style="442"/>
    <col min="7440" max="7440" width="14.5703125" style="442" customWidth="1"/>
    <col min="7441" max="7441" width="12.7109375" style="442" customWidth="1"/>
    <col min="7442" max="7442" width="1.5703125" style="442" customWidth="1"/>
    <col min="7443" max="7443" width="18.28515625" style="442" customWidth="1"/>
    <col min="7444" max="7444" width="11" style="442" customWidth="1"/>
    <col min="7445" max="7445" width="13.28515625" style="442" bestFit="1" customWidth="1"/>
    <col min="7446" max="7446" width="18" style="442" customWidth="1"/>
    <col min="7447" max="7447" width="11.42578125" style="442"/>
    <col min="7448" max="7448" width="11.140625" style="442" customWidth="1"/>
    <col min="7449" max="7449" width="11.42578125" style="442"/>
    <col min="7450" max="7450" width="17.42578125" style="442" customWidth="1"/>
    <col min="7451" max="7695" width="11.42578125" style="442"/>
    <col min="7696" max="7696" width="14.5703125" style="442" customWidth="1"/>
    <col min="7697" max="7697" width="12.7109375" style="442" customWidth="1"/>
    <col min="7698" max="7698" width="1.5703125" style="442" customWidth="1"/>
    <col min="7699" max="7699" width="18.28515625" style="442" customWidth="1"/>
    <col min="7700" max="7700" width="11" style="442" customWidth="1"/>
    <col min="7701" max="7701" width="13.28515625" style="442" bestFit="1" customWidth="1"/>
    <col min="7702" max="7702" width="18" style="442" customWidth="1"/>
    <col min="7703" max="7703" width="11.42578125" style="442"/>
    <col min="7704" max="7704" width="11.140625" style="442" customWidth="1"/>
    <col min="7705" max="7705" width="11.42578125" style="442"/>
    <col min="7706" max="7706" width="17.42578125" style="442" customWidth="1"/>
    <col min="7707" max="7951" width="11.42578125" style="442"/>
    <col min="7952" max="7952" width="14.5703125" style="442" customWidth="1"/>
    <col min="7953" max="7953" width="12.7109375" style="442" customWidth="1"/>
    <col min="7954" max="7954" width="1.5703125" style="442" customWidth="1"/>
    <col min="7955" max="7955" width="18.28515625" style="442" customWidth="1"/>
    <col min="7956" max="7956" width="11" style="442" customWidth="1"/>
    <col min="7957" max="7957" width="13.28515625" style="442" bestFit="1" customWidth="1"/>
    <col min="7958" max="7958" width="18" style="442" customWidth="1"/>
    <col min="7959" max="7959" width="11.42578125" style="442"/>
    <col min="7960" max="7960" width="11.140625" style="442" customWidth="1"/>
    <col min="7961" max="7961" width="11.42578125" style="442"/>
    <col min="7962" max="7962" width="17.42578125" style="442" customWidth="1"/>
    <col min="7963" max="8207" width="11.42578125" style="442"/>
    <col min="8208" max="8208" width="14.5703125" style="442" customWidth="1"/>
    <col min="8209" max="8209" width="12.7109375" style="442" customWidth="1"/>
    <col min="8210" max="8210" width="1.5703125" style="442" customWidth="1"/>
    <col min="8211" max="8211" width="18.28515625" style="442" customWidth="1"/>
    <col min="8212" max="8212" width="11" style="442" customWidth="1"/>
    <col min="8213" max="8213" width="13.28515625" style="442" bestFit="1" customWidth="1"/>
    <col min="8214" max="8214" width="18" style="442" customWidth="1"/>
    <col min="8215" max="8215" width="11.42578125" style="442"/>
    <col min="8216" max="8216" width="11.140625" style="442" customWidth="1"/>
    <col min="8217" max="8217" width="11.42578125" style="442"/>
    <col min="8218" max="8218" width="17.42578125" style="442" customWidth="1"/>
    <col min="8219" max="8463" width="11.42578125" style="442"/>
    <col min="8464" max="8464" width="14.5703125" style="442" customWidth="1"/>
    <col min="8465" max="8465" width="12.7109375" style="442" customWidth="1"/>
    <col min="8466" max="8466" width="1.5703125" style="442" customWidth="1"/>
    <col min="8467" max="8467" width="18.28515625" style="442" customWidth="1"/>
    <col min="8468" max="8468" width="11" style="442" customWidth="1"/>
    <col min="8469" max="8469" width="13.28515625" style="442" bestFit="1" customWidth="1"/>
    <col min="8470" max="8470" width="18" style="442" customWidth="1"/>
    <col min="8471" max="8471" width="11.42578125" style="442"/>
    <col min="8472" max="8472" width="11.140625" style="442" customWidth="1"/>
    <col min="8473" max="8473" width="11.42578125" style="442"/>
    <col min="8474" max="8474" width="17.42578125" style="442" customWidth="1"/>
    <col min="8475" max="8719" width="11.42578125" style="442"/>
    <col min="8720" max="8720" width="14.5703125" style="442" customWidth="1"/>
    <col min="8721" max="8721" width="12.7109375" style="442" customWidth="1"/>
    <col min="8722" max="8722" width="1.5703125" style="442" customWidth="1"/>
    <col min="8723" max="8723" width="18.28515625" style="442" customWidth="1"/>
    <col min="8724" max="8724" width="11" style="442" customWidth="1"/>
    <col min="8725" max="8725" width="13.28515625" style="442" bestFit="1" customWidth="1"/>
    <col min="8726" max="8726" width="18" style="442" customWidth="1"/>
    <col min="8727" max="8727" width="11.42578125" style="442"/>
    <col min="8728" max="8728" width="11.140625" style="442" customWidth="1"/>
    <col min="8729" max="8729" width="11.42578125" style="442"/>
    <col min="8730" max="8730" width="17.42578125" style="442" customWidth="1"/>
    <col min="8731" max="8975" width="11.42578125" style="442"/>
    <col min="8976" max="8976" width="14.5703125" style="442" customWidth="1"/>
    <col min="8977" max="8977" width="12.7109375" style="442" customWidth="1"/>
    <col min="8978" max="8978" width="1.5703125" style="442" customWidth="1"/>
    <col min="8979" max="8979" width="18.28515625" style="442" customWidth="1"/>
    <col min="8980" max="8980" width="11" style="442" customWidth="1"/>
    <col min="8981" max="8981" width="13.28515625" style="442" bestFit="1" customWidth="1"/>
    <col min="8982" max="8982" width="18" style="442" customWidth="1"/>
    <col min="8983" max="8983" width="11.42578125" style="442"/>
    <col min="8984" max="8984" width="11.140625" style="442" customWidth="1"/>
    <col min="8985" max="8985" width="11.42578125" style="442"/>
    <col min="8986" max="8986" width="17.42578125" style="442" customWidth="1"/>
    <col min="8987" max="9231" width="11.42578125" style="442"/>
    <col min="9232" max="9232" width="14.5703125" style="442" customWidth="1"/>
    <col min="9233" max="9233" width="12.7109375" style="442" customWidth="1"/>
    <col min="9234" max="9234" width="1.5703125" style="442" customWidth="1"/>
    <col min="9235" max="9235" width="18.28515625" style="442" customWidth="1"/>
    <col min="9236" max="9236" width="11" style="442" customWidth="1"/>
    <col min="9237" max="9237" width="13.28515625" style="442" bestFit="1" customWidth="1"/>
    <col min="9238" max="9238" width="18" style="442" customWidth="1"/>
    <col min="9239" max="9239" width="11.42578125" style="442"/>
    <col min="9240" max="9240" width="11.140625" style="442" customWidth="1"/>
    <col min="9241" max="9241" width="11.42578125" style="442"/>
    <col min="9242" max="9242" width="17.42578125" style="442" customWidth="1"/>
    <col min="9243" max="9487" width="11.42578125" style="442"/>
    <col min="9488" max="9488" width="14.5703125" style="442" customWidth="1"/>
    <col min="9489" max="9489" width="12.7109375" style="442" customWidth="1"/>
    <col min="9490" max="9490" width="1.5703125" style="442" customWidth="1"/>
    <col min="9491" max="9491" width="18.28515625" style="442" customWidth="1"/>
    <col min="9492" max="9492" width="11" style="442" customWidth="1"/>
    <col min="9493" max="9493" width="13.28515625" style="442" bestFit="1" customWidth="1"/>
    <col min="9494" max="9494" width="18" style="442" customWidth="1"/>
    <col min="9495" max="9495" width="11.42578125" style="442"/>
    <col min="9496" max="9496" width="11.140625" style="442" customWidth="1"/>
    <col min="9497" max="9497" width="11.42578125" style="442"/>
    <col min="9498" max="9498" width="17.42578125" style="442" customWidth="1"/>
    <col min="9499" max="9743" width="11.42578125" style="442"/>
    <col min="9744" max="9744" width="14.5703125" style="442" customWidth="1"/>
    <col min="9745" max="9745" width="12.7109375" style="442" customWidth="1"/>
    <col min="9746" max="9746" width="1.5703125" style="442" customWidth="1"/>
    <col min="9747" max="9747" width="18.28515625" style="442" customWidth="1"/>
    <col min="9748" max="9748" width="11" style="442" customWidth="1"/>
    <col min="9749" max="9749" width="13.28515625" style="442" bestFit="1" customWidth="1"/>
    <col min="9750" max="9750" width="18" style="442" customWidth="1"/>
    <col min="9751" max="9751" width="11.42578125" style="442"/>
    <col min="9752" max="9752" width="11.140625" style="442" customWidth="1"/>
    <col min="9753" max="9753" width="11.42578125" style="442"/>
    <col min="9754" max="9754" width="17.42578125" style="442" customWidth="1"/>
    <col min="9755" max="9999" width="11.42578125" style="442"/>
    <col min="10000" max="10000" width="14.5703125" style="442" customWidth="1"/>
    <col min="10001" max="10001" width="12.7109375" style="442" customWidth="1"/>
    <col min="10002" max="10002" width="1.5703125" style="442" customWidth="1"/>
    <col min="10003" max="10003" width="18.28515625" style="442" customWidth="1"/>
    <col min="10004" max="10004" width="11" style="442" customWidth="1"/>
    <col min="10005" max="10005" width="13.28515625" style="442" bestFit="1" customWidth="1"/>
    <col min="10006" max="10006" width="18" style="442" customWidth="1"/>
    <col min="10007" max="10007" width="11.42578125" style="442"/>
    <col min="10008" max="10008" width="11.140625" style="442" customWidth="1"/>
    <col min="10009" max="10009" width="11.42578125" style="442"/>
    <col min="10010" max="10010" width="17.42578125" style="442" customWidth="1"/>
    <col min="10011" max="10255" width="11.42578125" style="442"/>
    <col min="10256" max="10256" width="14.5703125" style="442" customWidth="1"/>
    <col min="10257" max="10257" width="12.7109375" style="442" customWidth="1"/>
    <col min="10258" max="10258" width="1.5703125" style="442" customWidth="1"/>
    <col min="10259" max="10259" width="18.28515625" style="442" customWidth="1"/>
    <col min="10260" max="10260" width="11" style="442" customWidth="1"/>
    <col min="10261" max="10261" width="13.28515625" style="442" bestFit="1" customWidth="1"/>
    <col min="10262" max="10262" width="18" style="442" customWidth="1"/>
    <col min="10263" max="10263" width="11.42578125" style="442"/>
    <col min="10264" max="10264" width="11.140625" style="442" customWidth="1"/>
    <col min="10265" max="10265" width="11.42578125" style="442"/>
    <col min="10266" max="10266" width="17.42578125" style="442" customWidth="1"/>
    <col min="10267" max="10511" width="11.42578125" style="442"/>
    <col min="10512" max="10512" width="14.5703125" style="442" customWidth="1"/>
    <col min="10513" max="10513" width="12.7109375" style="442" customWidth="1"/>
    <col min="10514" max="10514" width="1.5703125" style="442" customWidth="1"/>
    <col min="10515" max="10515" width="18.28515625" style="442" customWidth="1"/>
    <col min="10516" max="10516" width="11" style="442" customWidth="1"/>
    <col min="10517" max="10517" width="13.28515625" style="442" bestFit="1" customWidth="1"/>
    <col min="10518" max="10518" width="18" style="442" customWidth="1"/>
    <col min="10519" max="10519" width="11.42578125" style="442"/>
    <col min="10520" max="10520" width="11.140625" style="442" customWidth="1"/>
    <col min="10521" max="10521" width="11.42578125" style="442"/>
    <col min="10522" max="10522" width="17.42578125" style="442" customWidth="1"/>
    <col min="10523" max="10767" width="11.42578125" style="442"/>
    <col min="10768" max="10768" width="14.5703125" style="442" customWidth="1"/>
    <col min="10769" max="10769" width="12.7109375" style="442" customWidth="1"/>
    <col min="10770" max="10770" width="1.5703125" style="442" customWidth="1"/>
    <col min="10771" max="10771" width="18.28515625" style="442" customWidth="1"/>
    <col min="10772" max="10772" width="11" style="442" customWidth="1"/>
    <col min="10773" max="10773" width="13.28515625" style="442" bestFit="1" customWidth="1"/>
    <col min="10774" max="10774" width="18" style="442" customWidth="1"/>
    <col min="10775" max="10775" width="11.42578125" style="442"/>
    <col min="10776" max="10776" width="11.140625" style="442" customWidth="1"/>
    <col min="10777" max="10777" width="11.42578125" style="442"/>
    <col min="10778" max="10778" width="17.42578125" style="442" customWidth="1"/>
    <col min="10779" max="11023" width="11.42578125" style="442"/>
    <col min="11024" max="11024" width="14.5703125" style="442" customWidth="1"/>
    <col min="11025" max="11025" width="12.7109375" style="442" customWidth="1"/>
    <col min="11026" max="11026" width="1.5703125" style="442" customWidth="1"/>
    <col min="11027" max="11027" width="18.28515625" style="442" customWidth="1"/>
    <col min="11028" max="11028" width="11" style="442" customWidth="1"/>
    <col min="11029" max="11029" width="13.28515625" style="442" bestFit="1" customWidth="1"/>
    <col min="11030" max="11030" width="18" style="442" customWidth="1"/>
    <col min="11031" max="11031" width="11.42578125" style="442"/>
    <col min="11032" max="11032" width="11.140625" style="442" customWidth="1"/>
    <col min="11033" max="11033" width="11.42578125" style="442"/>
    <col min="11034" max="11034" width="17.42578125" style="442" customWidth="1"/>
    <col min="11035" max="11279" width="11.42578125" style="442"/>
    <col min="11280" max="11280" width="14.5703125" style="442" customWidth="1"/>
    <col min="11281" max="11281" width="12.7109375" style="442" customWidth="1"/>
    <col min="11282" max="11282" width="1.5703125" style="442" customWidth="1"/>
    <col min="11283" max="11283" width="18.28515625" style="442" customWidth="1"/>
    <col min="11284" max="11284" width="11" style="442" customWidth="1"/>
    <col min="11285" max="11285" width="13.28515625" style="442" bestFit="1" customWidth="1"/>
    <col min="11286" max="11286" width="18" style="442" customWidth="1"/>
    <col min="11287" max="11287" width="11.42578125" style="442"/>
    <col min="11288" max="11288" width="11.140625" style="442" customWidth="1"/>
    <col min="11289" max="11289" width="11.42578125" style="442"/>
    <col min="11290" max="11290" width="17.42578125" style="442" customWidth="1"/>
    <col min="11291" max="11535" width="11.42578125" style="442"/>
    <col min="11536" max="11536" width="14.5703125" style="442" customWidth="1"/>
    <col min="11537" max="11537" width="12.7109375" style="442" customWidth="1"/>
    <col min="11538" max="11538" width="1.5703125" style="442" customWidth="1"/>
    <col min="11539" max="11539" width="18.28515625" style="442" customWidth="1"/>
    <col min="11540" max="11540" width="11" style="442" customWidth="1"/>
    <col min="11541" max="11541" width="13.28515625" style="442" bestFit="1" customWidth="1"/>
    <col min="11542" max="11542" width="18" style="442" customWidth="1"/>
    <col min="11543" max="11543" width="11.42578125" style="442"/>
    <col min="11544" max="11544" width="11.140625" style="442" customWidth="1"/>
    <col min="11545" max="11545" width="11.42578125" style="442"/>
    <col min="11546" max="11546" width="17.42578125" style="442" customWidth="1"/>
    <col min="11547" max="11791" width="11.42578125" style="442"/>
    <col min="11792" max="11792" width="14.5703125" style="442" customWidth="1"/>
    <col min="11793" max="11793" width="12.7109375" style="442" customWidth="1"/>
    <col min="11794" max="11794" width="1.5703125" style="442" customWidth="1"/>
    <col min="11795" max="11795" width="18.28515625" style="442" customWidth="1"/>
    <col min="11796" max="11796" width="11" style="442" customWidth="1"/>
    <col min="11797" max="11797" width="13.28515625" style="442" bestFit="1" customWidth="1"/>
    <col min="11798" max="11798" width="18" style="442" customWidth="1"/>
    <col min="11799" max="11799" width="11.42578125" style="442"/>
    <col min="11800" max="11800" width="11.140625" style="442" customWidth="1"/>
    <col min="11801" max="11801" width="11.42578125" style="442"/>
    <col min="11802" max="11802" width="17.42578125" style="442" customWidth="1"/>
    <col min="11803" max="12047" width="11.42578125" style="442"/>
    <col min="12048" max="12048" width="14.5703125" style="442" customWidth="1"/>
    <col min="12049" max="12049" width="12.7109375" style="442" customWidth="1"/>
    <col min="12050" max="12050" width="1.5703125" style="442" customWidth="1"/>
    <col min="12051" max="12051" width="18.28515625" style="442" customWidth="1"/>
    <col min="12052" max="12052" width="11" style="442" customWidth="1"/>
    <col min="12053" max="12053" width="13.28515625" style="442" bestFit="1" customWidth="1"/>
    <col min="12054" max="12054" width="18" style="442" customWidth="1"/>
    <col min="12055" max="12055" width="11.42578125" style="442"/>
    <col min="12056" max="12056" width="11.140625" style="442" customWidth="1"/>
    <col min="12057" max="12057" width="11.42578125" style="442"/>
    <col min="12058" max="12058" width="17.42578125" style="442" customWidth="1"/>
    <col min="12059" max="12303" width="11.42578125" style="442"/>
    <col min="12304" max="12304" width="14.5703125" style="442" customWidth="1"/>
    <col min="12305" max="12305" width="12.7109375" style="442" customWidth="1"/>
    <col min="12306" max="12306" width="1.5703125" style="442" customWidth="1"/>
    <col min="12307" max="12307" width="18.28515625" style="442" customWidth="1"/>
    <col min="12308" max="12308" width="11" style="442" customWidth="1"/>
    <col min="12309" max="12309" width="13.28515625" style="442" bestFit="1" customWidth="1"/>
    <col min="12310" max="12310" width="18" style="442" customWidth="1"/>
    <col min="12311" max="12311" width="11.42578125" style="442"/>
    <col min="12312" max="12312" width="11.140625" style="442" customWidth="1"/>
    <col min="12313" max="12313" width="11.42578125" style="442"/>
    <col min="12314" max="12314" width="17.42578125" style="442" customWidth="1"/>
    <col min="12315" max="12559" width="11.42578125" style="442"/>
    <col min="12560" max="12560" width="14.5703125" style="442" customWidth="1"/>
    <col min="12561" max="12561" width="12.7109375" style="442" customWidth="1"/>
    <col min="12562" max="12562" width="1.5703125" style="442" customWidth="1"/>
    <col min="12563" max="12563" width="18.28515625" style="442" customWidth="1"/>
    <col min="12564" max="12564" width="11" style="442" customWidth="1"/>
    <col min="12565" max="12565" width="13.28515625" style="442" bestFit="1" customWidth="1"/>
    <col min="12566" max="12566" width="18" style="442" customWidth="1"/>
    <col min="12567" max="12567" width="11.42578125" style="442"/>
    <col min="12568" max="12568" width="11.140625" style="442" customWidth="1"/>
    <col min="12569" max="12569" width="11.42578125" style="442"/>
    <col min="12570" max="12570" width="17.42578125" style="442" customWidth="1"/>
    <col min="12571" max="12815" width="11.42578125" style="442"/>
    <col min="12816" max="12816" width="14.5703125" style="442" customWidth="1"/>
    <col min="12817" max="12817" width="12.7109375" style="442" customWidth="1"/>
    <col min="12818" max="12818" width="1.5703125" style="442" customWidth="1"/>
    <col min="12819" max="12819" width="18.28515625" style="442" customWidth="1"/>
    <col min="12820" max="12820" width="11" style="442" customWidth="1"/>
    <col min="12821" max="12821" width="13.28515625" style="442" bestFit="1" customWidth="1"/>
    <col min="12822" max="12822" width="18" style="442" customWidth="1"/>
    <col min="12823" max="12823" width="11.42578125" style="442"/>
    <col min="12824" max="12824" width="11.140625" style="442" customWidth="1"/>
    <col min="12825" max="12825" width="11.42578125" style="442"/>
    <col min="12826" max="12826" width="17.42578125" style="442" customWidth="1"/>
    <col min="12827" max="13071" width="11.42578125" style="442"/>
    <col min="13072" max="13072" width="14.5703125" style="442" customWidth="1"/>
    <col min="13073" max="13073" width="12.7109375" style="442" customWidth="1"/>
    <col min="13074" max="13074" width="1.5703125" style="442" customWidth="1"/>
    <col min="13075" max="13075" width="18.28515625" style="442" customWidth="1"/>
    <col min="13076" max="13076" width="11" style="442" customWidth="1"/>
    <col min="13077" max="13077" width="13.28515625" style="442" bestFit="1" customWidth="1"/>
    <col min="13078" max="13078" width="18" style="442" customWidth="1"/>
    <col min="13079" max="13079" width="11.42578125" style="442"/>
    <col min="13080" max="13080" width="11.140625" style="442" customWidth="1"/>
    <col min="13081" max="13081" width="11.42578125" style="442"/>
    <col min="13082" max="13082" width="17.42578125" style="442" customWidth="1"/>
    <col min="13083" max="13327" width="11.42578125" style="442"/>
    <col min="13328" max="13328" width="14.5703125" style="442" customWidth="1"/>
    <col min="13329" max="13329" width="12.7109375" style="442" customWidth="1"/>
    <col min="13330" max="13330" width="1.5703125" style="442" customWidth="1"/>
    <col min="13331" max="13331" width="18.28515625" style="442" customWidth="1"/>
    <col min="13332" max="13332" width="11" style="442" customWidth="1"/>
    <col min="13333" max="13333" width="13.28515625" style="442" bestFit="1" customWidth="1"/>
    <col min="13334" max="13334" width="18" style="442" customWidth="1"/>
    <col min="13335" max="13335" width="11.42578125" style="442"/>
    <col min="13336" max="13336" width="11.140625" style="442" customWidth="1"/>
    <col min="13337" max="13337" width="11.42578125" style="442"/>
    <col min="13338" max="13338" width="17.42578125" style="442" customWidth="1"/>
    <col min="13339" max="13583" width="11.42578125" style="442"/>
    <col min="13584" max="13584" width="14.5703125" style="442" customWidth="1"/>
    <col min="13585" max="13585" width="12.7109375" style="442" customWidth="1"/>
    <col min="13586" max="13586" width="1.5703125" style="442" customWidth="1"/>
    <col min="13587" max="13587" width="18.28515625" style="442" customWidth="1"/>
    <col min="13588" max="13588" width="11" style="442" customWidth="1"/>
    <col min="13589" max="13589" width="13.28515625" style="442" bestFit="1" customWidth="1"/>
    <col min="13590" max="13590" width="18" style="442" customWidth="1"/>
    <col min="13591" max="13591" width="11.42578125" style="442"/>
    <col min="13592" max="13592" width="11.140625" style="442" customWidth="1"/>
    <col min="13593" max="13593" width="11.42578125" style="442"/>
    <col min="13594" max="13594" width="17.42578125" style="442" customWidth="1"/>
    <col min="13595" max="13839" width="11.42578125" style="442"/>
    <col min="13840" max="13840" width="14.5703125" style="442" customWidth="1"/>
    <col min="13841" max="13841" width="12.7109375" style="442" customWidth="1"/>
    <col min="13842" max="13842" width="1.5703125" style="442" customWidth="1"/>
    <col min="13843" max="13843" width="18.28515625" style="442" customWidth="1"/>
    <col min="13844" max="13844" width="11" style="442" customWidth="1"/>
    <col min="13845" max="13845" width="13.28515625" style="442" bestFit="1" customWidth="1"/>
    <col min="13846" max="13846" width="18" style="442" customWidth="1"/>
    <col min="13847" max="13847" width="11.42578125" style="442"/>
    <col min="13848" max="13848" width="11.140625" style="442" customWidth="1"/>
    <col min="13849" max="13849" width="11.42578125" style="442"/>
    <col min="13850" max="13850" width="17.42578125" style="442" customWidth="1"/>
    <col min="13851" max="14095" width="11.42578125" style="442"/>
    <col min="14096" max="14096" width="14.5703125" style="442" customWidth="1"/>
    <col min="14097" max="14097" width="12.7109375" style="442" customWidth="1"/>
    <col min="14098" max="14098" width="1.5703125" style="442" customWidth="1"/>
    <col min="14099" max="14099" width="18.28515625" style="442" customWidth="1"/>
    <col min="14100" max="14100" width="11" style="442" customWidth="1"/>
    <col min="14101" max="14101" width="13.28515625" style="442" bestFit="1" customWidth="1"/>
    <col min="14102" max="14102" width="18" style="442" customWidth="1"/>
    <col min="14103" max="14103" width="11.42578125" style="442"/>
    <col min="14104" max="14104" width="11.140625" style="442" customWidth="1"/>
    <col min="14105" max="14105" width="11.42578125" style="442"/>
    <col min="14106" max="14106" width="17.42578125" style="442" customWidth="1"/>
    <col min="14107" max="14351" width="11.42578125" style="442"/>
    <col min="14352" max="14352" width="14.5703125" style="442" customWidth="1"/>
    <col min="14353" max="14353" width="12.7109375" style="442" customWidth="1"/>
    <col min="14354" max="14354" width="1.5703125" style="442" customWidth="1"/>
    <col min="14355" max="14355" width="18.28515625" style="442" customWidth="1"/>
    <col min="14356" max="14356" width="11" style="442" customWidth="1"/>
    <col min="14357" max="14357" width="13.28515625" style="442" bestFit="1" customWidth="1"/>
    <col min="14358" max="14358" width="18" style="442" customWidth="1"/>
    <col min="14359" max="14359" width="11.42578125" style="442"/>
    <col min="14360" max="14360" width="11.140625" style="442" customWidth="1"/>
    <col min="14361" max="14361" width="11.42578125" style="442"/>
    <col min="14362" max="14362" width="17.42578125" style="442" customWidth="1"/>
    <col min="14363" max="14607" width="11.42578125" style="442"/>
    <col min="14608" max="14608" width="14.5703125" style="442" customWidth="1"/>
    <col min="14609" max="14609" width="12.7109375" style="442" customWidth="1"/>
    <col min="14610" max="14610" width="1.5703125" style="442" customWidth="1"/>
    <col min="14611" max="14611" width="18.28515625" style="442" customWidth="1"/>
    <col min="14612" max="14612" width="11" style="442" customWidth="1"/>
    <col min="14613" max="14613" width="13.28515625" style="442" bestFit="1" customWidth="1"/>
    <col min="14614" max="14614" width="18" style="442" customWidth="1"/>
    <col min="14615" max="14615" width="11.42578125" style="442"/>
    <col min="14616" max="14616" width="11.140625" style="442" customWidth="1"/>
    <col min="14617" max="14617" width="11.42578125" style="442"/>
    <col min="14618" max="14618" width="17.42578125" style="442" customWidth="1"/>
    <col min="14619" max="14863" width="11.42578125" style="442"/>
    <col min="14864" max="14864" width="14.5703125" style="442" customWidth="1"/>
    <col min="14865" max="14865" width="12.7109375" style="442" customWidth="1"/>
    <col min="14866" max="14866" width="1.5703125" style="442" customWidth="1"/>
    <col min="14867" max="14867" width="18.28515625" style="442" customWidth="1"/>
    <col min="14868" max="14868" width="11" style="442" customWidth="1"/>
    <col min="14869" max="14869" width="13.28515625" style="442" bestFit="1" customWidth="1"/>
    <col min="14870" max="14870" width="18" style="442" customWidth="1"/>
    <col min="14871" max="14871" width="11.42578125" style="442"/>
    <col min="14872" max="14872" width="11.140625" style="442" customWidth="1"/>
    <col min="14873" max="14873" width="11.42578125" style="442"/>
    <col min="14874" max="14874" width="17.42578125" style="442" customWidth="1"/>
    <col min="14875" max="15119" width="11.42578125" style="442"/>
    <col min="15120" max="15120" width="14.5703125" style="442" customWidth="1"/>
    <col min="15121" max="15121" width="12.7109375" style="442" customWidth="1"/>
    <col min="15122" max="15122" width="1.5703125" style="442" customWidth="1"/>
    <col min="15123" max="15123" width="18.28515625" style="442" customWidth="1"/>
    <col min="15124" max="15124" width="11" style="442" customWidth="1"/>
    <col min="15125" max="15125" width="13.28515625" style="442" bestFit="1" customWidth="1"/>
    <col min="15126" max="15126" width="18" style="442" customWidth="1"/>
    <col min="15127" max="15127" width="11.42578125" style="442"/>
    <col min="15128" max="15128" width="11.140625" style="442" customWidth="1"/>
    <col min="15129" max="15129" width="11.42578125" style="442"/>
    <col min="15130" max="15130" width="17.42578125" style="442" customWidth="1"/>
    <col min="15131" max="15375" width="11.42578125" style="442"/>
    <col min="15376" max="15376" width="14.5703125" style="442" customWidth="1"/>
    <col min="15377" max="15377" width="12.7109375" style="442" customWidth="1"/>
    <col min="15378" max="15378" width="1.5703125" style="442" customWidth="1"/>
    <col min="15379" max="15379" width="18.28515625" style="442" customWidth="1"/>
    <col min="15380" max="15380" width="11" style="442" customWidth="1"/>
    <col min="15381" max="15381" width="13.28515625" style="442" bestFit="1" customWidth="1"/>
    <col min="15382" max="15382" width="18" style="442" customWidth="1"/>
    <col min="15383" max="15383" width="11.42578125" style="442"/>
    <col min="15384" max="15384" width="11.140625" style="442" customWidth="1"/>
    <col min="15385" max="15385" width="11.42578125" style="442"/>
    <col min="15386" max="15386" width="17.42578125" style="442" customWidth="1"/>
    <col min="15387" max="15631" width="11.42578125" style="442"/>
    <col min="15632" max="15632" width="14.5703125" style="442" customWidth="1"/>
    <col min="15633" max="15633" width="12.7109375" style="442" customWidth="1"/>
    <col min="15634" max="15634" width="1.5703125" style="442" customWidth="1"/>
    <col min="15635" max="15635" width="18.28515625" style="442" customWidth="1"/>
    <col min="15636" max="15636" width="11" style="442" customWidth="1"/>
    <col min="15637" max="15637" width="13.28515625" style="442" bestFit="1" customWidth="1"/>
    <col min="15638" max="15638" width="18" style="442" customWidth="1"/>
    <col min="15639" max="15639" width="11.42578125" style="442"/>
    <col min="15640" max="15640" width="11.140625" style="442" customWidth="1"/>
    <col min="15641" max="15641" width="11.42578125" style="442"/>
    <col min="15642" max="15642" width="17.42578125" style="442" customWidth="1"/>
    <col min="15643" max="15887" width="11.42578125" style="442"/>
    <col min="15888" max="15888" width="14.5703125" style="442" customWidth="1"/>
    <col min="15889" max="15889" width="12.7109375" style="442" customWidth="1"/>
    <col min="15890" max="15890" width="1.5703125" style="442" customWidth="1"/>
    <col min="15891" max="15891" width="18.28515625" style="442" customWidth="1"/>
    <col min="15892" max="15892" width="11" style="442" customWidth="1"/>
    <col min="15893" max="15893" width="13.28515625" style="442" bestFit="1" customWidth="1"/>
    <col min="15894" max="15894" width="18" style="442" customWidth="1"/>
    <col min="15895" max="15895" width="11.42578125" style="442"/>
    <col min="15896" max="15896" width="11.140625" style="442" customWidth="1"/>
    <col min="15897" max="15897" width="11.42578125" style="442"/>
    <col min="15898" max="15898" width="17.42578125" style="442" customWidth="1"/>
    <col min="15899" max="16143" width="11.42578125" style="442"/>
    <col min="16144" max="16144" width="14.5703125" style="442" customWidth="1"/>
    <col min="16145" max="16145" width="12.7109375" style="442" customWidth="1"/>
    <col min="16146" max="16146" width="1.5703125" style="442" customWidth="1"/>
    <col min="16147" max="16147" width="18.28515625" style="442" customWidth="1"/>
    <col min="16148" max="16148" width="11" style="442" customWidth="1"/>
    <col min="16149" max="16149" width="13.28515625" style="442" bestFit="1" customWidth="1"/>
    <col min="16150" max="16150" width="18" style="442" customWidth="1"/>
    <col min="16151" max="16151" width="11.42578125" style="442"/>
    <col min="16152" max="16152" width="11.140625" style="442" customWidth="1"/>
    <col min="16153" max="16153" width="11.42578125" style="442"/>
    <col min="16154" max="16154" width="17.42578125" style="442" customWidth="1"/>
    <col min="16155" max="16384" width="11.42578125" style="442"/>
  </cols>
  <sheetData>
    <row r="1" spans="1:74" ht="12.75" customHeight="1" x14ac:dyDescent="0.2">
      <c r="A1" s="367" t="s">
        <v>256</v>
      </c>
      <c r="B1" s="367"/>
      <c r="C1" s="367"/>
      <c r="D1" s="367"/>
      <c r="E1" s="367"/>
      <c r="F1" s="367"/>
      <c r="G1" s="367"/>
      <c r="H1" s="367"/>
      <c r="I1" s="367"/>
      <c r="J1" s="367"/>
      <c r="K1" s="367"/>
      <c r="L1" s="367"/>
      <c r="AJ1" s="442"/>
      <c r="AR1" s="376"/>
      <c r="AS1" s="368"/>
      <c r="AT1" s="368"/>
      <c r="AU1" s="368"/>
      <c r="AV1" s="368"/>
      <c r="AW1" s="368"/>
      <c r="AX1" s="368"/>
      <c r="AY1" s="368"/>
      <c r="AZ1" s="368"/>
      <c r="BA1" s="368"/>
      <c r="BB1" s="368"/>
      <c r="BC1" s="368"/>
      <c r="BD1" s="368"/>
      <c r="BE1" s="368"/>
      <c r="BF1" s="368"/>
      <c r="BG1" s="368"/>
      <c r="BH1" s="368"/>
      <c r="BI1" s="368"/>
      <c r="BM1" s="372" t="s">
        <v>1</v>
      </c>
    </row>
    <row r="2" spans="1:74" ht="12.75" customHeight="1" x14ac:dyDescent="0.2">
      <c r="A2" s="367"/>
      <c r="B2" s="367"/>
      <c r="C2" s="367"/>
      <c r="D2" s="367"/>
      <c r="E2" s="367"/>
      <c r="F2" s="367"/>
      <c r="G2" s="367"/>
      <c r="H2" s="367"/>
      <c r="I2" s="367"/>
      <c r="J2" s="367"/>
      <c r="K2" s="367"/>
      <c r="L2" s="367"/>
      <c r="M2" s="443"/>
      <c r="N2" s="443"/>
      <c r="O2" s="443"/>
      <c r="P2" s="443"/>
      <c r="Q2" s="443"/>
      <c r="R2" s="443"/>
      <c r="S2" s="443"/>
      <c r="T2" s="443"/>
      <c r="U2" s="443"/>
      <c r="V2" s="443"/>
      <c r="W2" s="443"/>
      <c r="X2" s="443"/>
      <c r="Y2" s="443"/>
      <c r="Z2" s="443"/>
      <c r="AA2" s="443"/>
      <c r="AB2" s="443"/>
      <c r="AC2" s="443"/>
      <c r="AD2" s="443"/>
      <c r="AE2" s="443"/>
      <c r="AF2" s="443"/>
      <c r="AG2" s="443"/>
      <c r="AH2" s="443"/>
      <c r="AI2" s="443"/>
      <c r="AJ2" s="443"/>
      <c r="AK2" s="443"/>
      <c r="AL2" s="443"/>
      <c r="AM2" s="443"/>
      <c r="AN2" s="443"/>
      <c r="AO2" s="443"/>
      <c r="AP2" s="443"/>
      <c r="AQ2" s="443"/>
      <c r="AR2" s="376"/>
      <c r="AS2" s="368"/>
      <c r="AT2" s="368"/>
      <c r="AU2" s="368"/>
      <c r="AV2" s="368"/>
      <c r="AW2" s="368"/>
      <c r="AX2" s="368"/>
      <c r="AY2" s="368"/>
      <c r="AZ2" s="368"/>
      <c r="BA2" s="368"/>
      <c r="BB2" s="368"/>
      <c r="BC2" s="368"/>
      <c r="BD2" s="368"/>
      <c r="BE2" s="368"/>
      <c r="BF2" s="368"/>
      <c r="BG2" s="368"/>
      <c r="BH2" s="368"/>
      <c r="BI2" s="368"/>
    </row>
    <row r="3" spans="1:74" ht="12.75" customHeight="1" x14ac:dyDescent="0.2">
      <c r="A3" s="367"/>
      <c r="B3" s="373"/>
      <c r="C3" s="373"/>
      <c r="D3" s="373"/>
      <c r="E3" s="373"/>
      <c r="F3" s="373"/>
      <c r="G3" s="373"/>
      <c r="H3" s="373"/>
      <c r="I3" s="373"/>
      <c r="J3" s="373"/>
      <c r="K3" s="373"/>
      <c r="L3" s="373"/>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444"/>
      <c r="AS3" s="368"/>
      <c r="AT3" s="368"/>
      <c r="AU3" s="368"/>
      <c r="AV3" s="368"/>
      <c r="AW3" s="368"/>
      <c r="AX3" s="368"/>
      <c r="AY3" s="368"/>
      <c r="AZ3" s="368"/>
      <c r="BA3" s="368"/>
      <c r="BB3" s="368"/>
      <c r="BC3" s="368"/>
      <c r="BD3" s="368"/>
      <c r="BE3" s="368"/>
      <c r="BF3" s="368"/>
      <c r="BG3" s="368"/>
      <c r="BH3" s="368"/>
      <c r="BI3" s="368"/>
    </row>
    <row r="4" spans="1:74" ht="12.75" customHeight="1" x14ac:dyDescent="0.25">
      <c r="A4" s="445"/>
      <c r="B4" s="17"/>
      <c r="C4" s="17"/>
      <c r="D4" s="446"/>
      <c r="E4" s="17"/>
      <c r="F4" s="17"/>
      <c r="G4" s="17"/>
      <c r="H4" s="17"/>
      <c r="I4" s="17"/>
      <c r="J4" s="17"/>
      <c r="K4" s="17"/>
      <c r="L4" s="17"/>
      <c r="M4" s="17"/>
      <c r="N4" s="17"/>
      <c r="O4" s="17"/>
      <c r="P4" s="17"/>
      <c r="Q4" s="17"/>
      <c r="R4" s="17"/>
      <c r="S4" s="17"/>
      <c r="T4" s="17"/>
      <c r="U4" s="17"/>
      <c r="V4" s="17"/>
      <c r="W4" s="17"/>
      <c r="X4" s="17"/>
      <c r="Y4" s="447"/>
      <c r="Z4" s="447"/>
      <c r="AA4" s="447"/>
      <c r="AB4" s="17"/>
      <c r="AC4" s="17"/>
      <c r="AD4" s="17"/>
      <c r="AE4" s="17"/>
      <c r="AF4" s="17"/>
      <c r="AG4" s="17"/>
      <c r="AH4" s="17"/>
      <c r="AI4" s="17"/>
      <c r="AJ4" s="17"/>
      <c r="AK4" s="17"/>
      <c r="AL4" s="17"/>
      <c r="AM4" s="17"/>
      <c r="AN4" s="17"/>
      <c r="AO4" s="17"/>
      <c r="AP4" s="17"/>
      <c r="AQ4" s="17"/>
      <c r="AR4" s="448"/>
      <c r="AS4" s="375"/>
      <c r="AT4" s="375"/>
      <c r="AU4" s="375"/>
      <c r="AV4" s="375"/>
      <c r="AW4" s="375"/>
      <c r="AX4" s="375"/>
      <c r="AY4" s="375"/>
      <c r="AZ4" s="375"/>
      <c r="BA4" s="375"/>
      <c r="BB4" s="375"/>
      <c r="BC4" s="376"/>
      <c r="BE4" s="449"/>
    </row>
    <row r="5" spans="1:74" ht="12.75" customHeight="1" x14ac:dyDescent="0.2">
      <c r="A5" s="450" t="s">
        <v>257</v>
      </c>
      <c r="B5" s="450"/>
      <c r="C5" s="450"/>
      <c r="D5" s="450"/>
      <c r="E5" s="450"/>
      <c r="F5" s="450"/>
      <c r="G5" s="450"/>
      <c r="H5" s="450"/>
      <c r="I5" s="450"/>
      <c r="J5" s="450"/>
      <c r="K5" s="450"/>
      <c r="L5" s="450"/>
      <c r="M5" s="450"/>
      <c r="N5" s="450"/>
      <c r="O5" s="450"/>
      <c r="P5" s="450"/>
      <c r="Q5" s="450"/>
      <c r="R5" s="450"/>
      <c r="S5" s="450"/>
      <c r="T5" s="450"/>
      <c r="U5" s="450"/>
      <c r="V5" s="450"/>
      <c r="W5" s="450"/>
      <c r="X5" s="450"/>
      <c r="Y5" s="450"/>
      <c r="Z5" s="450"/>
      <c r="AA5" s="450"/>
      <c r="AB5" s="450"/>
      <c r="AC5" s="450"/>
      <c r="AD5" s="450"/>
      <c r="AE5" s="450"/>
      <c r="AF5" s="450"/>
      <c r="AG5" s="450"/>
      <c r="AH5" s="450"/>
      <c r="AI5" s="450"/>
      <c r="AJ5" s="450"/>
      <c r="AK5" s="450"/>
      <c r="AL5" s="450"/>
      <c r="AM5" s="450"/>
      <c r="AN5" s="450"/>
      <c r="AO5" s="450"/>
      <c r="AP5" s="450"/>
      <c r="AQ5" s="450"/>
      <c r="AR5" s="450"/>
      <c r="AS5" s="377"/>
      <c r="AT5" s="377"/>
      <c r="AU5" s="377"/>
      <c r="AV5" s="377"/>
      <c r="AW5" s="377"/>
      <c r="AX5" s="377"/>
      <c r="AY5" s="377"/>
      <c r="AZ5" s="377"/>
      <c r="BA5" s="377"/>
      <c r="BB5" s="377"/>
      <c r="BC5" s="376"/>
      <c r="BE5" s="449"/>
    </row>
    <row r="6" spans="1:74" ht="12.75" customHeight="1" x14ac:dyDescent="0.2">
      <c r="A6" s="450"/>
      <c r="B6" s="450"/>
      <c r="C6" s="450"/>
      <c r="D6" s="450"/>
      <c r="E6" s="450"/>
      <c r="F6" s="450"/>
      <c r="G6" s="450"/>
      <c r="H6" s="450"/>
      <c r="I6" s="450"/>
      <c r="J6" s="450"/>
      <c r="K6" s="450"/>
      <c r="L6" s="450"/>
      <c r="M6" s="450"/>
      <c r="N6" s="450"/>
      <c r="O6" s="450"/>
      <c r="P6" s="450"/>
      <c r="Q6" s="450"/>
      <c r="R6" s="450"/>
      <c r="S6" s="450"/>
      <c r="T6" s="450"/>
      <c r="U6" s="450"/>
      <c r="V6" s="450"/>
      <c r="W6" s="450"/>
      <c r="X6" s="450"/>
      <c r="Y6" s="450"/>
      <c r="Z6" s="450"/>
      <c r="AA6" s="450"/>
      <c r="AB6" s="450"/>
      <c r="AC6" s="450"/>
      <c r="AD6" s="450"/>
      <c r="AE6" s="450"/>
      <c r="AF6" s="450"/>
      <c r="AG6" s="450"/>
      <c r="AH6" s="450"/>
      <c r="AI6" s="450"/>
      <c r="AJ6" s="450"/>
      <c r="AK6" s="450"/>
      <c r="AL6" s="450"/>
      <c r="AM6" s="450"/>
      <c r="AN6" s="450"/>
      <c r="AO6" s="450"/>
      <c r="AP6" s="450"/>
      <c r="AQ6" s="450"/>
      <c r="AR6" s="450"/>
      <c r="AS6" s="377"/>
      <c r="AT6" s="377"/>
      <c r="AU6" s="377"/>
      <c r="AV6" s="377"/>
      <c r="AW6" s="377"/>
      <c r="AX6" s="377"/>
      <c r="AY6" s="377"/>
      <c r="AZ6" s="377"/>
      <c r="BA6" s="377"/>
      <c r="BB6" s="377"/>
      <c r="BC6" s="379"/>
      <c r="BD6" s="451"/>
      <c r="BE6" s="451"/>
      <c r="BF6" s="451"/>
      <c r="BG6" s="451"/>
      <c r="BH6" s="451"/>
      <c r="BI6" s="451"/>
      <c r="BJ6" s="451"/>
      <c r="BK6" s="451"/>
      <c r="BL6" s="451"/>
      <c r="BM6" s="451"/>
      <c r="BN6" s="451"/>
      <c r="BO6" s="451"/>
      <c r="BP6" s="451"/>
      <c r="BQ6" s="451"/>
      <c r="BR6" s="451"/>
      <c r="BS6" s="451"/>
      <c r="BT6" s="451"/>
      <c r="BU6" s="451"/>
      <c r="BV6" s="451"/>
    </row>
    <row r="7" spans="1:74" ht="27" customHeight="1" x14ac:dyDescent="0.2">
      <c r="A7" s="450"/>
      <c r="B7" s="450"/>
      <c r="C7" s="450"/>
      <c r="D7" s="450"/>
      <c r="E7" s="450"/>
      <c r="F7" s="450"/>
      <c r="G7" s="450"/>
      <c r="H7" s="450"/>
      <c r="I7" s="450"/>
      <c r="J7" s="450"/>
      <c r="K7" s="450"/>
      <c r="L7" s="450"/>
      <c r="M7" s="450"/>
      <c r="N7" s="450"/>
      <c r="O7" s="450"/>
      <c r="P7" s="450"/>
      <c r="Q7" s="450"/>
      <c r="R7" s="450"/>
      <c r="S7" s="450"/>
      <c r="T7" s="450"/>
      <c r="U7" s="450"/>
      <c r="V7" s="450"/>
      <c r="W7" s="450"/>
      <c r="X7" s="450"/>
      <c r="Y7" s="450"/>
      <c r="Z7" s="450"/>
      <c r="AA7" s="450"/>
      <c r="AB7" s="450"/>
      <c r="AC7" s="450"/>
      <c r="AD7" s="450"/>
      <c r="AE7" s="450"/>
      <c r="AF7" s="450"/>
      <c r="AG7" s="450"/>
      <c r="AH7" s="450"/>
      <c r="AI7" s="450"/>
      <c r="AJ7" s="450"/>
      <c r="AK7" s="450"/>
      <c r="AL7" s="450"/>
      <c r="AM7" s="450"/>
      <c r="AN7" s="450"/>
      <c r="AO7" s="450"/>
      <c r="AP7" s="450"/>
      <c r="AQ7" s="450"/>
      <c r="AR7" s="450"/>
      <c r="AS7" s="381"/>
      <c r="AT7" s="381"/>
      <c r="AU7" s="381"/>
      <c r="AV7" s="381"/>
      <c r="AW7" s="381"/>
      <c r="AX7" s="381"/>
      <c r="AY7" s="381"/>
      <c r="AZ7" s="381"/>
      <c r="BA7" s="381"/>
      <c r="BB7" s="381"/>
      <c r="BC7" s="379"/>
      <c r="BD7" s="451"/>
      <c r="BE7" s="451"/>
      <c r="BF7" s="451"/>
      <c r="BG7" s="451"/>
      <c r="BH7" s="451"/>
      <c r="BI7" s="451"/>
      <c r="BJ7" s="451"/>
      <c r="BK7" s="451"/>
      <c r="BL7" s="451"/>
      <c r="BM7" s="451"/>
      <c r="BN7" s="451"/>
      <c r="BO7" s="451"/>
      <c r="BP7" s="451"/>
      <c r="BQ7" s="451"/>
      <c r="BR7" s="451"/>
      <c r="BS7" s="451"/>
      <c r="BT7" s="451"/>
      <c r="BU7" s="451"/>
      <c r="BV7" s="451"/>
    </row>
    <row r="8" spans="1:74" ht="12.75" customHeight="1" x14ac:dyDescent="0.2">
      <c r="A8" s="450"/>
      <c r="B8" s="450"/>
      <c r="C8" s="450"/>
      <c r="D8" s="450"/>
      <c r="E8" s="450"/>
      <c r="F8" s="450"/>
      <c r="G8" s="450"/>
      <c r="H8" s="450"/>
      <c r="I8" s="450"/>
      <c r="J8" s="450"/>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0"/>
      <c r="AP8" s="450"/>
      <c r="AQ8" s="450"/>
      <c r="AR8" s="450"/>
      <c r="AS8" s="381"/>
      <c r="AT8" s="381"/>
      <c r="AU8" s="381"/>
      <c r="AV8" s="381"/>
      <c r="AW8" s="381"/>
      <c r="AX8" s="381"/>
      <c r="AY8" s="381"/>
      <c r="AZ8" s="381"/>
      <c r="BA8" s="381"/>
      <c r="BB8" s="381"/>
      <c r="BC8" s="379"/>
      <c r="BE8" s="449"/>
    </row>
    <row r="9" spans="1:74" ht="12.75" customHeight="1" x14ac:dyDescent="0.2">
      <c r="A9" s="450"/>
      <c r="B9" s="450"/>
      <c r="C9" s="450"/>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E9" s="450"/>
      <c r="AF9" s="450"/>
      <c r="AG9" s="450"/>
      <c r="AH9" s="450"/>
      <c r="AI9" s="450"/>
      <c r="AJ9" s="450"/>
      <c r="AK9" s="450"/>
      <c r="AL9" s="450"/>
      <c r="AM9" s="450"/>
      <c r="AN9" s="450"/>
      <c r="AO9" s="450"/>
      <c r="AP9" s="450"/>
      <c r="AQ9" s="450"/>
      <c r="AR9" s="450"/>
      <c r="AS9" s="382"/>
      <c r="AT9" s="382"/>
      <c r="AU9" s="382"/>
      <c r="AV9" s="382"/>
      <c r="AW9" s="382"/>
      <c r="AX9" s="382"/>
      <c r="AY9" s="382"/>
      <c r="AZ9" s="382"/>
      <c r="BA9" s="382"/>
      <c r="BB9" s="382"/>
      <c r="BC9" s="379"/>
      <c r="BE9" s="449"/>
    </row>
    <row r="10" spans="1:74" ht="12.75" customHeight="1" x14ac:dyDescent="0.2">
      <c r="A10" s="450"/>
      <c r="B10" s="450"/>
      <c r="C10" s="450"/>
      <c r="D10" s="450"/>
      <c r="E10" s="450"/>
      <c r="F10" s="450"/>
      <c r="G10" s="450"/>
      <c r="H10" s="450"/>
      <c r="I10" s="450"/>
      <c r="J10" s="450"/>
      <c r="K10" s="450"/>
      <c r="L10" s="450"/>
      <c r="M10" s="450"/>
      <c r="N10" s="450"/>
      <c r="O10" s="450"/>
      <c r="P10" s="450"/>
      <c r="Q10" s="450"/>
      <c r="R10" s="450"/>
      <c r="S10" s="450"/>
      <c r="T10" s="450"/>
      <c r="U10" s="450"/>
      <c r="V10" s="450"/>
      <c r="W10" s="450"/>
      <c r="X10" s="450"/>
      <c r="Y10" s="450"/>
      <c r="Z10" s="450"/>
      <c r="AA10" s="450"/>
      <c r="AB10" s="450"/>
      <c r="AC10" s="450"/>
      <c r="AD10" s="450"/>
      <c r="AE10" s="450"/>
      <c r="AF10" s="450"/>
      <c r="AG10" s="450"/>
      <c r="AH10" s="450"/>
      <c r="AI10" s="450"/>
      <c r="AJ10" s="450"/>
      <c r="AK10" s="450"/>
      <c r="AL10" s="450"/>
      <c r="AM10" s="450"/>
      <c r="AN10" s="450"/>
      <c r="AO10" s="450"/>
      <c r="AP10" s="450"/>
      <c r="AQ10" s="450"/>
      <c r="AR10" s="450"/>
      <c r="AS10" s="381"/>
      <c r="AT10" s="381"/>
      <c r="AU10" s="381"/>
      <c r="AV10" s="381"/>
      <c r="AW10" s="381"/>
      <c r="AX10" s="381"/>
      <c r="AY10" s="381"/>
      <c r="AZ10" s="381"/>
      <c r="BA10" s="381"/>
      <c r="BB10" s="381"/>
      <c r="BC10" s="379"/>
      <c r="BE10" s="449"/>
    </row>
    <row r="11" spans="1:74" ht="12.75" customHeight="1" x14ac:dyDescent="0.2">
      <c r="A11" s="450"/>
      <c r="B11" s="450"/>
      <c r="C11" s="450"/>
      <c r="D11" s="450"/>
      <c r="E11" s="450"/>
      <c r="F11" s="450"/>
      <c r="G11" s="450"/>
      <c r="H11" s="450"/>
      <c r="I11" s="450"/>
      <c r="J11" s="450"/>
      <c r="K11" s="450"/>
      <c r="L11" s="450"/>
      <c r="M11" s="450"/>
      <c r="N11" s="450"/>
      <c r="O11" s="450"/>
      <c r="P11" s="450"/>
      <c r="Q11" s="450"/>
      <c r="R11" s="450"/>
      <c r="S11" s="450"/>
      <c r="T11" s="450"/>
      <c r="U11" s="450"/>
      <c r="V11" s="450"/>
      <c r="W11" s="450"/>
      <c r="X11" s="450"/>
      <c r="Y11" s="450"/>
      <c r="Z11" s="450"/>
      <c r="AA11" s="450"/>
      <c r="AB11" s="450"/>
      <c r="AC11" s="450"/>
      <c r="AD11" s="450"/>
      <c r="AE11" s="450"/>
      <c r="AF11" s="450"/>
      <c r="AG11" s="450"/>
      <c r="AH11" s="450"/>
      <c r="AI11" s="450"/>
      <c r="AJ11" s="450"/>
      <c r="AK11" s="450"/>
      <c r="AL11" s="450"/>
      <c r="AM11" s="450"/>
      <c r="AN11" s="450"/>
      <c r="AO11" s="450"/>
      <c r="AP11" s="450"/>
      <c r="AQ11" s="450"/>
      <c r="AR11" s="450"/>
      <c r="AS11" s="381"/>
      <c r="AT11" s="381"/>
      <c r="AU11" s="381"/>
      <c r="AV11" s="381"/>
      <c r="AW11" s="381"/>
      <c r="AX11" s="381"/>
      <c r="AY11" s="381"/>
      <c r="AZ11" s="381"/>
      <c r="BA11" s="381"/>
      <c r="BB11" s="381"/>
      <c r="BC11" s="379"/>
      <c r="BE11" s="449"/>
    </row>
    <row r="12" spans="1:74" ht="12.75" customHeight="1" x14ac:dyDescent="0.2">
      <c r="A12" s="450"/>
      <c r="B12" s="450"/>
      <c r="C12" s="450"/>
      <c r="D12" s="450"/>
      <c r="E12" s="450"/>
      <c r="F12" s="450"/>
      <c r="G12" s="450"/>
      <c r="H12" s="450"/>
      <c r="I12" s="450"/>
      <c r="J12" s="450"/>
      <c r="K12" s="450"/>
      <c r="L12" s="450"/>
      <c r="M12" s="450"/>
      <c r="N12" s="450"/>
      <c r="O12" s="450"/>
      <c r="P12" s="450"/>
      <c r="Q12" s="450"/>
      <c r="R12" s="450"/>
      <c r="S12" s="450"/>
      <c r="T12" s="450"/>
      <c r="U12" s="450"/>
      <c r="V12" s="450"/>
      <c r="W12" s="450"/>
      <c r="X12" s="450"/>
      <c r="Y12" s="450"/>
      <c r="Z12" s="450"/>
      <c r="AA12" s="450"/>
      <c r="AB12" s="450"/>
      <c r="AC12" s="450"/>
      <c r="AD12" s="450"/>
      <c r="AE12" s="450"/>
      <c r="AF12" s="450"/>
      <c r="AG12" s="450"/>
      <c r="AH12" s="450"/>
      <c r="AI12" s="450"/>
      <c r="AJ12" s="450"/>
      <c r="AK12" s="450"/>
      <c r="AL12" s="450"/>
      <c r="AM12" s="450"/>
      <c r="AN12" s="450"/>
      <c r="AO12" s="450"/>
      <c r="AP12" s="450"/>
      <c r="AQ12" s="450"/>
      <c r="AR12" s="450"/>
      <c r="AS12" s="381"/>
      <c r="AT12" s="381"/>
      <c r="AU12" s="381"/>
      <c r="AV12" s="381"/>
      <c r="AW12" s="381"/>
      <c r="AX12" s="381"/>
      <c r="AY12" s="381"/>
      <c r="AZ12" s="381"/>
      <c r="BA12" s="381"/>
      <c r="BB12" s="381"/>
      <c r="BC12" s="379"/>
      <c r="BE12" s="449"/>
    </row>
    <row r="13" spans="1:74" ht="12.75" customHeight="1" x14ac:dyDescent="0.2">
      <c r="A13" s="450"/>
      <c r="B13" s="450"/>
      <c r="C13" s="450"/>
      <c r="D13" s="450"/>
      <c r="E13" s="450"/>
      <c r="F13" s="450"/>
      <c r="G13" s="450"/>
      <c r="H13" s="450"/>
      <c r="I13" s="450"/>
      <c r="J13" s="450"/>
      <c r="K13" s="450"/>
      <c r="L13" s="450"/>
      <c r="M13" s="450"/>
      <c r="N13" s="450"/>
      <c r="O13" s="450"/>
      <c r="P13" s="450"/>
      <c r="Q13" s="450"/>
      <c r="R13" s="450"/>
      <c r="S13" s="450"/>
      <c r="T13" s="450"/>
      <c r="U13" s="450"/>
      <c r="V13" s="450"/>
      <c r="W13" s="450"/>
      <c r="X13" s="450"/>
      <c r="Y13" s="450"/>
      <c r="Z13" s="450"/>
      <c r="AA13" s="450"/>
      <c r="AB13" s="450"/>
      <c r="AC13" s="450"/>
      <c r="AD13" s="450"/>
      <c r="AE13" s="450"/>
      <c r="AF13" s="450"/>
      <c r="AG13" s="450"/>
      <c r="AH13" s="450"/>
      <c r="AI13" s="450"/>
      <c r="AJ13" s="450"/>
      <c r="AK13" s="450"/>
      <c r="AL13" s="450"/>
      <c r="AM13" s="450"/>
      <c r="AN13" s="450"/>
      <c r="AO13" s="450"/>
      <c r="AP13" s="450"/>
      <c r="AQ13" s="450"/>
      <c r="AR13" s="450"/>
      <c r="AS13" s="382"/>
      <c r="AT13" s="382"/>
      <c r="AU13" s="382"/>
      <c r="AV13" s="382"/>
      <c r="AW13" s="382"/>
      <c r="AX13" s="382"/>
      <c r="AY13" s="382"/>
      <c r="AZ13" s="382"/>
      <c r="BA13" s="382"/>
      <c r="BB13" s="382"/>
      <c r="BC13" s="379"/>
      <c r="BE13" s="449"/>
      <c r="BG13" s="442" t="s">
        <v>39</v>
      </c>
    </row>
    <row r="14" spans="1:74" ht="12.75" customHeight="1" x14ac:dyDescent="0.2">
      <c r="A14" s="450"/>
      <c r="B14" s="450"/>
      <c r="C14" s="450"/>
      <c r="D14" s="450"/>
      <c r="E14" s="450"/>
      <c r="F14" s="450"/>
      <c r="G14" s="450"/>
      <c r="H14" s="450"/>
      <c r="I14" s="450"/>
      <c r="J14" s="450"/>
      <c r="K14" s="450"/>
      <c r="L14" s="450"/>
      <c r="M14" s="450"/>
      <c r="N14" s="450"/>
      <c r="O14" s="450"/>
      <c r="P14" s="450"/>
      <c r="Q14" s="450"/>
      <c r="R14" s="450"/>
      <c r="S14" s="450"/>
      <c r="T14" s="450"/>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2"/>
      <c r="AT14" s="452"/>
      <c r="AU14" s="452"/>
      <c r="AV14" s="452"/>
      <c r="AW14" s="452"/>
      <c r="AX14" s="452"/>
      <c r="AY14" s="452"/>
      <c r="AZ14" s="452"/>
      <c r="BA14" s="452"/>
      <c r="BB14" s="452"/>
      <c r="BC14" s="379"/>
      <c r="BE14" s="449"/>
    </row>
    <row r="15" spans="1:74" ht="12.75" customHeight="1" x14ac:dyDescent="0.2">
      <c r="A15" s="450"/>
      <c r="B15" s="450"/>
      <c r="C15" s="450"/>
      <c r="D15" s="450"/>
      <c r="E15" s="450"/>
      <c r="F15" s="450"/>
      <c r="G15" s="450"/>
      <c r="H15" s="450"/>
      <c r="I15" s="450"/>
      <c r="J15" s="450"/>
      <c r="K15" s="450"/>
      <c r="L15" s="450"/>
      <c r="M15" s="450"/>
      <c r="N15" s="450"/>
      <c r="O15" s="450"/>
      <c r="P15" s="450"/>
      <c r="Q15" s="450"/>
      <c r="R15" s="450"/>
      <c r="S15" s="450"/>
      <c r="T15" s="450"/>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3"/>
      <c r="AT15" s="453"/>
      <c r="AU15" s="453"/>
      <c r="AV15" s="453"/>
      <c r="AW15" s="453"/>
      <c r="AX15" s="453"/>
      <c r="AY15" s="453"/>
      <c r="AZ15" s="453"/>
      <c r="BA15" s="453"/>
      <c r="BB15" s="453"/>
      <c r="BC15" s="379"/>
      <c r="BD15" s="385"/>
      <c r="BE15" s="386"/>
      <c r="BF15" s="385"/>
      <c r="BG15" s="385"/>
      <c r="BH15" s="385"/>
      <c r="BI15" s="385"/>
      <c r="BJ15" s="385"/>
      <c r="BK15" s="385"/>
      <c r="BL15" s="385"/>
      <c r="BM15" s="385"/>
      <c r="BN15" s="385"/>
      <c r="BO15" s="385"/>
      <c r="BP15" s="385"/>
      <c r="BQ15" s="385"/>
      <c r="BR15" s="385"/>
      <c r="BS15" s="385"/>
      <c r="BT15" s="385"/>
      <c r="BU15" s="385"/>
      <c r="BV15" s="385"/>
    </row>
    <row r="16" spans="1:74" ht="12.75" customHeight="1" x14ac:dyDescent="0.2">
      <c r="A16" s="450"/>
      <c r="B16" s="450"/>
      <c r="C16" s="450"/>
      <c r="D16" s="450"/>
      <c r="E16" s="450"/>
      <c r="F16" s="450"/>
      <c r="G16" s="450"/>
      <c r="H16" s="450"/>
      <c r="I16" s="450"/>
      <c r="J16" s="450"/>
      <c r="K16" s="450"/>
      <c r="L16" s="450"/>
      <c r="M16" s="450"/>
      <c r="N16" s="450"/>
      <c r="O16" s="450"/>
      <c r="P16" s="450"/>
      <c r="Q16" s="450"/>
      <c r="R16" s="450"/>
      <c r="S16" s="450"/>
      <c r="T16" s="450"/>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382"/>
      <c r="AT16" s="382"/>
      <c r="AU16" s="382"/>
      <c r="AV16" s="382"/>
      <c r="AW16" s="382"/>
      <c r="AX16" s="382"/>
      <c r="AY16" s="382"/>
      <c r="AZ16" s="382"/>
      <c r="BA16" s="382"/>
      <c r="BB16" s="382"/>
      <c r="BC16" s="379"/>
      <c r="BD16" s="385"/>
      <c r="BE16" s="386"/>
      <c r="BF16" s="385"/>
      <c r="BG16" s="385"/>
      <c r="BH16" s="385"/>
      <c r="BI16" s="385"/>
      <c r="BJ16" s="385"/>
      <c r="BK16" s="385"/>
      <c r="BL16" s="385"/>
      <c r="BM16" s="385"/>
      <c r="BN16" s="385"/>
      <c r="BO16" s="385"/>
      <c r="BP16" s="385"/>
      <c r="BQ16" s="385"/>
      <c r="BR16" s="385"/>
      <c r="BS16" s="385"/>
      <c r="BT16" s="385"/>
      <c r="BU16" s="385"/>
      <c r="BV16" s="385"/>
    </row>
    <row r="17" spans="1:76" ht="12.75" customHeight="1" x14ac:dyDescent="0.2">
      <c r="A17" s="450"/>
      <c r="B17" s="450"/>
      <c r="C17" s="450"/>
      <c r="D17" s="450"/>
      <c r="E17" s="450"/>
      <c r="F17" s="450"/>
      <c r="G17" s="450"/>
      <c r="H17" s="450"/>
      <c r="I17" s="450"/>
      <c r="J17" s="450"/>
      <c r="K17" s="450"/>
      <c r="L17" s="450"/>
      <c r="M17" s="450"/>
      <c r="N17" s="450"/>
      <c r="O17" s="450"/>
      <c r="P17" s="450"/>
      <c r="Q17" s="450"/>
      <c r="R17" s="450"/>
      <c r="S17" s="450"/>
      <c r="T17" s="450"/>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381"/>
      <c r="AT17" s="381"/>
      <c r="AU17" s="381"/>
      <c r="AV17" s="381"/>
      <c r="AW17" s="381"/>
      <c r="AX17" s="381"/>
      <c r="AY17" s="381"/>
      <c r="AZ17" s="381"/>
      <c r="BA17" s="381"/>
      <c r="BB17" s="381"/>
      <c r="BC17" s="379"/>
      <c r="BD17" s="385"/>
      <c r="BE17" s="386"/>
      <c r="BF17" s="385"/>
      <c r="BG17" s="385"/>
      <c r="BH17" s="385"/>
      <c r="BI17" s="385"/>
      <c r="BJ17" s="385"/>
      <c r="BK17" s="385"/>
      <c r="BL17" s="385"/>
      <c r="BM17" s="385"/>
      <c r="BN17" s="385"/>
      <c r="BO17" s="385"/>
      <c r="BP17" s="385"/>
      <c r="BQ17" s="385"/>
      <c r="BR17" s="385"/>
      <c r="BS17" s="385"/>
      <c r="BT17" s="385"/>
      <c r="BU17" s="385"/>
      <c r="BV17" s="385"/>
    </row>
    <row r="18" spans="1:76" ht="12.75" customHeight="1" x14ac:dyDescent="0.2">
      <c r="A18" s="450"/>
      <c r="B18" s="450"/>
      <c r="C18" s="450"/>
      <c r="D18" s="450"/>
      <c r="E18" s="450"/>
      <c r="F18" s="450"/>
      <c r="G18" s="450"/>
      <c r="H18" s="450"/>
      <c r="I18" s="450"/>
      <c r="J18" s="450"/>
      <c r="K18" s="450"/>
      <c r="L18" s="450"/>
      <c r="M18" s="450"/>
      <c r="N18" s="450"/>
      <c r="O18" s="450"/>
      <c r="P18" s="450"/>
      <c r="Q18" s="450"/>
      <c r="R18" s="450"/>
      <c r="S18" s="450"/>
      <c r="T18" s="450"/>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381"/>
      <c r="AT18" s="381"/>
      <c r="AU18" s="381"/>
      <c r="AV18" s="381"/>
      <c r="AW18" s="381"/>
      <c r="AX18" s="381"/>
      <c r="AY18" s="381"/>
      <c r="AZ18" s="381"/>
      <c r="BA18" s="381"/>
      <c r="BB18" s="381"/>
      <c r="BC18" s="379"/>
      <c r="BD18" s="385"/>
      <c r="BE18" s="386"/>
      <c r="BF18" s="385"/>
      <c r="BG18" s="385"/>
      <c r="BH18" s="385"/>
      <c r="BI18" s="385"/>
      <c r="BJ18" s="385"/>
      <c r="BK18" s="385"/>
      <c r="BL18" s="385"/>
      <c r="BM18" s="385"/>
      <c r="BN18" s="385"/>
      <c r="BO18" s="385"/>
      <c r="BP18" s="385"/>
      <c r="BQ18" s="385"/>
      <c r="BR18" s="385"/>
      <c r="BS18" s="385"/>
      <c r="BT18" s="385"/>
      <c r="BU18" s="385"/>
      <c r="BV18" s="385"/>
    </row>
    <row r="19" spans="1:76" ht="12.75" customHeight="1" x14ac:dyDescent="0.2">
      <c r="A19" s="450"/>
      <c r="B19" s="450"/>
      <c r="C19" s="450"/>
      <c r="D19" s="450"/>
      <c r="E19" s="450"/>
      <c r="F19" s="450"/>
      <c r="G19" s="450"/>
      <c r="H19" s="450"/>
      <c r="I19" s="450"/>
      <c r="J19" s="450"/>
      <c r="K19" s="450"/>
      <c r="L19" s="450"/>
      <c r="M19" s="450"/>
      <c r="N19" s="450"/>
      <c r="O19" s="450"/>
      <c r="P19" s="450"/>
      <c r="Q19" s="450"/>
      <c r="R19" s="450"/>
      <c r="S19" s="450"/>
      <c r="T19" s="450"/>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381"/>
      <c r="AT19" s="381"/>
      <c r="AU19" s="381"/>
      <c r="AV19" s="381"/>
      <c r="AW19" s="381"/>
      <c r="AX19" s="381"/>
      <c r="AY19" s="381"/>
      <c r="AZ19" s="381"/>
      <c r="BA19" s="381"/>
      <c r="BB19" s="381"/>
      <c r="BC19" s="379"/>
      <c r="BD19" s="385"/>
      <c r="BE19" s="386" t="str">
        <f ca="1">IFERROR(_xll.BDP($BL19,"PX_TO_SALES_RATIO")*1,"-")</f>
        <v>-</v>
      </c>
      <c r="BF19" s="385"/>
      <c r="BG19" s="385"/>
      <c r="BH19" s="385" t="str">
        <f ca="1">IFERROR(_xll.BDP($BL19,"PX_TO_FREE_CASH_FLOW")*1,"-")</f>
        <v>-</v>
      </c>
      <c r="BI19" s="385"/>
      <c r="BJ19" s="385"/>
      <c r="BK19" s="385"/>
      <c r="BL19" s="385"/>
      <c r="BM19" s="385"/>
      <c r="BN19" s="385"/>
      <c r="BO19" s="385"/>
      <c r="BP19" s="385"/>
      <c r="BQ19" s="385"/>
      <c r="BR19" s="385"/>
      <c r="BS19" s="385"/>
      <c r="BT19" s="385"/>
      <c r="BU19" s="385"/>
      <c r="BV19" s="385"/>
    </row>
    <row r="20" spans="1:76" ht="12.75" customHeight="1" x14ac:dyDescent="0.2">
      <c r="A20" s="450"/>
      <c r="B20" s="450"/>
      <c r="C20" s="450"/>
      <c r="D20" s="450"/>
      <c r="E20" s="450"/>
      <c r="F20" s="450"/>
      <c r="G20" s="450"/>
      <c r="H20" s="450"/>
      <c r="I20" s="450"/>
      <c r="J20" s="450"/>
      <c r="K20" s="450"/>
      <c r="L20" s="450"/>
      <c r="M20" s="450"/>
      <c r="N20" s="450"/>
      <c r="O20" s="450"/>
      <c r="P20" s="450"/>
      <c r="Q20" s="450"/>
      <c r="R20" s="450"/>
      <c r="S20" s="450"/>
      <c r="T20" s="450"/>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381"/>
      <c r="AT20" s="381"/>
      <c r="AU20" s="381"/>
      <c r="AV20" s="381"/>
      <c r="AW20" s="381"/>
      <c r="AX20" s="381"/>
      <c r="AY20" s="381"/>
      <c r="AZ20" s="381"/>
      <c r="BA20" s="381"/>
      <c r="BB20" s="381"/>
      <c r="BC20" s="379"/>
      <c r="BD20" s="385"/>
      <c r="BE20" s="386"/>
      <c r="BF20" s="385"/>
      <c r="BG20" s="385"/>
      <c r="BH20" s="385"/>
      <c r="BI20" s="385"/>
      <c r="BJ20" s="385"/>
      <c r="BK20" s="385"/>
      <c r="BL20" s="385"/>
      <c r="BM20" s="385"/>
      <c r="BN20" s="385"/>
      <c r="BO20" s="385"/>
      <c r="BP20" s="385"/>
      <c r="BQ20" s="385"/>
      <c r="BR20" s="385"/>
      <c r="BS20" s="385"/>
      <c r="BT20" s="385"/>
      <c r="BU20" s="385"/>
      <c r="BV20" s="385"/>
    </row>
    <row r="21" spans="1:76" ht="12.75" customHeight="1" x14ac:dyDescent="0.2">
      <c r="A21" s="450"/>
      <c r="B21" s="450"/>
      <c r="C21" s="450"/>
      <c r="D21" s="450"/>
      <c r="E21" s="450"/>
      <c r="F21" s="450"/>
      <c r="G21" s="450"/>
      <c r="H21" s="450"/>
      <c r="I21" s="450"/>
      <c r="J21" s="450"/>
      <c r="K21" s="450"/>
      <c r="L21" s="450"/>
      <c r="M21" s="450"/>
      <c r="N21" s="450"/>
      <c r="O21" s="450"/>
      <c r="P21" s="450"/>
      <c r="Q21" s="450"/>
      <c r="R21" s="450"/>
      <c r="S21" s="450"/>
      <c r="T21" s="450"/>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2"/>
      <c r="AT21" s="452"/>
      <c r="AU21" s="452"/>
      <c r="AV21" s="452"/>
      <c r="AW21" s="452"/>
      <c r="AX21" s="452"/>
      <c r="AY21" s="452"/>
      <c r="AZ21" s="452"/>
      <c r="BA21" s="452"/>
      <c r="BB21" s="452"/>
      <c r="BC21" s="379"/>
      <c r="BD21" s="454"/>
      <c r="BE21" s="454"/>
      <c r="BF21" s="454"/>
      <c r="BG21" s="454"/>
      <c r="BH21" s="454"/>
      <c r="BI21" s="454"/>
      <c r="BJ21" s="454"/>
      <c r="BK21" s="454"/>
      <c r="BL21" s="454"/>
      <c r="BM21" s="454"/>
      <c r="BN21" s="454"/>
      <c r="BO21" s="454"/>
      <c r="BP21" s="454"/>
      <c r="BQ21" s="454"/>
      <c r="BR21" s="454"/>
      <c r="BS21" s="454"/>
      <c r="BT21" s="385"/>
      <c r="BU21" s="385"/>
      <c r="BV21" s="385"/>
    </row>
    <row r="22" spans="1:76" s="455" customFormat="1" ht="12.75" customHeight="1" x14ac:dyDescent="0.2">
      <c r="A22" s="450"/>
      <c r="B22" s="450"/>
      <c r="C22" s="450"/>
      <c r="D22" s="450"/>
      <c r="E22" s="450"/>
      <c r="F22" s="450"/>
      <c r="G22" s="450"/>
      <c r="H22" s="450"/>
      <c r="I22" s="450"/>
      <c r="J22" s="450"/>
      <c r="K22" s="450"/>
      <c r="L22" s="450"/>
      <c r="M22" s="450"/>
      <c r="N22" s="450"/>
      <c r="O22" s="450"/>
      <c r="P22" s="450"/>
      <c r="Q22" s="450"/>
      <c r="R22" s="450"/>
      <c r="S22" s="450"/>
      <c r="T22" s="450"/>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2"/>
      <c r="AT22" s="452"/>
      <c r="AU22" s="452"/>
      <c r="AV22" s="452"/>
      <c r="AW22" s="452"/>
      <c r="AX22" s="452"/>
      <c r="AY22" s="452"/>
      <c r="AZ22" s="452"/>
      <c r="BA22" s="452"/>
      <c r="BB22" s="452"/>
      <c r="BC22" s="379"/>
      <c r="BD22" s="388"/>
      <c r="BE22" s="389"/>
      <c r="BF22" s="388" t="str">
        <f>IF(OR(IFERROR(VLOOKUP(BP22,[1]ARS!A:EL,MATCH("Price To Earnings",[1]ARS!$4:$4,0),FALSE),"-")&lt;0,IFERROR(VLOOKUP(BP22,[1]ARS!A:EL,MATCH("Price To Earnings",[1]ARS!$4:$4,0),FALSE),"-")&gt;500),"-",IFERROR(VLOOKUP(BP22,[1]ARS!A:EL,MATCH("Price To Earnings",[1]ARS!$4:$4,0),FALSE),"-"))</f>
        <v>-</v>
      </c>
      <c r="BG22" s="388"/>
      <c r="BH22" s="388"/>
      <c r="BI22" s="388"/>
      <c r="BJ22" s="388"/>
      <c r="BK22" s="388"/>
      <c r="BL22" s="388"/>
      <c r="BM22" s="388"/>
      <c r="BN22" s="388"/>
      <c r="BO22" s="388"/>
      <c r="BP22" s="388"/>
      <c r="BQ22" s="388"/>
      <c r="BR22" s="388"/>
      <c r="BS22" s="388"/>
      <c r="BT22" s="388"/>
      <c r="BU22" s="388"/>
      <c r="BV22" s="388"/>
    </row>
    <row r="23" spans="1:76" ht="12.75" customHeight="1" x14ac:dyDescent="0.2">
      <c r="A23" s="450"/>
      <c r="B23" s="450"/>
      <c r="C23" s="450"/>
      <c r="D23" s="450"/>
      <c r="E23" s="450"/>
      <c r="F23" s="450"/>
      <c r="G23" s="450"/>
      <c r="H23" s="450"/>
      <c r="I23" s="450"/>
      <c r="J23" s="450"/>
      <c r="K23" s="450"/>
      <c r="L23" s="450"/>
      <c r="M23" s="450"/>
      <c r="N23" s="450"/>
      <c r="O23" s="450"/>
      <c r="P23" s="450"/>
      <c r="Q23" s="450"/>
      <c r="R23" s="450"/>
      <c r="S23" s="450"/>
      <c r="T23" s="450"/>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2"/>
      <c r="AT23" s="452"/>
      <c r="AU23" s="452"/>
      <c r="AV23" s="452"/>
      <c r="AW23" s="452"/>
      <c r="AX23" s="452"/>
      <c r="AY23" s="452"/>
      <c r="AZ23" s="452"/>
      <c r="BA23" s="452"/>
      <c r="BB23" s="452"/>
      <c r="BC23" s="379"/>
      <c r="BD23" s="385"/>
      <c r="BE23" s="386"/>
      <c r="BF23" s="385" t="str">
        <f>IF(OR(IFERROR(VLOOKUP(BP23,[1]ARS!A:EL,MATCH("Price To Earnings",[1]ARS!$4:$4,0),FALSE),"-")&lt;0,IFERROR(VLOOKUP(BP23,[1]ARS!A:EL,MATCH("Price To Earnings",[1]ARS!$4:$4,0),FALSE),"-")&gt;500),"-",IFERROR(VLOOKUP(BP23,[1]ARS!A:EL,MATCH("Price To Earnings",[1]ARS!$4:$4,0),FALSE),"-"))</f>
        <v>-</v>
      </c>
      <c r="BG23" s="385"/>
      <c r="BH23" s="385"/>
      <c r="BI23" s="385"/>
      <c r="BJ23" s="385"/>
      <c r="BK23" s="385"/>
      <c r="BL23" s="385"/>
      <c r="BM23" s="385"/>
      <c r="BN23" s="385"/>
      <c r="BO23" s="385"/>
      <c r="BP23" s="385"/>
      <c r="BQ23" s="385"/>
      <c r="BR23" s="385"/>
      <c r="BS23" s="385"/>
      <c r="BT23" s="385"/>
      <c r="BU23" s="385"/>
      <c r="BV23" s="385"/>
    </row>
    <row r="24" spans="1:76" s="456" customFormat="1" ht="12.75" customHeight="1" x14ac:dyDescent="0.2">
      <c r="A24" s="450"/>
      <c r="B24" s="450"/>
      <c r="C24" s="450"/>
      <c r="D24" s="450"/>
      <c r="E24" s="450"/>
      <c r="F24" s="450"/>
      <c r="G24" s="450"/>
      <c r="H24" s="450"/>
      <c r="I24" s="450"/>
      <c r="J24" s="450"/>
      <c r="K24" s="450"/>
      <c r="L24" s="450"/>
      <c r="M24" s="450"/>
      <c r="N24" s="450"/>
      <c r="O24" s="450"/>
      <c r="P24" s="450"/>
      <c r="Q24" s="450"/>
      <c r="R24" s="450"/>
      <c r="S24" s="450"/>
      <c r="T24" s="450"/>
      <c r="U24" s="450"/>
      <c r="V24" s="450"/>
      <c r="W24" s="450"/>
      <c r="X24" s="450"/>
      <c r="Y24" s="450"/>
      <c r="Z24" s="450"/>
      <c r="AA24" s="450"/>
      <c r="AB24" s="450"/>
      <c r="AC24" s="450"/>
      <c r="AD24" s="450"/>
      <c r="AE24" s="450"/>
      <c r="AF24" s="450"/>
      <c r="AG24" s="450"/>
      <c r="AH24" s="450"/>
      <c r="AI24" s="450"/>
      <c r="AJ24" s="450"/>
      <c r="AK24" s="450"/>
      <c r="AL24" s="450"/>
      <c r="AM24" s="450"/>
      <c r="AN24" s="450"/>
      <c r="AO24" s="450"/>
      <c r="AP24" s="450"/>
      <c r="AQ24" s="450"/>
      <c r="AR24" s="450"/>
      <c r="AS24" s="453"/>
      <c r="AT24" s="453"/>
      <c r="AU24" s="453"/>
      <c r="AV24" s="453"/>
      <c r="AW24" s="453"/>
      <c r="AX24" s="453"/>
      <c r="AY24" s="453"/>
      <c r="AZ24" s="453"/>
      <c r="BA24" s="453"/>
      <c r="BB24" s="453"/>
      <c r="BC24" s="379"/>
      <c r="BD24" s="395"/>
      <c r="BE24" s="396"/>
      <c r="BF24" s="395" t="str">
        <f>IF(OR(IFERROR(VLOOKUP(BP24,[1]ARS!A:EL,MATCH("Price To Earnings",[1]ARS!$4:$4,0),FALSE),"-")&lt;0,IFERROR(VLOOKUP(BP24,[1]ARS!A:EL,MATCH("Price To Earnings",[1]ARS!$4:$4,0),FALSE),"-")&gt;500),"-",IFERROR(VLOOKUP(BP24,[1]ARS!A:EL,MATCH("Price To Earnings",[1]ARS!$4:$4,0),FALSE),"-"))</f>
        <v>-</v>
      </c>
      <c r="BG24" s="395"/>
      <c r="BH24" s="395"/>
      <c r="BI24" s="395"/>
      <c r="BJ24" s="395"/>
      <c r="BK24" s="395"/>
      <c r="BL24" s="395"/>
      <c r="BM24" s="395"/>
      <c r="BN24" s="395"/>
      <c r="BO24" s="395"/>
      <c r="BP24" s="395"/>
      <c r="BQ24" s="395"/>
      <c r="BR24" s="395"/>
      <c r="BS24" s="395"/>
      <c r="BT24" s="395"/>
      <c r="BU24" s="395"/>
      <c r="BV24" s="395"/>
    </row>
    <row r="25" spans="1:76" s="456" customFormat="1" ht="12.75" customHeight="1" x14ac:dyDescent="0.2">
      <c r="A25" s="450"/>
      <c r="B25" s="450"/>
      <c r="C25" s="450"/>
      <c r="D25" s="450"/>
      <c r="E25" s="450"/>
      <c r="F25" s="450"/>
      <c r="G25" s="450"/>
      <c r="H25" s="450"/>
      <c r="I25" s="450"/>
      <c r="J25" s="450"/>
      <c r="K25" s="450"/>
      <c r="L25" s="450"/>
      <c r="M25" s="450"/>
      <c r="N25" s="450"/>
      <c r="O25" s="450"/>
      <c r="P25" s="450"/>
      <c r="Q25" s="450"/>
      <c r="R25" s="450"/>
      <c r="S25" s="450"/>
      <c r="T25" s="450"/>
      <c r="U25" s="450"/>
      <c r="V25" s="450"/>
      <c r="W25" s="450"/>
      <c r="X25" s="450"/>
      <c r="Y25" s="450"/>
      <c r="Z25" s="450"/>
      <c r="AA25" s="450"/>
      <c r="AB25" s="450"/>
      <c r="AC25" s="450"/>
      <c r="AD25" s="450"/>
      <c r="AE25" s="450"/>
      <c r="AF25" s="450"/>
      <c r="AG25" s="450"/>
      <c r="AH25" s="450"/>
      <c r="AI25" s="450"/>
      <c r="AJ25" s="450"/>
      <c r="AK25" s="450"/>
      <c r="AL25" s="450"/>
      <c r="AM25" s="450"/>
      <c r="AN25" s="450"/>
      <c r="AO25" s="450"/>
      <c r="AP25" s="450"/>
      <c r="AQ25" s="450"/>
      <c r="AR25" s="450"/>
      <c r="AS25" s="453"/>
      <c r="AT25" s="453"/>
      <c r="AU25" s="453"/>
      <c r="AV25" s="453"/>
      <c r="AW25" s="453"/>
      <c r="AX25" s="453"/>
      <c r="AY25" s="453"/>
      <c r="AZ25" s="453"/>
      <c r="BA25" s="453"/>
      <c r="BB25" s="453"/>
      <c r="BC25" s="379"/>
      <c r="BD25" s="385"/>
      <c r="BE25" s="386"/>
      <c r="BF25" s="385" t="str">
        <f>IF(OR(IFERROR(VLOOKUP(BP25,[1]ARS!A:EL,MATCH("Price To Earnings",[1]ARS!$4:$4,0),FALSE),"-")&lt;0,IFERROR(VLOOKUP(BP25,[1]ARS!A:EL,MATCH("Price To Earnings",[1]ARS!$4:$4,0),FALSE),"-")&gt;500),"-",IFERROR(VLOOKUP(BP25,[1]ARS!A:EL,MATCH("Price To Earnings",[1]ARS!$4:$4,0),FALSE),"-"))</f>
        <v>-</v>
      </c>
      <c r="BG25" s="385"/>
      <c r="BH25" s="385"/>
      <c r="BI25" s="385"/>
      <c r="BJ25" s="385"/>
      <c r="BK25" s="385"/>
      <c r="BL25" s="385"/>
      <c r="BM25" s="385"/>
      <c r="BN25" s="385"/>
      <c r="BO25" s="385"/>
      <c r="BP25" s="385"/>
      <c r="BQ25" s="385"/>
      <c r="BR25" s="385"/>
      <c r="BS25" s="385"/>
      <c r="BT25" s="385"/>
      <c r="BU25" s="385"/>
      <c r="BV25" s="385"/>
      <c r="BX25" s="456" t="s">
        <v>157</v>
      </c>
    </row>
    <row r="26" spans="1:76" s="456" customFormat="1" ht="12.75" customHeight="1" x14ac:dyDescent="0.2">
      <c r="A26" s="450"/>
      <c r="B26" s="450"/>
      <c r="C26" s="450"/>
      <c r="D26" s="450"/>
      <c r="E26" s="450"/>
      <c r="F26" s="450"/>
      <c r="G26" s="450"/>
      <c r="H26" s="450"/>
      <c r="I26" s="450"/>
      <c r="J26" s="450"/>
      <c r="K26" s="450"/>
      <c r="L26" s="450"/>
      <c r="M26" s="450"/>
      <c r="N26" s="450"/>
      <c r="O26" s="450"/>
      <c r="P26" s="450"/>
      <c r="Q26" s="450"/>
      <c r="R26" s="450"/>
      <c r="S26" s="450"/>
      <c r="T26" s="450"/>
      <c r="U26" s="450"/>
      <c r="V26" s="450"/>
      <c r="W26" s="450"/>
      <c r="X26" s="450"/>
      <c r="Y26" s="450"/>
      <c r="Z26" s="450"/>
      <c r="AA26" s="450"/>
      <c r="AB26" s="450"/>
      <c r="AC26" s="450"/>
      <c r="AD26" s="450"/>
      <c r="AE26" s="450"/>
      <c r="AF26" s="450"/>
      <c r="AG26" s="450"/>
      <c r="AH26" s="450"/>
      <c r="AI26" s="450"/>
      <c r="AJ26" s="450"/>
      <c r="AK26" s="450"/>
      <c r="AL26" s="450"/>
      <c r="AM26" s="450"/>
      <c r="AN26" s="450"/>
      <c r="AO26" s="450"/>
      <c r="AP26" s="450"/>
      <c r="AQ26" s="450"/>
      <c r="AR26" s="450"/>
      <c r="AS26" s="380"/>
      <c r="AT26" s="380"/>
      <c r="AU26" s="380"/>
      <c r="AV26" s="380"/>
      <c r="AW26" s="380"/>
      <c r="AX26" s="380"/>
      <c r="AY26" s="380"/>
      <c r="AZ26" s="380"/>
      <c r="BA26" s="380"/>
      <c r="BB26" s="380"/>
      <c r="BC26" s="379"/>
      <c r="BD26" s="395"/>
      <c r="BE26" s="396"/>
      <c r="BF26" s="395" t="str">
        <f>IF(OR(IFERROR(VLOOKUP(BP26,[1]ARS!A:EL,MATCH("Price To Earnings",[1]ARS!$4:$4,0),FALSE),"-")&lt;0,IFERROR(VLOOKUP(BP26,[1]ARS!A:EL,MATCH("Price To Earnings",[1]ARS!$4:$4,0),FALSE),"-")&gt;500),"-",IFERROR(VLOOKUP(BP26,[1]ARS!A:EL,MATCH("Price To Earnings",[1]ARS!$4:$4,0),FALSE),"-"))</f>
        <v>-</v>
      </c>
      <c r="BG26" s="395"/>
      <c r="BH26" s="395"/>
      <c r="BI26" s="395"/>
      <c r="BJ26" s="395"/>
      <c r="BK26" s="395"/>
      <c r="BL26" s="395"/>
      <c r="BM26" s="395"/>
      <c r="BN26" s="395"/>
      <c r="BO26" s="395"/>
      <c r="BP26" s="395"/>
      <c r="BQ26" s="395"/>
      <c r="BR26" s="395"/>
      <c r="BS26" s="395"/>
      <c r="BT26" s="395"/>
      <c r="BU26" s="395"/>
      <c r="BV26" s="395"/>
      <c r="BX26" s="456" t="s">
        <v>45</v>
      </c>
    </row>
    <row r="27" spans="1:76" ht="12.75" customHeight="1" x14ac:dyDescent="0.2">
      <c r="A27" s="450"/>
      <c r="B27" s="450"/>
      <c r="C27" s="450"/>
      <c r="D27" s="450"/>
      <c r="E27" s="450"/>
      <c r="F27" s="450"/>
      <c r="G27" s="450"/>
      <c r="H27" s="450"/>
      <c r="I27" s="450"/>
      <c r="J27" s="450"/>
      <c r="K27" s="450"/>
      <c r="L27" s="450"/>
      <c r="M27" s="450"/>
      <c r="N27" s="450"/>
      <c r="O27" s="450"/>
      <c r="P27" s="450"/>
      <c r="Q27" s="450"/>
      <c r="R27" s="450"/>
      <c r="S27" s="450"/>
      <c r="T27" s="450"/>
      <c r="U27" s="450"/>
      <c r="V27" s="450"/>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2"/>
      <c r="AT27" s="452"/>
      <c r="AU27" s="452"/>
      <c r="AV27" s="452"/>
      <c r="AW27" s="452"/>
      <c r="AX27" s="452"/>
      <c r="AY27" s="452"/>
      <c r="AZ27" s="452"/>
      <c r="BA27" s="452"/>
      <c r="BB27" s="452"/>
      <c r="BC27" s="379"/>
      <c r="BD27" s="385"/>
      <c r="BE27" s="386"/>
      <c r="BF27" s="385" t="str">
        <f>IF(OR(IFERROR(VLOOKUP(BP27,[1]ARS!A:EL,MATCH("Price To Earnings",[1]ARS!$4:$4,0),FALSE),"-")&lt;0,IFERROR(VLOOKUP(BP27,[1]ARS!A:EL,MATCH("Price To Earnings",[1]ARS!$4:$4,0),FALSE),"-")&gt;500),"-",IFERROR(VLOOKUP(BP27,[1]ARS!A:EL,MATCH("Price To Earnings",[1]ARS!$4:$4,0),FALSE),"-"))</f>
        <v>-</v>
      </c>
      <c r="BG27" s="385"/>
      <c r="BH27" s="385"/>
      <c r="BI27" s="385"/>
      <c r="BJ27" s="385"/>
      <c r="BK27" s="385"/>
      <c r="BL27" s="385"/>
      <c r="BM27" s="385"/>
      <c r="BN27" s="385"/>
      <c r="BO27" s="385"/>
      <c r="BP27" s="385"/>
      <c r="BQ27" s="385"/>
      <c r="BR27" s="385"/>
      <c r="BS27" s="385"/>
      <c r="BT27" s="385"/>
      <c r="BU27" s="385"/>
      <c r="BV27" s="385"/>
      <c r="BW27" s="385"/>
    </row>
    <row r="28" spans="1:76" ht="12.75" customHeight="1" x14ac:dyDescent="0.2">
      <c r="A28" s="450"/>
      <c r="B28" s="450"/>
      <c r="C28" s="450"/>
      <c r="D28" s="450"/>
      <c r="E28" s="450"/>
      <c r="F28" s="450"/>
      <c r="G28" s="450"/>
      <c r="H28" s="450"/>
      <c r="I28" s="450"/>
      <c r="J28" s="450"/>
      <c r="K28" s="450"/>
      <c r="L28" s="450"/>
      <c r="M28" s="450"/>
      <c r="N28" s="450"/>
      <c r="O28" s="450"/>
      <c r="P28" s="450"/>
      <c r="Q28" s="450"/>
      <c r="R28" s="450"/>
      <c r="S28" s="450"/>
      <c r="T28" s="450"/>
      <c r="U28" s="450"/>
      <c r="V28" s="450"/>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3"/>
      <c r="AT28" s="453"/>
      <c r="AU28" s="453"/>
      <c r="AV28" s="453"/>
      <c r="AW28" s="453"/>
      <c r="AX28" s="453"/>
      <c r="AY28" s="453"/>
      <c r="AZ28" s="453"/>
      <c r="BA28" s="453"/>
      <c r="BB28" s="453"/>
      <c r="BC28" s="379"/>
      <c r="BD28" s="385"/>
      <c r="BE28" s="386"/>
      <c r="BF28" s="385" t="str">
        <f>IF(OR(IFERROR(VLOOKUP(BP28,[1]ARS!A:EL,MATCH("Price To Earnings",[1]ARS!$4:$4,0),FALSE),"-")&lt;0,IFERROR(VLOOKUP(BP28,[1]ARS!A:EL,MATCH("Price To Earnings",[1]ARS!$4:$4,0),FALSE),"-")&gt;500),"-",IFERROR(VLOOKUP(BP28,[1]ARS!A:EL,MATCH("Price To Earnings",[1]ARS!$4:$4,0),FALSE),"-"))</f>
        <v>-</v>
      </c>
      <c r="BG28" s="385"/>
      <c r="BH28" s="385"/>
      <c r="BI28" s="385"/>
      <c r="BJ28" s="385"/>
      <c r="BK28" s="385"/>
      <c r="BL28" s="385"/>
      <c r="BM28" s="385"/>
      <c r="BN28" s="385"/>
      <c r="BO28" s="385"/>
      <c r="BP28" s="385"/>
      <c r="BQ28" s="385"/>
      <c r="BR28" s="385"/>
      <c r="BS28" s="385"/>
      <c r="BT28" s="385"/>
      <c r="BU28" s="385"/>
      <c r="BV28" s="385"/>
    </row>
    <row r="29" spans="1:76" ht="12.75" customHeight="1" x14ac:dyDescent="0.2">
      <c r="A29" s="457"/>
      <c r="B29" s="457"/>
      <c r="C29" s="457"/>
      <c r="D29" s="457"/>
      <c r="E29" s="457"/>
      <c r="F29" s="457"/>
      <c r="G29" s="457"/>
      <c r="H29" s="457"/>
      <c r="I29" s="457"/>
      <c r="J29" s="457"/>
      <c r="K29" s="457"/>
      <c r="L29" s="457"/>
      <c r="M29" s="458"/>
      <c r="N29" s="457"/>
      <c r="O29" s="457"/>
      <c r="P29" s="457"/>
      <c r="Q29" s="457"/>
      <c r="R29" s="457"/>
      <c r="S29" s="457"/>
      <c r="T29" s="457"/>
      <c r="U29" s="457"/>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60"/>
      <c r="AS29" s="453"/>
      <c r="AT29" s="453"/>
      <c r="AU29" s="453"/>
      <c r="AV29" s="453"/>
      <c r="AW29" s="453"/>
      <c r="AX29" s="453"/>
      <c r="AY29" s="453"/>
      <c r="AZ29" s="453"/>
      <c r="BA29" s="453"/>
      <c r="BB29" s="453"/>
      <c r="BC29" s="379"/>
      <c r="BD29" s="385"/>
      <c r="BE29" s="386"/>
      <c r="BF29" s="385" t="str">
        <f>IF(OR(IFERROR(VLOOKUP(BP29,[1]ARS!A:EL,MATCH("Price To Earnings",[1]ARS!$4:$4,0),FALSE),"-")&lt;0,IFERROR(VLOOKUP(BP29,[1]ARS!A:EL,MATCH("Price To Earnings",[1]ARS!$4:$4,0),FALSE),"-")&gt;500),"-",IFERROR(VLOOKUP(BP29,[1]ARS!A:EL,MATCH("Price To Earnings",[1]ARS!$4:$4,0),FALSE),"-"))</f>
        <v>-</v>
      </c>
      <c r="BG29" s="385"/>
      <c r="BH29" s="385"/>
      <c r="BI29" s="385"/>
      <c r="BJ29" s="385"/>
      <c r="BK29" s="385"/>
      <c r="BL29" s="385"/>
      <c r="BM29" s="385"/>
      <c r="BN29" s="385"/>
      <c r="BO29" s="385"/>
      <c r="BP29" s="385"/>
      <c r="BQ29" s="385"/>
      <c r="BR29" s="385"/>
      <c r="BS29" s="385"/>
      <c r="BT29" s="385"/>
      <c r="BU29" s="385"/>
      <c r="BV29" s="385"/>
    </row>
    <row r="30" spans="1:76" ht="12.75" customHeight="1" x14ac:dyDescent="0.2">
      <c r="A30" s="461"/>
      <c r="B30" s="457"/>
      <c r="C30" s="457"/>
      <c r="D30" s="457"/>
      <c r="E30" s="457"/>
      <c r="F30" s="457"/>
      <c r="G30" s="457"/>
      <c r="H30" s="457"/>
      <c r="I30" s="457"/>
      <c r="J30" s="457"/>
      <c r="K30" s="457"/>
      <c r="L30" s="457"/>
      <c r="M30" s="457"/>
      <c r="N30" s="457"/>
      <c r="O30" s="457"/>
      <c r="P30" s="457"/>
      <c r="Q30" s="457"/>
      <c r="R30" s="457"/>
      <c r="S30" s="457"/>
      <c r="T30" s="457"/>
      <c r="U30" s="457"/>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62"/>
      <c r="AS30" s="380"/>
      <c r="AT30" s="380"/>
      <c r="AU30" s="380"/>
      <c r="AV30" s="380"/>
      <c r="AW30" s="380"/>
      <c r="AX30" s="380"/>
      <c r="AY30" s="380"/>
      <c r="AZ30" s="380"/>
      <c r="BA30" s="380"/>
      <c r="BB30" s="380"/>
      <c r="BC30" s="379"/>
      <c r="BD30" s="385"/>
      <c r="BE30" s="386"/>
      <c r="BF30" s="385" t="str">
        <f>IF(OR(IFERROR(VLOOKUP(BP30,[1]ARS!A:EL,MATCH("Price To Earnings",[1]ARS!$4:$4,0),FALSE),"-")&lt;0,IFERROR(VLOOKUP(BP30,[1]ARS!A:EL,MATCH("Price To Earnings",[1]ARS!$4:$4,0),FALSE),"-")&gt;500),"-",IFERROR(VLOOKUP(BP30,[1]ARS!A:EL,MATCH("Price To Earnings",[1]ARS!$4:$4,0),FALSE),"-"))</f>
        <v>-</v>
      </c>
      <c r="BG30" s="385"/>
      <c r="BH30" s="385"/>
      <c r="BI30" s="385"/>
      <c r="BJ30" s="385"/>
      <c r="BK30" s="385"/>
      <c r="BL30" s="385"/>
      <c r="BM30" s="385"/>
      <c r="BN30" s="385"/>
      <c r="BO30" s="385"/>
      <c r="BP30" s="385"/>
      <c r="BQ30" s="385"/>
      <c r="BR30" s="385"/>
      <c r="BS30" s="385"/>
      <c r="BT30" s="385"/>
      <c r="BU30" s="385"/>
      <c r="BV30" s="385"/>
    </row>
    <row r="31" spans="1:76" ht="12.75" customHeight="1" x14ac:dyDescent="0.2">
      <c r="A31" s="457"/>
      <c r="B31" s="457"/>
      <c r="C31" s="457"/>
      <c r="D31" s="457"/>
      <c r="E31" s="457"/>
      <c r="F31" s="457"/>
      <c r="G31" s="457"/>
      <c r="H31" s="457"/>
      <c r="I31" s="457"/>
      <c r="J31" s="457"/>
      <c r="K31" s="457"/>
      <c r="L31" s="457"/>
      <c r="M31" s="463"/>
      <c r="N31" s="457"/>
      <c r="O31" s="457"/>
      <c r="P31" s="457"/>
      <c r="Q31" s="457"/>
      <c r="R31" s="457"/>
      <c r="S31" s="457"/>
      <c r="T31" s="457"/>
      <c r="U31" s="457"/>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64"/>
      <c r="AS31" s="452"/>
      <c r="AT31" s="452"/>
      <c r="AU31" s="452"/>
      <c r="AV31" s="452"/>
      <c r="AW31" s="465"/>
      <c r="AX31" s="465"/>
      <c r="AY31" s="465"/>
      <c r="AZ31" s="452"/>
      <c r="BA31" s="452"/>
      <c r="BB31" s="452"/>
      <c r="BC31" s="398"/>
      <c r="BD31" s="385"/>
      <c r="BE31" s="386"/>
      <c r="BF31" s="385" t="str">
        <f>IF(OR(IFERROR(VLOOKUP(BP31,[1]ARS!A:EL,MATCH("Price To Earnings",[1]ARS!$4:$4,0),FALSE),"-")&lt;0,IFERROR(VLOOKUP(BP31,[1]ARS!A:EL,MATCH("Price To Earnings",[1]ARS!$4:$4,0),FALSE),"-")&gt;500),"-",IFERROR(VLOOKUP(BP31,[1]ARS!A:EL,MATCH("Price To Earnings",[1]ARS!$4:$4,0),FALSE),"-"))</f>
        <v>-</v>
      </c>
      <c r="BG31" s="385"/>
      <c r="BH31" s="385"/>
      <c r="BI31" s="385"/>
      <c r="BJ31" s="385"/>
      <c r="BK31" s="385"/>
      <c r="BL31" s="385"/>
      <c r="BM31" s="385"/>
      <c r="BN31" s="385"/>
      <c r="BO31" s="385"/>
      <c r="BP31" s="385"/>
      <c r="BQ31" s="385"/>
      <c r="BR31" s="385"/>
      <c r="BS31" s="385"/>
      <c r="BT31" s="385"/>
      <c r="BU31" s="385"/>
      <c r="BV31" s="385"/>
    </row>
    <row r="32" spans="1:76" ht="12.75" customHeight="1" x14ac:dyDescent="0.2">
      <c r="A32" s="459"/>
      <c r="B32" s="459"/>
      <c r="C32" s="459"/>
      <c r="D32" s="459"/>
      <c r="E32" s="459"/>
      <c r="F32" s="459"/>
      <c r="G32" s="459"/>
      <c r="H32" s="459"/>
      <c r="I32" s="459"/>
      <c r="J32" s="459"/>
      <c r="K32" s="459"/>
      <c r="L32" s="459"/>
      <c r="M32" s="459"/>
      <c r="N32" s="459"/>
      <c r="O32" s="459"/>
      <c r="P32" s="459"/>
      <c r="Q32" s="459"/>
      <c r="R32" s="459"/>
      <c r="S32" s="459"/>
      <c r="T32" s="459"/>
      <c r="U32" s="459"/>
      <c r="V32" s="459"/>
      <c r="W32" s="459"/>
      <c r="X32" s="459"/>
      <c r="Y32" s="459"/>
      <c r="Z32" s="459"/>
      <c r="AA32" s="459"/>
      <c r="AB32" s="459"/>
      <c r="AC32" s="459"/>
      <c r="AD32" s="459"/>
      <c r="AE32" s="459"/>
      <c r="AF32" s="459"/>
      <c r="AG32" s="459"/>
      <c r="AH32" s="459"/>
      <c r="AI32" s="459"/>
      <c r="AJ32" s="459"/>
      <c r="AK32" s="459"/>
      <c r="AL32" s="459"/>
      <c r="AM32" s="459"/>
      <c r="AN32" s="459"/>
      <c r="AO32" s="459"/>
      <c r="AP32" s="459"/>
      <c r="AQ32" s="459"/>
      <c r="AR32" s="459"/>
      <c r="AS32" s="452"/>
      <c r="AT32" s="452"/>
      <c r="AU32" s="452"/>
      <c r="AV32" s="452"/>
      <c r="AW32" s="452"/>
      <c r="AX32" s="452"/>
      <c r="AY32" s="452"/>
      <c r="AZ32" s="452"/>
      <c r="BA32" s="452"/>
      <c r="BB32" s="452"/>
      <c r="BC32" s="398"/>
      <c r="BD32" s="385"/>
      <c r="BE32" s="386"/>
      <c r="BF32" s="385" t="str">
        <f>IF(OR(IFERROR(VLOOKUP(BP32,[1]ARS!A:EL,MATCH("Price To Earnings",[1]ARS!$4:$4,0),FALSE),"-")&lt;0,IFERROR(VLOOKUP(BP32,[1]ARS!A:EL,MATCH("Price To Earnings",[1]ARS!$4:$4,0),FALSE),"-")&gt;500),"-",IFERROR(VLOOKUP(BP32,[1]ARS!A:EL,MATCH("Price To Earnings",[1]ARS!$4:$4,0),FALSE),"-"))</f>
        <v>-</v>
      </c>
      <c r="BG32" s="385"/>
      <c r="BH32" s="385"/>
      <c r="BI32" s="385"/>
      <c r="BJ32" s="385"/>
      <c r="BK32" s="385"/>
      <c r="BL32" s="385"/>
      <c r="BM32" s="385"/>
      <c r="BN32" s="385"/>
      <c r="BO32" s="385"/>
      <c r="BP32" s="385"/>
      <c r="BQ32" s="385"/>
      <c r="BR32" s="385"/>
      <c r="BS32" s="385"/>
      <c r="BT32" s="385"/>
      <c r="BU32" s="385"/>
      <c r="BV32" s="385"/>
    </row>
    <row r="33" spans="1:75" ht="12.75" customHeight="1" x14ac:dyDescent="0.2">
      <c r="A33" s="376"/>
      <c r="B33" s="376"/>
      <c r="C33" s="376"/>
      <c r="D33" s="466"/>
      <c r="E33" s="376"/>
      <c r="F33" s="376"/>
      <c r="G33" s="376"/>
      <c r="H33" s="376"/>
      <c r="I33" s="376"/>
      <c r="M33" s="467"/>
      <c r="P33" s="468"/>
      <c r="Q33" s="468"/>
      <c r="R33" s="468"/>
      <c r="S33" s="468"/>
      <c r="T33" s="468"/>
      <c r="U33" s="468"/>
      <c r="V33" s="468"/>
      <c r="W33" s="468"/>
      <c r="X33" s="468"/>
      <c r="Y33" s="468"/>
      <c r="Z33" s="468"/>
      <c r="AA33" s="468"/>
      <c r="AB33" s="468"/>
      <c r="AC33" s="459"/>
      <c r="AD33" s="459"/>
      <c r="AE33" s="459"/>
      <c r="AF33" s="459"/>
      <c r="AG33" s="459"/>
      <c r="AH33" s="459"/>
      <c r="AI33" s="459"/>
      <c r="AJ33" s="459"/>
      <c r="AK33" s="459"/>
      <c r="AL33" s="459"/>
      <c r="AM33" s="459"/>
      <c r="AN33" s="459"/>
      <c r="AO33" s="459"/>
      <c r="AP33" s="459"/>
      <c r="AQ33" s="459"/>
      <c r="AR33" s="376"/>
      <c r="AS33" s="452"/>
      <c r="AT33" s="452"/>
      <c r="AU33" s="452"/>
      <c r="AV33" s="452"/>
      <c r="AW33" s="452"/>
      <c r="AX33" s="452"/>
      <c r="AY33" s="452"/>
      <c r="AZ33" s="452"/>
      <c r="BA33" s="452"/>
      <c r="BB33" s="452"/>
      <c r="BC33" s="398"/>
      <c r="BD33" s="385"/>
      <c r="BE33" s="386"/>
      <c r="BF33" s="385" t="str">
        <f>IF(OR(IFERROR(VLOOKUP(BP33,[1]ARS!A:EL,MATCH("Price To Earnings",[1]ARS!$4:$4,0),FALSE),"-")&lt;0,IFERROR(VLOOKUP(BP33,[1]ARS!A:EL,MATCH("Price To Earnings",[1]ARS!$4:$4,0),FALSE),"-")&gt;500),"-",IFERROR(VLOOKUP(BP33,[1]ARS!A:EL,MATCH("Price To Earnings",[1]ARS!$4:$4,0),FALSE),"-"))</f>
        <v>-</v>
      </c>
      <c r="BG33" s="385"/>
      <c r="BH33" s="385"/>
      <c r="BI33" s="385"/>
      <c r="BJ33" s="385"/>
      <c r="BK33" s="385"/>
      <c r="BL33" s="385"/>
      <c r="BM33" s="385"/>
      <c r="BN33" s="385"/>
      <c r="BO33" s="385"/>
      <c r="BP33" s="385"/>
      <c r="BQ33" s="385"/>
      <c r="BR33" s="385"/>
      <c r="BS33" s="385"/>
      <c r="BT33" s="385"/>
      <c r="BU33" s="385"/>
      <c r="BV33" s="385"/>
    </row>
    <row r="34" spans="1:75" ht="12.75" customHeight="1" x14ac:dyDescent="0.2">
      <c r="A34" s="376"/>
      <c r="B34" s="376"/>
      <c r="C34" s="376"/>
      <c r="D34" s="466"/>
      <c r="E34" s="376"/>
      <c r="F34" s="376"/>
      <c r="G34" s="376"/>
      <c r="H34" s="376"/>
      <c r="I34" s="376"/>
      <c r="P34" s="469"/>
      <c r="Q34" s="469"/>
      <c r="R34" s="469"/>
      <c r="S34" s="469"/>
      <c r="T34" s="469"/>
      <c r="U34" s="469"/>
      <c r="V34" s="469"/>
      <c r="W34" s="469"/>
      <c r="X34" s="469"/>
      <c r="Y34" s="469"/>
      <c r="Z34" s="469"/>
      <c r="AA34" s="469"/>
      <c r="AB34" s="469"/>
      <c r="AC34" s="459"/>
      <c r="AD34" s="459"/>
      <c r="AE34" s="459"/>
      <c r="AF34" s="459"/>
      <c r="AG34" s="459"/>
      <c r="AH34" s="459"/>
      <c r="AI34" s="459"/>
      <c r="AJ34" s="459"/>
      <c r="AK34" s="459"/>
      <c r="AL34" s="459"/>
      <c r="AM34" s="459"/>
      <c r="AN34" s="459"/>
      <c r="AO34" s="459"/>
      <c r="AP34" s="459"/>
      <c r="AQ34" s="459"/>
      <c r="AR34" s="376"/>
      <c r="AS34" s="452"/>
      <c r="AT34" s="452"/>
      <c r="AU34" s="452"/>
      <c r="AV34" s="452"/>
      <c r="AW34" s="452"/>
      <c r="AX34" s="452"/>
      <c r="AY34" s="452"/>
      <c r="AZ34" s="452"/>
      <c r="BA34" s="452"/>
      <c r="BB34" s="452"/>
      <c r="BC34" s="398"/>
      <c r="BD34" s="385"/>
      <c r="BE34" s="386"/>
      <c r="BF34" s="385" t="str">
        <f>IF(OR(IFERROR(VLOOKUP(BP34,[1]ARS!A:EL,MATCH("Price To Earnings",[1]ARS!$4:$4,0),FALSE),"-")&lt;0,IFERROR(VLOOKUP(BP34,[1]ARS!A:EL,MATCH("Price To Earnings",[1]ARS!$4:$4,0),FALSE),"-")&gt;500),"-",IFERROR(VLOOKUP(BP34,[1]ARS!A:EL,MATCH("Price To Earnings",[1]ARS!$4:$4,0),FALSE),"-"))</f>
        <v>-</v>
      </c>
      <c r="BG34" s="385"/>
      <c r="BH34" s="385"/>
      <c r="BI34" s="385"/>
      <c r="BJ34" s="385"/>
      <c r="BK34" s="385"/>
      <c r="BL34" s="385"/>
      <c r="BM34" s="385"/>
      <c r="BN34" s="385"/>
      <c r="BO34" s="385"/>
      <c r="BP34" s="385"/>
      <c r="BQ34" s="385"/>
      <c r="BR34" s="385"/>
      <c r="BS34" s="470"/>
      <c r="BT34" s="385"/>
      <c r="BU34" s="385"/>
      <c r="BV34" s="385"/>
    </row>
    <row r="35" spans="1:75" ht="12.75" customHeight="1" x14ac:dyDescent="0.2">
      <c r="A35" s="376"/>
      <c r="B35" s="376"/>
      <c r="C35" s="376"/>
      <c r="D35" s="466"/>
      <c r="E35" s="376"/>
      <c r="F35" s="376"/>
      <c r="AA35" s="471"/>
      <c r="AB35" s="471"/>
      <c r="AC35" s="465"/>
      <c r="AD35" s="465"/>
      <c r="AE35" s="465"/>
      <c r="AF35" s="465"/>
      <c r="AG35" s="459"/>
      <c r="AH35" s="459"/>
      <c r="AI35" s="459"/>
      <c r="AJ35" s="459"/>
      <c r="AK35" s="459"/>
      <c r="AL35" s="459"/>
      <c r="AM35" s="459"/>
      <c r="AN35" s="459"/>
      <c r="AO35" s="459"/>
      <c r="AP35" s="459"/>
      <c r="AQ35" s="459"/>
      <c r="AR35" s="376"/>
      <c r="AS35" s="453"/>
      <c r="AT35" s="453"/>
      <c r="AU35" s="453"/>
      <c r="AV35" s="453"/>
      <c r="AW35" s="453"/>
      <c r="AX35" s="453"/>
      <c r="AY35" s="453"/>
      <c r="AZ35" s="453"/>
      <c r="BA35" s="453"/>
      <c r="BB35" s="453"/>
      <c r="BC35" s="398"/>
      <c r="BD35" s="385"/>
      <c r="BE35" s="386"/>
      <c r="BF35" s="385" t="str">
        <f>IF(OR(IFERROR(VLOOKUP(BP35,[1]ARS!A:EL,MATCH("Price To Earnings",[1]ARS!$4:$4,0),FALSE),"-")&lt;0,IFERROR(VLOOKUP(BP35,[1]ARS!A:EL,MATCH("Price To Earnings",[1]ARS!$4:$4,0),FALSE),"-")&gt;500),"-",IFERROR(VLOOKUP(BP35,[1]ARS!A:EL,MATCH("Price To Earnings",[1]ARS!$4:$4,0),FALSE),"-"))</f>
        <v>-</v>
      </c>
      <c r="BG35" s="385"/>
      <c r="BH35" s="385"/>
      <c r="BI35" s="385"/>
      <c r="BJ35" s="385"/>
      <c r="BK35" s="385"/>
      <c r="BL35" s="385"/>
      <c r="BM35" s="385"/>
      <c r="BN35" s="385"/>
      <c r="BO35" s="385"/>
      <c r="BP35" s="385"/>
      <c r="BQ35" s="385"/>
      <c r="BR35" s="385"/>
      <c r="BS35" s="470"/>
      <c r="BT35" s="385"/>
      <c r="BU35" s="385"/>
      <c r="BV35" s="385"/>
    </row>
    <row r="36" spans="1:75" ht="12.75" customHeight="1" x14ac:dyDescent="0.2">
      <c r="A36" s="376"/>
      <c r="B36" s="376"/>
      <c r="C36" s="376"/>
      <c r="D36" s="466"/>
      <c r="F36" s="376"/>
      <c r="L36" s="376"/>
      <c r="M36" s="376"/>
      <c r="N36" s="376"/>
      <c r="P36" s="472"/>
      <c r="Q36" s="472"/>
      <c r="R36" s="472"/>
      <c r="S36" s="472"/>
      <c r="T36" s="472"/>
      <c r="U36" s="471"/>
      <c r="V36" s="471"/>
      <c r="W36" s="471"/>
      <c r="X36" s="471"/>
      <c r="Y36" s="471"/>
      <c r="Z36" s="471"/>
      <c r="AA36" s="471"/>
      <c r="AB36" s="471"/>
      <c r="AC36" s="471"/>
      <c r="AD36" s="471"/>
      <c r="AE36" s="471"/>
      <c r="AF36" s="473"/>
      <c r="AI36" s="459"/>
      <c r="AJ36" s="459"/>
      <c r="AK36" s="459"/>
      <c r="AL36" s="459"/>
      <c r="AM36" s="459"/>
      <c r="AN36" s="459"/>
      <c r="AO36" s="459"/>
      <c r="AP36" s="459"/>
      <c r="AQ36" s="459"/>
      <c r="AR36" s="376"/>
      <c r="AS36" s="452"/>
      <c r="AT36" s="452"/>
      <c r="AU36" s="452"/>
      <c r="AV36" s="452"/>
      <c r="AW36" s="452"/>
      <c r="AX36" s="452"/>
      <c r="AY36" s="452"/>
      <c r="AZ36" s="452"/>
      <c r="BA36" s="452"/>
      <c r="BB36" s="452"/>
      <c r="BC36" s="398"/>
      <c r="BD36" s="385"/>
      <c r="BE36" s="386"/>
      <c r="BF36" s="385" t="str">
        <f>IF(OR(IFERROR(VLOOKUP(BP36,[1]ARS!A:EL,MATCH("Price To Earnings",[1]ARS!$4:$4,0),FALSE),"-")&lt;0,IFERROR(VLOOKUP(BP36,[1]ARS!A:EL,MATCH("Price To Earnings",[1]ARS!$4:$4,0),FALSE),"-")&gt;500),"-",IFERROR(VLOOKUP(BP36,[1]ARS!A:EL,MATCH("Price To Earnings",[1]ARS!$4:$4,0),FALSE),"-"))</f>
        <v>-</v>
      </c>
      <c r="BG36" s="385"/>
      <c r="BH36" s="385"/>
      <c r="BI36" s="385"/>
      <c r="BJ36" s="385"/>
      <c r="BK36" s="385"/>
      <c r="BL36" s="385"/>
      <c r="BM36" s="385"/>
      <c r="BN36" s="385"/>
      <c r="BO36" s="385"/>
      <c r="BP36" s="385"/>
      <c r="BQ36" s="385"/>
      <c r="BR36" s="385"/>
      <c r="BS36" s="470"/>
      <c r="BT36" s="385"/>
      <c r="BU36" s="385"/>
      <c r="BV36" s="385"/>
    </row>
    <row r="37" spans="1:75" ht="12.75" customHeight="1" x14ac:dyDescent="0.2">
      <c r="A37" s="376"/>
      <c r="B37" s="376"/>
      <c r="C37" s="376"/>
      <c r="D37" s="466"/>
      <c r="F37" s="376"/>
      <c r="G37" s="376"/>
      <c r="I37" s="473" t="s">
        <v>258</v>
      </c>
      <c r="J37" s="472"/>
      <c r="K37" s="472"/>
      <c r="L37" s="472"/>
      <c r="M37" s="472"/>
      <c r="N37" s="471"/>
      <c r="O37" s="471"/>
      <c r="P37" s="471"/>
      <c r="Q37" s="471"/>
      <c r="R37" s="471"/>
      <c r="S37" s="471"/>
      <c r="U37" s="473" t="s">
        <v>259</v>
      </c>
      <c r="V37" s="471"/>
      <c r="W37" s="471"/>
      <c r="AE37" s="471"/>
      <c r="AF37" s="473" t="s">
        <v>260</v>
      </c>
      <c r="AI37" s="459"/>
      <c r="AJ37" s="459"/>
      <c r="AK37" s="459"/>
      <c r="AL37" s="459"/>
      <c r="AM37" s="459"/>
      <c r="AN37" s="459"/>
      <c r="AO37" s="459"/>
      <c r="AP37" s="459"/>
      <c r="AQ37" s="459"/>
      <c r="AR37" s="376"/>
      <c r="AS37" s="453"/>
      <c r="AT37" s="453"/>
      <c r="AU37" s="453"/>
      <c r="AV37" s="453"/>
      <c r="AW37" s="453"/>
      <c r="AX37" s="453"/>
      <c r="AY37" s="453"/>
      <c r="AZ37" s="453"/>
      <c r="BA37" s="453"/>
      <c r="BB37" s="453"/>
      <c r="BC37" s="398"/>
      <c r="BD37" s="385"/>
      <c r="BE37" s="386"/>
      <c r="BF37" s="385"/>
      <c r="BG37" s="385"/>
      <c r="BH37" s="385"/>
      <c r="BI37" s="385"/>
      <c r="BJ37" s="385"/>
      <c r="BK37" s="385"/>
      <c r="BL37" s="385"/>
      <c r="BM37" s="385"/>
      <c r="BN37" s="385"/>
      <c r="BO37" s="385"/>
      <c r="BP37" s="385"/>
      <c r="BQ37" s="385"/>
      <c r="BR37" s="385"/>
      <c r="BS37" s="385"/>
      <c r="BT37" s="385"/>
      <c r="BU37" s="385"/>
      <c r="BV37" s="385"/>
      <c r="BW37" s="385"/>
    </row>
    <row r="38" spans="1:75" ht="12.75" customHeight="1" x14ac:dyDescent="0.2">
      <c r="A38" s="474"/>
      <c r="B38" s="474"/>
      <c r="C38" s="474"/>
      <c r="D38" s="474"/>
      <c r="F38" s="376"/>
      <c r="G38" s="376"/>
      <c r="I38" s="475" t="s">
        <v>261</v>
      </c>
      <c r="J38" s="472"/>
      <c r="K38" s="472"/>
      <c r="L38" s="472"/>
      <c r="M38" s="472"/>
      <c r="N38" s="471"/>
      <c r="O38" s="471"/>
      <c r="P38" s="471"/>
      <c r="Q38" s="471"/>
      <c r="R38" s="471"/>
      <c r="S38" s="471"/>
      <c r="U38" s="475" t="s">
        <v>262</v>
      </c>
      <c r="V38" s="471"/>
      <c r="W38" s="471"/>
      <c r="AE38" s="471"/>
      <c r="AF38" s="475" t="s">
        <v>263</v>
      </c>
      <c r="AI38" s="459"/>
      <c r="AJ38" s="459"/>
      <c r="AK38" s="459"/>
      <c r="AL38" s="459"/>
      <c r="AM38" s="459"/>
      <c r="AN38" s="459"/>
      <c r="AO38" s="459"/>
      <c r="AP38" s="459"/>
      <c r="AQ38" s="459"/>
      <c r="AR38" s="376"/>
      <c r="AS38" s="453"/>
      <c r="AT38" s="453"/>
      <c r="AU38" s="453"/>
      <c r="AV38" s="453"/>
      <c r="AW38" s="453"/>
      <c r="AX38" s="453"/>
      <c r="AY38" s="453"/>
      <c r="AZ38" s="453"/>
      <c r="BA38" s="453"/>
      <c r="BB38" s="453"/>
      <c r="BC38" s="398"/>
      <c r="BD38" s="385"/>
      <c r="BE38" s="386"/>
      <c r="BF38" s="385" t="str">
        <f>IF(OR(IFERROR(VLOOKUP(BP38,[1]ARS!A:EL,MATCH("Price To Earnings",[1]ARS!$4:$4,0),FALSE),"-")&lt;0,IFERROR(VLOOKUP(BP38,[1]ARS!A:EL,MATCH("Price To Earnings",[1]ARS!$4:$4,0),FALSE),"-")&gt;500),"-",IFERROR(VLOOKUP(BP38,[1]ARS!A:EL,MATCH("Price To Earnings",[1]ARS!$4:$4,0),FALSE),"-"))</f>
        <v>-</v>
      </c>
      <c r="BG38" s="385"/>
      <c r="BH38" s="385"/>
      <c r="BI38" s="385"/>
      <c r="BJ38" s="385"/>
      <c r="BK38" s="385"/>
      <c r="BL38" s="385"/>
      <c r="BM38" s="385"/>
      <c r="BN38" s="385"/>
      <c r="BO38" s="385"/>
      <c r="BP38" s="385"/>
      <c r="BQ38" s="385"/>
      <c r="BR38" s="385"/>
      <c r="BS38" s="385"/>
      <c r="BT38" s="385"/>
      <c r="BU38" s="385"/>
      <c r="BV38" s="385"/>
    </row>
    <row r="39" spans="1:75" ht="12.75" customHeight="1" x14ac:dyDescent="0.2">
      <c r="A39" s="474"/>
      <c r="B39" s="474"/>
      <c r="C39" s="474"/>
      <c r="D39" s="474"/>
      <c r="F39" s="474"/>
      <c r="G39" s="474"/>
      <c r="H39" s="474"/>
      <c r="I39" s="475" t="s">
        <v>264</v>
      </c>
      <c r="J39" s="476"/>
      <c r="K39" s="476"/>
      <c r="L39" s="476"/>
      <c r="M39" s="476"/>
      <c r="N39" s="476"/>
      <c r="O39" s="476"/>
      <c r="P39" s="476"/>
      <c r="Q39" s="476"/>
      <c r="R39" s="476"/>
      <c r="S39" s="465"/>
      <c r="U39" s="475" t="s">
        <v>265</v>
      </c>
      <c r="V39" s="465"/>
      <c r="W39" s="465"/>
      <c r="AE39" s="465"/>
      <c r="AF39" s="475" t="s">
        <v>266</v>
      </c>
      <c r="AI39" s="459"/>
      <c r="AJ39" s="459"/>
      <c r="AK39" s="459"/>
      <c r="AL39" s="459"/>
      <c r="AM39" s="459"/>
      <c r="AN39" s="459"/>
      <c r="AO39" s="459"/>
      <c r="AP39" s="459"/>
      <c r="AQ39" s="459"/>
      <c r="AR39" s="376"/>
      <c r="AS39" s="477"/>
      <c r="AT39" s="477"/>
      <c r="AU39" s="477"/>
      <c r="AV39" s="477"/>
      <c r="AW39" s="477"/>
      <c r="AX39" s="477"/>
      <c r="AY39" s="477"/>
      <c r="AZ39" s="477"/>
      <c r="BA39" s="477"/>
      <c r="BB39" s="477"/>
      <c r="BC39" s="477"/>
      <c r="BD39" s="385"/>
      <c r="BE39" s="386"/>
      <c r="BF39" s="385"/>
      <c r="BG39" s="385"/>
      <c r="BH39" s="385"/>
      <c r="BI39" s="385"/>
      <c r="BJ39" s="385"/>
      <c r="BK39" s="385"/>
      <c r="BL39" s="385"/>
      <c r="BM39" s="385"/>
      <c r="BN39" s="385"/>
      <c r="BO39" s="385"/>
      <c r="BP39" s="385"/>
      <c r="BQ39" s="385"/>
      <c r="BR39" s="385"/>
      <c r="BS39" s="385"/>
      <c r="BT39" s="385"/>
      <c r="BU39" s="385"/>
      <c r="BV39" s="385"/>
    </row>
    <row r="40" spans="1:75" ht="12.75" customHeight="1" x14ac:dyDescent="0.2">
      <c r="A40" s="474"/>
      <c r="B40" s="474"/>
      <c r="C40" s="474"/>
      <c r="D40" s="474"/>
      <c r="E40" s="474"/>
      <c r="F40" s="474"/>
      <c r="G40" s="474"/>
      <c r="H40" s="474"/>
      <c r="I40" s="475" t="s">
        <v>267</v>
      </c>
      <c r="J40" s="476"/>
      <c r="K40" s="476"/>
      <c r="L40" s="476"/>
      <c r="M40" s="476"/>
      <c r="N40" s="476"/>
      <c r="O40" s="476"/>
      <c r="P40" s="476"/>
      <c r="Q40" s="476"/>
      <c r="R40" s="476"/>
      <c r="S40" s="465"/>
      <c r="U40" s="475" t="s">
        <v>268</v>
      </c>
      <c r="V40" s="465"/>
      <c r="W40" s="465"/>
      <c r="AE40" s="475"/>
      <c r="AF40" s="475" t="s">
        <v>269</v>
      </c>
      <c r="AG40" s="475"/>
      <c r="AI40" s="459"/>
      <c r="AJ40" s="459"/>
      <c r="AK40" s="459"/>
      <c r="AL40" s="459"/>
      <c r="AM40" s="459"/>
      <c r="AN40" s="459"/>
      <c r="AO40" s="459"/>
      <c r="AP40" s="459"/>
      <c r="AQ40" s="459"/>
      <c r="AR40" s="376"/>
      <c r="AS40" s="477"/>
      <c r="AT40" s="477"/>
      <c r="AU40" s="477"/>
      <c r="AV40" s="477"/>
      <c r="AW40" s="477"/>
      <c r="AX40" s="477"/>
      <c r="AY40" s="477"/>
      <c r="AZ40" s="477"/>
      <c r="BA40" s="477"/>
      <c r="BB40" s="477"/>
      <c r="BC40" s="477"/>
      <c r="BD40" s="385"/>
      <c r="BE40" s="386"/>
      <c r="BF40" s="385" t="str">
        <f>IF(OR(IFERROR(VLOOKUP(BP40,[1]ARS!A:EL,MATCH("Price To Earnings",[1]ARS!$4:$4,0),FALSE),"-")&lt;0,IFERROR(VLOOKUP(BP40,[1]ARS!A:EL,MATCH("Price To Earnings",[1]ARS!$4:$4,0),FALSE),"-")&gt;500),"-",IFERROR(VLOOKUP(BP40,[1]ARS!A:EL,MATCH("Price To Earnings",[1]ARS!$4:$4,0),FALSE),"-"))</f>
        <v>-</v>
      </c>
      <c r="BG40" s="385"/>
      <c r="BH40" s="385"/>
      <c r="BI40" s="385"/>
      <c r="BJ40" s="385"/>
      <c r="BK40" s="385"/>
      <c r="BL40" s="385"/>
      <c r="BM40" s="385"/>
      <c r="BN40" s="385"/>
      <c r="BO40" s="385"/>
      <c r="BP40" s="385"/>
      <c r="BQ40" s="385"/>
      <c r="BR40" s="385"/>
      <c r="BS40" s="385"/>
      <c r="BT40" s="385"/>
      <c r="BU40" s="385"/>
      <c r="BV40" s="385"/>
    </row>
    <row r="41" spans="1:75" ht="12.75" customHeight="1" x14ac:dyDescent="0.2">
      <c r="A41" s="474"/>
      <c r="B41" s="474"/>
      <c r="C41" s="474"/>
      <c r="D41" s="474"/>
      <c r="E41" s="474"/>
      <c r="F41" s="474"/>
      <c r="G41" s="474"/>
      <c r="H41" s="474"/>
      <c r="I41" s="474"/>
      <c r="J41" s="474"/>
      <c r="K41" s="474"/>
      <c r="L41" s="474"/>
      <c r="M41" s="474"/>
      <c r="N41" s="474"/>
      <c r="O41" s="474"/>
      <c r="P41" s="474"/>
      <c r="Q41" s="474"/>
      <c r="R41" s="474"/>
      <c r="S41" s="474"/>
      <c r="T41" s="474"/>
      <c r="U41" s="474"/>
      <c r="V41" s="474"/>
      <c r="W41" s="474"/>
      <c r="X41" s="474"/>
      <c r="Y41" s="474"/>
      <c r="Z41" s="459"/>
      <c r="AA41" s="459"/>
      <c r="AB41" s="459"/>
      <c r="AC41" s="459"/>
      <c r="AD41" s="459"/>
      <c r="AE41" s="459"/>
      <c r="AF41" s="459"/>
      <c r="AI41" s="459"/>
      <c r="AJ41" s="459"/>
      <c r="AK41" s="459"/>
      <c r="AL41" s="459"/>
      <c r="AM41" s="459"/>
      <c r="AN41" s="459"/>
      <c r="AO41" s="459"/>
      <c r="AP41" s="459"/>
      <c r="AQ41" s="459"/>
      <c r="AR41" s="376"/>
      <c r="AS41" s="401"/>
      <c r="AT41" s="401"/>
      <c r="AU41" s="401"/>
      <c r="AV41" s="401"/>
      <c r="AW41" s="401"/>
      <c r="AX41" s="401"/>
      <c r="AY41" s="401"/>
      <c r="AZ41" s="401"/>
      <c r="BA41" s="401"/>
      <c r="BB41" s="401"/>
      <c r="BC41" s="398"/>
      <c r="BD41" s="385"/>
      <c r="BE41" s="386"/>
      <c r="BF41" s="385"/>
      <c r="BG41" s="385"/>
      <c r="BH41" s="385"/>
      <c r="BI41" s="385"/>
      <c r="BJ41" s="385"/>
      <c r="BK41" s="385"/>
      <c r="BL41" s="385"/>
      <c r="BM41" s="385"/>
      <c r="BN41" s="385"/>
      <c r="BO41" s="385"/>
      <c r="BP41" s="385"/>
      <c r="BQ41" s="385"/>
      <c r="BR41" s="385"/>
      <c r="BS41" s="385"/>
      <c r="BT41" s="385"/>
      <c r="BU41" s="385"/>
      <c r="BV41" s="385"/>
    </row>
    <row r="42" spans="1:75" ht="12.75" customHeight="1" x14ac:dyDescent="0.2">
      <c r="A42" s="474"/>
      <c r="B42" s="474"/>
      <c r="C42" s="474"/>
      <c r="D42" s="478"/>
      <c r="H42" s="474"/>
      <c r="I42" s="474"/>
      <c r="J42" s="474"/>
      <c r="K42" s="474"/>
      <c r="L42" s="474"/>
      <c r="M42" s="474"/>
      <c r="N42" s="474"/>
      <c r="O42" s="474"/>
      <c r="P42" s="474"/>
      <c r="Q42" s="474"/>
      <c r="R42" s="474"/>
      <c r="S42" s="474"/>
      <c r="T42" s="474"/>
      <c r="U42" s="474"/>
      <c r="V42" s="474"/>
      <c r="W42" s="459"/>
      <c r="X42" s="459"/>
      <c r="Z42" s="459"/>
      <c r="AA42" s="459"/>
      <c r="AB42" s="459"/>
      <c r="AC42" s="459"/>
      <c r="AD42" s="459"/>
      <c r="AE42" s="459"/>
      <c r="AF42" s="459"/>
      <c r="AI42" s="459"/>
      <c r="AJ42" s="459"/>
      <c r="AK42" s="459"/>
      <c r="AP42" s="459"/>
      <c r="AQ42" s="459"/>
      <c r="AR42" s="459"/>
      <c r="AS42" s="377"/>
      <c r="AT42" s="377"/>
      <c r="AU42" s="377"/>
      <c r="AV42" s="377"/>
      <c r="AW42" s="377"/>
      <c r="AX42" s="377"/>
      <c r="AY42" s="377"/>
      <c r="AZ42" s="377"/>
      <c r="BA42" s="377"/>
      <c r="BB42" s="377"/>
      <c r="BC42" s="379"/>
      <c r="BD42" s="385"/>
      <c r="BE42" s="386"/>
      <c r="BF42" s="385"/>
      <c r="BG42" s="385"/>
      <c r="BH42" s="385"/>
      <c r="BI42" s="385"/>
      <c r="BJ42" s="385"/>
      <c r="BK42" s="385"/>
      <c r="BL42" s="385"/>
      <c r="BM42" s="385"/>
      <c r="BN42" s="385"/>
      <c r="BO42" s="385"/>
      <c r="BP42" s="385"/>
      <c r="BQ42" s="385"/>
      <c r="BR42" s="385"/>
      <c r="BS42" s="385"/>
      <c r="BT42" s="385"/>
      <c r="BU42" s="385"/>
      <c r="BV42" s="385"/>
    </row>
    <row r="43" spans="1:75" ht="12.75" customHeight="1" x14ac:dyDescent="0.2">
      <c r="A43" s="474"/>
      <c r="B43" s="474"/>
      <c r="C43" s="474"/>
      <c r="D43" s="478"/>
      <c r="H43" s="474"/>
      <c r="I43" s="474"/>
      <c r="J43" s="474"/>
      <c r="K43" s="474"/>
      <c r="L43" s="474"/>
      <c r="M43" s="474"/>
      <c r="N43" s="474"/>
      <c r="O43" s="474"/>
      <c r="P43" s="474"/>
      <c r="Q43" s="474"/>
      <c r="R43" s="474"/>
      <c r="S43" s="474"/>
      <c r="T43" s="474"/>
      <c r="U43" s="474"/>
      <c r="V43" s="474"/>
      <c r="W43" s="459"/>
      <c r="X43" s="459"/>
      <c r="Z43" s="459"/>
      <c r="AA43" s="459"/>
      <c r="AB43" s="459"/>
      <c r="AC43" s="459"/>
      <c r="AD43" s="459"/>
      <c r="AE43" s="459"/>
      <c r="AF43" s="459"/>
      <c r="AI43" s="459"/>
      <c r="AJ43" s="459"/>
      <c r="AK43" s="459"/>
      <c r="AP43" s="459"/>
      <c r="AQ43" s="459"/>
      <c r="AR43" s="459"/>
      <c r="AS43" s="377"/>
      <c r="AT43" s="377"/>
      <c r="AU43" s="377"/>
      <c r="AV43" s="377"/>
      <c r="AW43" s="377"/>
      <c r="AX43" s="377"/>
      <c r="AY43" s="377"/>
      <c r="AZ43" s="377"/>
      <c r="BA43" s="377"/>
      <c r="BB43" s="377"/>
      <c r="BC43" s="379"/>
      <c r="BD43" s="385"/>
      <c r="BE43" s="386"/>
      <c r="BF43" s="385"/>
      <c r="BG43" s="385"/>
      <c r="BH43" s="385"/>
      <c r="BI43" s="385"/>
      <c r="BJ43" s="385"/>
      <c r="BK43" s="385"/>
      <c r="BL43" s="385"/>
      <c r="BM43" s="385"/>
      <c r="BN43" s="385"/>
      <c r="BO43" s="385"/>
      <c r="BP43" s="385"/>
      <c r="BQ43" s="385"/>
      <c r="BR43" s="385"/>
      <c r="BS43" s="385"/>
      <c r="BT43" s="385"/>
      <c r="BU43" s="385"/>
      <c r="BV43" s="385"/>
    </row>
    <row r="44" spans="1:75" ht="12.75" customHeight="1" x14ac:dyDescent="0.2">
      <c r="A44" s="479"/>
      <c r="B44" s="466"/>
      <c r="C44" s="480"/>
      <c r="D44" s="478"/>
      <c r="F44" s="428"/>
      <c r="G44" s="428"/>
      <c r="H44" s="385"/>
      <c r="I44" s="385"/>
      <c r="K44" s="481"/>
      <c r="S44" s="481"/>
      <c r="T44" s="385"/>
      <c r="V44" s="481"/>
      <c r="AF44" s="481"/>
      <c r="AI44" s="481"/>
      <c r="AJ44" s="442"/>
      <c r="AO44" s="431"/>
      <c r="AP44" s="385"/>
      <c r="AQ44" s="385"/>
      <c r="AR44" s="376"/>
      <c r="AS44" s="385"/>
      <c r="AT44" s="386"/>
      <c r="AU44" s="385"/>
      <c r="AV44" s="385"/>
      <c r="AW44" s="385"/>
      <c r="AX44" s="385"/>
      <c r="AY44" s="385"/>
      <c r="AZ44" s="385"/>
      <c r="BA44" s="385"/>
      <c r="BB44" s="385"/>
      <c r="BC44" s="385"/>
      <c r="BD44" s="385"/>
      <c r="BE44" s="386"/>
      <c r="BF44" s="385" t="str">
        <f>IF(OR(IFERROR(VLOOKUP(BP44,[1]ARS!A:EL,MATCH("Price To Earnings",[1]ARS!$4:$4,0),FALSE),"-")&lt;0,IFERROR(VLOOKUP(BP44,[1]ARS!A:EL,MATCH("Price To Earnings",[1]ARS!$4:$4,0),FALSE),"-")&gt;500),"-",IFERROR(VLOOKUP(BP44,[1]ARS!A:EL,MATCH("Price To Earnings",[1]ARS!$4:$4,0),FALSE),"-"))</f>
        <v>-</v>
      </c>
      <c r="BG44" s="385"/>
      <c r="BH44" s="385"/>
      <c r="BI44" s="385"/>
      <c r="BJ44" s="385"/>
      <c r="BK44" s="385"/>
      <c r="BL44" s="385"/>
      <c r="BM44" s="385"/>
      <c r="BN44" s="385"/>
      <c r="BO44" s="385"/>
      <c r="BP44" s="385"/>
      <c r="BQ44" s="385"/>
      <c r="BR44" s="385"/>
      <c r="BS44" s="385"/>
      <c r="BT44" s="385"/>
      <c r="BU44" s="385"/>
      <c r="BV44" s="385"/>
    </row>
    <row r="45" spans="1:75" ht="12.75" customHeight="1" x14ac:dyDescent="0.2">
      <c r="A45" s="482"/>
      <c r="B45" s="466"/>
      <c r="C45" s="480"/>
      <c r="D45" s="478"/>
      <c r="F45" s="483"/>
      <c r="G45" s="483"/>
      <c r="H45" s="385"/>
      <c r="I45" s="385"/>
      <c r="K45" s="484"/>
      <c r="S45" s="484"/>
      <c r="T45" s="385"/>
      <c r="V45" s="484"/>
      <c r="AF45" s="484"/>
      <c r="AI45" s="484"/>
      <c r="AJ45" s="442"/>
      <c r="AO45" s="431"/>
      <c r="AP45" s="385"/>
      <c r="AQ45" s="385"/>
      <c r="AR45" s="376"/>
      <c r="AS45" s="385"/>
      <c r="AT45" s="386"/>
      <c r="AU45" s="385"/>
      <c r="AV45" s="385"/>
      <c r="AW45" s="385"/>
      <c r="AX45" s="385"/>
      <c r="AY45" s="385"/>
      <c r="AZ45" s="385"/>
      <c r="BA45" s="385"/>
      <c r="BB45" s="385"/>
      <c r="BC45" s="385"/>
      <c r="BD45" s="385"/>
      <c r="BE45" s="386"/>
      <c r="BF45" s="385" t="str">
        <f>IF(OR(IFERROR(VLOOKUP(BP45,[1]ARS!A:EL,MATCH("Price To Earnings",[1]ARS!$4:$4,0),FALSE),"-")&lt;0,IFERROR(VLOOKUP(BP45,[1]ARS!A:EL,MATCH("Price To Earnings",[1]ARS!$4:$4,0),FALSE),"-")&gt;500),"-",IFERROR(VLOOKUP(BP45,[1]ARS!A:EL,MATCH("Price To Earnings",[1]ARS!$4:$4,0),FALSE),"-"))</f>
        <v>-</v>
      </c>
      <c r="BG45" s="385"/>
      <c r="BH45" s="385"/>
      <c r="BI45" s="385"/>
      <c r="BJ45" s="385"/>
      <c r="BK45" s="385"/>
      <c r="BL45" s="385"/>
      <c r="BM45" s="385"/>
      <c r="BN45" s="385"/>
      <c r="BO45" s="385"/>
      <c r="BP45" s="385"/>
      <c r="BQ45" s="385"/>
      <c r="BR45" s="385"/>
      <c r="BS45" s="385"/>
      <c r="BT45" s="385"/>
      <c r="BU45" s="385"/>
      <c r="BV45" s="385"/>
    </row>
    <row r="46" spans="1:75" ht="12.75" customHeight="1" x14ac:dyDescent="0.2">
      <c r="A46" s="485"/>
      <c r="B46" s="486"/>
      <c r="C46" s="480"/>
      <c r="D46" s="478"/>
      <c r="F46" s="487"/>
      <c r="G46" s="487"/>
      <c r="H46" s="385"/>
      <c r="I46" s="385"/>
      <c r="K46" s="484"/>
      <c r="S46" s="484"/>
      <c r="T46" s="385"/>
      <c r="V46" s="484"/>
      <c r="AF46" s="484"/>
      <c r="AI46" s="484"/>
      <c r="AJ46" s="442"/>
      <c r="AO46" s="431"/>
      <c r="AP46" s="385"/>
      <c r="AQ46" s="385"/>
      <c r="AR46" s="376"/>
      <c r="AS46" s="454"/>
      <c r="AT46" s="488"/>
      <c r="AU46" s="454"/>
      <c r="AV46" s="385"/>
      <c r="AW46" s="385"/>
      <c r="AX46" s="385"/>
      <c r="AY46" s="385"/>
      <c r="AZ46" s="385"/>
      <c r="BA46" s="385"/>
      <c r="BB46" s="385"/>
      <c r="BC46" s="385"/>
      <c r="BD46" s="385"/>
      <c r="BE46" s="386"/>
      <c r="BF46" s="385" t="str">
        <f>IF(OR(IFERROR(VLOOKUP(BP46,[1]ARS!A:EL,MATCH("Price To Earnings",[1]ARS!$4:$4,0),FALSE),"-")&lt;0,IFERROR(VLOOKUP(BP46,[1]ARS!A:EL,MATCH("Price To Earnings",[1]ARS!$4:$4,0),FALSE),"-")&gt;500),"-",IFERROR(VLOOKUP(BP46,[1]ARS!A:EL,MATCH("Price To Earnings",[1]ARS!$4:$4,0),FALSE),"-"))</f>
        <v>-</v>
      </c>
      <c r="BG46" s="385"/>
      <c r="BH46" s="385"/>
      <c r="BI46" s="385"/>
      <c r="BJ46" s="385"/>
      <c r="BK46" s="385"/>
      <c r="BL46" s="385"/>
      <c r="BM46" s="385"/>
      <c r="BN46" s="385"/>
      <c r="BO46" s="385"/>
      <c r="BP46" s="385"/>
      <c r="BQ46" s="385"/>
      <c r="BR46" s="385"/>
      <c r="BS46" s="385"/>
      <c r="BT46" s="385"/>
      <c r="BU46" s="385"/>
      <c r="BV46" s="385"/>
    </row>
    <row r="47" spans="1:75" ht="12.75" customHeight="1" x14ac:dyDescent="0.2">
      <c r="A47" s="489"/>
      <c r="B47" s="466"/>
      <c r="C47" s="480"/>
      <c r="D47" s="478"/>
      <c r="F47" s="436"/>
      <c r="G47" s="490"/>
      <c r="H47" s="385"/>
      <c r="I47" s="385"/>
      <c r="K47" s="484"/>
      <c r="S47" s="484"/>
      <c r="T47" s="385"/>
      <c r="V47" s="484"/>
      <c r="AF47" s="484"/>
      <c r="AI47" s="484"/>
      <c r="AJ47" s="442"/>
      <c r="AO47" s="431"/>
      <c r="AP47" s="385"/>
      <c r="AQ47" s="385"/>
      <c r="AR47" s="376"/>
      <c r="AS47" s="385"/>
      <c r="AT47" s="386"/>
      <c r="AU47" s="385"/>
      <c r="AV47" s="385"/>
      <c r="AW47" s="385"/>
      <c r="AX47" s="385"/>
      <c r="AY47" s="385"/>
      <c r="AZ47" s="385"/>
      <c r="BA47" s="385"/>
      <c r="BB47" s="385"/>
      <c r="BC47" s="385"/>
      <c r="BD47" s="385"/>
      <c r="BE47" s="386"/>
      <c r="BF47" s="385" t="str">
        <f>IF(OR(IFERROR(VLOOKUP(BP47,[1]ARS!A:EL,MATCH("Price To Earnings",[1]ARS!$4:$4,0),FALSE),"-")&lt;0,IFERROR(VLOOKUP(BP47,[1]ARS!A:EL,MATCH("Price To Earnings",[1]ARS!$4:$4,0),FALSE),"-")&gt;500),"-",IFERROR(VLOOKUP(BP47,[1]ARS!A:EL,MATCH("Price To Earnings",[1]ARS!$4:$4,0),FALSE),"-"))</f>
        <v>-</v>
      </c>
      <c r="BG47" s="385"/>
      <c r="BH47" s="385"/>
      <c r="BI47" s="385"/>
      <c r="BJ47" s="385"/>
      <c r="BK47" s="385"/>
      <c r="BL47" s="385"/>
      <c r="BM47" s="385"/>
      <c r="BN47" s="385"/>
      <c r="BO47" s="385"/>
      <c r="BP47" s="385"/>
      <c r="BQ47" s="385"/>
      <c r="BR47" s="385"/>
      <c r="BS47" s="385"/>
      <c r="BT47" s="385"/>
      <c r="BU47" s="385"/>
      <c r="BV47" s="385"/>
    </row>
    <row r="48" spans="1:75" ht="12.75" customHeight="1" x14ac:dyDescent="0.2">
      <c r="A48" s="489"/>
      <c r="B48" s="466"/>
      <c r="C48" s="480"/>
      <c r="D48" s="478"/>
      <c r="G48" s="484"/>
      <c r="I48" s="436"/>
      <c r="J48" s="490"/>
      <c r="K48" s="385"/>
      <c r="L48" s="385"/>
      <c r="M48" s="484"/>
      <c r="O48" s="484"/>
      <c r="P48" s="431"/>
      <c r="Q48" s="385"/>
      <c r="S48" s="484"/>
      <c r="T48" s="385"/>
      <c r="U48" s="431"/>
      <c r="V48" s="431"/>
      <c r="W48" s="484"/>
      <c r="AE48" s="484"/>
      <c r="AJ48" s="442"/>
      <c r="AM48" s="484"/>
      <c r="AN48" s="484"/>
      <c r="AO48" s="431"/>
      <c r="AP48" s="385"/>
      <c r="AQ48" s="385"/>
      <c r="AR48" s="376"/>
      <c r="AS48" s="385"/>
      <c r="AT48" s="386"/>
      <c r="AU48" s="385"/>
      <c r="AV48" s="385"/>
      <c r="AW48" s="385"/>
      <c r="AX48" s="385"/>
      <c r="AY48" s="385"/>
      <c r="AZ48" s="385"/>
      <c r="BA48" s="385"/>
      <c r="BB48" s="385"/>
      <c r="BC48" s="385"/>
      <c r="BD48" s="385"/>
      <c r="BE48" s="386"/>
      <c r="BF48" s="385" t="str">
        <f>IF(OR(IFERROR(VLOOKUP(BP48,[1]ARS!A:EL,MATCH("Price To Earnings",[1]ARS!$4:$4,0),FALSE),"-")&lt;0,IFERROR(VLOOKUP(BP48,[1]ARS!A:EL,MATCH("Price To Earnings",[1]ARS!$4:$4,0),FALSE),"-")&gt;500),"-",IFERROR(VLOOKUP(BP48,[1]ARS!A:EL,MATCH("Price To Earnings",[1]ARS!$4:$4,0),FALSE),"-"))</f>
        <v>-</v>
      </c>
      <c r="BG48" s="385"/>
      <c r="BH48" s="385"/>
      <c r="BI48" s="385"/>
      <c r="BJ48" s="385"/>
      <c r="BK48" s="385"/>
      <c r="BL48" s="385"/>
      <c r="BM48" s="385"/>
      <c r="BN48" s="385"/>
      <c r="BO48" s="385"/>
      <c r="BP48" s="385"/>
      <c r="BQ48" s="385"/>
      <c r="BR48" s="385"/>
      <c r="BS48" s="385"/>
      <c r="BT48" s="385"/>
      <c r="BU48" s="385"/>
      <c r="BV48" s="385"/>
    </row>
    <row r="49" spans="1:75" ht="12.75" customHeight="1" x14ac:dyDescent="0.2">
      <c r="A49" s="489"/>
      <c r="B49" s="466"/>
      <c r="C49" s="480"/>
      <c r="D49" s="478"/>
      <c r="H49" s="489"/>
      <c r="I49" s="376"/>
      <c r="J49" s="376"/>
      <c r="K49" s="376"/>
      <c r="L49" s="376"/>
      <c r="M49" s="491"/>
      <c r="N49" s="376"/>
      <c r="O49" s="466"/>
      <c r="P49" s="489"/>
      <c r="Q49" s="489"/>
      <c r="R49" s="489"/>
      <c r="S49" s="489"/>
      <c r="T49" s="489"/>
      <c r="U49" s="489"/>
      <c r="V49" s="489"/>
      <c r="W49" s="466"/>
      <c r="X49" s="376"/>
      <c r="Z49" s="376"/>
      <c r="AA49" s="376"/>
      <c r="AB49" s="376"/>
      <c r="AC49" s="376"/>
      <c r="AD49" s="376"/>
      <c r="AE49" s="376"/>
      <c r="AF49" s="376"/>
      <c r="AG49" s="376"/>
      <c r="AH49" s="376"/>
      <c r="AI49" s="376"/>
      <c r="AK49" s="376"/>
      <c r="AP49" s="376"/>
      <c r="AQ49" s="376"/>
      <c r="AR49" s="376"/>
      <c r="AS49" s="385"/>
      <c r="AT49" s="386"/>
      <c r="AU49" s="385"/>
      <c r="AV49" s="385"/>
      <c r="AW49" s="385"/>
      <c r="AX49" s="385"/>
      <c r="AY49" s="385"/>
      <c r="AZ49" s="385"/>
      <c r="BA49" s="385"/>
      <c r="BB49" s="385"/>
      <c r="BC49" s="385"/>
      <c r="BD49" s="385"/>
      <c r="BE49" s="386"/>
      <c r="BF49" s="385" t="str">
        <f>IF(OR(IFERROR(VLOOKUP(BP49,[1]ARS!A:EL,MATCH("Price To Earnings",[1]ARS!$4:$4,0),FALSE),"-")&lt;0,IFERROR(VLOOKUP(BP49,[1]ARS!A:EL,MATCH("Price To Earnings",[1]ARS!$4:$4,0),FALSE),"-")&gt;500),"-",IFERROR(VLOOKUP(BP49,[1]ARS!A:EL,MATCH("Price To Earnings",[1]ARS!$4:$4,0),FALSE),"-"))</f>
        <v>-</v>
      </c>
      <c r="BG49" s="385"/>
      <c r="BH49" s="385"/>
      <c r="BI49" s="385"/>
      <c r="BJ49" s="385"/>
      <c r="BK49" s="385"/>
      <c r="BL49" s="385"/>
      <c r="BM49" s="385"/>
      <c r="BN49" s="385"/>
      <c r="BO49" s="385"/>
      <c r="BP49" s="385"/>
      <c r="BQ49" s="385"/>
      <c r="BR49" s="385"/>
      <c r="BS49" s="385"/>
      <c r="BT49" s="385"/>
      <c r="BU49" s="385"/>
      <c r="BV49" s="385"/>
    </row>
    <row r="50" spans="1:75" ht="12.75" customHeight="1" x14ac:dyDescent="0.2">
      <c r="A50" s="489"/>
      <c r="B50" s="466"/>
      <c r="C50" s="480"/>
      <c r="D50" s="478"/>
      <c r="H50" s="489"/>
      <c r="I50" s="376"/>
      <c r="J50" s="376"/>
      <c r="K50" s="376"/>
      <c r="L50" s="376"/>
      <c r="M50" s="376"/>
      <c r="N50" s="376"/>
      <c r="P50" s="489"/>
      <c r="Q50" s="489"/>
      <c r="R50" s="489"/>
      <c r="S50" s="489"/>
      <c r="T50" s="489"/>
      <c r="U50" s="489"/>
      <c r="V50" s="489"/>
      <c r="W50" s="466"/>
      <c r="X50" s="376"/>
      <c r="Z50" s="376"/>
      <c r="AA50" s="376"/>
      <c r="AB50" s="376"/>
      <c r="AC50" s="376"/>
      <c r="AD50" s="376"/>
      <c r="AE50" s="376"/>
      <c r="AF50" s="376"/>
      <c r="AG50" s="376"/>
      <c r="AH50" s="376"/>
      <c r="AI50" s="376"/>
      <c r="AK50" s="376"/>
      <c r="AP50" s="376"/>
      <c r="AQ50" s="376"/>
      <c r="AR50" s="376"/>
      <c r="AS50" s="385"/>
      <c r="AT50" s="386"/>
      <c r="AU50" s="385"/>
      <c r="AV50" s="385"/>
      <c r="AW50" s="385"/>
      <c r="AX50" s="385"/>
      <c r="AY50" s="385"/>
      <c r="AZ50" s="385"/>
      <c r="BA50" s="385"/>
      <c r="BB50" s="385"/>
      <c r="BC50" s="385"/>
      <c r="BD50" s="385"/>
      <c r="BE50" s="386"/>
      <c r="BF50" s="385"/>
      <c r="BG50" s="385"/>
      <c r="BH50" s="385"/>
      <c r="BI50" s="385"/>
      <c r="BJ50" s="385"/>
      <c r="BK50" s="385"/>
      <c r="BL50" s="385"/>
      <c r="BM50" s="385"/>
      <c r="BN50" s="385"/>
      <c r="BO50" s="385"/>
      <c r="BP50" s="385"/>
      <c r="BQ50" s="385"/>
      <c r="BR50" s="385"/>
      <c r="BS50" s="385"/>
      <c r="BT50" s="385"/>
      <c r="BU50" s="385"/>
      <c r="BV50" s="385"/>
    </row>
    <row r="51" spans="1:75" ht="12.75" customHeight="1" x14ac:dyDescent="0.2">
      <c r="A51" s="489"/>
      <c r="B51" s="486"/>
      <c r="C51" s="492"/>
      <c r="D51" s="493"/>
      <c r="E51" s="376"/>
      <c r="F51" s="376"/>
      <c r="G51" s="376"/>
      <c r="H51" s="376"/>
      <c r="I51" s="376"/>
      <c r="J51" s="376"/>
      <c r="L51" s="493"/>
      <c r="M51" s="493"/>
      <c r="N51" s="493"/>
      <c r="O51" s="493"/>
      <c r="P51" s="494" t="s">
        <v>270</v>
      </c>
      <c r="T51" s="489"/>
      <c r="V51" s="495" t="s">
        <v>271</v>
      </c>
      <c r="Y51" s="376"/>
      <c r="AA51" s="496" t="s">
        <v>272</v>
      </c>
      <c r="AB51" s="376"/>
      <c r="AC51" s="376"/>
      <c r="AD51" s="376"/>
      <c r="AE51" s="376"/>
      <c r="AF51" s="376"/>
      <c r="AG51" s="376"/>
      <c r="AH51" s="376"/>
      <c r="AI51" s="376"/>
      <c r="AO51" s="376"/>
      <c r="AP51" s="376"/>
      <c r="AQ51" s="376"/>
      <c r="AR51" s="376"/>
      <c r="AS51" s="385"/>
      <c r="AT51" s="386"/>
      <c r="AU51" s="385"/>
      <c r="AV51" s="385"/>
      <c r="AW51" s="385"/>
      <c r="AX51" s="385"/>
      <c r="AY51" s="385"/>
      <c r="AZ51" s="385"/>
      <c r="BA51" s="385"/>
      <c r="BB51" s="385"/>
      <c r="BC51" s="385"/>
      <c r="BD51" s="385"/>
      <c r="BE51" s="386"/>
      <c r="BF51" s="385" t="str">
        <f>IF(OR(IFERROR(VLOOKUP(BP51,[1]ARS!A:EL,MATCH("Price To Earnings",[1]ARS!$4:$4,0),FALSE),"-")&lt;0,IFERROR(VLOOKUP(BP51,[1]ARS!A:EL,MATCH("Price To Earnings",[1]ARS!$4:$4,0),FALSE),"-")&gt;500),"-",IFERROR(VLOOKUP(BP51,[1]ARS!A:EL,MATCH("Price To Earnings",[1]ARS!$4:$4,0),FALSE),"-"))</f>
        <v>-</v>
      </c>
      <c r="BG51" s="385"/>
      <c r="BH51" s="385"/>
      <c r="BI51" s="385"/>
      <c r="BJ51" s="385"/>
      <c r="BK51" s="385"/>
      <c r="BL51" s="385"/>
      <c r="BM51" s="385"/>
      <c r="BN51" s="385"/>
      <c r="BO51" s="385"/>
      <c r="BP51" s="385"/>
      <c r="BQ51" s="385"/>
      <c r="BR51" s="385"/>
      <c r="BS51" s="385"/>
      <c r="BT51" s="385"/>
      <c r="BU51" s="385"/>
      <c r="BV51" s="385"/>
    </row>
    <row r="52" spans="1:75" ht="12.75" customHeight="1" x14ac:dyDescent="0.2">
      <c r="A52" s="489"/>
      <c r="B52" s="486"/>
      <c r="C52" s="492"/>
      <c r="D52" s="493"/>
      <c r="E52" s="376"/>
      <c r="F52" s="376"/>
      <c r="G52" s="376"/>
      <c r="H52" s="376"/>
      <c r="I52" s="376"/>
      <c r="J52" s="376"/>
      <c r="L52" s="493"/>
      <c r="M52" s="493"/>
      <c r="N52" s="493"/>
      <c r="O52" s="493"/>
      <c r="P52" s="494"/>
      <c r="T52" s="489"/>
      <c r="V52" s="495"/>
      <c r="Y52" s="376"/>
      <c r="AA52" s="496"/>
      <c r="AB52" s="376"/>
      <c r="AC52" s="376"/>
      <c r="AD52" s="376"/>
      <c r="AE52" s="376"/>
      <c r="AF52" s="376"/>
      <c r="AG52" s="376"/>
      <c r="AH52" s="376"/>
      <c r="AI52" s="376"/>
      <c r="AO52" s="376"/>
      <c r="AP52" s="376"/>
      <c r="AQ52" s="376"/>
      <c r="AR52" s="376"/>
      <c r="AS52" s="385"/>
      <c r="AT52" s="386"/>
      <c r="AU52" s="385"/>
      <c r="AV52" s="385"/>
      <c r="AW52" s="385"/>
      <c r="AX52" s="385"/>
      <c r="AY52" s="385"/>
      <c r="AZ52" s="385"/>
      <c r="BA52" s="385"/>
      <c r="BB52" s="385"/>
      <c r="BC52" s="385"/>
      <c r="BD52" s="385"/>
      <c r="BE52" s="386"/>
      <c r="BF52" s="385" t="str">
        <f>IF(OR(IFERROR(VLOOKUP(BP52,[1]ARS!A:EL,MATCH("Price To Earnings",[1]ARS!$4:$4,0),FALSE),"-")&lt;0,IFERROR(VLOOKUP(BP52,[1]ARS!A:EL,MATCH("Price To Earnings",[1]ARS!$4:$4,0),FALSE),"-")&gt;500),"-",IFERROR(VLOOKUP(BP52,[1]ARS!A:EL,MATCH("Price To Earnings",[1]ARS!$4:$4,0),FALSE),"-"))</f>
        <v>-</v>
      </c>
      <c r="BG52" s="385"/>
      <c r="BH52" s="385"/>
      <c r="BI52" s="385"/>
      <c r="BJ52" s="385"/>
      <c r="BK52" s="385"/>
      <c r="BL52" s="385"/>
      <c r="BM52" s="385"/>
      <c r="BN52" s="385"/>
      <c r="BO52" s="385"/>
      <c r="BP52" s="385"/>
      <c r="BQ52" s="385"/>
      <c r="BR52" s="385"/>
      <c r="BS52" s="385"/>
      <c r="BT52" s="385"/>
      <c r="BU52" s="385"/>
      <c r="BV52" s="385"/>
      <c r="BW52" s="385"/>
    </row>
    <row r="53" spans="1:75" ht="12.75" customHeight="1" x14ac:dyDescent="0.2">
      <c r="A53" s="431"/>
      <c r="B53" s="431"/>
      <c r="C53" s="385"/>
      <c r="D53" s="490"/>
      <c r="E53" s="490"/>
      <c r="F53" s="490"/>
      <c r="G53" s="490"/>
      <c r="H53" s="497"/>
      <c r="I53" s="385"/>
      <c r="J53" s="385"/>
      <c r="K53" s="385"/>
      <c r="L53" s="498"/>
      <c r="M53" s="385"/>
      <c r="N53" s="499"/>
      <c r="O53" s="385"/>
      <c r="P53" s="385"/>
      <c r="Q53" s="431"/>
      <c r="R53" s="385"/>
      <c r="S53" s="500"/>
      <c r="T53" s="431"/>
      <c r="U53" s="431"/>
      <c r="V53" s="431"/>
      <c r="W53" s="431"/>
      <c r="X53" s="431"/>
      <c r="Y53" s="431"/>
      <c r="Z53" s="431"/>
      <c r="AA53" s="431"/>
      <c r="AB53" s="431"/>
      <c r="AC53" s="385"/>
      <c r="AD53" s="385"/>
      <c r="AE53" s="385"/>
      <c r="AF53" s="385"/>
      <c r="AG53" s="431"/>
      <c r="AH53" s="431"/>
      <c r="AI53" s="431"/>
      <c r="AJ53" s="431"/>
      <c r="AK53" s="385"/>
      <c r="AL53" s="385"/>
      <c r="AM53" s="385"/>
      <c r="AN53" s="385"/>
      <c r="AO53" s="385"/>
      <c r="AP53" s="385"/>
      <c r="AQ53" s="385"/>
      <c r="AR53" s="385"/>
      <c r="AS53" s="385"/>
      <c r="AT53" s="386"/>
      <c r="AU53" s="385"/>
      <c r="AV53" s="385"/>
      <c r="AW53" s="385"/>
      <c r="AX53" s="385"/>
      <c r="AY53" s="385"/>
      <c r="AZ53" s="385"/>
      <c r="BA53" s="385"/>
      <c r="BB53" s="385"/>
      <c r="BC53" s="385"/>
      <c r="BD53" s="385"/>
      <c r="BE53" s="386"/>
      <c r="BF53" s="385" t="str">
        <f>IF(OR(IFERROR(VLOOKUP(BP53,[1]ARS!A:EL,MATCH("Price To Earnings",[1]ARS!$4:$4,0),FALSE),"-")&lt;0,IFERROR(VLOOKUP(BP53,[1]ARS!A:EL,MATCH("Price To Earnings",[1]ARS!$4:$4,0),FALSE),"-")&gt;500),"-",IFERROR(VLOOKUP(BP53,[1]ARS!A:EL,MATCH("Price To Earnings",[1]ARS!$4:$4,0),FALSE),"-"))</f>
        <v>-</v>
      </c>
      <c r="BG53" s="385"/>
      <c r="BH53" s="385"/>
      <c r="BI53" s="385"/>
      <c r="BJ53" s="385"/>
      <c r="BK53" s="385"/>
      <c r="BL53" s="385"/>
      <c r="BM53" s="385"/>
      <c r="BN53" s="385"/>
      <c r="BO53" s="385"/>
      <c r="BP53" s="385"/>
      <c r="BQ53" s="385"/>
      <c r="BR53" s="385"/>
      <c r="BS53" s="385"/>
      <c r="BT53" s="385"/>
      <c r="BU53" s="385"/>
      <c r="BV53" s="385"/>
    </row>
    <row r="54" spans="1:75" ht="12.75" customHeight="1" x14ac:dyDescent="0.2">
      <c r="A54" s="431"/>
      <c r="B54" s="431"/>
      <c r="C54" s="385"/>
      <c r="D54" s="490"/>
      <c r="E54" s="490"/>
      <c r="F54" s="490"/>
      <c r="G54" s="490"/>
      <c r="H54" s="497"/>
      <c r="I54" s="385"/>
      <c r="J54" s="385"/>
      <c r="K54" s="385"/>
      <c r="L54" s="498"/>
      <c r="M54" s="385"/>
      <c r="N54" s="499"/>
      <c r="O54" s="385"/>
      <c r="P54" s="385"/>
      <c r="Q54" s="431"/>
      <c r="R54" s="385"/>
      <c r="S54" s="500"/>
      <c r="T54" s="431"/>
      <c r="U54" s="431"/>
      <c r="V54" s="431"/>
      <c r="W54" s="431"/>
      <c r="X54" s="431"/>
      <c r="Y54" s="431"/>
      <c r="Z54" s="431"/>
      <c r="AA54" s="431"/>
      <c r="AB54" s="431"/>
      <c r="AC54" s="385"/>
      <c r="AD54" s="385"/>
      <c r="AE54" s="385"/>
      <c r="AF54" s="385"/>
      <c r="AG54" s="431"/>
      <c r="AH54" s="431"/>
      <c r="AI54" s="431"/>
      <c r="AJ54" s="431"/>
      <c r="AK54" s="385"/>
      <c r="AL54" s="385"/>
      <c r="AM54" s="385"/>
      <c r="AN54" s="385"/>
      <c r="AO54" s="385"/>
      <c r="AP54" s="385"/>
      <c r="AQ54" s="385"/>
      <c r="AR54" s="385"/>
      <c r="AS54" s="385"/>
      <c r="AT54" s="386"/>
      <c r="AU54" s="385"/>
      <c r="AV54" s="385"/>
      <c r="AW54" s="385"/>
      <c r="AX54" s="385"/>
      <c r="AY54" s="385"/>
      <c r="AZ54" s="385"/>
      <c r="BA54" s="385"/>
      <c r="BB54" s="385"/>
      <c r="BC54" s="385"/>
      <c r="BD54" s="385"/>
      <c r="BE54" s="386"/>
      <c r="BF54" s="385"/>
      <c r="BG54" s="385"/>
      <c r="BH54" s="385"/>
      <c r="BI54" s="385"/>
      <c r="BJ54" s="385"/>
      <c r="BK54" s="385"/>
      <c r="BL54" s="385"/>
      <c r="BM54" s="385"/>
      <c r="BN54" s="385"/>
      <c r="BO54" s="385"/>
      <c r="BP54" s="385"/>
      <c r="BQ54" s="385"/>
      <c r="BR54" s="385"/>
      <c r="BS54" s="385"/>
      <c r="BT54" s="385"/>
      <c r="BU54" s="385"/>
      <c r="BV54" s="385"/>
    </row>
    <row r="55" spans="1:75" ht="12.75" customHeight="1" x14ac:dyDescent="0.2">
      <c r="A55" s="431"/>
      <c r="B55" s="431"/>
      <c r="C55" s="385"/>
      <c r="D55" s="490"/>
      <c r="E55" s="490"/>
      <c r="F55" s="490"/>
      <c r="G55" s="490"/>
      <c r="H55" s="431"/>
      <c r="I55" s="490"/>
      <c r="J55" s="490"/>
      <c r="K55" s="498"/>
      <c r="L55" s="498"/>
      <c r="M55" s="385"/>
      <c r="N55" s="436"/>
      <c r="O55" s="431"/>
      <c r="P55" s="431"/>
      <c r="Q55" s="431"/>
      <c r="R55" s="431"/>
      <c r="S55" s="431"/>
      <c r="T55" s="431"/>
      <c r="U55" s="431"/>
      <c r="V55" s="431"/>
      <c r="W55" s="431"/>
      <c r="X55" s="431"/>
      <c r="Y55" s="431"/>
      <c r="Z55" s="431"/>
      <c r="AA55" s="431"/>
      <c r="AB55" s="431"/>
      <c r="AC55" s="431"/>
      <c r="AD55" s="431"/>
      <c r="AE55" s="431"/>
      <c r="AF55" s="431"/>
      <c r="AG55" s="431"/>
      <c r="AH55" s="431"/>
      <c r="AI55" s="431"/>
      <c r="AJ55" s="431"/>
      <c r="AK55" s="385"/>
      <c r="AL55" s="385"/>
      <c r="AM55" s="385"/>
      <c r="AN55" s="385"/>
      <c r="AO55" s="385"/>
      <c r="AP55" s="385"/>
      <c r="AQ55" s="385"/>
      <c r="AR55" s="385"/>
      <c r="AS55" s="385"/>
      <c r="AT55" s="386"/>
      <c r="AU55" s="385"/>
      <c r="AV55" s="385"/>
      <c r="AW55" s="385"/>
      <c r="AX55" s="385"/>
      <c r="AY55" s="385"/>
      <c r="AZ55" s="385"/>
      <c r="BA55" s="385"/>
      <c r="BB55" s="385"/>
      <c r="BC55" s="385"/>
      <c r="BD55" s="385"/>
      <c r="BE55" s="386"/>
      <c r="BF55" s="385" t="str">
        <f>IF(OR(IFERROR(VLOOKUP(BP55,[1]ARS!A:EL,MATCH("Price To Earnings",[1]ARS!$4:$4,0),FALSE),"-")&lt;0,IFERROR(VLOOKUP(BP55,[1]ARS!A:EL,MATCH("Price To Earnings",[1]ARS!$4:$4,0),FALSE),"-")&gt;500),"-",IFERROR(VLOOKUP(BP55,[1]ARS!A:EL,MATCH("Price To Earnings",[1]ARS!$4:$4,0),FALSE),"-"))</f>
        <v>-</v>
      </c>
      <c r="BG55" s="385"/>
      <c r="BH55" s="385"/>
      <c r="BI55" s="385"/>
      <c r="BJ55" s="385"/>
      <c r="BK55" s="385"/>
      <c r="BL55" s="385"/>
      <c r="BM55" s="385"/>
      <c r="BN55" s="385"/>
      <c r="BO55" s="385"/>
      <c r="BP55" s="385"/>
      <c r="BQ55" s="385"/>
      <c r="BR55" s="385"/>
      <c r="BS55" s="385"/>
      <c r="BT55" s="385"/>
      <c r="BU55" s="385"/>
      <c r="BV55" s="385"/>
    </row>
    <row r="56" spans="1:75" ht="12.75" customHeight="1" x14ac:dyDescent="0.2">
      <c r="A56" s="431"/>
      <c r="B56" s="431"/>
      <c r="C56" s="385"/>
      <c r="D56" s="490"/>
      <c r="E56" s="501"/>
      <c r="F56" s="490"/>
      <c r="G56" s="490"/>
      <c r="H56" s="431"/>
      <c r="I56" s="498"/>
      <c r="J56" s="490"/>
      <c r="K56" s="498"/>
      <c r="L56" s="498"/>
      <c r="M56" s="385"/>
      <c r="N56" s="436"/>
      <c r="O56" s="431"/>
      <c r="P56" s="431"/>
      <c r="Q56" s="431"/>
      <c r="R56" s="431"/>
      <c r="S56" s="431"/>
      <c r="T56" s="431"/>
      <c r="U56" s="431"/>
      <c r="V56" s="431"/>
      <c r="W56" s="431"/>
      <c r="X56" s="431"/>
      <c r="Y56" s="431"/>
      <c r="Z56" s="431"/>
      <c r="AA56" s="431"/>
      <c r="AB56" s="431"/>
      <c r="AC56" s="431"/>
      <c r="AD56" s="431"/>
      <c r="AE56" s="431"/>
      <c r="AF56" s="431"/>
      <c r="AG56" s="431"/>
      <c r="AH56" s="431"/>
      <c r="AI56" s="431"/>
      <c r="AJ56" s="431"/>
      <c r="AK56" s="385"/>
      <c r="AL56" s="386"/>
      <c r="AM56" s="385"/>
      <c r="AN56" s="385"/>
      <c r="AO56" s="385"/>
      <c r="AP56" s="385"/>
      <c r="AQ56" s="385"/>
      <c r="AR56" s="385"/>
      <c r="AS56" s="385"/>
      <c r="AT56" s="386"/>
      <c r="AU56" s="385"/>
      <c r="AV56" s="385"/>
      <c r="AW56" s="385"/>
      <c r="AX56" s="385"/>
      <c r="AY56" s="385"/>
      <c r="AZ56" s="385"/>
      <c r="BA56" s="385"/>
      <c r="BB56" s="385"/>
      <c r="BC56" s="385"/>
      <c r="BD56" s="385"/>
      <c r="BE56" s="386"/>
      <c r="BF56" s="385" t="str">
        <f>IF(OR(IFERROR(VLOOKUP(BP56,[1]ARS!A:EL,MATCH("Price To Earnings",[1]ARS!$4:$4,0),FALSE),"-")&lt;0,IFERROR(VLOOKUP(BP56,[1]ARS!A:EL,MATCH("Price To Earnings",[1]ARS!$4:$4,0),FALSE),"-")&gt;500),"-",IFERROR(VLOOKUP(BP56,[1]ARS!A:EL,MATCH("Price To Earnings",[1]ARS!$4:$4,0),FALSE),"-"))</f>
        <v>-</v>
      </c>
      <c r="BG56" s="385"/>
      <c r="BH56" s="385"/>
      <c r="BI56" s="385"/>
      <c r="BJ56" s="385"/>
      <c r="BK56" s="385"/>
      <c r="BL56" s="385"/>
      <c r="BM56" s="385"/>
      <c r="BN56" s="385"/>
      <c r="BO56" s="385"/>
      <c r="BP56" s="385"/>
      <c r="BQ56" s="385"/>
      <c r="BR56" s="385"/>
      <c r="BS56" s="385"/>
      <c r="BT56" s="385"/>
      <c r="BU56" s="385"/>
      <c r="BV56" s="385"/>
    </row>
    <row r="57" spans="1:75" ht="12.75" customHeight="1" x14ac:dyDescent="0.2">
      <c r="A57" s="431"/>
      <c r="B57" s="431"/>
      <c r="C57" s="385"/>
      <c r="D57" s="490"/>
      <c r="E57" s="490"/>
      <c r="F57" s="490"/>
      <c r="G57" s="490"/>
      <c r="H57" s="431"/>
      <c r="I57" s="498"/>
      <c r="J57" s="490"/>
      <c r="K57" s="498"/>
      <c r="L57" s="498"/>
      <c r="M57" s="385"/>
      <c r="N57" s="436"/>
      <c r="O57" s="431"/>
      <c r="P57" s="431"/>
      <c r="Q57" s="431"/>
      <c r="R57" s="431"/>
      <c r="S57" s="431"/>
      <c r="T57" s="431"/>
      <c r="U57" s="431"/>
      <c r="V57" s="431"/>
      <c r="W57" s="431"/>
      <c r="X57" s="431"/>
      <c r="Y57" s="431"/>
      <c r="Z57" s="431"/>
      <c r="AA57" s="431"/>
      <c r="AB57" s="431"/>
      <c r="AC57" s="431"/>
      <c r="AD57" s="431"/>
      <c r="AE57" s="431"/>
      <c r="AF57" s="431"/>
      <c r="AG57" s="431"/>
      <c r="AH57" s="431"/>
      <c r="AI57" s="431"/>
      <c r="AJ57" s="431"/>
      <c r="AK57" s="385"/>
      <c r="AL57" s="385"/>
      <c r="AM57" s="385"/>
      <c r="AN57" s="385"/>
      <c r="AO57" s="385"/>
      <c r="AP57" s="385"/>
      <c r="AQ57" s="385"/>
      <c r="AR57" s="385"/>
      <c r="AS57" s="385"/>
      <c r="AT57" s="386"/>
      <c r="AU57" s="385"/>
      <c r="AV57" s="385"/>
      <c r="AW57" s="385"/>
      <c r="AX57" s="385"/>
      <c r="AY57" s="385"/>
      <c r="AZ57" s="385"/>
      <c r="BA57" s="385"/>
      <c r="BB57" s="385"/>
      <c r="BC57" s="385"/>
      <c r="BD57" s="385"/>
      <c r="BE57" s="386"/>
      <c r="BF57" s="385" t="str">
        <f>IF(OR(IFERROR(VLOOKUP(BP57,[1]ARS!A:EL,MATCH("Price To Earnings",[1]ARS!$4:$4,0),FALSE),"-")&lt;0,IFERROR(VLOOKUP(BP57,[1]ARS!A:EL,MATCH("Price To Earnings",[1]ARS!$4:$4,0),FALSE),"-")&gt;500),"-",IFERROR(VLOOKUP(BP57,[1]ARS!A:EL,MATCH("Price To Earnings",[1]ARS!$4:$4,0),FALSE),"-"))</f>
        <v>-</v>
      </c>
      <c r="BG57" s="385"/>
      <c r="BH57" s="385"/>
      <c r="BI57" s="385"/>
      <c r="BJ57" s="385"/>
      <c r="BK57" s="385"/>
      <c r="BL57" s="385"/>
      <c r="BM57" s="385"/>
      <c r="BN57" s="385"/>
      <c r="BO57" s="385"/>
      <c r="BP57" s="385"/>
      <c r="BQ57" s="385"/>
      <c r="BR57" s="385"/>
      <c r="BS57" s="385"/>
      <c r="BT57" s="385"/>
      <c r="BU57" s="385"/>
      <c r="BV57" s="385"/>
    </row>
    <row r="58" spans="1:75" ht="12.75" customHeight="1" x14ac:dyDescent="0.2">
      <c r="A58" s="502"/>
      <c r="B58" s="502"/>
      <c r="C58" s="502"/>
      <c r="D58" s="502"/>
      <c r="E58" s="502"/>
      <c r="F58" s="502"/>
      <c r="G58" s="502"/>
      <c r="H58" s="502"/>
      <c r="I58" s="502"/>
      <c r="J58" s="502"/>
      <c r="K58" s="502"/>
      <c r="L58" s="502"/>
      <c r="M58" s="502"/>
      <c r="N58" s="431"/>
      <c r="O58" s="431"/>
      <c r="P58" s="431"/>
      <c r="Q58" s="431"/>
      <c r="R58" s="431"/>
      <c r="S58" s="431"/>
      <c r="T58" s="431"/>
      <c r="U58" s="431"/>
      <c r="V58" s="431"/>
      <c r="W58" s="431"/>
      <c r="X58" s="431"/>
      <c r="Y58" s="431"/>
      <c r="Z58" s="431"/>
      <c r="AA58" s="431"/>
      <c r="AB58" s="431"/>
      <c r="AC58" s="431"/>
      <c r="AD58" s="431"/>
      <c r="AE58" s="431"/>
      <c r="AF58" s="431"/>
      <c r="AG58" s="431"/>
      <c r="AH58" s="431"/>
      <c r="AI58" s="431"/>
      <c r="AJ58" s="431"/>
      <c r="AK58" s="385"/>
      <c r="AL58" s="385"/>
      <c r="AM58" s="385"/>
      <c r="AN58" s="385"/>
      <c r="AO58" s="385"/>
      <c r="AP58" s="385"/>
      <c r="AQ58" s="385"/>
      <c r="AR58" s="385"/>
      <c r="AS58" s="385"/>
      <c r="AT58" s="386"/>
      <c r="AU58" s="385"/>
      <c r="AV58" s="385"/>
      <c r="AW58" s="385"/>
      <c r="AX58" s="385"/>
      <c r="AY58" s="385"/>
      <c r="AZ58" s="385"/>
      <c r="BA58" s="385"/>
      <c r="BB58" s="385"/>
      <c r="BC58" s="385"/>
      <c r="BD58" s="385"/>
      <c r="BE58" s="386"/>
      <c r="BF58" s="385" t="str">
        <f>IF(OR(IFERROR(VLOOKUP(BP58,[1]ARS!A:EL,MATCH("Price To Earnings",[1]ARS!$4:$4,0),FALSE),"-")&lt;0,IFERROR(VLOOKUP(BP58,[1]ARS!A:EL,MATCH("Price To Earnings",[1]ARS!$4:$4,0),FALSE),"-")&gt;500),"-",IFERROR(VLOOKUP(BP58,[1]ARS!A:EL,MATCH("Price To Earnings",[1]ARS!$4:$4,0),FALSE),"-"))</f>
        <v>-</v>
      </c>
      <c r="BG58" s="385"/>
      <c r="BH58" s="385"/>
      <c r="BI58" s="385"/>
      <c r="BJ58" s="385"/>
      <c r="BK58" s="385"/>
      <c r="BL58" s="385"/>
      <c r="BM58" s="385"/>
      <c r="BN58" s="385"/>
      <c r="BO58" s="385"/>
      <c r="BP58" s="385"/>
      <c r="BQ58" s="385"/>
      <c r="BR58" s="385"/>
      <c r="BS58" s="385"/>
      <c r="BT58" s="385"/>
      <c r="BU58" s="385"/>
      <c r="BV58" s="385"/>
    </row>
    <row r="59" spans="1:75" ht="12.75" customHeight="1" x14ac:dyDescent="0.2">
      <c r="A59" s="433"/>
      <c r="B59" s="433"/>
      <c r="C59" s="433"/>
      <c r="D59" s="433"/>
      <c r="E59" s="433"/>
      <c r="F59" s="433"/>
      <c r="G59" s="433"/>
      <c r="H59" s="433"/>
      <c r="I59" s="433"/>
      <c r="J59" s="433"/>
      <c r="K59" s="433"/>
      <c r="L59" s="433"/>
      <c r="M59" s="433"/>
      <c r="N59" s="502"/>
      <c r="O59" s="502"/>
      <c r="P59" s="502"/>
      <c r="Q59" s="502"/>
      <c r="R59" s="502"/>
      <c r="S59" s="502"/>
      <c r="T59" s="502"/>
      <c r="U59" s="502"/>
      <c r="V59" s="502"/>
      <c r="W59" s="502"/>
      <c r="X59" s="502"/>
      <c r="Y59" s="502"/>
      <c r="Z59" s="502"/>
      <c r="AA59" s="502"/>
      <c r="AB59" s="502"/>
      <c r="AC59" s="502"/>
      <c r="AD59" s="502"/>
      <c r="AE59" s="502"/>
      <c r="AF59" s="502"/>
      <c r="AG59" s="502"/>
      <c r="AH59" s="502"/>
      <c r="AI59" s="502"/>
      <c r="AJ59" s="431"/>
      <c r="AK59" s="385"/>
      <c r="AL59" s="385"/>
      <c r="AM59" s="385"/>
      <c r="AN59" s="385"/>
      <c r="AO59" s="385"/>
      <c r="AP59" s="385"/>
      <c r="AQ59" s="385"/>
      <c r="AR59" s="385"/>
      <c r="AS59" s="385"/>
      <c r="AT59" s="386"/>
      <c r="AU59" s="385"/>
      <c r="AV59" s="385"/>
      <c r="AW59" s="385"/>
      <c r="AX59" s="385"/>
      <c r="AY59" s="385"/>
      <c r="AZ59" s="385"/>
      <c r="BA59" s="385"/>
      <c r="BB59" s="385"/>
      <c r="BC59" s="385"/>
      <c r="BD59" s="385"/>
      <c r="BE59" s="386"/>
      <c r="BF59" s="385" t="str">
        <f>IF(OR(IFERROR(VLOOKUP(BP59,[1]ARS!A:EL,MATCH("Price To Earnings",[1]ARS!$4:$4,0),FALSE),"-")&lt;0,IFERROR(VLOOKUP(BP59,[1]ARS!A:EL,MATCH("Price To Earnings",[1]ARS!$4:$4,0),FALSE),"-")&gt;500),"-",IFERROR(VLOOKUP(BP59,[1]ARS!A:EL,MATCH("Price To Earnings",[1]ARS!$4:$4,0),FALSE),"-"))</f>
        <v>-</v>
      </c>
      <c r="BG59" s="385"/>
      <c r="BH59" s="385"/>
      <c r="BI59" s="385"/>
      <c r="BJ59" s="385"/>
      <c r="BK59" s="385"/>
      <c r="BL59" s="385"/>
      <c r="BM59" s="385"/>
      <c r="BN59" s="385"/>
      <c r="BO59" s="385"/>
      <c r="BP59" s="385"/>
      <c r="BQ59" s="385"/>
      <c r="BR59" s="385"/>
      <c r="BS59" s="385"/>
      <c r="BT59" s="385"/>
      <c r="BU59" s="385"/>
      <c r="BV59" s="385"/>
    </row>
    <row r="60" spans="1:75" ht="12.75" customHeight="1" x14ac:dyDescent="0.2">
      <c r="A60" s="433"/>
      <c r="B60" s="433"/>
      <c r="C60" s="433"/>
      <c r="D60" s="433"/>
      <c r="E60" s="503"/>
      <c r="F60" s="433"/>
      <c r="G60" s="433"/>
      <c r="H60" s="433"/>
      <c r="I60" s="433"/>
      <c r="J60" s="433"/>
      <c r="K60" s="433"/>
      <c r="L60" s="433"/>
      <c r="M60" s="433"/>
      <c r="N60" s="433"/>
      <c r="O60" s="433"/>
      <c r="P60" s="433"/>
      <c r="Q60" s="433"/>
      <c r="R60" s="433"/>
      <c r="S60" s="433"/>
      <c r="T60" s="433"/>
      <c r="U60" s="433"/>
      <c r="V60" s="433"/>
      <c r="W60" s="433"/>
      <c r="X60" s="433"/>
      <c r="Y60" s="433"/>
      <c r="Z60" s="433"/>
      <c r="AA60" s="433"/>
      <c r="AB60" s="433"/>
      <c r="AC60" s="433"/>
      <c r="AD60" s="433"/>
      <c r="AE60" s="433"/>
      <c r="AF60" s="433"/>
      <c r="AG60" s="433"/>
      <c r="AH60" s="433"/>
      <c r="AI60" s="433"/>
      <c r="AJ60" s="431"/>
      <c r="AK60" s="385"/>
      <c r="AL60" s="385"/>
      <c r="AM60" s="385"/>
      <c r="AN60" s="385"/>
      <c r="AO60" s="385"/>
      <c r="AP60" s="385"/>
      <c r="AQ60" s="385"/>
      <c r="AR60" s="385"/>
      <c r="AS60" s="385"/>
      <c r="AT60" s="386"/>
      <c r="AU60" s="385"/>
      <c r="AV60" s="385"/>
      <c r="AW60" s="385"/>
      <c r="AX60" s="385"/>
      <c r="AY60" s="385"/>
      <c r="AZ60" s="385"/>
      <c r="BA60" s="385"/>
      <c r="BB60" s="385"/>
      <c r="BC60" s="385"/>
      <c r="BD60" s="385"/>
      <c r="BE60" s="386"/>
      <c r="BF60" s="385" t="str">
        <f>IF(OR(IFERROR(VLOOKUP(BP60,[1]ARS!A:EL,MATCH("Price To Earnings",[1]ARS!$4:$4,0),FALSE),"-")&lt;0,IFERROR(VLOOKUP(BP60,[1]ARS!A:EL,MATCH("Price To Earnings",[1]ARS!$4:$4,0),FALSE),"-")&gt;500),"-",IFERROR(VLOOKUP(BP60,[1]ARS!A:EL,MATCH("Price To Earnings",[1]ARS!$4:$4,0),FALSE),"-"))</f>
        <v>-</v>
      </c>
      <c r="BG60" s="385"/>
      <c r="BH60" s="385"/>
      <c r="BI60" s="385"/>
      <c r="BJ60" s="385"/>
      <c r="BK60" s="385"/>
      <c r="BL60" s="385"/>
      <c r="BM60" s="385"/>
      <c r="BN60" s="385"/>
      <c r="BO60" s="385"/>
      <c r="BP60" s="385"/>
      <c r="BQ60" s="385"/>
      <c r="BR60" s="385"/>
      <c r="BS60" s="385"/>
      <c r="BT60" s="385"/>
      <c r="BU60" s="385"/>
      <c r="BV60" s="385"/>
    </row>
    <row r="61" spans="1:75" ht="12.75" customHeight="1" x14ac:dyDescent="0.2">
      <c r="A61" s="431"/>
      <c r="B61" s="431"/>
      <c r="C61" s="431"/>
      <c r="D61" s="431"/>
      <c r="E61" s="431"/>
      <c r="F61" s="431"/>
      <c r="G61" s="431"/>
      <c r="H61" s="431"/>
      <c r="I61" s="431"/>
      <c r="J61" s="431"/>
      <c r="K61" s="431"/>
      <c r="L61" s="431"/>
      <c r="M61" s="431"/>
      <c r="N61" s="433"/>
      <c r="O61" s="433"/>
      <c r="P61" s="433"/>
      <c r="Q61" s="433"/>
      <c r="R61" s="433"/>
      <c r="S61" s="433"/>
      <c r="T61" s="433"/>
      <c r="U61" s="433"/>
      <c r="V61" s="433"/>
      <c r="W61" s="433"/>
      <c r="X61" s="433"/>
      <c r="Y61" s="433"/>
      <c r="Z61" s="433"/>
      <c r="AA61" s="433"/>
      <c r="AB61" s="433"/>
      <c r="AC61" s="433"/>
      <c r="AD61" s="433"/>
      <c r="AE61" s="433"/>
      <c r="AF61" s="433"/>
      <c r="AG61" s="433"/>
      <c r="AH61" s="433"/>
      <c r="AI61" s="433"/>
      <c r="AJ61" s="431"/>
      <c r="AK61" s="385"/>
      <c r="AL61" s="385"/>
      <c r="AM61" s="385"/>
      <c r="AN61" s="385"/>
      <c r="AO61" s="385"/>
      <c r="AP61" s="385"/>
      <c r="AQ61" s="385"/>
      <c r="AR61" s="385"/>
      <c r="AS61" s="385"/>
      <c r="AT61" s="386"/>
      <c r="AU61" s="385"/>
      <c r="AV61" s="385"/>
      <c r="AW61" s="385"/>
      <c r="AX61" s="385"/>
      <c r="AY61" s="385"/>
      <c r="AZ61" s="385"/>
      <c r="BA61" s="385"/>
      <c r="BB61" s="385"/>
      <c r="BC61" s="385"/>
      <c r="BD61" s="385"/>
      <c r="BE61" s="386"/>
      <c r="BF61" s="385" t="str">
        <f>IF(OR(IFERROR(VLOOKUP(BP61,[1]ARS!A:EL,MATCH("Price To Earnings",[1]ARS!$4:$4,0),FALSE),"-")&lt;0,IFERROR(VLOOKUP(BP61,[1]ARS!A:EL,MATCH("Price To Earnings",[1]ARS!$4:$4,0),FALSE),"-")&gt;500),"-",IFERROR(VLOOKUP(BP61,[1]ARS!A:EL,MATCH("Price To Earnings",[1]ARS!$4:$4,0),FALSE),"-"))</f>
        <v>-</v>
      </c>
      <c r="BG61" s="385"/>
      <c r="BH61" s="385"/>
      <c r="BI61" s="385"/>
      <c r="BJ61" s="385"/>
      <c r="BK61" s="385"/>
      <c r="BL61" s="385"/>
      <c r="BM61" s="385"/>
      <c r="BN61" s="385"/>
      <c r="BO61" s="385"/>
      <c r="BP61" s="385"/>
      <c r="BQ61" s="385"/>
      <c r="BR61" s="385"/>
      <c r="BS61" s="385"/>
      <c r="BT61" s="385"/>
      <c r="BU61" s="385"/>
      <c r="BV61" s="385"/>
    </row>
    <row r="62" spans="1:75" ht="12.75" customHeight="1" x14ac:dyDescent="0.2">
      <c r="A62" s="489"/>
      <c r="B62" s="486"/>
      <c r="C62" s="385"/>
      <c r="D62" s="385"/>
      <c r="E62" s="385"/>
      <c r="F62" s="385"/>
      <c r="G62" s="385"/>
      <c r="H62" s="385"/>
      <c r="I62" s="385"/>
      <c r="J62" s="385"/>
      <c r="K62" s="385"/>
      <c r="L62" s="385"/>
      <c r="M62" s="385"/>
      <c r="N62" s="385"/>
      <c r="O62" s="385"/>
      <c r="P62" s="385"/>
      <c r="Q62" s="385"/>
      <c r="R62" s="385"/>
      <c r="S62" s="385"/>
      <c r="T62" s="385"/>
      <c r="U62" s="385"/>
      <c r="V62" s="385"/>
      <c r="W62" s="385"/>
      <c r="X62" s="385"/>
      <c r="Y62" s="385"/>
      <c r="Z62" s="385"/>
      <c r="AA62" s="385"/>
      <c r="AB62" s="385"/>
      <c r="AC62" s="385"/>
      <c r="AD62" s="385"/>
      <c r="AE62" s="385"/>
      <c r="AF62" s="385"/>
      <c r="AG62" s="385"/>
      <c r="AH62" s="385"/>
      <c r="AI62" s="385"/>
      <c r="AJ62" s="431"/>
      <c r="AK62" s="385"/>
      <c r="AL62" s="385"/>
      <c r="AM62" s="385"/>
      <c r="AN62" s="385"/>
      <c r="AO62" s="385"/>
      <c r="AP62" s="385"/>
      <c r="AQ62" s="385"/>
      <c r="AR62" s="385"/>
      <c r="AS62" s="385"/>
      <c r="AT62" s="386"/>
      <c r="AU62" s="385"/>
      <c r="AV62" s="385"/>
      <c r="AW62" s="385"/>
      <c r="AX62" s="385"/>
      <c r="AY62" s="385"/>
      <c r="AZ62" s="385"/>
      <c r="BA62" s="385"/>
      <c r="BB62" s="385"/>
      <c r="BC62" s="385"/>
      <c r="BD62" s="385"/>
      <c r="BE62" s="385"/>
      <c r="BF62" s="385" t="str">
        <f>IF(OR(IFERROR(VLOOKUP(BP62,[1]ARS!A:EL,MATCH("Price To Earnings",[1]ARS!$4:$4,0),FALSE),"-")&lt;0,IFERROR(VLOOKUP(BP62,[1]ARS!A:EL,MATCH("Price To Earnings",[1]ARS!$4:$4,0),FALSE),"-")&gt;500),"-",IFERROR(VLOOKUP(BP62,[1]ARS!A:EL,MATCH("Price To Earnings",[1]ARS!$4:$4,0),FALSE),"-"))</f>
        <v>-</v>
      </c>
      <c r="BG62" s="385"/>
      <c r="BH62" s="385"/>
      <c r="BI62" s="385"/>
      <c r="BJ62" s="385"/>
      <c r="BK62" s="385"/>
      <c r="BL62" s="385"/>
      <c r="BM62" s="385"/>
      <c r="BN62" s="385"/>
      <c r="BO62" s="385"/>
      <c r="BP62" s="385"/>
      <c r="BQ62" s="385"/>
      <c r="BR62" s="385"/>
      <c r="BS62" s="385"/>
      <c r="BT62" s="385"/>
      <c r="BU62" s="385"/>
      <c r="BV62" s="385"/>
    </row>
    <row r="63" spans="1:75" ht="12.75" customHeight="1" x14ac:dyDescent="0.2">
      <c r="A63" s="385"/>
      <c r="B63" s="385"/>
      <c r="C63" s="385"/>
      <c r="D63" s="385"/>
      <c r="E63" s="438"/>
      <c r="F63" s="385"/>
      <c r="G63" s="385"/>
      <c r="H63" s="385"/>
      <c r="I63" s="385"/>
      <c r="J63" s="385"/>
      <c r="K63" s="385"/>
      <c r="L63" s="385"/>
      <c r="M63" s="385"/>
      <c r="N63" s="385"/>
      <c r="O63" s="385"/>
      <c r="P63" s="385"/>
      <c r="Q63" s="385"/>
      <c r="R63" s="385"/>
      <c r="S63" s="385"/>
      <c r="T63" s="385"/>
      <c r="U63" s="385"/>
      <c r="V63" s="385"/>
      <c r="W63" s="385"/>
      <c r="X63" s="385"/>
      <c r="Y63" s="385"/>
      <c r="Z63" s="385"/>
      <c r="AA63" s="385"/>
      <c r="AB63" s="385"/>
      <c r="AC63" s="385"/>
      <c r="AD63" s="385"/>
      <c r="AE63" s="385"/>
      <c r="AF63" s="385"/>
      <c r="AG63" s="385"/>
      <c r="AH63" s="385"/>
      <c r="AI63" s="385"/>
      <c r="AJ63" s="431"/>
      <c r="AK63" s="385"/>
      <c r="AL63" s="385"/>
      <c r="AM63" s="385"/>
      <c r="AN63" s="385"/>
      <c r="AO63" s="385"/>
      <c r="AP63" s="385"/>
      <c r="AQ63" s="385"/>
      <c r="AR63" s="385"/>
      <c r="AS63" s="385"/>
      <c r="AT63" s="386"/>
      <c r="AU63" s="385"/>
      <c r="AV63" s="385"/>
      <c r="AW63" s="385"/>
      <c r="AX63" s="385"/>
      <c r="AY63" s="385"/>
      <c r="AZ63" s="385"/>
      <c r="BA63" s="385"/>
      <c r="BB63" s="385"/>
      <c r="BC63" s="385"/>
      <c r="BD63" s="385"/>
      <c r="BE63" s="385"/>
      <c r="BF63" s="385" t="str">
        <f>IF(OR(IFERROR(VLOOKUP(BP63,[1]ARS!A:EL,MATCH("Price To Earnings",[1]ARS!$4:$4,0),FALSE),"-")&lt;0,IFERROR(VLOOKUP(BP63,[1]ARS!A:EL,MATCH("Price To Earnings",[1]ARS!$4:$4,0),FALSE),"-")&gt;500),"-",IFERROR(VLOOKUP(BP63,[1]ARS!A:EL,MATCH("Price To Earnings",[1]ARS!$4:$4,0),FALSE),"-"))</f>
        <v>-</v>
      </c>
      <c r="BG63" s="385"/>
      <c r="BH63" s="385"/>
      <c r="BI63" s="385"/>
      <c r="BJ63" s="385"/>
      <c r="BK63" s="385"/>
      <c r="BL63" s="385"/>
      <c r="BM63" s="385"/>
      <c r="BN63" s="385"/>
      <c r="BO63" s="385"/>
      <c r="BP63" s="385"/>
      <c r="BQ63" s="385"/>
      <c r="BR63" s="385"/>
      <c r="BS63" s="385"/>
      <c r="BT63" s="385"/>
      <c r="BU63" s="385"/>
      <c r="BV63" s="385"/>
      <c r="BW63" s="385"/>
    </row>
    <row r="64" spans="1:75" ht="12.75" customHeight="1" x14ac:dyDescent="0.2">
      <c r="A64" s="385"/>
      <c r="B64" s="385"/>
      <c r="C64" s="385"/>
      <c r="D64" s="385"/>
      <c r="E64" s="439"/>
      <c r="F64" s="385"/>
      <c r="G64" s="385"/>
      <c r="H64" s="385"/>
      <c r="I64" s="385"/>
      <c r="J64" s="385"/>
      <c r="K64" s="385"/>
      <c r="L64" s="385"/>
      <c r="M64" s="385"/>
      <c r="N64" s="385"/>
      <c r="O64" s="385"/>
      <c r="P64" s="385"/>
      <c r="Q64" s="385"/>
      <c r="R64" s="385"/>
      <c r="S64" s="385"/>
      <c r="T64" s="385"/>
      <c r="U64" s="385"/>
      <c r="V64" s="385"/>
      <c r="W64" s="385"/>
      <c r="X64" s="385"/>
      <c r="Y64" s="385"/>
      <c r="Z64" s="385"/>
      <c r="AA64" s="385"/>
      <c r="AB64" s="385"/>
      <c r="AC64" s="385"/>
      <c r="AD64" s="385"/>
      <c r="AE64" s="385"/>
      <c r="AF64" s="385"/>
      <c r="AG64" s="385"/>
      <c r="AH64" s="385"/>
      <c r="AI64" s="385"/>
      <c r="AJ64" s="431"/>
      <c r="AK64" s="385"/>
      <c r="AL64" s="385"/>
      <c r="AM64" s="385"/>
      <c r="AN64" s="385"/>
      <c r="AO64" s="385"/>
      <c r="AP64" s="385"/>
      <c r="AQ64" s="385"/>
      <c r="AR64" s="385"/>
      <c r="AS64" s="385"/>
      <c r="AT64" s="386"/>
      <c r="AU64" s="385"/>
      <c r="AV64" s="385"/>
      <c r="AW64" s="385"/>
      <c r="AX64" s="385"/>
      <c r="AY64" s="385"/>
      <c r="AZ64" s="385"/>
      <c r="BA64" s="385"/>
      <c r="BB64" s="385"/>
      <c r="BC64" s="385"/>
      <c r="BD64" s="385"/>
      <c r="BE64" s="385"/>
      <c r="BF64" s="385" t="str">
        <f>IF(OR(IFERROR(VLOOKUP(BP64,[1]ARS!A:EL,MATCH("Price To Earnings",[1]ARS!$4:$4,0),FALSE),"-")&lt;0,IFERROR(VLOOKUP(BP64,[1]ARS!A:EL,MATCH("Price To Earnings",[1]ARS!$4:$4,0),FALSE),"-")&gt;500),"-",IFERROR(VLOOKUP(BP64,[1]ARS!A:EL,MATCH("Price To Earnings",[1]ARS!$4:$4,0),FALSE),"-"))</f>
        <v>-</v>
      </c>
      <c r="BG64" s="385"/>
      <c r="BH64" s="385"/>
      <c r="BI64" s="385"/>
      <c r="BJ64" s="385"/>
      <c r="BK64" s="385"/>
      <c r="BL64" s="385"/>
      <c r="BM64" s="385"/>
      <c r="BN64" s="385"/>
      <c r="BO64" s="385"/>
      <c r="BP64" s="385"/>
      <c r="BQ64" s="385"/>
      <c r="BR64" s="385"/>
      <c r="BS64" s="385"/>
      <c r="BT64" s="385"/>
      <c r="BU64" s="385"/>
      <c r="BV64" s="385"/>
    </row>
    <row r="65" spans="1:75" ht="12.75" customHeight="1" x14ac:dyDescent="0.2">
      <c r="A65" s="385"/>
      <c r="B65" s="385"/>
      <c r="C65" s="385"/>
      <c r="D65" s="385"/>
      <c r="E65" s="385"/>
      <c r="F65" s="385"/>
      <c r="G65" s="385"/>
      <c r="H65" s="385"/>
      <c r="I65" s="385"/>
      <c r="J65" s="385"/>
      <c r="K65" s="385"/>
      <c r="L65" s="385"/>
      <c r="M65" s="385"/>
      <c r="N65" s="385"/>
      <c r="O65" s="385"/>
      <c r="P65" s="385"/>
      <c r="Q65" s="385"/>
      <c r="R65" s="385"/>
      <c r="S65" s="385"/>
      <c r="T65" s="385"/>
      <c r="U65" s="385"/>
      <c r="V65" s="385"/>
      <c r="W65" s="385"/>
      <c r="X65" s="385"/>
      <c r="Y65" s="385"/>
      <c r="Z65" s="385"/>
      <c r="AA65" s="385"/>
      <c r="AB65" s="385"/>
      <c r="AC65" s="385"/>
      <c r="AD65" s="385"/>
      <c r="AE65" s="385"/>
      <c r="AF65" s="385"/>
      <c r="AG65" s="385"/>
      <c r="AH65" s="385"/>
      <c r="AI65" s="385"/>
      <c r="AJ65" s="431"/>
      <c r="AK65" s="385"/>
      <c r="AL65" s="385"/>
      <c r="AM65" s="385"/>
      <c r="AN65" s="385"/>
      <c r="AO65" s="385"/>
      <c r="AP65" s="385"/>
      <c r="AQ65" s="385"/>
      <c r="AR65" s="385"/>
      <c r="AS65" s="385"/>
      <c r="AT65" s="386"/>
      <c r="AU65" s="385"/>
      <c r="AV65" s="385"/>
      <c r="AW65" s="385"/>
      <c r="AX65" s="385"/>
      <c r="AY65" s="385"/>
      <c r="AZ65" s="385"/>
      <c r="BA65" s="385"/>
      <c r="BB65" s="385"/>
      <c r="BC65" s="385"/>
      <c r="BD65" s="385"/>
      <c r="BE65" s="385"/>
      <c r="BF65" s="385" t="str">
        <f>IF(OR(IFERROR(VLOOKUP(BP65,[1]ARS!A:EL,MATCH("Price To Earnings",[1]ARS!$4:$4,0),FALSE),"-")&lt;0,IFERROR(VLOOKUP(BP65,[1]ARS!A:EL,MATCH("Price To Earnings",[1]ARS!$4:$4,0),FALSE),"-")&gt;500),"-",IFERROR(VLOOKUP(BP65,[1]ARS!A:EL,MATCH("Price To Earnings",[1]ARS!$4:$4,0),FALSE),"-"))</f>
        <v>-</v>
      </c>
      <c r="BG65" s="385"/>
      <c r="BH65" s="385"/>
      <c r="BI65" s="385"/>
      <c r="BJ65" s="385"/>
      <c r="BK65" s="385"/>
      <c r="BL65" s="385"/>
      <c r="BM65" s="385"/>
      <c r="BN65" s="385"/>
      <c r="BO65" s="385"/>
      <c r="BP65" s="385"/>
      <c r="BQ65" s="385"/>
      <c r="BR65" s="385"/>
      <c r="BS65" s="385"/>
      <c r="BT65" s="385"/>
      <c r="BU65" s="385"/>
      <c r="BV65" s="385"/>
    </row>
    <row r="66" spans="1:75" ht="12.75" customHeight="1" x14ac:dyDescent="0.2">
      <c r="A66" s="385"/>
      <c r="B66" s="385"/>
      <c r="C66" s="385"/>
      <c r="D66" s="385"/>
      <c r="E66" s="385"/>
      <c r="F66" s="385"/>
      <c r="G66" s="385"/>
      <c r="H66" s="385"/>
      <c r="I66" s="385"/>
      <c r="J66" s="385"/>
      <c r="K66" s="385"/>
      <c r="L66" s="385"/>
      <c r="M66" s="385"/>
      <c r="N66" s="385"/>
      <c r="O66" s="385"/>
      <c r="P66" s="385"/>
      <c r="Q66" s="385"/>
      <c r="R66" s="385"/>
      <c r="S66" s="385"/>
      <c r="T66" s="385"/>
      <c r="U66" s="385"/>
      <c r="V66" s="385"/>
      <c r="W66" s="385"/>
      <c r="X66" s="385"/>
      <c r="Y66" s="385"/>
      <c r="Z66" s="385"/>
      <c r="AA66" s="385"/>
      <c r="AB66" s="385"/>
      <c r="AC66" s="385"/>
      <c r="AD66" s="385"/>
      <c r="AE66" s="385"/>
      <c r="AF66" s="385"/>
      <c r="AG66" s="385"/>
      <c r="AH66" s="385"/>
      <c r="AI66" s="385"/>
      <c r="AJ66" s="431"/>
      <c r="AK66" s="385"/>
      <c r="AL66" s="385"/>
      <c r="AM66" s="385"/>
      <c r="AN66" s="385"/>
      <c r="AO66" s="385"/>
      <c r="AP66" s="385"/>
      <c r="AQ66" s="385"/>
      <c r="AR66" s="385"/>
      <c r="AS66" s="385"/>
      <c r="AT66" s="386"/>
      <c r="AU66" s="385"/>
      <c r="AV66" s="385"/>
      <c r="AW66" s="385"/>
      <c r="AX66" s="385"/>
      <c r="AY66" s="385"/>
      <c r="AZ66" s="385"/>
      <c r="BA66" s="385"/>
      <c r="BB66" s="385"/>
      <c r="BC66" s="385"/>
      <c r="BD66" s="385"/>
      <c r="BE66" s="385"/>
      <c r="BF66" s="385" t="str">
        <f>IF(OR(IFERROR(VLOOKUP(BP66,[1]ARS!A:EL,MATCH("Price To Earnings",[1]ARS!$4:$4,0),FALSE),"-")&lt;0,IFERROR(VLOOKUP(BP66,[1]ARS!A:EL,MATCH("Price To Earnings",[1]ARS!$4:$4,0),FALSE),"-")&gt;500),"-",IFERROR(VLOOKUP(BP66,[1]ARS!A:EL,MATCH("Price To Earnings",[1]ARS!$4:$4,0),FALSE),"-"))</f>
        <v>-</v>
      </c>
      <c r="BG66" s="385"/>
      <c r="BH66" s="385"/>
      <c r="BI66" s="385"/>
      <c r="BJ66" s="385"/>
      <c r="BK66" s="385"/>
      <c r="BL66" s="385"/>
      <c r="BM66" s="385"/>
      <c r="BN66" s="385"/>
      <c r="BO66" s="385"/>
      <c r="BP66" s="385"/>
      <c r="BQ66" s="385"/>
      <c r="BR66" s="385"/>
      <c r="BS66" s="385"/>
      <c r="BT66" s="385"/>
      <c r="BU66" s="385"/>
      <c r="BV66" s="385"/>
    </row>
    <row r="67" spans="1:75" ht="12.75" customHeight="1" x14ac:dyDescent="0.2">
      <c r="A67" s="385"/>
      <c r="B67" s="385"/>
      <c r="C67" s="385"/>
      <c r="D67" s="385"/>
      <c r="E67" s="385"/>
      <c r="F67" s="385"/>
      <c r="G67" s="385"/>
      <c r="H67" s="385"/>
      <c r="I67" s="385"/>
      <c r="J67" s="385"/>
      <c r="K67" s="385"/>
      <c r="L67" s="385"/>
      <c r="M67" s="385"/>
      <c r="N67" s="385"/>
      <c r="O67" s="385"/>
      <c r="P67" s="385"/>
      <c r="Q67" s="385"/>
      <c r="R67" s="385"/>
      <c r="S67" s="385"/>
      <c r="T67" s="385"/>
      <c r="U67" s="385"/>
      <c r="V67" s="385"/>
      <c r="W67" s="385"/>
      <c r="X67" s="385"/>
      <c r="Y67" s="385"/>
      <c r="Z67" s="385"/>
      <c r="AA67" s="385"/>
      <c r="AB67" s="385"/>
      <c r="AC67" s="385"/>
      <c r="AD67" s="385"/>
      <c r="AE67" s="385"/>
      <c r="AF67" s="385"/>
      <c r="AG67" s="385"/>
      <c r="AH67" s="385"/>
      <c r="AI67" s="385"/>
      <c r="AJ67" s="431"/>
      <c r="AK67" s="385"/>
      <c r="AL67" s="385"/>
      <c r="AM67" s="385"/>
      <c r="AN67" s="385"/>
      <c r="AO67" s="385"/>
      <c r="AP67" s="385"/>
      <c r="AQ67" s="385"/>
      <c r="AR67" s="385"/>
      <c r="AS67" s="385"/>
      <c r="AT67" s="386"/>
      <c r="AU67" s="385"/>
      <c r="AV67" s="385"/>
      <c r="AW67" s="385"/>
      <c r="AX67" s="385"/>
      <c r="AY67" s="385"/>
      <c r="AZ67" s="385"/>
      <c r="BA67" s="385"/>
      <c r="BB67" s="385"/>
      <c r="BC67" s="385"/>
      <c r="BD67" s="385"/>
      <c r="BE67" s="385"/>
      <c r="BF67" s="385"/>
      <c r="BG67" s="385"/>
      <c r="BH67" s="385"/>
      <c r="BI67" s="385"/>
      <c r="BJ67" s="385"/>
      <c r="BK67" s="385"/>
      <c r="BL67" s="385"/>
      <c r="BM67" s="385"/>
      <c r="BN67" s="385"/>
      <c r="BO67" s="385"/>
      <c r="BP67" s="385"/>
      <c r="BQ67" s="385"/>
      <c r="BR67" s="385"/>
      <c r="BS67" s="385"/>
      <c r="BT67" s="385"/>
      <c r="BU67" s="385"/>
      <c r="BV67" s="385"/>
    </row>
    <row r="68" spans="1:75" ht="12.75" customHeight="1" x14ac:dyDescent="0.2">
      <c r="A68" s="385"/>
      <c r="B68" s="385"/>
      <c r="C68" s="385"/>
      <c r="D68" s="385"/>
      <c r="E68" s="385"/>
      <c r="F68" s="385"/>
      <c r="G68" s="385"/>
      <c r="H68" s="385"/>
      <c r="I68" s="385"/>
      <c r="J68" s="385"/>
      <c r="K68" s="385"/>
      <c r="L68" s="385"/>
      <c r="M68" s="385"/>
      <c r="N68" s="385"/>
      <c r="O68" s="385"/>
      <c r="P68" s="385"/>
      <c r="Q68" s="385"/>
      <c r="R68" s="385"/>
      <c r="S68" s="385"/>
      <c r="T68" s="385"/>
      <c r="U68" s="385"/>
      <c r="V68" s="385"/>
      <c r="W68" s="385"/>
      <c r="X68" s="385"/>
      <c r="Y68" s="385"/>
      <c r="Z68" s="385"/>
      <c r="AA68" s="385"/>
      <c r="AB68" s="385"/>
      <c r="AC68" s="385"/>
      <c r="AD68" s="385"/>
      <c r="AE68" s="385"/>
      <c r="AF68" s="385"/>
      <c r="AG68" s="385"/>
      <c r="AH68" s="385"/>
      <c r="AI68" s="385"/>
      <c r="AJ68" s="431"/>
      <c r="AK68" s="385"/>
      <c r="AL68" s="385"/>
      <c r="AM68" s="385"/>
      <c r="AN68" s="385"/>
      <c r="AO68" s="385"/>
      <c r="AP68" s="385"/>
      <c r="AQ68" s="385"/>
      <c r="AR68" s="385"/>
      <c r="AS68" s="385"/>
      <c r="AT68" s="386"/>
      <c r="AU68" s="385"/>
      <c r="AV68" s="385"/>
      <c r="AW68" s="385"/>
      <c r="AX68" s="385"/>
      <c r="AY68" s="385"/>
      <c r="AZ68" s="385"/>
      <c r="BA68" s="385"/>
      <c r="BB68" s="385"/>
      <c r="BC68" s="385"/>
      <c r="BD68" s="385"/>
      <c r="BE68" s="385"/>
      <c r="BF68" s="385" t="str">
        <f>IF(OR(IFERROR(VLOOKUP(BP68,[1]ARS!A:EL,MATCH("Price To Earnings",[1]ARS!$4:$4,0),FALSE),"-")&lt;0,IFERROR(VLOOKUP(BP68,[1]ARS!A:EL,MATCH("Price To Earnings",[1]ARS!$4:$4,0),FALSE),"-")&gt;500),"-",IFERROR(VLOOKUP(BP68,[1]ARS!A:EL,MATCH("Price To Earnings",[1]ARS!$4:$4,0),FALSE),"-"))</f>
        <v>-</v>
      </c>
      <c r="BG68" s="385"/>
      <c r="BH68" s="385"/>
      <c r="BI68" s="385"/>
      <c r="BJ68" s="385"/>
      <c r="BK68" s="385"/>
      <c r="BL68" s="385"/>
      <c r="BM68" s="385"/>
      <c r="BN68" s="385"/>
      <c r="BO68" s="385"/>
      <c r="BP68" s="385"/>
      <c r="BQ68" s="385"/>
      <c r="BR68" s="385"/>
      <c r="BS68" s="385"/>
      <c r="BT68" s="385"/>
      <c r="BU68" s="385"/>
      <c r="BV68" s="385"/>
    </row>
    <row r="69" spans="1:75" ht="12.75" customHeight="1" x14ac:dyDescent="0.2">
      <c r="A69" s="385"/>
      <c r="B69" s="385"/>
      <c r="C69" s="385"/>
      <c r="D69" s="385"/>
      <c r="E69" s="385"/>
      <c r="F69" s="385"/>
      <c r="G69" s="385"/>
      <c r="H69" s="385"/>
      <c r="I69" s="385"/>
      <c r="J69" s="385"/>
      <c r="K69" s="385"/>
      <c r="L69" s="385"/>
      <c r="M69" s="385"/>
      <c r="N69" s="385"/>
      <c r="O69" s="385"/>
      <c r="P69" s="385"/>
      <c r="Q69" s="385"/>
      <c r="R69" s="385"/>
      <c r="S69" s="385"/>
      <c r="T69" s="385"/>
      <c r="U69" s="385"/>
      <c r="V69" s="385"/>
      <c r="W69" s="385"/>
      <c r="X69" s="385"/>
      <c r="Y69" s="385"/>
      <c r="Z69" s="385"/>
      <c r="AA69" s="385"/>
      <c r="AB69" s="385"/>
      <c r="AC69" s="385"/>
      <c r="AD69" s="385"/>
      <c r="AE69" s="385"/>
      <c r="AF69" s="385"/>
      <c r="AG69" s="385"/>
      <c r="AH69" s="385"/>
      <c r="AI69" s="385"/>
      <c r="AJ69" s="431"/>
      <c r="AK69" s="385"/>
      <c r="AL69" s="385"/>
      <c r="AM69" s="385"/>
      <c r="AN69" s="385"/>
      <c r="AO69" s="385"/>
      <c r="AP69" s="385"/>
      <c r="AQ69" s="385"/>
      <c r="AR69" s="385"/>
      <c r="AS69" s="385"/>
      <c r="AT69" s="386"/>
      <c r="AU69" s="385"/>
      <c r="AV69" s="385"/>
      <c r="AW69" s="385"/>
      <c r="AX69" s="385"/>
      <c r="AY69" s="385"/>
      <c r="AZ69" s="385"/>
      <c r="BA69" s="385"/>
      <c r="BB69" s="385"/>
      <c r="BC69" s="385"/>
      <c r="BD69" s="385"/>
      <c r="BE69" s="385"/>
      <c r="BF69" s="385" t="str">
        <f>IF(OR(IFERROR(VLOOKUP(BP69,[1]ARS!A:EL,MATCH("Price To Earnings",[1]ARS!$4:$4,0),FALSE),"-")&lt;0,IFERROR(VLOOKUP(BP69,[1]ARS!A:EL,MATCH("Price To Earnings",[1]ARS!$4:$4,0),FALSE),"-")&gt;500),"-",IFERROR(VLOOKUP(BP69,[1]ARS!A:EL,MATCH("Price To Earnings",[1]ARS!$4:$4,0),FALSE),"-"))</f>
        <v>-</v>
      </c>
      <c r="BG69" s="385"/>
      <c r="BH69" s="385"/>
      <c r="BI69" s="385"/>
      <c r="BJ69" s="385"/>
      <c r="BK69" s="385"/>
      <c r="BL69" s="385"/>
      <c r="BM69" s="385"/>
      <c r="BN69" s="385"/>
      <c r="BO69" s="385"/>
      <c r="BP69" s="385"/>
      <c r="BQ69" s="385"/>
      <c r="BR69" s="385"/>
      <c r="BS69" s="385"/>
      <c r="BT69" s="385"/>
      <c r="BU69" s="385"/>
      <c r="BV69" s="385"/>
    </row>
    <row r="70" spans="1:75" ht="12.75" customHeight="1" x14ac:dyDescent="0.2">
      <c r="A70" s="385"/>
      <c r="B70" s="385"/>
      <c r="C70" s="385"/>
      <c r="D70" s="385"/>
      <c r="E70" s="385"/>
      <c r="F70" s="385"/>
      <c r="G70" s="385"/>
      <c r="H70" s="385"/>
      <c r="I70" s="385"/>
      <c r="J70" s="385"/>
      <c r="K70" s="385"/>
      <c r="L70" s="385"/>
      <c r="M70" s="385"/>
      <c r="N70" s="385"/>
      <c r="O70" s="385"/>
      <c r="P70" s="385"/>
      <c r="Q70" s="385"/>
      <c r="R70" s="385"/>
      <c r="S70" s="385"/>
      <c r="T70" s="385"/>
      <c r="U70" s="385"/>
      <c r="V70" s="385"/>
      <c r="W70" s="385"/>
      <c r="X70" s="385"/>
      <c r="Y70" s="385"/>
      <c r="Z70" s="385"/>
      <c r="AA70" s="385"/>
      <c r="AB70" s="385"/>
      <c r="AC70" s="385"/>
      <c r="AD70" s="385"/>
      <c r="AE70" s="385"/>
      <c r="AF70" s="385"/>
      <c r="AG70" s="385"/>
      <c r="AH70" s="385"/>
      <c r="AI70" s="385"/>
      <c r="AJ70" s="431"/>
      <c r="AK70" s="385"/>
      <c r="AL70" s="385"/>
      <c r="AM70" s="385"/>
      <c r="AN70" s="385"/>
      <c r="AO70" s="385"/>
      <c r="AP70" s="385"/>
      <c r="AQ70" s="385"/>
      <c r="AR70" s="385"/>
      <c r="AS70" s="385"/>
      <c r="AT70" s="386"/>
      <c r="AU70" s="385"/>
      <c r="AV70" s="385"/>
      <c r="AW70" s="385"/>
      <c r="AX70" s="385"/>
      <c r="AY70" s="385"/>
      <c r="AZ70" s="385"/>
      <c r="BA70" s="385"/>
      <c r="BB70" s="385"/>
      <c r="BC70" s="385"/>
      <c r="BD70" s="385"/>
      <c r="BE70" s="385"/>
      <c r="BF70" s="385" t="str">
        <f>IF(OR(IFERROR(VLOOKUP(BP70,[1]ARS!A:EL,MATCH("Price To Earnings",[1]ARS!$4:$4,0),FALSE),"-")&lt;0,IFERROR(VLOOKUP(BP70,[1]ARS!A:EL,MATCH("Price To Earnings",[1]ARS!$4:$4,0),FALSE),"-")&gt;500),"-",IFERROR(VLOOKUP(BP70,[1]ARS!A:EL,MATCH("Price To Earnings",[1]ARS!$4:$4,0),FALSE),"-"))</f>
        <v>-</v>
      </c>
      <c r="BG70" s="385"/>
      <c r="BH70" s="385"/>
      <c r="BI70" s="385"/>
      <c r="BJ70" s="385"/>
      <c r="BK70" s="385"/>
      <c r="BL70" s="385"/>
      <c r="BM70" s="385"/>
      <c r="BN70" s="385"/>
      <c r="BO70" s="385"/>
      <c r="BP70" s="385"/>
      <c r="BQ70" s="385"/>
      <c r="BR70" s="385"/>
      <c r="BS70" s="385"/>
      <c r="BT70" s="385"/>
      <c r="BU70" s="385"/>
      <c r="BV70" s="385"/>
    </row>
    <row r="71" spans="1:75" ht="12.75" customHeight="1" x14ac:dyDescent="0.2">
      <c r="A71" s="385"/>
      <c r="B71" s="385"/>
      <c r="C71" s="385"/>
      <c r="D71" s="385"/>
      <c r="E71" s="385"/>
      <c r="F71" s="385"/>
      <c r="G71" s="385"/>
      <c r="H71" s="385"/>
      <c r="I71" s="385"/>
      <c r="J71" s="385"/>
      <c r="K71" s="385"/>
      <c r="L71" s="385"/>
      <c r="M71" s="385"/>
      <c r="N71" s="385"/>
      <c r="O71" s="385"/>
      <c r="P71" s="385"/>
      <c r="Q71" s="385"/>
      <c r="R71" s="385"/>
      <c r="S71" s="385"/>
      <c r="T71" s="385"/>
      <c r="U71" s="385"/>
      <c r="V71" s="385"/>
      <c r="W71" s="385"/>
      <c r="X71" s="385"/>
      <c r="Y71" s="385"/>
      <c r="Z71" s="385"/>
      <c r="AA71" s="385"/>
      <c r="AB71" s="385"/>
      <c r="AC71" s="385"/>
      <c r="AD71" s="385"/>
      <c r="AE71" s="385"/>
      <c r="AF71" s="385"/>
      <c r="AG71" s="385"/>
      <c r="AH71" s="385"/>
      <c r="AI71" s="385"/>
      <c r="AJ71" s="431"/>
      <c r="AK71" s="385"/>
      <c r="AL71" s="385"/>
      <c r="AM71" s="385"/>
      <c r="AN71" s="385"/>
      <c r="AO71" s="385"/>
      <c r="AP71" s="385"/>
      <c r="AQ71" s="385"/>
      <c r="AR71" s="385"/>
      <c r="AS71" s="385"/>
      <c r="AT71" s="386"/>
      <c r="AU71" s="385"/>
      <c r="AV71" s="385"/>
      <c r="AW71" s="385"/>
      <c r="AX71" s="385"/>
      <c r="AY71" s="385"/>
      <c r="AZ71" s="385"/>
      <c r="BA71" s="385"/>
      <c r="BB71" s="385"/>
      <c r="BC71" s="385"/>
      <c r="BD71" s="385"/>
      <c r="BE71" s="385"/>
      <c r="BF71" s="385" t="str">
        <f>IF(OR(IFERROR(VLOOKUP(BP71,[1]ARS!A:EL,MATCH("Price To Earnings",[1]ARS!$4:$4,0),FALSE),"-")&lt;0,IFERROR(VLOOKUP(BP71,[1]ARS!A:EL,MATCH("Price To Earnings",[1]ARS!$4:$4,0),FALSE),"-")&gt;500),"-",IFERROR(VLOOKUP(BP71,[1]ARS!A:EL,MATCH("Price To Earnings",[1]ARS!$4:$4,0),FALSE),"-"))</f>
        <v>-</v>
      </c>
      <c r="BG71" s="385"/>
      <c r="BH71" s="385"/>
      <c r="BI71" s="385"/>
      <c r="BJ71" s="385"/>
      <c r="BK71" s="385"/>
      <c r="BL71" s="385"/>
      <c r="BM71" s="385"/>
      <c r="BN71" s="385"/>
      <c r="BO71" s="385"/>
      <c r="BP71" s="385"/>
      <c r="BQ71" s="385"/>
      <c r="BR71" s="385"/>
      <c r="BS71" s="385"/>
      <c r="BT71" s="385"/>
      <c r="BU71" s="385"/>
      <c r="BV71" s="385"/>
    </row>
    <row r="72" spans="1:75" ht="12.75" customHeight="1" x14ac:dyDescent="0.2">
      <c r="A72" s="385"/>
      <c r="B72" s="385"/>
      <c r="C72" s="385"/>
      <c r="D72" s="385"/>
      <c r="E72" s="440"/>
      <c r="F72" s="385"/>
      <c r="G72" s="385"/>
      <c r="H72" s="385"/>
      <c r="I72" s="385"/>
      <c r="J72" s="385"/>
      <c r="K72" s="385"/>
      <c r="L72" s="385"/>
      <c r="M72" s="385"/>
      <c r="N72" s="385"/>
      <c r="O72" s="385"/>
      <c r="P72" s="385"/>
      <c r="Q72" s="385"/>
      <c r="R72" s="385"/>
      <c r="S72" s="385"/>
      <c r="T72" s="385"/>
      <c r="U72" s="385"/>
      <c r="V72" s="385"/>
      <c r="W72" s="385"/>
      <c r="X72" s="385"/>
      <c r="Y72" s="385"/>
      <c r="Z72" s="385"/>
      <c r="AA72" s="385"/>
      <c r="AB72" s="385"/>
      <c r="AC72" s="385"/>
      <c r="AD72" s="385"/>
      <c r="AE72" s="385"/>
      <c r="AF72" s="385"/>
      <c r="AG72" s="385"/>
      <c r="AH72" s="385"/>
      <c r="AI72" s="385"/>
      <c r="AJ72" s="431"/>
      <c r="AK72" s="385"/>
      <c r="AL72" s="385"/>
      <c r="AM72" s="385"/>
      <c r="AN72" s="385"/>
      <c r="AO72" s="385"/>
      <c r="AP72" s="385"/>
      <c r="AQ72" s="385"/>
      <c r="AR72" s="385"/>
      <c r="AS72" s="385"/>
      <c r="AT72" s="386"/>
      <c r="AU72" s="385"/>
      <c r="AV72" s="385"/>
      <c r="AW72" s="385"/>
      <c r="AX72" s="385"/>
      <c r="AY72" s="385"/>
      <c r="AZ72" s="385"/>
      <c r="BA72" s="385"/>
      <c r="BB72" s="385"/>
      <c r="BC72" s="385"/>
      <c r="BD72" s="385"/>
      <c r="BE72" s="385"/>
      <c r="BF72" s="385" t="str">
        <f>IF(OR(IFERROR(VLOOKUP(BP72,[1]ARS!A:EL,MATCH("Price To Earnings",[1]ARS!$4:$4,0),FALSE),"-")&lt;0,IFERROR(VLOOKUP(BP72,[1]ARS!A:EL,MATCH("Price To Earnings",[1]ARS!$4:$4,0),FALSE),"-")&gt;500),"-",IFERROR(VLOOKUP(BP72,[1]ARS!A:EL,MATCH("Price To Earnings",[1]ARS!$4:$4,0),FALSE),"-"))</f>
        <v>-</v>
      </c>
      <c r="BG72" s="385"/>
      <c r="BH72" s="385"/>
      <c r="BI72" s="385"/>
      <c r="BJ72" s="385"/>
      <c r="BK72" s="385"/>
      <c r="BL72" s="385"/>
      <c r="BM72" s="385"/>
      <c r="BN72" s="385"/>
      <c r="BO72" s="385"/>
      <c r="BP72" s="385"/>
      <c r="BQ72" s="385"/>
      <c r="BR72" s="385"/>
      <c r="BS72" s="385"/>
      <c r="BT72" s="385"/>
      <c r="BU72" s="385"/>
      <c r="BV72" s="385"/>
    </row>
    <row r="73" spans="1:75" ht="12.75" customHeight="1" x14ac:dyDescent="0.2">
      <c r="A73" s="385"/>
      <c r="B73" s="385"/>
      <c r="C73" s="385"/>
      <c r="D73" s="385"/>
      <c r="E73" s="385"/>
      <c r="F73" s="385"/>
      <c r="G73" s="385"/>
      <c r="H73" s="385"/>
      <c r="I73" s="385"/>
      <c r="J73" s="385"/>
      <c r="K73" s="385"/>
      <c r="L73" s="385"/>
      <c r="M73" s="385"/>
      <c r="N73" s="385"/>
      <c r="O73" s="385"/>
      <c r="P73" s="385"/>
      <c r="Q73" s="385"/>
      <c r="R73" s="385"/>
      <c r="S73" s="385"/>
      <c r="T73" s="385"/>
      <c r="U73" s="385"/>
      <c r="V73" s="385"/>
      <c r="W73" s="385"/>
      <c r="X73" s="385"/>
      <c r="Y73" s="385"/>
      <c r="Z73" s="385"/>
      <c r="AA73" s="385"/>
      <c r="AB73" s="385"/>
      <c r="AC73" s="385"/>
      <c r="AD73" s="385"/>
      <c r="AE73" s="385"/>
      <c r="AF73" s="385"/>
      <c r="AG73" s="385"/>
      <c r="AH73" s="385"/>
      <c r="AI73" s="385"/>
      <c r="AJ73" s="431"/>
      <c r="AK73" s="385"/>
      <c r="AL73" s="385"/>
      <c r="AM73" s="385"/>
      <c r="AN73" s="385"/>
      <c r="AO73" s="385"/>
      <c r="AP73" s="385"/>
      <c r="AQ73" s="385"/>
      <c r="AR73" s="385"/>
      <c r="AS73" s="385"/>
      <c r="AT73" s="386"/>
      <c r="AU73" s="385"/>
      <c r="AV73" s="385"/>
      <c r="AW73" s="385"/>
      <c r="AX73" s="385"/>
      <c r="AY73" s="385"/>
      <c r="AZ73" s="385"/>
      <c r="BA73" s="385"/>
      <c r="BB73" s="385"/>
      <c r="BC73" s="385"/>
      <c r="BD73" s="385"/>
      <c r="BE73" s="385"/>
      <c r="BF73" s="385" t="str">
        <f>IF(OR(IFERROR(VLOOKUP(BP73,[1]ARS!A:EL,MATCH("Price To Earnings",[1]ARS!$4:$4,0),FALSE),"-")&lt;0,IFERROR(VLOOKUP(BP73,[1]ARS!A:EL,MATCH("Price To Earnings",[1]ARS!$4:$4,0),FALSE),"-")&gt;500),"-",IFERROR(VLOOKUP(BP73,[1]ARS!A:EL,MATCH("Price To Earnings",[1]ARS!$4:$4,0),FALSE),"-"))</f>
        <v>-</v>
      </c>
      <c r="BG73" s="385"/>
      <c r="BH73" s="385"/>
      <c r="BI73" s="385"/>
      <c r="BJ73" s="385"/>
      <c r="BK73" s="385"/>
      <c r="BL73" s="385"/>
      <c r="BM73" s="385"/>
      <c r="BN73" s="385"/>
      <c r="BO73" s="385"/>
      <c r="BP73" s="385"/>
      <c r="BQ73" s="385"/>
      <c r="BR73" s="385"/>
      <c r="BS73" s="385"/>
      <c r="BT73" s="385"/>
      <c r="BU73" s="385"/>
      <c r="BV73" s="385"/>
    </row>
    <row r="74" spans="1:75" ht="12.75" customHeight="1" x14ac:dyDescent="0.2">
      <c r="A74" s="385"/>
      <c r="B74" s="385"/>
      <c r="C74" s="385"/>
      <c r="D74" s="385"/>
      <c r="E74" s="385"/>
      <c r="F74" s="385"/>
      <c r="G74" s="385"/>
      <c r="H74" s="385"/>
      <c r="I74" s="385"/>
      <c r="J74" s="385"/>
      <c r="K74" s="385"/>
      <c r="L74" s="385"/>
      <c r="M74" s="385"/>
      <c r="N74" s="385"/>
      <c r="O74" s="385"/>
      <c r="P74" s="385"/>
      <c r="Q74" s="385"/>
      <c r="R74" s="385"/>
      <c r="S74" s="385"/>
      <c r="T74" s="385"/>
      <c r="U74" s="385"/>
      <c r="V74" s="385"/>
      <c r="W74" s="385"/>
      <c r="X74" s="385"/>
      <c r="Y74" s="385"/>
      <c r="Z74" s="385"/>
      <c r="AA74" s="385"/>
      <c r="AB74" s="385"/>
      <c r="AC74" s="385"/>
      <c r="AD74" s="385"/>
      <c r="AE74" s="385"/>
      <c r="AF74" s="385"/>
      <c r="AG74" s="385"/>
      <c r="AH74" s="385"/>
      <c r="AI74" s="385"/>
      <c r="AJ74" s="431"/>
      <c r="AK74" s="385"/>
      <c r="AL74" s="385"/>
      <c r="AM74" s="385"/>
      <c r="AN74" s="385"/>
      <c r="AO74" s="385"/>
      <c r="AP74" s="385"/>
      <c r="AQ74" s="385"/>
      <c r="AR74" s="385"/>
      <c r="AS74" s="385"/>
      <c r="AT74" s="386"/>
      <c r="AU74" s="385"/>
      <c r="AV74" s="385"/>
      <c r="AW74" s="385"/>
      <c r="AX74" s="385"/>
      <c r="AY74" s="385"/>
      <c r="AZ74" s="385"/>
      <c r="BA74" s="385"/>
      <c r="BB74" s="385"/>
      <c r="BC74" s="385"/>
      <c r="BD74" s="385"/>
      <c r="BE74" s="385"/>
      <c r="BF74" s="385" t="str">
        <f>IF(OR(IFERROR(VLOOKUP(BP74,[1]ARS!A:EL,MATCH("Price To Earnings",[1]ARS!$4:$4,0),FALSE),"-")&lt;0,IFERROR(VLOOKUP(BP74,[1]ARS!A:EL,MATCH("Price To Earnings",[1]ARS!$4:$4,0),FALSE),"-")&gt;500),"-",IFERROR(VLOOKUP(BP74,[1]ARS!A:EL,MATCH("Price To Earnings",[1]ARS!$4:$4,0),FALSE),"-"))</f>
        <v>-</v>
      </c>
      <c r="BG74" s="385"/>
      <c r="BH74" s="385"/>
      <c r="BI74" s="385"/>
      <c r="BJ74" s="385"/>
      <c r="BK74" s="385"/>
      <c r="BL74" s="385"/>
      <c r="BM74" s="385"/>
      <c r="BN74" s="385"/>
      <c r="BO74" s="385"/>
      <c r="BP74" s="385"/>
      <c r="BQ74" s="385"/>
      <c r="BR74" s="385"/>
      <c r="BS74" s="385"/>
      <c r="BT74" s="385"/>
      <c r="BU74" s="385"/>
      <c r="BV74" s="385"/>
    </row>
    <row r="75" spans="1:75" ht="12.75" customHeight="1" x14ac:dyDescent="0.2">
      <c r="A75" s="385"/>
      <c r="B75" s="385"/>
      <c r="C75" s="385"/>
      <c r="D75" s="385"/>
      <c r="E75" s="385"/>
      <c r="F75" s="385"/>
      <c r="G75" s="385"/>
      <c r="H75" s="385"/>
      <c r="I75" s="385"/>
      <c r="J75" s="385"/>
      <c r="K75" s="385"/>
      <c r="L75" s="385"/>
      <c r="M75" s="385"/>
      <c r="N75" s="385"/>
      <c r="O75" s="385"/>
      <c r="P75" s="385"/>
      <c r="Q75" s="385"/>
      <c r="R75" s="385"/>
      <c r="S75" s="385"/>
      <c r="T75" s="385"/>
      <c r="U75" s="385"/>
      <c r="V75" s="385"/>
      <c r="W75" s="385"/>
      <c r="X75" s="385"/>
      <c r="Y75" s="385"/>
      <c r="Z75" s="385"/>
      <c r="AA75" s="385"/>
      <c r="AB75" s="385"/>
      <c r="AC75" s="385"/>
      <c r="AD75" s="385"/>
      <c r="AE75" s="385"/>
      <c r="AF75" s="385"/>
      <c r="AG75" s="385"/>
      <c r="AH75" s="385"/>
      <c r="AI75" s="385"/>
      <c r="AJ75" s="431"/>
      <c r="AK75" s="385"/>
      <c r="AL75" s="385"/>
      <c r="AM75" s="385"/>
      <c r="AN75" s="385"/>
      <c r="AO75" s="385"/>
      <c r="AP75" s="385"/>
      <c r="AQ75" s="385"/>
      <c r="AR75" s="385"/>
      <c r="AS75" s="385"/>
      <c r="AT75" s="386"/>
      <c r="AU75" s="385"/>
      <c r="AV75" s="385"/>
      <c r="AW75" s="385"/>
      <c r="AX75" s="385"/>
      <c r="AY75" s="385"/>
      <c r="AZ75" s="385"/>
      <c r="BA75" s="385"/>
      <c r="BB75" s="385"/>
      <c r="BC75" s="385"/>
      <c r="BD75" s="385"/>
      <c r="BE75" s="385"/>
      <c r="BF75" s="385" t="str">
        <f>IF(OR(IFERROR(VLOOKUP(BP75,[1]ARS!A:EL,MATCH("Price To Earnings",[1]ARS!$4:$4,0),FALSE),"-")&lt;0,IFERROR(VLOOKUP(BP75,[1]ARS!A:EL,MATCH("Price To Earnings",[1]ARS!$4:$4,0),FALSE),"-")&gt;500),"-",IFERROR(VLOOKUP(BP75,[1]ARS!A:EL,MATCH("Price To Earnings",[1]ARS!$4:$4,0),FALSE),"-"))</f>
        <v>-</v>
      </c>
      <c r="BG75" s="385"/>
      <c r="BH75" s="385"/>
      <c r="BI75" s="385"/>
      <c r="BJ75" s="385"/>
      <c r="BK75" s="385"/>
      <c r="BL75" s="385"/>
      <c r="BM75" s="385"/>
      <c r="BN75" s="385"/>
      <c r="BO75" s="385"/>
      <c r="BP75" s="385"/>
      <c r="BQ75" s="385"/>
      <c r="BR75" s="385"/>
      <c r="BS75" s="385"/>
      <c r="BT75" s="385"/>
      <c r="BU75" s="385"/>
      <c r="BV75" s="385"/>
      <c r="BW75" s="385"/>
    </row>
    <row r="76" spans="1:75" ht="12.75" customHeight="1" x14ac:dyDescent="0.2">
      <c r="A76" s="385"/>
      <c r="B76" s="385"/>
      <c r="C76" s="385"/>
      <c r="D76" s="385"/>
      <c r="E76" s="385"/>
      <c r="F76" s="385"/>
      <c r="G76" s="385"/>
      <c r="H76" s="385"/>
      <c r="I76" s="385"/>
      <c r="J76" s="385"/>
      <c r="K76" s="385"/>
      <c r="L76" s="385"/>
      <c r="M76" s="385"/>
      <c r="N76" s="385"/>
      <c r="O76" s="385"/>
      <c r="P76" s="385"/>
      <c r="Q76" s="385"/>
      <c r="R76" s="385"/>
      <c r="S76" s="385"/>
      <c r="T76" s="385"/>
      <c r="U76" s="385"/>
      <c r="V76" s="385"/>
      <c r="W76" s="385"/>
      <c r="X76" s="385"/>
      <c r="Y76" s="385"/>
      <c r="Z76" s="385"/>
      <c r="AA76" s="385"/>
      <c r="AB76" s="385"/>
      <c r="AC76" s="385"/>
      <c r="AD76" s="385"/>
      <c r="AE76" s="385"/>
      <c r="AF76" s="385"/>
      <c r="AG76" s="385"/>
      <c r="AH76" s="385"/>
      <c r="AI76" s="385"/>
      <c r="AJ76" s="431"/>
      <c r="AK76" s="385"/>
      <c r="AL76" s="385"/>
      <c r="AM76" s="385"/>
      <c r="AN76" s="385"/>
      <c r="AO76" s="385"/>
      <c r="AP76" s="385"/>
      <c r="AQ76" s="385"/>
      <c r="AR76" s="385"/>
      <c r="AS76" s="385"/>
      <c r="AT76" s="386"/>
      <c r="AU76" s="385"/>
      <c r="AV76" s="385"/>
      <c r="AW76" s="385"/>
      <c r="AX76" s="385"/>
      <c r="AY76" s="385"/>
      <c r="AZ76" s="385"/>
      <c r="BA76" s="385"/>
      <c r="BB76" s="385"/>
      <c r="BC76" s="385"/>
      <c r="BD76" s="385"/>
      <c r="BE76" s="385"/>
      <c r="BF76" s="385" t="str">
        <f>IF(OR(IFERROR(VLOOKUP(BP76,[1]ARS!A:EL,MATCH("Price To Earnings",[1]ARS!$4:$4,0),FALSE),"-")&lt;0,IFERROR(VLOOKUP(BP76,[1]ARS!A:EL,MATCH("Price To Earnings",[1]ARS!$4:$4,0),FALSE),"-")&gt;500),"-",IFERROR(VLOOKUP(BP76,[1]ARS!A:EL,MATCH("Price To Earnings",[1]ARS!$4:$4,0),FALSE),"-"))</f>
        <v>-</v>
      </c>
      <c r="BG76" s="385"/>
      <c r="BH76" s="385"/>
      <c r="BI76" s="385"/>
      <c r="BJ76" s="385"/>
      <c r="BK76" s="385"/>
      <c r="BL76" s="385"/>
      <c r="BM76" s="385"/>
      <c r="BN76" s="385"/>
      <c r="BO76" s="385"/>
      <c r="BP76" s="385"/>
      <c r="BQ76" s="385"/>
      <c r="BR76" s="385"/>
      <c r="BS76" s="385"/>
      <c r="BT76" s="385"/>
      <c r="BU76" s="385"/>
      <c r="BV76" s="385"/>
    </row>
    <row r="77" spans="1:75" ht="12.75" customHeight="1" x14ac:dyDescent="0.2">
      <c r="A77" s="385"/>
      <c r="B77" s="385"/>
      <c r="C77" s="385"/>
      <c r="D77" s="385"/>
      <c r="E77" s="438"/>
      <c r="F77" s="385"/>
      <c r="G77" s="385"/>
      <c r="H77" s="385"/>
      <c r="I77" s="385"/>
      <c r="J77" s="385"/>
      <c r="K77" s="385"/>
      <c r="L77" s="385"/>
      <c r="M77" s="385"/>
      <c r="N77" s="385"/>
      <c r="O77" s="385"/>
      <c r="P77" s="385"/>
      <c r="Q77" s="385"/>
      <c r="R77" s="385"/>
      <c r="S77" s="385"/>
      <c r="T77" s="385"/>
      <c r="U77" s="385"/>
      <c r="V77" s="385"/>
      <c r="W77" s="385"/>
      <c r="X77" s="385"/>
      <c r="Y77" s="385"/>
      <c r="Z77" s="385"/>
      <c r="AA77" s="385"/>
      <c r="AB77" s="385"/>
      <c r="AC77" s="385"/>
      <c r="AD77" s="385"/>
      <c r="AE77" s="385"/>
      <c r="AF77" s="385"/>
      <c r="AG77" s="385"/>
      <c r="AH77" s="385"/>
      <c r="AI77" s="385"/>
      <c r="AJ77" s="431"/>
      <c r="AK77" s="385"/>
      <c r="AL77" s="385"/>
      <c r="AM77" s="385"/>
      <c r="AN77" s="385"/>
      <c r="AO77" s="385"/>
      <c r="AP77" s="385"/>
      <c r="AQ77" s="385"/>
      <c r="AR77" s="385"/>
      <c r="AS77" s="385"/>
      <c r="AT77" s="386"/>
      <c r="AU77" s="385"/>
      <c r="AV77" s="385"/>
      <c r="AW77" s="385"/>
      <c r="AX77" s="385"/>
      <c r="AY77" s="385"/>
      <c r="AZ77" s="385"/>
      <c r="BA77" s="385"/>
      <c r="BB77" s="385"/>
      <c r="BC77" s="385"/>
      <c r="BD77" s="385"/>
      <c r="BE77" s="385"/>
      <c r="BF77" s="385"/>
      <c r="BG77" s="385"/>
      <c r="BH77" s="385"/>
      <c r="BI77" s="385"/>
      <c r="BJ77" s="385"/>
      <c r="BK77" s="385"/>
      <c r="BL77" s="385"/>
      <c r="BM77" s="385"/>
      <c r="BN77" s="385"/>
      <c r="BO77" s="385"/>
      <c r="BP77" s="385"/>
      <c r="BQ77" s="385"/>
      <c r="BR77" s="385"/>
      <c r="BS77" s="385"/>
      <c r="BT77" s="385"/>
      <c r="BU77" s="385"/>
      <c r="BV77" s="385"/>
    </row>
    <row r="78" spans="1:75" ht="12.75" customHeight="1" x14ac:dyDescent="0.2">
      <c r="A78" s="385"/>
      <c r="B78" s="385"/>
      <c r="C78" s="385"/>
      <c r="D78" s="385"/>
      <c r="E78" s="385"/>
      <c r="F78" s="385"/>
      <c r="G78" s="385"/>
      <c r="H78" s="385"/>
      <c r="I78" s="385"/>
      <c r="J78" s="385"/>
      <c r="K78" s="385"/>
      <c r="L78" s="385"/>
      <c r="M78" s="385"/>
      <c r="N78" s="385"/>
      <c r="O78" s="385"/>
      <c r="P78" s="385"/>
      <c r="Q78" s="385"/>
      <c r="R78" s="385"/>
      <c r="S78" s="385"/>
      <c r="T78" s="385"/>
      <c r="U78" s="385"/>
      <c r="V78" s="385"/>
      <c r="W78" s="385"/>
      <c r="X78" s="385"/>
      <c r="Y78" s="385"/>
      <c r="Z78" s="385"/>
      <c r="AA78" s="385"/>
      <c r="AB78" s="385"/>
      <c r="AC78" s="385"/>
      <c r="AD78" s="385"/>
      <c r="AE78" s="385"/>
      <c r="AF78" s="385"/>
      <c r="AG78" s="385"/>
      <c r="AH78" s="385"/>
      <c r="AI78" s="385"/>
      <c r="AJ78" s="431"/>
      <c r="AK78" s="385"/>
      <c r="AL78" s="385"/>
      <c r="AM78" s="385"/>
      <c r="AN78" s="385"/>
      <c r="AO78" s="385"/>
      <c r="AP78" s="385"/>
      <c r="AQ78" s="385"/>
      <c r="AR78" s="385"/>
      <c r="AS78" s="385"/>
      <c r="AT78" s="386"/>
      <c r="AU78" s="385"/>
      <c r="AV78" s="385"/>
      <c r="AW78" s="385"/>
      <c r="AX78" s="385"/>
      <c r="AY78" s="385"/>
      <c r="AZ78" s="385"/>
      <c r="BA78" s="385"/>
      <c r="BB78" s="385"/>
      <c r="BC78" s="385"/>
      <c r="BD78" s="385"/>
      <c r="BE78" s="385"/>
      <c r="BF78" s="385" t="str">
        <f>IF(OR(IFERROR(VLOOKUP(BP78,[1]ARS!A:EL,MATCH("Price To Earnings",[1]ARS!$4:$4,0),FALSE),"-")&lt;0,IFERROR(VLOOKUP(BP78,[1]ARS!A:EL,MATCH("Price To Earnings",[1]ARS!$4:$4,0),FALSE),"-")&gt;500),"-",IFERROR(VLOOKUP(BP78,[1]ARS!A:EL,MATCH("Price To Earnings",[1]ARS!$4:$4,0),FALSE),"-"))</f>
        <v>-</v>
      </c>
      <c r="BG78" s="385"/>
      <c r="BH78" s="385"/>
      <c r="BI78" s="385"/>
      <c r="BJ78" s="385"/>
      <c r="BK78" s="385"/>
      <c r="BL78" s="385"/>
      <c r="BM78" s="385"/>
      <c r="BN78" s="385"/>
      <c r="BO78" s="385"/>
      <c r="BP78" s="385"/>
      <c r="BQ78" s="385"/>
      <c r="BR78" s="385"/>
      <c r="BS78" s="385"/>
      <c r="BT78" s="385"/>
      <c r="BU78" s="385"/>
      <c r="BV78" s="385"/>
    </row>
    <row r="79" spans="1:75" ht="12.75" customHeight="1" x14ac:dyDescent="0.2">
      <c r="A79" s="385"/>
      <c r="B79" s="385"/>
      <c r="C79" s="385"/>
      <c r="D79" s="385"/>
      <c r="E79" s="385"/>
      <c r="F79" s="385"/>
      <c r="G79" s="385"/>
      <c r="H79" s="385"/>
      <c r="I79" s="385"/>
      <c r="J79" s="385"/>
      <c r="K79" s="385"/>
      <c r="L79" s="385"/>
      <c r="M79" s="385"/>
      <c r="N79" s="385"/>
      <c r="O79" s="385"/>
      <c r="P79" s="385"/>
      <c r="Q79" s="385"/>
      <c r="R79" s="385"/>
      <c r="S79" s="385"/>
      <c r="T79" s="385"/>
      <c r="U79" s="385"/>
      <c r="V79" s="385"/>
      <c r="W79" s="385"/>
      <c r="X79" s="385"/>
      <c r="Y79" s="385"/>
      <c r="Z79" s="385"/>
      <c r="AA79" s="385"/>
      <c r="AB79" s="385"/>
      <c r="AC79" s="385"/>
      <c r="AD79" s="385"/>
      <c r="AE79" s="385"/>
      <c r="AF79" s="385"/>
      <c r="AG79" s="385"/>
      <c r="AH79" s="385"/>
      <c r="AI79" s="385"/>
      <c r="AJ79" s="431"/>
      <c r="AK79" s="385"/>
      <c r="AL79" s="385"/>
      <c r="AM79" s="385"/>
      <c r="AN79" s="385"/>
      <c r="AO79" s="385"/>
      <c r="AP79" s="385"/>
      <c r="AQ79" s="385"/>
      <c r="AR79" s="385"/>
      <c r="AS79" s="385"/>
      <c r="AT79" s="386"/>
      <c r="AU79" s="504"/>
      <c r="AV79" s="504"/>
      <c r="AW79" s="504"/>
      <c r="AX79" s="385"/>
      <c r="AY79" s="385"/>
      <c r="AZ79" s="385"/>
      <c r="BA79" s="385"/>
      <c r="BB79" s="385"/>
      <c r="BC79" s="385"/>
      <c r="BD79" s="385"/>
      <c r="BE79" s="385"/>
      <c r="BF79" s="385" t="str">
        <f>IF(OR(IFERROR(VLOOKUP(BP79,[1]ARS!A:EL,MATCH("Price To Earnings",[1]ARS!$4:$4,0),FALSE),"-")&lt;0,IFERROR(VLOOKUP(BP79,[1]ARS!A:EL,MATCH("Price To Earnings",[1]ARS!$4:$4,0),FALSE),"-")&gt;500),"-",IFERROR(VLOOKUP(BP79,[1]ARS!A:EL,MATCH("Price To Earnings",[1]ARS!$4:$4,0),FALSE),"-"))</f>
        <v>-</v>
      </c>
      <c r="BG79" s="385"/>
      <c r="BH79" s="385"/>
      <c r="BI79" s="385"/>
      <c r="BJ79" s="385"/>
      <c r="BK79" s="385"/>
      <c r="BL79" s="385"/>
      <c r="BM79" s="385"/>
      <c r="BN79" s="385"/>
      <c r="BO79" s="385"/>
      <c r="BP79" s="385"/>
      <c r="BQ79" s="385"/>
      <c r="BR79" s="385"/>
      <c r="BS79" s="385"/>
      <c r="BT79" s="385"/>
      <c r="BU79" s="385"/>
      <c r="BV79" s="385"/>
    </row>
    <row r="80" spans="1:75" ht="12.75" customHeight="1" x14ac:dyDescent="0.2">
      <c r="A80" s="385"/>
      <c r="B80" s="385"/>
      <c r="C80" s="385"/>
      <c r="D80" s="385"/>
      <c r="E80" s="385"/>
      <c r="F80" s="385"/>
      <c r="G80" s="385"/>
      <c r="H80" s="385"/>
      <c r="I80" s="385"/>
      <c r="J80" s="385"/>
      <c r="K80" s="385"/>
      <c r="L80" s="385"/>
      <c r="M80" s="385"/>
      <c r="N80" s="385"/>
      <c r="O80" s="385"/>
      <c r="P80" s="385"/>
      <c r="Q80" s="385"/>
      <c r="R80" s="385"/>
      <c r="S80" s="385"/>
      <c r="T80" s="385"/>
      <c r="U80" s="385"/>
      <c r="V80" s="385"/>
      <c r="W80" s="385"/>
      <c r="X80" s="385"/>
      <c r="Y80" s="385"/>
      <c r="Z80" s="385"/>
      <c r="AA80" s="385"/>
      <c r="AB80" s="385"/>
      <c r="AC80" s="385"/>
      <c r="AD80" s="385"/>
      <c r="AE80" s="385"/>
      <c r="AF80" s="385"/>
      <c r="AG80" s="385"/>
      <c r="AH80" s="385"/>
      <c r="AI80" s="385"/>
      <c r="AJ80" s="431"/>
      <c r="AK80" s="385"/>
      <c r="AL80" s="385"/>
      <c r="AM80" s="385"/>
      <c r="AN80" s="385"/>
      <c r="AO80" s="385"/>
      <c r="AP80" s="385"/>
      <c r="AQ80" s="385"/>
      <c r="AR80" s="385"/>
      <c r="AS80" s="385"/>
      <c r="AT80" s="386"/>
      <c r="AU80" s="504"/>
      <c r="AV80" s="504"/>
      <c r="AW80" s="504"/>
      <c r="AX80" s="385"/>
      <c r="AY80" s="385"/>
      <c r="AZ80" s="385"/>
      <c r="BA80" s="385"/>
      <c r="BB80" s="385"/>
      <c r="BC80" s="385"/>
      <c r="BD80" s="385"/>
      <c r="BE80" s="385"/>
      <c r="BF80" s="385" t="str">
        <f>IF(OR(IFERROR(VLOOKUP(BP80,[1]ARS!A:EL,MATCH("Price To Earnings",[1]ARS!$4:$4,0),FALSE),"-")&lt;0,IFERROR(VLOOKUP(BP80,[1]ARS!A:EL,MATCH("Price To Earnings",[1]ARS!$4:$4,0),FALSE),"-")&gt;500),"-",IFERROR(VLOOKUP(BP80,[1]ARS!A:EL,MATCH("Price To Earnings",[1]ARS!$4:$4,0),FALSE),"-"))</f>
        <v>-</v>
      </c>
      <c r="BG80" s="385"/>
      <c r="BH80" s="385"/>
      <c r="BI80" s="385"/>
      <c r="BJ80" s="385"/>
      <c r="BK80" s="385"/>
      <c r="BL80" s="385"/>
      <c r="BM80" s="385"/>
      <c r="BN80" s="385"/>
      <c r="BO80" s="385"/>
      <c r="BP80" s="385"/>
      <c r="BQ80" s="385"/>
      <c r="BR80" s="385"/>
      <c r="BS80" s="385"/>
      <c r="BT80" s="385"/>
      <c r="BU80" s="385"/>
      <c r="BV80" s="385"/>
    </row>
    <row r="81" spans="1:75" ht="12.75" customHeight="1" x14ac:dyDescent="0.2">
      <c r="A81" s="385"/>
      <c r="B81" s="385"/>
      <c r="C81" s="385"/>
      <c r="D81" s="385"/>
      <c r="E81" s="385"/>
      <c r="F81" s="385"/>
      <c r="G81" s="385"/>
      <c r="H81" s="385"/>
      <c r="I81" s="385"/>
      <c r="J81" s="385"/>
      <c r="K81" s="385"/>
      <c r="L81" s="385"/>
      <c r="M81" s="385"/>
      <c r="N81" s="385"/>
      <c r="O81" s="385"/>
      <c r="P81" s="385"/>
      <c r="Q81" s="385"/>
      <c r="R81" s="385"/>
      <c r="S81" s="385"/>
      <c r="T81" s="385"/>
      <c r="U81" s="385"/>
      <c r="V81" s="385"/>
      <c r="W81" s="385"/>
      <c r="X81" s="385"/>
      <c r="Y81" s="385"/>
      <c r="Z81" s="385"/>
      <c r="AA81" s="385"/>
      <c r="AB81" s="385"/>
      <c r="AC81" s="385"/>
      <c r="AD81" s="385"/>
      <c r="AE81" s="385"/>
      <c r="AF81" s="385"/>
      <c r="AG81" s="385"/>
      <c r="AH81" s="385"/>
      <c r="AI81" s="385"/>
      <c r="AJ81" s="431"/>
      <c r="AK81" s="385"/>
      <c r="AL81" s="385"/>
      <c r="AM81" s="385"/>
      <c r="AN81" s="385"/>
      <c r="AO81" s="385"/>
      <c r="AP81" s="385"/>
      <c r="AQ81" s="385"/>
      <c r="AR81" s="385"/>
      <c r="AS81" s="385"/>
      <c r="AT81" s="386"/>
      <c r="AU81" s="504"/>
      <c r="AV81" s="504"/>
      <c r="AW81" s="504"/>
      <c r="AX81" s="385"/>
      <c r="AY81" s="385"/>
      <c r="AZ81" s="385"/>
      <c r="BA81" s="385"/>
      <c r="BB81" s="385"/>
      <c r="BC81" s="385"/>
      <c r="BD81" s="385"/>
      <c r="BE81" s="385"/>
      <c r="BF81" s="385" t="str">
        <f>IF(OR(IFERROR(VLOOKUP(BP81,[1]ARS!A:EL,MATCH("Price To Earnings",[1]ARS!$4:$4,0),FALSE),"-")&lt;0,IFERROR(VLOOKUP(BP81,[1]ARS!A:EL,MATCH("Price To Earnings",[1]ARS!$4:$4,0),FALSE),"-")&gt;500),"-",IFERROR(VLOOKUP(BP81,[1]ARS!A:EL,MATCH("Price To Earnings",[1]ARS!$4:$4,0),FALSE),"-"))</f>
        <v>-</v>
      </c>
      <c r="BG81" s="385"/>
      <c r="BH81" s="385"/>
      <c r="BI81" s="385"/>
      <c r="BJ81" s="385"/>
      <c r="BK81" s="385"/>
      <c r="BL81" s="385"/>
      <c r="BM81" s="385"/>
      <c r="BN81" s="385"/>
      <c r="BO81" s="385"/>
      <c r="BP81" s="385"/>
      <c r="BQ81" s="385"/>
      <c r="BR81" s="385"/>
      <c r="BS81" s="385"/>
      <c r="BT81" s="385"/>
      <c r="BU81" s="385"/>
      <c r="BV81" s="385"/>
    </row>
    <row r="82" spans="1:75" ht="12.75" customHeight="1" x14ac:dyDescent="0.2">
      <c r="A82" s="385"/>
      <c r="B82" s="385"/>
      <c r="C82" s="385"/>
      <c r="D82" s="385"/>
      <c r="E82" s="385"/>
      <c r="F82" s="385"/>
      <c r="G82" s="385"/>
      <c r="H82" s="385"/>
      <c r="I82" s="385"/>
      <c r="J82" s="385"/>
      <c r="K82" s="385"/>
      <c r="L82" s="385"/>
      <c r="M82" s="385"/>
      <c r="N82" s="385"/>
      <c r="O82" s="385"/>
      <c r="P82" s="385"/>
      <c r="Q82" s="385"/>
      <c r="R82" s="385"/>
      <c r="S82" s="385"/>
      <c r="T82" s="385"/>
      <c r="U82" s="385"/>
      <c r="V82" s="385"/>
      <c r="W82" s="385"/>
      <c r="X82" s="385"/>
      <c r="Y82" s="385"/>
      <c r="Z82" s="385"/>
      <c r="AA82" s="385"/>
      <c r="AB82" s="385"/>
      <c r="AC82" s="385"/>
      <c r="AD82" s="385"/>
      <c r="AE82" s="385"/>
      <c r="AF82" s="385"/>
      <c r="AG82" s="385"/>
      <c r="AH82" s="385"/>
      <c r="AI82" s="385"/>
      <c r="AJ82" s="431"/>
      <c r="AK82" s="385"/>
      <c r="AL82" s="385"/>
      <c r="AM82" s="385"/>
      <c r="AN82" s="385"/>
      <c r="AO82" s="385"/>
      <c r="AP82" s="385"/>
      <c r="AQ82" s="385"/>
      <c r="AR82" s="385"/>
      <c r="AS82" s="385"/>
      <c r="AT82" s="386"/>
      <c r="AU82" s="504"/>
      <c r="AV82" s="504"/>
      <c r="AW82" s="504"/>
      <c r="AX82" s="385"/>
      <c r="AY82" s="385"/>
      <c r="AZ82" s="385"/>
      <c r="BA82" s="385"/>
      <c r="BB82" s="385"/>
      <c r="BC82" s="385"/>
      <c r="BD82" s="385"/>
      <c r="BE82" s="385"/>
      <c r="BF82" s="385" t="str">
        <f>IF(OR(IFERROR(VLOOKUP(BP82,[1]ARS!A:EL,MATCH("Price To Earnings",[1]ARS!$4:$4,0),FALSE),"-")&lt;0,IFERROR(VLOOKUP(BP82,[1]ARS!A:EL,MATCH("Price To Earnings",[1]ARS!$4:$4,0),FALSE),"-")&gt;500),"-",IFERROR(VLOOKUP(BP82,[1]ARS!A:EL,MATCH("Price To Earnings",[1]ARS!$4:$4,0),FALSE),"-"))</f>
        <v>-</v>
      </c>
      <c r="BG82" s="385"/>
      <c r="BH82" s="385"/>
      <c r="BI82" s="385"/>
      <c r="BJ82" s="385"/>
      <c r="BK82" s="385"/>
      <c r="BL82" s="385"/>
      <c r="BM82" s="385"/>
      <c r="BN82" s="385"/>
      <c r="BO82" s="385"/>
      <c r="BP82" s="385"/>
      <c r="BQ82" s="385"/>
      <c r="BR82" s="385"/>
      <c r="BS82" s="385"/>
      <c r="BT82" s="385"/>
      <c r="BU82" s="385"/>
      <c r="BV82" s="385"/>
    </row>
    <row r="83" spans="1:75" ht="12.75" customHeight="1" x14ac:dyDescent="0.2">
      <c r="A83" s="385"/>
      <c r="B83" s="385"/>
      <c r="C83" s="385"/>
      <c r="D83" s="385"/>
      <c r="E83" s="385"/>
      <c r="F83" s="385"/>
      <c r="G83" s="385"/>
      <c r="H83" s="385"/>
      <c r="I83" s="385"/>
      <c r="J83" s="385"/>
      <c r="K83" s="385"/>
      <c r="L83" s="385"/>
      <c r="M83" s="385"/>
      <c r="N83" s="385"/>
      <c r="O83" s="385"/>
      <c r="P83" s="385"/>
      <c r="Q83" s="385"/>
      <c r="R83" s="385"/>
      <c r="S83" s="385"/>
      <c r="T83" s="385"/>
      <c r="U83" s="385"/>
      <c r="V83" s="385"/>
      <c r="W83" s="385"/>
      <c r="X83" s="385"/>
      <c r="Y83" s="385"/>
      <c r="Z83" s="385"/>
      <c r="AA83" s="385"/>
      <c r="AB83" s="385"/>
      <c r="AC83" s="385"/>
      <c r="AD83" s="385"/>
      <c r="AE83" s="385"/>
      <c r="AF83" s="385"/>
      <c r="AG83" s="385"/>
      <c r="AH83" s="385"/>
      <c r="AI83" s="385"/>
      <c r="AJ83" s="431"/>
      <c r="AK83" s="385"/>
      <c r="AL83" s="385"/>
      <c r="AM83" s="385"/>
      <c r="AN83" s="385"/>
      <c r="AO83" s="385"/>
      <c r="AP83" s="385"/>
      <c r="AQ83" s="385"/>
      <c r="AR83" s="385"/>
      <c r="AS83" s="385"/>
      <c r="AT83" s="386"/>
      <c r="AU83" s="504"/>
      <c r="AV83" s="504"/>
      <c r="AW83" s="504"/>
      <c r="AX83" s="385"/>
      <c r="AY83" s="385"/>
      <c r="AZ83" s="385"/>
      <c r="BA83" s="385"/>
      <c r="BB83" s="385"/>
      <c r="BC83" s="385"/>
      <c r="BD83" s="385"/>
      <c r="BE83" s="385"/>
      <c r="BF83" s="385" t="str">
        <f>IF(OR(IFERROR(VLOOKUP(BP83,[1]ARS!A:EL,MATCH("Price To Earnings",[1]ARS!$4:$4,0),FALSE),"-")&lt;0,IFERROR(VLOOKUP(BP83,[1]ARS!A:EL,MATCH("Price To Earnings",[1]ARS!$4:$4,0),FALSE),"-")&gt;500),"-",IFERROR(VLOOKUP(BP83,[1]ARS!A:EL,MATCH("Price To Earnings",[1]ARS!$4:$4,0),FALSE),"-"))</f>
        <v>-</v>
      </c>
      <c r="BG83" s="385"/>
      <c r="BH83" s="385"/>
      <c r="BI83" s="385"/>
      <c r="BJ83" s="385"/>
      <c r="BK83" s="385"/>
      <c r="BL83" s="385"/>
      <c r="BM83" s="385"/>
      <c r="BN83" s="385"/>
      <c r="BO83" s="385"/>
      <c r="BP83" s="385"/>
      <c r="BQ83" s="385"/>
      <c r="BR83" s="385"/>
      <c r="BS83" s="385"/>
      <c r="BT83" s="385"/>
      <c r="BU83" s="385"/>
      <c r="BV83" s="385"/>
    </row>
    <row r="84" spans="1:75" ht="12.75" customHeight="1" x14ac:dyDescent="0.2">
      <c r="A84" s="385"/>
      <c r="B84" s="385"/>
      <c r="C84" s="385"/>
      <c r="D84" s="385"/>
      <c r="E84" s="385"/>
      <c r="F84" s="385"/>
      <c r="G84" s="385"/>
      <c r="H84" s="385"/>
      <c r="I84" s="385"/>
      <c r="J84" s="385"/>
      <c r="K84" s="385"/>
      <c r="L84" s="385"/>
      <c r="M84" s="385"/>
      <c r="N84" s="385"/>
      <c r="O84" s="385"/>
      <c r="P84" s="385"/>
      <c r="Q84" s="385"/>
      <c r="R84" s="385"/>
      <c r="S84" s="385"/>
      <c r="T84" s="385"/>
      <c r="U84" s="385"/>
      <c r="V84" s="385"/>
      <c r="W84" s="385"/>
      <c r="X84" s="385"/>
      <c r="Y84" s="385"/>
      <c r="Z84" s="385"/>
      <c r="AA84" s="385"/>
      <c r="AB84" s="385"/>
      <c r="AC84" s="385"/>
      <c r="AD84" s="385"/>
      <c r="AE84" s="385"/>
      <c r="AF84" s="385"/>
      <c r="AG84" s="385"/>
      <c r="AH84" s="385"/>
      <c r="AI84" s="385"/>
      <c r="AJ84" s="431"/>
      <c r="AK84" s="385"/>
      <c r="AL84" s="385"/>
      <c r="AM84" s="385"/>
      <c r="AN84" s="385"/>
      <c r="AO84" s="385"/>
      <c r="AP84" s="385"/>
      <c r="AQ84" s="385"/>
      <c r="AR84" s="385"/>
      <c r="AS84" s="385"/>
      <c r="AT84" s="386"/>
      <c r="AU84" s="504"/>
      <c r="AV84" s="504"/>
      <c r="AW84" s="504"/>
      <c r="AX84" s="385"/>
      <c r="AY84" s="385"/>
      <c r="AZ84" s="385"/>
      <c r="BA84" s="385"/>
      <c r="BB84" s="385"/>
      <c r="BC84" s="385"/>
      <c r="BD84" s="385"/>
      <c r="BE84" s="385"/>
      <c r="BF84" s="385"/>
      <c r="BG84" s="385"/>
      <c r="BH84" s="385"/>
      <c r="BI84" s="385"/>
      <c r="BJ84" s="385"/>
      <c r="BK84" s="385"/>
      <c r="BL84" s="385"/>
      <c r="BM84" s="385"/>
      <c r="BN84" s="385"/>
      <c r="BO84" s="385"/>
      <c r="BP84" s="385"/>
      <c r="BQ84" s="385"/>
      <c r="BR84" s="385"/>
      <c r="BS84" s="385"/>
      <c r="BT84" s="385"/>
      <c r="BU84" s="385"/>
      <c r="BV84" s="385"/>
    </row>
    <row r="85" spans="1:75" ht="12.75" customHeight="1" x14ac:dyDescent="0.2">
      <c r="A85" s="385"/>
      <c r="B85" s="385"/>
      <c r="C85" s="385"/>
      <c r="D85" s="385"/>
      <c r="E85" s="385"/>
      <c r="F85" s="385"/>
      <c r="G85" s="385"/>
      <c r="H85" s="385"/>
      <c r="I85" s="385"/>
      <c r="J85" s="385"/>
      <c r="K85" s="385"/>
      <c r="L85" s="385"/>
      <c r="M85" s="385"/>
      <c r="N85" s="385"/>
      <c r="O85" s="385"/>
      <c r="P85" s="385"/>
      <c r="Q85" s="385"/>
      <c r="R85" s="385"/>
      <c r="S85" s="385"/>
      <c r="T85" s="385"/>
      <c r="U85" s="385"/>
      <c r="V85" s="385"/>
      <c r="W85" s="385"/>
      <c r="X85" s="385"/>
      <c r="Y85" s="385"/>
      <c r="Z85" s="385"/>
      <c r="AA85" s="385"/>
      <c r="AB85" s="385"/>
      <c r="AC85" s="385"/>
      <c r="AD85" s="385"/>
      <c r="AE85" s="385"/>
      <c r="AF85" s="385"/>
      <c r="AG85" s="385"/>
      <c r="AH85" s="385"/>
      <c r="AI85" s="385"/>
      <c r="AJ85" s="431"/>
      <c r="AK85" s="385"/>
      <c r="AL85" s="385"/>
      <c r="AM85" s="385"/>
      <c r="AN85" s="385"/>
      <c r="AO85" s="385"/>
      <c r="AP85" s="385"/>
      <c r="AQ85" s="385"/>
      <c r="AR85" s="385"/>
      <c r="AS85" s="385"/>
      <c r="AT85" s="386"/>
      <c r="AU85" s="504"/>
      <c r="AV85" s="504"/>
      <c r="AW85" s="504"/>
      <c r="AX85" s="385"/>
      <c r="AY85" s="385"/>
      <c r="AZ85" s="385"/>
      <c r="BA85" s="385"/>
      <c r="BB85" s="385"/>
      <c r="BC85" s="385"/>
      <c r="BD85" s="385"/>
      <c r="BE85" s="385"/>
      <c r="BF85" s="385" t="str">
        <f>IF(OR(IFERROR(VLOOKUP(BP85,[1]ARS!A:EL,MATCH("Price To Earnings",[1]ARS!$4:$4,0),FALSE),"-")&lt;0,IFERROR(VLOOKUP(BP85,[1]ARS!A:EL,MATCH("Price To Earnings",[1]ARS!$4:$4,0),FALSE),"-")&gt;500),"-",IFERROR(VLOOKUP(BP85,[1]ARS!A:EL,MATCH("Price To Earnings",[1]ARS!$4:$4,0),FALSE),"-"))</f>
        <v>-</v>
      </c>
      <c r="BG85" s="385"/>
      <c r="BH85" s="385"/>
      <c r="BI85" s="385"/>
      <c r="BJ85" s="385"/>
      <c r="BK85" s="385"/>
      <c r="BL85" s="385"/>
      <c r="BM85" s="385"/>
      <c r="BN85" s="385"/>
      <c r="BO85" s="385"/>
      <c r="BP85" s="385"/>
      <c r="BQ85" s="385"/>
      <c r="BR85" s="385"/>
      <c r="BS85" s="385"/>
      <c r="BT85" s="385"/>
      <c r="BU85" s="385"/>
      <c r="BV85" s="385"/>
      <c r="BW85" s="385"/>
    </row>
    <row r="86" spans="1:75" ht="12.75" customHeight="1" x14ac:dyDescent="0.2">
      <c r="A86" s="385"/>
      <c r="B86" s="385"/>
      <c r="C86" s="385"/>
      <c r="D86" s="385"/>
      <c r="E86" s="385"/>
      <c r="F86" s="385"/>
      <c r="G86" s="385"/>
      <c r="H86" s="385"/>
      <c r="I86" s="385"/>
      <c r="J86" s="385"/>
      <c r="K86" s="385"/>
      <c r="L86" s="385"/>
      <c r="M86" s="385"/>
      <c r="N86" s="385"/>
      <c r="O86" s="385"/>
      <c r="P86" s="385"/>
      <c r="Q86" s="385"/>
      <c r="R86" s="385"/>
      <c r="S86" s="385"/>
      <c r="T86" s="385"/>
      <c r="U86" s="385"/>
      <c r="V86" s="385"/>
      <c r="W86" s="385"/>
      <c r="X86" s="385"/>
      <c r="Y86" s="385"/>
      <c r="Z86" s="385"/>
      <c r="AA86" s="385"/>
      <c r="AB86" s="385"/>
      <c r="AC86" s="385"/>
      <c r="AD86" s="385"/>
      <c r="AE86" s="385"/>
      <c r="AF86" s="385"/>
      <c r="AG86" s="385"/>
      <c r="AH86" s="385"/>
      <c r="AI86" s="385"/>
      <c r="AJ86" s="431"/>
      <c r="AK86" s="385"/>
      <c r="AL86" s="385"/>
      <c r="AM86" s="385"/>
      <c r="AN86" s="385"/>
      <c r="AO86" s="385"/>
      <c r="AP86" s="385"/>
      <c r="AQ86" s="385"/>
      <c r="AR86" s="385"/>
      <c r="AS86" s="385"/>
      <c r="AT86" s="386"/>
      <c r="AU86" s="504"/>
      <c r="AV86" s="504"/>
      <c r="AW86" s="504"/>
      <c r="AX86" s="385"/>
      <c r="AY86" s="385"/>
      <c r="AZ86" s="385"/>
      <c r="BA86" s="385"/>
      <c r="BB86" s="385"/>
      <c r="BC86" s="385"/>
      <c r="BD86" s="385"/>
      <c r="BE86" s="385"/>
      <c r="BF86" s="385" t="str">
        <f>IF(OR(IFERROR(VLOOKUP(BP86,[1]ARS!A:EL,MATCH("Price To Earnings",[1]ARS!$4:$4,0),FALSE),"-")&lt;0,IFERROR(VLOOKUP(BP86,[1]ARS!A:EL,MATCH("Price To Earnings",[1]ARS!$4:$4,0),FALSE),"-")&gt;500),"-",IFERROR(VLOOKUP(BP86,[1]ARS!A:EL,MATCH("Price To Earnings",[1]ARS!$4:$4,0),FALSE),"-"))</f>
        <v>-</v>
      </c>
      <c r="BG86" s="385"/>
      <c r="BH86" s="385"/>
      <c r="BI86" s="385"/>
      <c r="BJ86" s="385"/>
      <c r="BK86" s="385"/>
      <c r="BL86" s="385"/>
      <c r="BM86" s="385"/>
      <c r="BN86" s="385"/>
      <c r="BO86" s="385"/>
      <c r="BP86" s="385"/>
      <c r="BQ86" s="385"/>
      <c r="BR86" s="385"/>
      <c r="BS86" s="385"/>
      <c r="BT86" s="385"/>
      <c r="BU86" s="385"/>
      <c r="BV86" s="385"/>
    </row>
    <row r="87" spans="1:75" ht="12.75" customHeight="1" x14ac:dyDescent="0.2">
      <c r="A87" s="385"/>
      <c r="B87" s="385"/>
      <c r="C87" s="385"/>
      <c r="D87" s="385"/>
      <c r="E87" s="385"/>
      <c r="F87" s="385"/>
      <c r="G87" s="385"/>
      <c r="H87" s="385"/>
      <c r="I87" s="385"/>
      <c r="J87" s="385"/>
      <c r="K87" s="385"/>
      <c r="L87" s="385"/>
      <c r="M87" s="385"/>
      <c r="N87" s="385"/>
      <c r="O87" s="385"/>
      <c r="P87" s="385"/>
      <c r="Q87" s="385"/>
      <c r="R87" s="385"/>
      <c r="S87" s="385"/>
      <c r="T87" s="385"/>
      <c r="U87" s="385"/>
      <c r="V87" s="385"/>
      <c r="W87" s="385"/>
      <c r="X87" s="385"/>
      <c r="Y87" s="385"/>
      <c r="Z87" s="385"/>
      <c r="AA87" s="385"/>
      <c r="AB87" s="385"/>
      <c r="AC87" s="385"/>
      <c r="AD87" s="385"/>
      <c r="AE87" s="385"/>
      <c r="AF87" s="385"/>
      <c r="AG87" s="385"/>
      <c r="AH87" s="385"/>
      <c r="AI87" s="385"/>
      <c r="AJ87" s="431"/>
      <c r="AK87" s="385"/>
      <c r="AL87" s="385"/>
      <c r="AM87" s="385"/>
      <c r="AN87" s="385"/>
      <c r="AO87" s="385"/>
      <c r="AP87" s="385"/>
      <c r="AQ87" s="385"/>
      <c r="AR87" s="385"/>
      <c r="AS87" s="385"/>
      <c r="AT87" s="386"/>
      <c r="AU87" s="504"/>
      <c r="AV87" s="504"/>
      <c r="AW87" s="504"/>
      <c r="AX87" s="385"/>
      <c r="AY87" s="385"/>
      <c r="AZ87" s="385"/>
      <c r="BA87" s="385"/>
      <c r="BB87" s="385"/>
      <c r="BC87" s="385"/>
      <c r="BD87" s="385"/>
      <c r="BE87" s="385"/>
      <c r="BF87" s="385" t="str">
        <f>IF(OR(IFERROR(VLOOKUP(BP87,[1]ARS!A:EL,MATCH("Price To Earnings",[1]ARS!$4:$4,0),FALSE),"-")&lt;0,IFERROR(VLOOKUP(BP87,[1]ARS!A:EL,MATCH("Price To Earnings",[1]ARS!$4:$4,0),FALSE),"-")&gt;500),"-",IFERROR(VLOOKUP(BP87,[1]ARS!A:EL,MATCH("Price To Earnings",[1]ARS!$4:$4,0),FALSE),"-"))</f>
        <v>-</v>
      </c>
      <c r="BG87" s="385"/>
      <c r="BH87" s="385"/>
      <c r="BI87" s="385"/>
      <c r="BJ87" s="385"/>
      <c r="BK87" s="385"/>
      <c r="BL87" s="385"/>
      <c r="BM87" s="385"/>
      <c r="BN87" s="385"/>
      <c r="BO87" s="385"/>
      <c r="BP87" s="385"/>
      <c r="BQ87" s="385"/>
      <c r="BR87" s="385"/>
      <c r="BS87" s="385"/>
      <c r="BT87" s="385"/>
      <c r="BU87" s="385"/>
      <c r="BV87" s="385"/>
    </row>
    <row r="88" spans="1:75" ht="12.75" customHeight="1" x14ac:dyDescent="0.2">
      <c r="A88" s="385"/>
      <c r="B88" s="385"/>
      <c r="C88" s="385"/>
      <c r="D88" s="385"/>
      <c r="E88" s="385"/>
      <c r="F88" s="385"/>
      <c r="G88" s="385"/>
      <c r="H88" s="385"/>
      <c r="I88" s="385"/>
      <c r="J88" s="385"/>
      <c r="K88" s="385"/>
      <c r="L88" s="385"/>
      <c r="M88" s="385"/>
      <c r="N88" s="385"/>
      <c r="O88" s="385"/>
      <c r="P88" s="385"/>
      <c r="Q88" s="385"/>
      <c r="R88" s="385"/>
      <c r="S88" s="385"/>
      <c r="T88" s="385"/>
      <c r="U88" s="385"/>
      <c r="V88" s="385"/>
      <c r="W88" s="385"/>
      <c r="X88" s="385"/>
      <c r="Y88" s="385"/>
      <c r="Z88" s="385"/>
      <c r="AA88" s="385"/>
      <c r="AB88" s="385"/>
      <c r="AC88" s="385"/>
      <c r="AD88" s="385"/>
      <c r="AE88" s="385"/>
      <c r="AF88" s="385"/>
      <c r="AG88" s="385"/>
      <c r="AH88" s="385"/>
      <c r="AI88" s="385"/>
      <c r="AJ88" s="431"/>
      <c r="AK88" s="385"/>
      <c r="AL88" s="385"/>
      <c r="AM88" s="385"/>
      <c r="AN88" s="385"/>
      <c r="AO88" s="385"/>
      <c r="AP88" s="385"/>
      <c r="AQ88" s="385"/>
      <c r="AR88" s="385"/>
      <c r="AS88" s="385"/>
      <c r="AT88" s="386"/>
      <c r="AU88" s="504"/>
      <c r="AV88" s="504"/>
      <c r="AW88" s="504"/>
      <c r="AX88" s="385"/>
      <c r="AY88" s="385"/>
      <c r="AZ88" s="385"/>
      <c r="BA88" s="385"/>
      <c r="BB88" s="385"/>
      <c r="BC88" s="385"/>
      <c r="BD88" s="385"/>
      <c r="BE88" s="385"/>
      <c r="BF88" s="385" t="str">
        <f>IF(OR(IFERROR(VLOOKUP(BP88,[1]ARS!A:EL,MATCH("Price To Earnings",[1]ARS!$4:$4,0),FALSE),"-")&lt;0,IFERROR(VLOOKUP(BP88,[1]ARS!A:EL,MATCH("Price To Earnings",[1]ARS!$4:$4,0),FALSE),"-")&gt;500),"-",IFERROR(VLOOKUP(BP88,[1]ARS!A:EL,MATCH("Price To Earnings",[1]ARS!$4:$4,0),FALSE),"-"))</f>
        <v>-</v>
      </c>
      <c r="BG88" s="385"/>
      <c r="BH88" s="385"/>
      <c r="BI88" s="385"/>
      <c r="BJ88" s="385"/>
      <c r="BK88" s="385"/>
      <c r="BL88" s="385"/>
      <c r="BM88" s="385"/>
      <c r="BN88" s="385"/>
      <c r="BO88" s="385"/>
      <c r="BP88" s="385"/>
      <c r="BQ88" s="385"/>
      <c r="BR88" s="385"/>
      <c r="BS88" s="385"/>
      <c r="BT88" s="385"/>
      <c r="BU88" s="385"/>
      <c r="BV88" s="385"/>
    </row>
    <row r="89" spans="1:75" ht="12.75" customHeight="1" x14ac:dyDescent="0.2">
      <c r="A89" s="385"/>
      <c r="B89" s="385"/>
      <c r="C89" s="385"/>
      <c r="D89" s="385"/>
      <c r="E89" s="385"/>
      <c r="F89" s="385"/>
      <c r="G89" s="385"/>
      <c r="H89" s="385"/>
      <c r="I89" s="385"/>
      <c r="J89" s="385"/>
      <c r="K89" s="385"/>
      <c r="L89" s="385"/>
      <c r="M89" s="385"/>
      <c r="N89" s="385"/>
      <c r="O89" s="385"/>
      <c r="P89" s="385"/>
      <c r="Q89" s="385"/>
      <c r="R89" s="385"/>
      <c r="S89" s="385"/>
      <c r="T89" s="385"/>
      <c r="U89" s="385"/>
      <c r="V89" s="385"/>
      <c r="W89" s="385"/>
      <c r="X89" s="385"/>
      <c r="Y89" s="385"/>
      <c r="Z89" s="385"/>
      <c r="AA89" s="385"/>
      <c r="AB89" s="385"/>
      <c r="AC89" s="385"/>
      <c r="AD89" s="385"/>
      <c r="AE89" s="385"/>
      <c r="AF89" s="385"/>
      <c r="AG89" s="385"/>
      <c r="AH89" s="385"/>
      <c r="AI89" s="385"/>
      <c r="AJ89" s="431"/>
      <c r="AK89" s="385"/>
      <c r="AL89" s="385"/>
      <c r="AM89" s="385"/>
      <c r="AN89" s="385"/>
      <c r="AO89" s="385"/>
      <c r="AP89" s="385"/>
      <c r="AQ89" s="385"/>
      <c r="AR89" s="385"/>
      <c r="AS89" s="385"/>
      <c r="AT89" s="386"/>
      <c r="AU89" s="504"/>
      <c r="AV89" s="504"/>
      <c r="AW89" s="504"/>
      <c r="AX89" s="385"/>
      <c r="AY89" s="385"/>
      <c r="AZ89" s="385"/>
      <c r="BA89" s="385"/>
      <c r="BB89" s="385"/>
      <c r="BC89" s="385"/>
      <c r="BD89" s="385"/>
      <c r="BE89" s="385"/>
      <c r="BF89" s="385" t="str">
        <f>IF(OR(IFERROR(VLOOKUP(BP89,[1]ARS!A:EL,MATCH("Price To Earnings",[1]ARS!$4:$4,0),FALSE),"-")&lt;0,IFERROR(VLOOKUP(BP89,[1]ARS!A:EL,MATCH("Price To Earnings",[1]ARS!$4:$4,0),FALSE),"-")&gt;500),"-",IFERROR(VLOOKUP(BP89,[1]ARS!A:EL,MATCH("Price To Earnings",[1]ARS!$4:$4,0),FALSE),"-"))</f>
        <v>-</v>
      </c>
      <c r="BG89" s="385"/>
      <c r="BH89" s="385"/>
      <c r="BI89" s="385"/>
      <c r="BJ89" s="385"/>
      <c r="BK89" s="385"/>
      <c r="BL89" s="385"/>
      <c r="BM89" s="385"/>
      <c r="BN89" s="385"/>
      <c r="BO89" s="385"/>
      <c r="BP89" s="385"/>
      <c r="BQ89" s="385"/>
      <c r="BR89" s="385"/>
      <c r="BS89" s="385"/>
      <c r="BT89" s="385"/>
      <c r="BU89" s="385"/>
      <c r="BV89" s="385"/>
    </row>
    <row r="90" spans="1:75" ht="12.75" customHeight="1" x14ac:dyDescent="0.2">
      <c r="A90" s="385"/>
      <c r="B90" s="385"/>
      <c r="C90" s="385"/>
      <c r="D90" s="385"/>
      <c r="E90" s="385"/>
      <c r="F90" s="385"/>
      <c r="G90" s="385"/>
      <c r="H90" s="385"/>
      <c r="I90" s="385"/>
      <c r="J90" s="385"/>
      <c r="K90" s="385"/>
      <c r="L90" s="385"/>
      <c r="M90" s="385"/>
      <c r="N90" s="385"/>
      <c r="O90" s="385"/>
      <c r="P90" s="385"/>
      <c r="Q90" s="385"/>
      <c r="R90" s="385"/>
      <c r="S90" s="385"/>
      <c r="T90" s="385"/>
      <c r="U90" s="385"/>
      <c r="V90" s="385"/>
      <c r="W90" s="385"/>
      <c r="X90" s="385"/>
      <c r="Y90" s="385"/>
      <c r="Z90" s="385"/>
      <c r="AA90" s="385"/>
      <c r="AB90" s="385"/>
      <c r="AC90" s="385"/>
      <c r="AD90" s="385"/>
      <c r="AE90" s="385"/>
      <c r="AF90" s="385"/>
      <c r="AG90" s="385"/>
      <c r="AH90" s="385"/>
      <c r="AI90" s="385"/>
      <c r="AJ90" s="431"/>
      <c r="AK90" s="385"/>
      <c r="AL90" s="385"/>
      <c r="AM90" s="385"/>
      <c r="AN90" s="385"/>
      <c r="AO90" s="385"/>
      <c r="AP90" s="385"/>
      <c r="AQ90" s="385"/>
      <c r="AR90" s="385"/>
      <c r="AS90" s="385"/>
      <c r="AT90" s="386"/>
      <c r="AU90" s="504"/>
      <c r="AV90" s="504"/>
      <c r="AW90" s="504"/>
      <c r="AX90" s="385"/>
      <c r="AY90" s="385"/>
      <c r="AZ90" s="385"/>
      <c r="BA90" s="385"/>
      <c r="BB90" s="385"/>
      <c r="BC90" s="385"/>
      <c r="BD90" s="385"/>
      <c r="BE90" s="385"/>
      <c r="BF90" s="385" t="str">
        <f>IF(OR(IFERROR(VLOOKUP(BP90,[1]ARS!A:EL,MATCH("Price To Earnings",[1]ARS!$4:$4,0),FALSE),"-")&lt;0,IFERROR(VLOOKUP(BP90,[1]ARS!A:EL,MATCH("Price To Earnings",[1]ARS!$4:$4,0),FALSE),"-")&gt;500),"-",IFERROR(VLOOKUP(BP90,[1]ARS!A:EL,MATCH("Price To Earnings",[1]ARS!$4:$4,0),FALSE),"-"))</f>
        <v>-</v>
      </c>
      <c r="BG90" s="385"/>
      <c r="BH90" s="385"/>
      <c r="BI90" s="385"/>
      <c r="BJ90" s="385"/>
      <c r="BK90" s="385"/>
      <c r="BL90" s="385"/>
      <c r="BM90" s="385"/>
      <c r="BN90" s="385"/>
      <c r="BO90" s="385"/>
      <c r="BP90" s="385"/>
      <c r="BQ90" s="385"/>
      <c r="BR90" s="385"/>
      <c r="BS90" s="385"/>
      <c r="BT90" s="385"/>
      <c r="BU90" s="385"/>
      <c r="BV90" s="385"/>
    </row>
    <row r="91" spans="1:75" ht="12.75" customHeight="1" x14ac:dyDescent="0.2">
      <c r="A91" s="385"/>
      <c r="B91" s="385"/>
      <c r="C91" s="385"/>
      <c r="D91" s="385"/>
      <c r="E91" s="385"/>
      <c r="F91" s="385"/>
      <c r="G91" s="385"/>
      <c r="H91" s="385"/>
      <c r="I91" s="385"/>
      <c r="J91" s="385"/>
      <c r="K91" s="385"/>
      <c r="L91" s="385"/>
      <c r="M91" s="385"/>
      <c r="N91" s="385"/>
      <c r="O91" s="385"/>
      <c r="P91" s="385"/>
      <c r="Q91" s="385"/>
      <c r="R91" s="385"/>
      <c r="S91" s="385"/>
      <c r="T91" s="385"/>
      <c r="U91" s="385"/>
      <c r="V91" s="385"/>
      <c r="W91" s="385"/>
      <c r="X91" s="385"/>
      <c r="Y91" s="385"/>
      <c r="Z91" s="385"/>
      <c r="AA91" s="385"/>
      <c r="AB91" s="385"/>
      <c r="AC91" s="385"/>
      <c r="AD91" s="385"/>
      <c r="AE91" s="385"/>
      <c r="AF91" s="385"/>
      <c r="AG91" s="385"/>
      <c r="AH91" s="385"/>
      <c r="AI91" s="385"/>
      <c r="AJ91" s="431"/>
      <c r="AK91" s="385"/>
      <c r="AL91" s="385"/>
      <c r="AM91" s="385"/>
      <c r="AN91" s="385"/>
      <c r="AO91" s="385"/>
      <c r="AP91" s="385"/>
      <c r="AQ91" s="385"/>
      <c r="AR91" s="385"/>
      <c r="AS91" s="385"/>
      <c r="AT91" s="386"/>
      <c r="AU91" s="504"/>
      <c r="AV91" s="504"/>
      <c r="AW91" s="504"/>
      <c r="AX91" s="385"/>
      <c r="AY91" s="385"/>
      <c r="AZ91" s="385"/>
      <c r="BA91" s="385"/>
      <c r="BB91" s="385"/>
      <c r="BC91" s="385"/>
      <c r="BD91" s="385"/>
      <c r="BE91" s="385"/>
      <c r="BF91" s="385" t="str">
        <f>IF(OR(IFERROR(VLOOKUP(BP91,[1]ARS!A:EL,MATCH("Price To Earnings",[1]ARS!$4:$4,0),FALSE),"-")&lt;0,IFERROR(VLOOKUP(BP91,[1]ARS!A:EL,MATCH("Price To Earnings",[1]ARS!$4:$4,0),FALSE),"-")&gt;500),"-",IFERROR(VLOOKUP(BP91,[1]ARS!A:EL,MATCH("Price To Earnings",[1]ARS!$4:$4,0),FALSE),"-"))</f>
        <v>-</v>
      </c>
      <c r="BG91" s="385"/>
      <c r="BH91" s="385"/>
      <c r="BI91" s="385"/>
      <c r="BJ91" s="385"/>
      <c r="BK91" s="385"/>
      <c r="BL91" s="385"/>
      <c r="BM91" s="385"/>
      <c r="BN91" s="385"/>
      <c r="BO91" s="385"/>
      <c r="BP91" s="385"/>
      <c r="BQ91" s="385"/>
      <c r="BR91" s="385"/>
      <c r="BS91" s="385"/>
      <c r="BT91" s="385"/>
      <c r="BU91" s="385"/>
      <c r="BV91" s="385"/>
    </row>
    <row r="92" spans="1:75" ht="12.75" customHeight="1" x14ac:dyDescent="0.2">
      <c r="AT92" s="449"/>
      <c r="AU92" s="505"/>
      <c r="AV92" s="505"/>
      <c r="AW92" s="505"/>
      <c r="BF92" s="442" t="str">
        <f>IF(OR(IFERROR(VLOOKUP(BP92,[1]ARS!A:EL,MATCH("Price To Earnings",[1]ARS!$4:$4,0),FALSE),"-")&lt;0,IFERROR(VLOOKUP(BP92,[1]ARS!A:EL,MATCH("Price To Earnings",[1]ARS!$4:$4,0),FALSE),"-")&gt;500),"-",IFERROR(VLOOKUP(BP92,[1]ARS!A:EL,MATCH("Price To Earnings",[1]ARS!$4:$4,0),FALSE),"-"))</f>
        <v>-</v>
      </c>
    </row>
    <row r="93" spans="1:75" ht="12.75" customHeight="1" x14ac:dyDescent="0.2">
      <c r="AT93" s="449"/>
      <c r="AU93" s="505"/>
      <c r="AV93" s="505"/>
      <c r="AW93" s="505"/>
      <c r="BF93" s="442" t="str">
        <f>IF(OR(IFERROR(VLOOKUP(BP93,[1]ARS!A:EL,MATCH("Price To Earnings",[1]ARS!$4:$4,0),FALSE),"-")&lt;0,IFERROR(VLOOKUP(BP93,[1]ARS!A:EL,MATCH("Price To Earnings",[1]ARS!$4:$4,0),FALSE),"-")&gt;500),"-",IFERROR(VLOOKUP(BP93,[1]ARS!A:EL,MATCH("Price To Earnings",[1]ARS!$4:$4,0),FALSE),"-"))</f>
        <v>-</v>
      </c>
    </row>
    <row r="94" spans="1:75" ht="12.75" customHeight="1" x14ac:dyDescent="0.2">
      <c r="AT94" s="449"/>
      <c r="AU94" s="505"/>
      <c r="AV94" s="505"/>
      <c r="AW94" s="505"/>
      <c r="BF94" s="442" t="str">
        <f>IF(OR(IFERROR(VLOOKUP(BP94,[1]ARS!A:EL,MATCH("Price To Earnings",[1]ARS!$4:$4,0),FALSE),"-")&lt;0,IFERROR(VLOOKUP(BP94,[1]ARS!A:EL,MATCH("Price To Earnings",[1]ARS!$4:$4,0),FALSE),"-")&gt;500),"-",IFERROR(VLOOKUP(BP94,[1]ARS!A:EL,MATCH("Price To Earnings",[1]ARS!$4:$4,0),FALSE),"-"))</f>
        <v>-</v>
      </c>
    </row>
    <row r="95" spans="1:75" ht="12.75" customHeight="1" x14ac:dyDescent="0.2">
      <c r="AT95" s="449"/>
      <c r="AU95" s="505"/>
      <c r="AV95" s="505"/>
      <c r="AW95" s="505"/>
    </row>
    <row r="96" spans="1:75" ht="12.75" customHeight="1" x14ac:dyDescent="0.2">
      <c r="AT96" s="449"/>
      <c r="AU96" s="505"/>
      <c r="AV96" s="505"/>
      <c r="AW96" s="505"/>
      <c r="BF96" s="442" t="str">
        <f>IF(OR(IFERROR(VLOOKUP(BP96,[1]ARS!A:EL,MATCH("Price To Earnings",[1]ARS!$4:$4,0),FALSE),"-")&lt;0,IFERROR(VLOOKUP(BP96,[1]ARS!A:EL,MATCH("Price To Earnings",[1]ARS!$4:$4,0),FALSE),"-")&gt;500),"-",IFERROR(VLOOKUP(BP96,[1]ARS!A:EL,MATCH("Price To Earnings",[1]ARS!$4:$4,0),FALSE),"-"))</f>
        <v>-</v>
      </c>
    </row>
    <row r="97" spans="46:58" ht="12.75" customHeight="1" x14ac:dyDescent="0.2">
      <c r="AT97" s="449"/>
      <c r="AU97" s="505"/>
      <c r="AV97" s="505"/>
      <c r="AW97" s="505"/>
      <c r="BF97" s="442" t="str">
        <f>IF(OR(IFERROR(VLOOKUP(BP97,[1]ARS!A:EL,MATCH("Price To Earnings",[1]ARS!$4:$4,0),FALSE),"-")&lt;0,IFERROR(VLOOKUP(BP97,[1]ARS!A:EL,MATCH("Price To Earnings",[1]ARS!$4:$4,0),FALSE),"-")&gt;500),"-",IFERROR(VLOOKUP(BP97,[1]ARS!A:EL,MATCH("Price To Earnings",[1]ARS!$4:$4,0),FALSE),"-"))</f>
        <v>-</v>
      </c>
    </row>
    <row r="98" spans="46:58" ht="12.75" customHeight="1" x14ac:dyDescent="0.2">
      <c r="AT98" s="449"/>
      <c r="AU98" s="505"/>
      <c r="AV98" s="505"/>
      <c r="AW98" s="505"/>
    </row>
    <row r="99" spans="46:58" ht="12.75" customHeight="1" x14ac:dyDescent="0.2">
      <c r="AT99" s="449"/>
      <c r="AU99" s="505"/>
      <c r="AV99" s="505"/>
      <c r="AW99" s="505"/>
    </row>
    <row r="100" spans="46:58" ht="12.75" customHeight="1" x14ac:dyDescent="0.2">
      <c r="AT100" s="449"/>
      <c r="AU100" s="505"/>
      <c r="AV100" s="505"/>
      <c r="AW100" s="505"/>
    </row>
    <row r="101" spans="46:58" ht="12.75" customHeight="1" x14ac:dyDescent="0.2">
      <c r="AT101" s="449"/>
      <c r="AU101" s="505"/>
      <c r="AV101" s="505"/>
      <c r="AW101" s="505"/>
    </row>
    <row r="102" spans="46:58" ht="12.75" customHeight="1" x14ac:dyDescent="0.2">
      <c r="AT102" s="449"/>
      <c r="AU102" s="505"/>
      <c r="AV102" s="505"/>
      <c r="AW102" s="505"/>
    </row>
    <row r="103" spans="46:58" ht="12.75" customHeight="1" x14ac:dyDescent="0.2">
      <c r="AT103" s="449"/>
      <c r="AU103" s="505"/>
      <c r="AV103" s="505"/>
      <c r="AW103" s="505"/>
    </row>
    <row r="104" spans="46:58" ht="12.75" customHeight="1" x14ac:dyDescent="0.2">
      <c r="AT104" s="449"/>
      <c r="AU104" s="505"/>
      <c r="AV104" s="505"/>
      <c r="AW104" s="505"/>
    </row>
    <row r="105" spans="46:58" ht="12.75" customHeight="1" x14ac:dyDescent="0.2">
      <c r="AT105" s="449"/>
      <c r="AU105" s="505"/>
      <c r="AV105" s="505"/>
      <c r="AW105" s="505"/>
    </row>
    <row r="106" spans="46:58" ht="12.75" customHeight="1" x14ac:dyDescent="0.2">
      <c r="AT106" s="449"/>
      <c r="AU106" s="505"/>
      <c r="AV106" s="505"/>
      <c r="AW106" s="505"/>
    </row>
    <row r="107" spans="46:58" ht="12.75" customHeight="1" x14ac:dyDescent="0.2">
      <c r="AT107" s="449"/>
      <c r="AU107" s="505"/>
      <c r="AV107" s="505"/>
      <c r="AW107" s="505"/>
    </row>
    <row r="108" spans="46:58" ht="12.75" customHeight="1" x14ac:dyDescent="0.2">
      <c r="AT108" s="449"/>
      <c r="AU108" s="505"/>
      <c r="AV108" s="505"/>
      <c r="AW108" s="505"/>
    </row>
    <row r="109" spans="46:58" ht="12.75" customHeight="1" x14ac:dyDescent="0.2">
      <c r="AT109" s="449"/>
    </row>
    <row r="110" spans="46:58" ht="12.75" customHeight="1" x14ac:dyDescent="0.2">
      <c r="AT110" s="449"/>
    </row>
    <row r="111" spans="46:58" ht="12.75" customHeight="1" x14ac:dyDescent="0.2">
      <c r="AT111" s="449"/>
    </row>
    <row r="112" spans="46:58" ht="12.75" customHeight="1" x14ac:dyDescent="0.2">
      <c r="AT112" s="449"/>
    </row>
    <row r="113" spans="46:46" ht="12.75" customHeight="1" x14ac:dyDescent="0.2">
      <c r="AT113" s="449"/>
    </row>
    <row r="114" spans="46:46" ht="12.75" customHeight="1" x14ac:dyDescent="0.2">
      <c r="AT114" s="449"/>
    </row>
    <row r="115" spans="46:46" ht="12.75" customHeight="1" x14ac:dyDescent="0.2">
      <c r="AT115" s="449"/>
    </row>
    <row r="116" spans="46:46" ht="12.75" customHeight="1" x14ac:dyDescent="0.2">
      <c r="AT116" s="449"/>
    </row>
    <row r="117" spans="46:46" ht="12.75" customHeight="1" x14ac:dyDescent="0.2">
      <c r="AT117" s="449"/>
    </row>
    <row r="118" spans="46:46" ht="12.75" customHeight="1" x14ac:dyDescent="0.2">
      <c r="AT118" s="449"/>
    </row>
    <row r="119" spans="46:46" ht="12.75" customHeight="1" x14ac:dyDescent="0.2">
      <c r="AT119" s="449"/>
    </row>
    <row r="120" spans="46:46" ht="12.75" customHeight="1" x14ac:dyDescent="0.2">
      <c r="AT120" s="449"/>
    </row>
    <row r="121" spans="46:46" ht="12.75" customHeight="1" x14ac:dyDescent="0.2">
      <c r="AT121" s="449"/>
    </row>
    <row r="122" spans="46:46" ht="12.75" customHeight="1" x14ac:dyDescent="0.2">
      <c r="AT122" s="449"/>
    </row>
    <row r="123" spans="46:46" ht="12.75" customHeight="1" x14ac:dyDescent="0.2">
      <c r="AT123" s="449"/>
    </row>
    <row r="124" spans="46:46" ht="12.75" customHeight="1" x14ac:dyDescent="0.2">
      <c r="AT124" s="449"/>
    </row>
    <row r="125" spans="46:46" ht="12.75" customHeight="1" x14ac:dyDescent="0.2">
      <c r="AT125" s="449"/>
    </row>
    <row r="126" spans="46:46" ht="12.75" customHeight="1" x14ac:dyDescent="0.2">
      <c r="AT126" s="449"/>
    </row>
    <row r="127" spans="46:46" ht="12.75" customHeight="1" x14ac:dyDescent="0.2">
      <c r="AT127" s="449"/>
    </row>
    <row r="128" spans="46:46" ht="12.75" customHeight="1" x14ac:dyDescent="0.2">
      <c r="AT128" s="449"/>
    </row>
    <row r="129" spans="46:49" ht="12.75" customHeight="1" x14ac:dyDescent="0.2">
      <c r="AT129" s="449"/>
    </row>
    <row r="130" spans="46:49" ht="12.75" customHeight="1" x14ac:dyDescent="0.2">
      <c r="AT130" s="449"/>
    </row>
    <row r="131" spans="46:49" ht="12.75" customHeight="1" x14ac:dyDescent="0.2">
      <c r="AT131" s="449"/>
      <c r="AU131" s="506"/>
      <c r="AV131" s="506"/>
      <c r="AW131" s="506"/>
    </row>
    <row r="132" spans="46:49" ht="12.75" customHeight="1" x14ac:dyDescent="0.2">
      <c r="AT132" s="449"/>
      <c r="AU132" s="506"/>
      <c r="AV132" s="506"/>
      <c r="AW132" s="506"/>
    </row>
    <row r="133" spans="46:49" ht="12.75" customHeight="1" x14ac:dyDescent="0.2">
      <c r="AT133" s="449"/>
      <c r="AU133" s="506"/>
      <c r="AV133" s="506"/>
      <c r="AW133" s="506"/>
    </row>
    <row r="134" spans="46:49" ht="12.75" customHeight="1" x14ac:dyDescent="0.2">
      <c r="AT134" s="449"/>
      <c r="AU134" s="506"/>
      <c r="AV134" s="506"/>
      <c r="AW134" s="506"/>
    </row>
    <row r="135" spans="46:49" ht="12.75" customHeight="1" x14ac:dyDescent="0.2">
      <c r="AT135" s="449"/>
    </row>
    <row r="136" spans="46:49" ht="12.75" customHeight="1" x14ac:dyDescent="0.2">
      <c r="AT136" s="449"/>
    </row>
    <row r="137" spans="46:49" ht="12.75" customHeight="1" x14ac:dyDescent="0.2">
      <c r="AT137" s="449"/>
    </row>
    <row r="138" spans="46:49" ht="12.75" customHeight="1" x14ac:dyDescent="0.2">
      <c r="AT138" s="449"/>
    </row>
    <row r="139" spans="46:49" ht="12.75" customHeight="1" x14ac:dyDescent="0.2">
      <c r="AT139" s="449"/>
    </row>
    <row r="140" spans="46:49" ht="12.75" customHeight="1" x14ac:dyDescent="0.2">
      <c r="AT140" s="449"/>
    </row>
    <row r="141" spans="46:49" ht="12.75" customHeight="1" x14ac:dyDescent="0.2">
      <c r="AT141" s="449"/>
    </row>
    <row r="142" spans="46:49" ht="12.75" customHeight="1" x14ac:dyDescent="0.2">
      <c r="AT142" s="449"/>
    </row>
    <row r="143" spans="46:49" ht="12.75" customHeight="1" x14ac:dyDescent="0.2">
      <c r="AT143" s="449"/>
    </row>
    <row r="144" spans="46:49" ht="12.75" customHeight="1" x14ac:dyDescent="0.2">
      <c r="AT144" s="449"/>
    </row>
    <row r="145" spans="46:46" ht="12.75" customHeight="1" x14ac:dyDescent="0.2">
      <c r="AT145" s="449"/>
    </row>
    <row r="146" spans="46:46" ht="12.75" customHeight="1" x14ac:dyDescent="0.2">
      <c r="AT146" s="449"/>
    </row>
    <row r="147" spans="46:46" ht="12.75" customHeight="1" x14ac:dyDescent="0.2">
      <c r="AT147" s="449"/>
    </row>
    <row r="148" spans="46:46" ht="12.75" customHeight="1" x14ac:dyDescent="0.2">
      <c r="AT148" s="449"/>
    </row>
    <row r="149" spans="46:46" ht="12.75" customHeight="1" x14ac:dyDescent="0.2">
      <c r="AT149" s="449"/>
    </row>
    <row r="150" spans="46:46" ht="12.75" customHeight="1" x14ac:dyDescent="0.2">
      <c r="AT150" s="449"/>
    </row>
    <row r="151" spans="46:46" ht="12.75" customHeight="1" x14ac:dyDescent="0.2">
      <c r="AT151" s="449"/>
    </row>
    <row r="152" spans="46:46" ht="12.75" customHeight="1" x14ac:dyDescent="0.2">
      <c r="AT152" s="449"/>
    </row>
    <row r="153" spans="46:46" ht="12.75" customHeight="1" x14ac:dyDescent="0.2">
      <c r="AT153" s="449"/>
    </row>
    <row r="154" spans="46:46" ht="12.75" customHeight="1" x14ac:dyDescent="0.2">
      <c r="AT154" s="449"/>
    </row>
    <row r="155" spans="46:46" ht="12.75" customHeight="1" x14ac:dyDescent="0.2">
      <c r="AT155" s="449"/>
    </row>
    <row r="156" spans="46:46" ht="12.75" customHeight="1" x14ac:dyDescent="0.2">
      <c r="AT156" s="449"/>
    </row>
    <row r="157" spans="46:46" ht="12.75" customHeight="1" x14ac:dyDescent="0.2">
      <c r="AT157" s="449"/>
    </row>
    <row r="158" spans="46:46" ht="12.75" customHeight="1" x14ac:dyDescent="0.2">
      <c r="AT158" s="449"/>
    </row>
    <row r="159" spans="46:46" ht="12.75" customHeight="1" x14ac:dyDescent="0.2">
      <c r="AT159" s="449"/>
    </row>
    <row r="160" spans="46:46" ht="12.75" customHeight="1" x14ac:dyDescent="0.2">
      <c r="AT160" s="449"/>
    </row>
    <row r="161" spans="46:49" ht="12.75" customHeight="1" x14ac:dyDescent="0.2">
      <c r="AT161" s="449"/>
    </row>
    <row r="162" spans="46:49" ht="12.75" customHeight="1" x14ac:dyDescent="0.2">
      <c r="AT162" s="449"/>
    </row>
    <row r="163" spans="46:49" ht="12.75" customHeight="1" x14ac:dyDescent="0.2">
      <c r="AT163" s="449"/>
    </row>
    <row r="164" spans="46:49" ht="12.75" customHeight="1" x14ac:dyDescent="0.2">
      <c r="AT164" s="449"/>
    </row>
    <row r="165" spans="46:49" ht="12.75" customHeight="1" x14ac:dyDescent="0.2">
      <c r="AT165" s="449"/>
    </row>
    <row r="166" spans="46:49" ht="12.75" customHeight="1" x14ac:dyDescent="0.2">
      <c r="AT166" s="449"/>
    </row>
    <row r="167" spans="46:49" ht="12.75" customHeight="1" x14ac:dyDescent="0.2">
      <c r="AT167" s="449"/>
    </row>
    <row r="168" spans="46:49" ht="12.75" customHeight="1" x14ac:dyDescent="0.2">
      <c r="AT168" s="449"/>
    </row>
    <row r="169" spans="46:49" ht="12.75" customHeight="1" x14ac:dyDescent="0.2">
      <c r="AT169" s="449"/>
    </row>
    <row r="170" spans="46:49" ht="12.75" customHeight="1" x14ac:dyDescent="0.2">
      <c r="AT170" s="449"/>
    </row>
    <row r="171" spans="46:49" ht="12.75" customHeight="1" x14ac:dyDescent="0.2">
      <c r="AT171" s="449"/>
      <c r="AU171" s="507"/>
      <c r="AV171" s="507"/>
      <c r="AW171" s="507"/>
    </row>
    <row r="172" spans="46:49" ht="12.75" customHeight="1" x14ac:dyDescent="0.2">
      <c r="AT172" s="449"/>
      <c r="AU172" s="507"/>
      <c r="AV172" s="507"/>
      <c r="AW172" s="507"/>
    </row>
    <row r="173" spans="46:49" ht="12.75" customHeight="1" x14ac:dyDescent="0.2">
      <c r="AT173" s="449"/>
      <c r="AU173" s="507"/>
      <c r="AV173" s="507"/>
      <c r="AW173" s="507"/>
    </row>
    <row r="174" spans="46:49" ht="12.75" customHeight="1" x14ac:dyDescent="0.2">
      <c r="AT174" s="449"/>
      <c r="AU174" s="507"/>
      <c r="AV174" s="507"/>
      <c r="AW174" s="507"/>
    </row>
    <row r="175" spans="46:49" ht="12.75" customHeight="1" x14ac:dyDescent="0.2">
      <c r="AT175" s="449"/>
      <c r="AU175" s="507"/>
      <c r="AV175" s="507"/>
      <c r="AW175" s="507"/>
    </row>
    <row r="176" spans="46:49" ht="12.75" customHeight="1" x14ac:dyDescent="0.2">
      <c r="AT176" s="449"/>
      <c r="AU176" s="507"/>
      <c r="AV176" s="507"/>
      <c r="AW176" s="507"/>
    </row>
    <row r="177" spans="46:49" ht="12.75" customHeight="1" x14ac:dyDescent="0.2">
      <c r="AT177" s="449"/>
      <c r="AU177" s="507"/>
      <c r="AV177" s="507"/>
      <c r="AW177" s="507"/>
    </row>
    <row r="178" spans="46:49" ht="12.75" customHeight="1" x14ac:dyDescent="0.2">
      <c r="AT178" s="449"/>
      <c r="AU178" s="507"/>
      <c r="AV178" s="507"/>
      <c r="AW178" s="507"/>
    </row>
    <row r="179" spans="46:49" ht="12.75" customHeight="1" x14ac:dyDescent="0.2">
      <c r="AT179" s="449"/>
      <c r="AU179" s="507"/>
      <c r="AV179" s="507"/>
      <c r="AW179" s="507"/>
    </row>
    <row r="180" spans="46:49" ht="12.75" customHeight="1" x14ac:dyDescent="0.2">
      <c r="AT180" s="449"/>
      <c r="AU180" s="507"/>
      <c r="AV180" s="507"/>
      <c r="AW180" s="507"/>
    </row>
    <row r="181" spans="46:49" ht="12.75" customHeight="1" x14ac:dyDescent="0.2">
      <c r="AT181" s="449"/>
      <c r="AU181" s="507"/>
      <c r="AV181" s="507"/>
      <c r="AW181" s="507"/>
    </row>
    <row r="182" spans="46:49" ht="12.75" customHeight="1" x14ac:dyDescent="0.2">
      <c r="AT182" s="449"/>
      <c r="AU182" s="507"/>
      <c r="AV182" s="507"/>
      <c r="AW182" s="507"/>
    </row>
    <row r="183" spans="46:49" ht="12.75" customHeight="1" x14ac:dyDescent="0.2">
      <c r="AT183" s="449"/>
      <c r="AU183" s="507"/>
      <c r="AV183" s="507"/>
      <c r="AW183" s="507"/>
    </row>
    <row r="184" spans="46:49" ht="12.75" customHeight="1" x14ac:dyDescent="0.2">
      <c r="AT184" s="449"/>
      <c r="AU184" s="507"/>
      <c r="AV184" s="507"/>
      <c r="AW184" s="507"/>
    </row>
    <row r="185" spans="46:49" ht="12.75" customHeight="1" x14ac:dyDescent="0.2">
      <c r="AT185" s="449"/>
      <c r="AU185" s="507"/>
      <c r="AV185" s="507"/>
      <c r="AW185" s="507"/>
    </row>
    <row r="186" spans="46:49" ht="12.75" customHeight="1" x14ac:dyDescent="0.2">
      <c r="AT186" s="449"/>
      <c r="AU186" s="507"/>
      <c r="AV186" s="507"/>
      <c r="AW186" s="507"/>
    </row>
    <row r="187" spans="46:49" ht="12.75" customHeight="1" x14ac:dyDescent="0.2">
      <c r="AT187" s="449"/>
      <c r="AU187" s="507"/>
      <c r="AV187" s="507"/>
      <c r="AW187" s="507"/>
    </row>
    <row r="188" spans="46:49" ht="12.75" customHeight="1" x14ac:dyDescent="0.2">
      <c r="AT188" s="449"/>
      <c r="AU188" s="507"/>
      <c r="AV188" s="507"/>
      <c r="AW188" s="507"/>
    </row>
    <row r="189" spans="46:49" ht="12.75" customHeight="1" x14ac:dyDescent="0.2">
      <c r="AT189" s="449"/>
      <c r="AU189" s="507"/>
      <c r="AV189" s="507"/>
      <c r="AW189" s="507"/>
    </row>
    <row r="190" spans="46:49" ht="12.75" customHeight="1" x14ac:dyDescent="0.2">
      <c r="AT190" s="449"/>
      <c r="AU190" s="507"/>
      <c r="AV190" s="507"/>
      <c r="AW190" s="507"/>
    </row>
    <row r="191" spans="46:49" ht="12.75" customHeight="1" x14ac:dyDescent="0.2">
      <c r="AT191" s="449"/>
      <c r="AU191" s="507"/>
      <c r="AV191" s="507"/>
      <c r="AW191" s="507"/>
    </row>
    <row r="192" spans="46:49" ht="12.75" customHeight="1" x14ac:dyDescent="0.2">
      <c r="AT192" s="449"/>
      <c r="AU192" s="507"/>
      <c r="AV192" s="507"/>
      <c r="AW192" s="507"/>
    </row>
    <row r="193" spans="46:49" ht="12.75" customHeight="1" x14ac:dyDescent="0.2">
      <c r="AT193" s="449"/>
      <c r="AU193" s="507"/>
      <c r="AV193" s="507"/>
      <c r="AW193" s="507"/>
    </row>
    <row r="194" spans="46:49" ht="12.75" customHeight="1" x14ac:dyDescent="0.2">
      <c r="AT194" s="449"/>
      <c r="AU194" s="507"/>
      <c r="AV194" s="507"/>
      <c r="AW194" s="507"/>
    </row>
    <row r="195" spans="46:49" ht="12.75" customHeight="1" x14ac:dyDescent="0.2">
      <c r="AT195" s="449"/>
      <c r="AU195" s="507"/>
      <c r="AV195" s="507"/>
      <c r="AW195" s="507"/>
    </row>
    <row r="196" spans="46:49" ht="12.75" customHeight="1" x14ac:dyDescent="0.2">
      <c r="AT196" s="449"/>
      <c r="AU196" s="507"/>
      <c r="AV196" s="507"/>
      <c r="AW196" s="507"/>
    </row>
    <row r="197" spans="46:49" ht="12.75" customHeight="1" x14ac:dyDescent="0.2">
      <c r="AT197" s="449"/>
      <c r="AU197" s="507"/>
      <c r="AV197" s="507"/>
      <c r="AW197" s="507"/>
    </row>
    <row r="198" spans="46:49" ht="12.75" customHeight="1" x14ac:dyDescent="0.2">
      <c r="AT198" s="449"/>
      <c r="AU198" s="507"/>
      <c r="AV198" s="507"/>
      <c r="AW198" s="507"/>
    </row>
    <row r="199" spans="46:49" ht="12.75" customHeight="1" x14ac:dyDescent="0.2">
      <c r="AT199" s="449"/>
      <c r="AU199" s="507"/>
      <c r="AV199" s="507"/>
      <c r="AW199" s="507"/>
    </row>
    <row r="200" spans="46:49" ht="12.75" customHeight="1" x14ac:dyDescent="0.2">
      <c r="AT200" s="449"/>
    </row>
    <row r="201" spans="46:49" ht="12.75" customHeight="1" x14ac:dyDescent="0.2">
      <c r="AT201" s="449"/>
    </row>
    <row r="202" spans="46:49" ht="12.75" customHeight="1" x14ac:dyDescent="0.2">
      <c r="AT202" s="449"/>
    </row>
    <row r="203" spans="46:49" ht="12.75" customHeight="1" x14ac:dyDescent="0.2">
      <c r="AT203" s="449"/>
    </row>
    <row r="204" spans="46:49" ht="12.75" customHeight="1" x14ac:dyDescent="0.2">
      <c r="AT204" s="449"/>
    </row>
    <row r="205" spans="46:49" ht="12.75" customHeight="1" x14ac:dyDescent="0.2">
      <c r="AT205" s="449"/>
    </row>
    <row r="206" spans="46:49" ht="12.75" customHeight="1" x14ac:dyDescent="0.2">
      <c r="AT206" s="449"/>
    </row>
    <row r="207" spans="46:49" ht="12.75" customHeight="1" x14ac:dyDescent="0.2">
      <c r="AT207" s="449"/>
    </row>
    <row r="208" spans="46:49" ht="12.75" customHeight="1" x14ac:dyDescent="0.2">
      <c r="AT208" s="449"/>
    </row>
    <row r="209" spans="46:46" ht="12.75" customHeight="1" x14ac:dyDescent="0.2">
      <c r="AT209" s="449"/>
    </row>
    <row r="210" spans="46:46" ht="12.75" customHeight="1" x14ac:dyDescent="0.2">
      <c r="AT210" s="449"/>
    </row>
    <row r="211" spans="46:46" ht="12.75" customHeight="1" x14ac:dyDescent="0.2">
      <c r="AT211" s="449"/>
    </row>
    <row r="212" spans="46:46" ht="12.75" customHeight="1" x14ac:dyDescent="0.2">
      <c r="AT212" s="449"/>
    </row>
    <row r="213" spans="46:46" ht="12.75" customHeight="1" x14ac:dyDescent="0.2">
      <c r="AT213" s="449"/>
    </row>
    <row r="214" spans="46:46" ht="12.75" customHeight="1" x14ac:dyDescent="0.2">
      <c r="AT214" s="449"/>
    </row>
    <row r="215" spans="46:46" ht="12.75" customHeight="1" x14ac:dyDescent="0.2">
      <c r="AT215" s="449"/>
    </row>
    <row r="216" spans="46:46" ht="12.75" customHeight="1" x14ac:dyDescent="0.2">
      <c r="AT216" s="449"/>
    </row>
    <row r="217" spans="46:46" ht="12.75" customHeight="1" x14ac:dyDescent="0.2">
      <c r="AT217" s="449"/>
    </row>
    <row r="218" spans="46:46" ht="12.75" customHeight="1" x14ac:dyDescent="0.2">
      <c r="AT218" s="449"/>
    </row>
    <row r="219" spans="46:46" ht="12.75" customHeight="1" x14ac:dyDescent="0.2">
      <c r="AT219" s="449"/>
    </row>
    <row r="220" spans="46:46" ht="12.75" customHeight="1" x14ac:dyDescent="0.2">
      <c r="AT220" s="449"/>
    </row>
    <row r="221" spans="46:46" ht="12.75" customHeight="1" x14ac:dyDescent="0.2">
      <c r="AT221" s="449"/>
    </row>
    <row r="222" spans="46:46" ht="12.75" customHeight="1" x14ac:dyDescent="0.2">
      <c r="AT222" s="449"/>
    </row>
    <row r="223" spans="46:46" ht="12.75" customHeight="1" x14ac:dyDescent="0.2">
      <c r="AT223" s="449"/>
    </row>
    <row r="224" spans="46:46" ht="12.75" customHeight="1" x14ac:dyDescent="0.2">
      <c r="AT224" s="449"/>
    </row>
    <row r="225" spans="46:46" ht="12.75" customHeight="1" x14ac:dyDescent="0.2">
      <c r="AT225" s="449"/>
    </row>
    <row r="226" spans="46:46" ht="12.75" customHeight="1" x14ac:dyDescent="0.2">
      <c r="AT226" s="449"/>
    </row>
    <row r="227" spans="46:46" ht="12.75" customHeight="1" x14ac:dyDescent="0.2">
      <c r="AT227" s="449"/>
    </row>
    <row r="228" spans="46:46" ht="12.75" customHeight="1" x14ac:dyDescent="0.2">
      <c r="AT228" s="449"/>
    </row>
    <row r="229" spans="46:46" ht="12.75" customHeight="1" x14ac:dyDescent="0.2">
      <c r="AT229" s="449"/>
    </row>
    <row r="230" spans="46:46" ht="12.75" customHeight="1" x14ac:dyDescent="0.2">
      <c r="AT230" s="449"/>
    </row>
    <row r="231" spans="46:46" ht="12.75" customHeight="1" x14ac:dyDescent="0.2">
      <c r="AT231" s="449"/>
    </row>
    <row r="232" spans="46:46" ht="12.75" customHeight="1" x14ac:dyDescent="0.2">
      <c r="AT232" s="449"/>
    </row>
    <row r="233" spans="46:46" ht="12.75" customHeight="1" x14ac:dyDescent="0.2">
      <c r="AT233" s="449"/>
    </row>
    <row r="234" spans="46:46" ht="12.75" customHeight="1" x14ac:dyDescent="0.2">
      <c r="AT234" s="449"/>
    </row>
    <row r="235" spans="46:46" ht="12.75" customHeight="1" x14ac:dyDescent="0.2">
      <c r="AT235" s="449"/>
    </row>
    <row r="236" spans="46:46" ht="12.75" customHeight="1" x14ac:dyDescent="0.2">
      <c r="AT236" s="449"/>
    </row>
    <row r="237" spans="46:46" ht="12.75" customHeight="1" x14ac:dyDescent="0.2">
      <c r="AT237" s="449"/>
    </row>
    <row r="238" spans="46:46" ht="12.75" customHeight="1" x14ac:dyDescent="0.2">
      <c r="AT238" s="449"/>
    </row>
    <row r="239" spans="46:46" ht="12.75" customHeight="1" x14ac:dyDescent="0.2">
      <c r="AT239" s="449"/>
    </row>
    <row r="240" spans="46:46" ht="12.75" customHeight="1" x14ac:dyDescent="0.2">
      <c r="AT240" s="449"/>
    </row>
    <row r="241" spans="46:46" ht="12.75" customHeight="1" x14ac:dyDescent="0.2">
      <c r="AT241" s="449"/>
    </row>
    <row r="242" spans="46:46" ht="12.75" customHeight="1" x14ac:dyDescent="0.2">
      <c r="AT242" s="449"/>
    </row>
    <row r="243" spans="46:46" ht="12.75" customHeight="1" x14ac:dyDescent="0.2">
      <c r="AT243" s="449"/>
    </row>
    <row r="244" spans="46:46" ht="12.75" customHeight="1" x14ac:dyDescent="0.2">
      <c r="AT244" s="449"/>
    </row>
    <row r="245" spans="46:46" ht="12.75" customHeight="1" x14ac:dyDescent="0.2">
      <c r="AT245" s="449"/>
    </row>
    <row r="246" spans="46:46" ht="12.75" customHeight="1" x14ac:dyDescent="0.2">
      <c r="AT246" s="449"/>
    </row>
    <row r="247" spans="46:46" ht="12.75" customHeight="1" x14ac:dyDescent="0.2">
      <c r="AT247" s="449"/>
    </row>
    <row r="248" spans="46:46" ht="12.75" customHeight="1" x14ac:dyDescent="0.2">
      <c r="AT248" s="449"/>
    </row>
    <row r="249" spans="46:46" ht="12.75" customHeight="1" x14ac:dyDescent="0.2">
      <c r="AT249" s="449"/>
    </row>
    <row r="250" spans="46:46" ht="12.75" customHeight="1" x14ac:dyDescent="0.2">
      <c r="AT250" s="449"/>
    </row>
    <row r="251" spans="46:46" ht="12.75" customHeight="1" x14ac:dyDescent="0.2">
      <c r="AT251" s="449"/>
    </row>
    <row r="252" spans="46:46" ht="12.75" customHeight="1" x14ac:dyDescent="0.2">
      <c r="AT252" s="449"/>
    </row>
    <row r="253" spans="46:46" ht="12.75" customHeight="1" x14ac:dyDescent="0.2">
      <c r="AT253" s="449"/>
    </row>
    <row r="254" spans="46:46" ht="12.75" customHeight="1" x14ac:dyDescent="0.2">
      <c r="AT254" s="449"/>
    </row>
    <row r="255" spans="46:46" ht="12.75" customHeight="1" x14ac:dyDescent="0.2">
      <c r="AT255" s="449"/>
    </row>
    <row r="256" spans="46:46" ht="12.75" customHeight="1" x14ac:dyDescent="0.2">
      <c r="AT256" s="449"/>
    </row>
    <row r="257" spans="46:46" ht="12.75" customHeight="1" x14ac:dyDescent="0.2">
      <c r="AT257" s="449"/>
    </row>
    <row r="258" spans="46:46" ht="12.75" customHeight="1" x14ac:dyDescent="0.2">
      <c r="AT258" s="449"/>
    </row>
    <row r="259" spans="46:46" ht="12.75" customHeight="1" x14ac:dyDescent="0.2">
      <c r="AT259" s="449"/>
    </row>
    <row r="260" spans="46:46" ht="12.75" customHeight="1" x14ac:dyDescent="0.2">
      <c r="AT260" s="449"/>
    </row>
    <row r="261" spans="46:46" ht="12.75" customHeight="1" x14ac:dyDescent="0.2">
      <c r="AT261" s="449"/>
    </row>
    <row r="262" spans="46:46" ht="12.75" customHeight="1" x14ac:dyDescent="0.2">
      <c r="AT262" s="449"/>
    </row>
    <row r="263" spans="46:46" ht="12.75" customHeight="1" x14ac:dyDescent="0.2">
      <c r="AT263" s="449"/>
    </row>
    <row r="264" spans="46:46" ht="12.75" customHeight="1" x14ac:dyDescent="0.2">
      <c r="AT264" s="449"/>
    </row>
    <row r="265" spans="46:46" ht="12.75" customHeight="1" x14ac:dyDescent="0.2">
      <c r="AT265" s="449"/>
    </row>
    <row r="266" spans="46:46" ht="12.75" customHeight="1" x14ac:dyDescent="0.2">
      <c r="AT266" s="449"/>
    </row>
    <row r="267" spans="46:46" ht="12.75" customHeight="1" x14ac:dyDescent="0.2">
      <c r="AT267" s="449"/>
    </row>
    <row r="268" spans="46:46" ht="12.75" customHeight="1" x14ac:dyDescent="0.2">
      <c r="AT268" s="449"/>
    </row>
    <row r="269" spans="46:46" ht="12.75" customHeight="1" x14ac:dyDescent="0.2">
      <c r="AT269" s="449"/>
    </row>
    <row r="270" spans="46:46" ht="12.75" customHeight="1" x14ac:dyDescent="0.2">
      <c r="AT270" s="449"/>
    </row>
    <row r="271" spans="46:46" ht="12.75" customHeight="1" x14ac:dyDescent="0.2">
      <c r="AT271" s="449"/>
    </row>
    <row r="272" spans="46:46" ht="12.75" customHeight="1" x14ac:dyDescent="0.2">
      <c r="AT272" s="449"/>
    </row>
    <row r="273" spans="46:46" ht="12.75" customHeight="1" x14ac:dyDescent="0.2">
      <c r="AT273" s="449"/>
    </row>
    <row r="274" spans="46:46" ht="12.75" customHeight="1" x14ac:dyDescent="0.2">
      <c r="AT274" s="449"/>
    </row>
    <row r="275" spans="46:46" ht="12.75" customHeight="1" x14ac:dyDescent="0.2">
      <c r="AT275" s="449"/>
    </row>
    <row r="276" spans="46:46" ht="12.75" customHeight="1" x14ac:dyDescent="0.2">
      <c r="AT276" s="449"/>
    </row>
    <row r="277" spans="46:46" ht="12.75" customHeight="1" x14ac:dyDescent="0.2">
      <c r="AT277" s="449"/>
    </row>
    <row r="278" spans="46:46" ht="12.75" customHeight="1" x14ac:dyDescent="0.2">
      <c r="AT278" s="449"/>
    </row>
    <row r="279" spans="46:46" ht="12.75" customHeight="1" x14ac:dyDescent="0.2">
      <c r="AT279" s="449"/>
    </row>
    <row r="280" spans="46:46" ht="12.75" customHeight="1" x14ac:dyDescent="0.2">
      <c r="AT280" s="449"/>
    </row>
    <row r="281" spans="46:46" ht="12.75" customHeight="1" x14ac:dyDescent="0.2">
      <c r="AT281" s="449"/>
    </row>
    <row r="282" spans="46:46" ht="12.75" customHeight="1" x14ac:dyDescent="0.2">
      <c r="AT282" s="449"/>
    </row>
    <row r="283" spans="46:46" ht="12.75" customHeight="1" x14ac:dyDescent="0.2">
      <c r="AT283" s="449"/>
    </row>
    <row r="284" spans="46:46" ht="12.75" customHeight="1" x14ac:dyDescent="0.2">
      <c r="AT284" s="449"/>
    </row>
    <row r="285" spans="46:46" ht="12.75" customHeight="1" x14ac:dyDescent="0.2">
      <c r="AT285" s="449"/>
    </row>
    <row r="286" spans="46:46" ht="12.75" customHeight="1" x14ac:dyDescent="0.2">
      <c r="AT286" s="449"/>
    </row>
    <row r="287" spans="46:46" ht="12.75" customHeight="1" x14ac:dyDescent="0.2">
      <c r="AT287" s="449"/>
    </row>
    <row r="288" spans="46:46" ht="12.75" customHeight="1" x14ac:dyDescent="0.2">
      <c r="AT288" s="449"/>
    </row>
    <row r="289" spans="46:46" ht="12.75" customHeight="1" x14ac:dyDescent="0.2">
      <c r="AT289" s="449"/>
    </row>
    <row r="290" spans="46:46" ht="12.75" customHeight="1" x14ac:dyDescent="0.2">
      <c r="AT290" s="449"/>
    </row>
    <row r="291" spans="46:46" ht="12.75" customHeight="1" x14ac:dyDescent="0.2">
      <c r="AT291" s="449"/>
    </row>
    <row r="292" spans="46:46" ht="12.75" customHeight="1" x14ac:dyDescent="0.2">
      <c r="AT292" s="449"/>
    </row>
    <row r="293" spans="46:46" ht="12.75" customHeight="1" x14ac:dyDescent="0.2">
      <c r="AT293" s="449"/>
    </row>
    <row r="294" spans="46:46" ht="12.75" customHeight="1" x14ac:dyDescent="0.2">
      <c r="AT294" s="449"/>
    </row>
    <row r="295" spans="46:46" ht="12.75" customHeight="1" x14ac:dyDescent="0.2">
      <c r="AT295" s="449"/>
    </row>
    <row r="296" spans="46:46" ht="12.75" customHeight="1" x14ac:dyDescent="0.2">
      <c r="AT296" s="449"/>
    </row>
    <row r="297" spans="46:46" ht="12.75" customHeight="1" x14ac:dyDescent="0.2">
      <c r="AT297" s="449"/>
    </row>
    <row r="298" spans="46:46" ht="12.75" customHeight="1" x14ac:dyDescent="0.2">
      <c r="AT298" s="449"/>
    </row>
    <row r="299" spans="46:46" ht="12.75" customHeight="1" x14ac:dyDescent="0.2">
      <c r="AT299" s="449"/>
    </row>
    <row r="300" spans="46:46" ht="12.75" customHeight="1" x14ac:dyDescent="0.2">
      <c r="AT300" s="449"/>
    </row>
    <row r="301" spans="46:46" ht="12.75" customHeight="1" x14ac:dyDescent="0.2">
      <c r="AT301" s="449"/>
    </row>
    <row r="302" spans="46:46" ht="12.75" customHeight="1" x14ac:dyDescent="0.2">
      <c r="AT302" s="449"/>
    </row>
    <row r="303" spans="46:46" ht="12.75" customHeight="1" x14ac:dyDescent="0.2">
      <c r="AT303" s="449"/>
    </row>
    <row r="304" spans="46:46" ht="12.75" customHeight="1" x14ac:dyDescent="0.2">
      <c r="AT304" s="449"/>
    </row>
    <row r="305" spans="46:46" ht="12.75" customHeight="1" x14ac:dyDescent="0.2">
      <c r="AT305" s="449"/>
    </row>
    <row r="306" spans="46:46" ht="12.75" customHeight="1" x14ac:dyDescent="0.2">
      <c r="AT306" s="449"/>
    </row>
    <row r="307" spans="46:46" ht="12.75" customHeight="1" x14ac:dyDescent="0.2">
      <c r="AT307" s="449"/>
    </row>
    <row r="308" spans="46:46" ht="12.75" customHeight="1" x14ac:dyDescent="0.2">
      <c r="AT308" s="449"/>
    </row>
    <row r="309" spans="46:46" ht="12.75" customHeight="1" x14ac:dyDescent="0.2">
      <c r="AT309" s="449"/>
    </row>
    <row r="310" spans="46:46" ht="12.75" customHeight="1" x14ac:dyDescent="0.2">
      <c r="AT310" s="449"/>
    </row>
    <row r="311" spans="46:46" ht="12.75" customHeight="1" x14ac:dyDescent="0.2">
      <c r="AT311" s="449"/>
    </row>
    <row r="312" spans="46:46" ht="12.75" customHeight="1" x14ac:dyDescent="0.2">
      <c r="AT312" s="449"/>
    </row>
    <row r="313" spans="46:46" ht="12.75" customHeight="1" x14ac:dyDescent="0.2">
      <c r="AT313" s="449"/>
    </row>
    <row r="314" spans="46:46" ht="12.75" customHeight="1" x14ac:dyDescent="0.2">
      <c r="AT314" s="449"/>
    </row>
    <row r="315" spans="46:46" ht="12.75" customHeight="1" x14ac:dyDescent="0.2">
      <c r="AT315" s="449"/>
    </row>
    <row r="316" spans="46:46" ht="12.75" customHeight="1" x14ac:dyDescent="0.2">
      <c r="AT316" s="449"/>
    </row>
    <row r="317" spans="46:46" ht="12.75" customHeight="1" x14ac:dyDescent="0.2">
      <c r="AT317" s="449"/>
    </row>
    <row r="318" spans="46:46" ht="12.75" customHeight="1" x14ac:dyDescent="0.2">
      <c r="AT318" s="449"/>
    </row>
    <row r="319" spans="46:46" ht="12.75" customHeight="1" x14ac:dyDescent="0.2">
      <c r="AT319" s="449"/>
    </row>
    <row r="320" spans="46:46" ht="12.75" customHeight="1" x14ac:dyDescent="0.2">
      <c r="AT320" s="449"/>
    </row>
    <row r="321" spans="46:46" ht="12.75" customHeight="1" x14ac:dyDescent="0.2">
      <c r="AT321" s="449"/>
    </row>
    <row r="322" spans="46:46" ht="12.75" customHeight="1" x14ac:dyDescent="0.2">
      <c r="AT322" s="449"/>
    </row>
    <row r="323" spans="46:46" ht="12.75" customHeight="1" x14ac:dyDescent="0.2">
      <c r="AT323" s="449"/>
    </row>
    <row r="324" spans="46:46" ht="12.75" customHeight="1" x14ac:dyDescent="0.2">
      <c r="AT324" s="449"/>
    </row>
    <row r="325" spans="46:46" ht="12.75" customHeight="1" x14ac:dyDescent="0.2">
      <c r="AT325" s="449"/>
    </row>
    <row r="326" spans="46:46" ht="12.75" customHeight="1" x14ac:dyDescent="0.2">
      <c r="AT326" s="449"/>
    </row>
    <row r="327" spans="46:46" ht="12.75" customHeight="1" x14ac:dyDescent="0.2">
      <c r="AT327" s="449"/>
    </row>
    <row r="328" spans="46:46" ht="12.75" customHeight="1" x14ac:dyDescent="0.2">
      <c r="AT328" s="449"/>
    </row>
    <row r="329" spans="46:46" ht="12.75" customHeight="1" x14ac:dyDescent="0.2">
      <c r="AT329" s="449"/>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2018-05-31T21:15:07Z</dcterms:created>
  <dcterms:modified xsi:type="dcterms:W3CDTF">2018-05-31T21:18:29Z</dcterms:modified>
</cp:coreProperties>
</file>