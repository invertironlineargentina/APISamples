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60" windowWidth="20115" windowHeight="8010"/>
  </bookViews>
  <sheets>
    <sheet name="Heatmap" sheetId="1" r:id="rId1"/>
    <sheet name="Mercado" sheetId="2" r:id="rId2"/>
    <sheet name="Fundamentals" sheetId="3" r:id="rId3"/>
    <sheet name="Earnings" sheetId="4" r:id="rId4"/>
    <sheet name="Glosario" sheetId="5" r:id="rId5"/>
    <sheet name="Disclaimer" sheetId="6" r:id="rId6"/>
  </sheets>
  <externalReferences>
    <externalReference r:id="rId7"/>
    <externalReference r:id="rId8"/>
  </externalReferences>
  <definedNames>
    <definedName name="_xlnm.Print_Area" localSheetId="5">Disclaimer!$A$1:$S$37</definedName>
    <definedName name="_xlnm.Print_Area" localSheetId="3">Earnings!$A$1:$AA$119</definedName>
    <definedName name="_xlnm.Print_Area" localSheetId="2">Fundamentals!$A$1:$W$117</definedName>
    <definedName name="_xlnm.Print_Area" localSheetId="4">Glosario!$A$1:$K$133</definedName>
    <definedName name="_xlnm.Print_Area" localSheetId="1">Mercado!$A$1:$X$124</definedName>
    <definedName name="CIQWBGuid" hidden="1">"cddf7c10-2bd3-45f5-9c6e-436007013129"</definedName>
    <definedName name="fechas">'[1]Hetmap CA'!$P$2:$AA$2</definedName>
    <definedName name="precios">'[1]Hetmap CA'!$B$4:$N$78</definedName>
    <definedName name="rendimientos">'[1]Hetmap CA'!$P$4:$AA$78</definedName>
    <definedName name="RICs">'[1]Hetmap CA'!$A$4:$A$78</definedName>
  </definedNames>
  <calcPr calcId="145621" calcMode="manual"/>
</workbook>
</file>

<file path=xl/calcChain.xml><?xml version="1.0" encoding="utf-8"?>
<calcChain xmlns="http://schemas.openxmlformats.org/spreadsheetml/2006/main">
  <c r="P99" i="6" l="1"/>
  <c r="B144" i="5"/>
  <c r="B145" i="5" s="1"/>
  <c r="B146" i="5" s="1"/>
  <c r="B140" i="5"/>
  <c r="B141" i="5" s="1"/>
  <c r="B142" i="5" s="1"/>
  <c r="P98" i="5"/>
  <c r="G85" i="5"/>
  <c r="G84" i="5"/>
  <c r="G83" i="5"/>
  <c r="G82" i="5"/>
  <c r="G81" i="5"/>
  <c r="G80" i="5"/>
  <c r="G79" i="5"/>
  <c r="G78" i="5"/>
  <c r="G77" i="5"/>
  <c r="G76" i="5"/>
  <c r="G75" i="5"/>
  <c r="G74" i="5"/>
  <c r="G73" i="5"/>
  <c r="G72" i="5"/>
  <c r="G71" i="5"/>
  <c r="G70" i="5"/>
  <c r="G69" i="5"/>
  <c r="G68" i="5"/>
  <c r="G67" i="5"/>
  <c r="G66" i="5"/>
  <c r="G65" i="5"/>
  <c r="G64" i="5"/>
  <c r="G63" i="5"/>
  <c r="G62" i="5"/>
  <c r="G61" i="5"/>
  <c r="G60" i="5"/>
  <c r="G59" i="5"/>
  <c r="G57" i="5"/>
  <c r="G56" i="5"/>
  <c r="G55" i="5"/>
  <c r="G54" i="5"/>
  <c r="G53" i="5"/>
  <c r="G52" i="5"/>
  <c r="G51" i="5"/>
  <c r="G50" i="5"/>
  <c r="G49" i="5"/>
</calcChain>
</file>

<file path=xl/comments1.xml><?xml version="1.0" encoding="utf-8"?>
<comments xmlns="http://schemas.openxmlformats.org/spreadsheetml/2006/main">
  <authors>
    <author>Mariano Gasparoli</author>
  </authors>
  <commentList>
    <comment ref="AB34" authorId="0">
      <text>
        <r>
          <rPr>
            <sz val="9"/>
            <color indexed="81"/>
            <rFont val="Tahoma"/>
            <family val="2"/>
          </rPr>
          <t xml:space="preserve">Al 31.12.2018
</t>
        </r>
      </text>
    </comment>
    <comment ref="AB38" authorId="0">
      <text>
        <r>
          <rPr>
            <sz val="9"/>
            <color indexed="81"/>
            <rFont val="Tahoma"/>
            <family val="2"/>
          </rPr>
          <t>Al 31.12.2018</t>
        </r>
      </text>
    </comment>
  </commentList>
</comments>
</file>

<file path=xl/sharedStrings.xml><?xml version="1.0" encoding="utf-8"?>
<sst xmlns="http://schemas.openxmlformats.org/spreadsheetml/2006/main" count="1841" uniqueCount="397">
  <si>
    <t>Reporte de ratios Argentina</t>
  </si>
  <si>
    <t>Heatmap de Mercado</t>
  </si>
  <si>
    <t>Rendimientos calculados en base al precio de cierre al último día hábil de cada mes</t>
  </si>
  <si>
    <t>Variación MoM</t>
  </si>
  <si>
    <t>Ticker</t>
  </si>
  <si>
    <t>Evolución de Precios - Últimos 12 meses</t>
  </si>
  <si>
    <t>Rdto. Acum. 12 M</t>
  </si>
  <si>
    <t>PSUR</t>
  </si>
  <si>
    <t>CAPU</t>
  </si>
  <si>
    <t>TEF</t>
  </si>
  <si>
    <t>MERA</t>
  </si>
  <si>
    <t>BRIO</t>
  </si>
  <si>
    <t>BPAT</t>
  </si>
  <si>
    <t>MOLA</t>
  </si>
  <si>
    <t>GRIM</t>
  </si>
  <si>
    <t>CAPX</t>
  </si>
  <si>
    <t>GCLA</t>
  </si>
  <si>
    <t>EDN</t>
  </si>
  <si>
    <t>ALUA</t>
  </si>
  <si>
    <t>TGSU2</t>
  </si>
  <si>
    <t>INAG</t>
  </si>
  <si>
    <t>LONG</t>
  </si>
  <si>
    <t>TGLT</t>
  </si>
  <si>
    <t>SAMI</t>
  </si>
  <si>
    <t>POLL</t>
  </si>
  <si>
    <t>CECO2</t>
  </si>
  <si>
    <t>METR</t>
  </si>
  <si>
    <t>IRCP</t>
  </si>
  <si>
    <t>LOMA</t>
  </si>
  <si>
    <t>BHIP</t>
  </si>
  <si>
    <t>LEDE</t>
  </si>
  <si>
    <t>DGCU2</t>
  </si>
  <si>
    <t>IRSA</t>
  </si>
  <si>
    <t>APBR</t>
  </si>
  <si>
    <t>RIGO</t>
  </si>
  <si>
    <t>INDU</t>
  </si>
  <si>
    <t>BBAR</t>
  </si>
  <si>
    <t>CRES</t>
  </si>
  <si>
    <t>CGPA2</t>
  </si>
  <si>
    <t>CADO</t>
  </si>
  <si>
    <t>CARC</t>
  </si>
  <si>
    <t>AGRO</t>
  </si>
  <si>
    <t>MIRG</t>
  </si>
  <si>
    <t>GGAL</t>
  </si>
  <si>
    <t>INTR</t>
  </si>
  <si>
    <t>TXAR</t>
  </si>
  <si>
    <t>MOLI</t>
  </si>
  <si>
    <t>GARO</t>
  </si>
  <si>
    <t>PATA</t>
  </si>
  <si>
    <t>FIPL</t>
  </si>
  <si>
    <t>TS</t>
  </si>
  <si>
    <t>BOLT</t>
  </si>
  <si>
    <t>MORI</t>
  </si>
  <si>
    <t>TGNO4</t>
  </si>
  <si>
    <t>TRAN</t>
  </si>
  <si>
    <t>PATY</t>
  </si>
  <si>
    <t>CELU</t>
  </si>
  <si>
    <t>YPFD</t>
  </si>
  <si>
    <t>CEPU</t>
  </si>
  <si>
    <t>TECO2</t>
  </si>
  <si>
    <t>PAMP</t>
  </si>
  <si>
    <t>COLO</t>
  </si>
  <si>
    <t>VALO</t>
  </si>
  <si>
    <t>HAVA</t>
  </si>
  <si>
    <t>DYCA</t>
  </si>
  <si>
    <t>RICH</t>
  </si>
  <si>
    <t>FERR</t>
  </si>
  <si>
    <t>AUSO</t>
  </si>
  <si>
    <t>ROSE</t>
  </si>
  <si>
    <t>COME</t>
  </si>
  <si>
    <t>CVH</t>
  </si>
  <si>
    <t>OEST</t>
  </si>
  <si>
    <t>BMA</t>
  </si>
  <si>
    <t>PGR</t>
  </si>
  <si>
    <t>ESME</t>
  </si>
  <si>
    <t>SEMI</t>
  </si>
  <si>
    <t>CTIO</t>
  </si>
  <si>
    <t>HARG</t>
  </si>
  <si>
    <t>GBAN</t>
  </si>
  <si>
    <t>INVJ</t>
  </si>
  <si>
    <t>BYMA</t>
  </si>
  <si>
    <t>DOME</t>
  </si>
  <si>
    <t>Datos de Mercado</t>
  </si>
  <si>
    <t>Precio</t>
  </si>
  <si>
    <t>52 semanas</t>
  </si>
  <si>
    <t>% de Variación</t>
  </si>
  <si>
    <t>Volatilidad (ars)</t>
  </si>
  <si>
    <t>Volat. Usd 10yr</t>
  </si>
  <si>
    <t>Rto. Usd 10yr</t>
  </si>
  <si>
    <t>Beta</t>
  </si>
  <si>
    <t>Rdo. Vs Merval</t>
  </si>
  <si>
    <t>Valor empresa</t>
  </si>
  <si>
    <t>Div. Yield</t>
  </si>
  <si>
    <t>Ratios de mercado</t>
  </si>
  <si>
    <t>Máx</t>
  </si>
  <si>
    <t>Mín</t>
  </si>
  <si>
    <t>Diario</t>
  </si>
  <si>
    <t>Julio</t>
  </si>
  <si>
    <t>30 días</t>
  </si>
  <si>
    <t>90 días</t>
  </si>
  <si>
    <t>Mkt cap (Mil mill)</t>
  </si>
  <si>
    <t>EV (Mil mill)</t>
  </si>
  <si>
    <t>EV/EBITDA</t>
  </si>
  <si>
    <t>P/S</t>
  </si>
  <si>
    <t>P/E</t>
  </si>
  <si>
    <t>P/E est.</t>
  </si>
  <si>
    <t>P/B</t>
  </si>
  <si>
    <t>P/FCF</t>
  </si>
  <si>
    <t>CONSUMO BÁSICO</t>
  </si>
  <si>
    <t>Promedio</t>
  </si>
  <si>
    <t>Prom.</t>
  </si>
  <si>
    <t>CONSUMO DISCRECIONAL</t>
  </si>
  <si>
    <t>ENERGÍA</t>
  </si>
  <si>
    <t>YPF</t>
  </si>
  <si>
    <t>mkt. Cap_ARS</t>
  </si>
  <si>
    <t>#_Acciones</t>
  </si>
  <si>
    <t>PN_ARSmillones</t>
  </si>
  <si>
    <t>P/BV</t>
  </si>
  <si>
    <t>PN_ARSmiles</t>
  </si>
  <si>
    <t>P</t>
  </si>
  <si>
    <t>FINANCIERO</t>
  </si>
  <si>
    <t>INDUSTRIAL</t>
  </si>
  <si>
    <t>INMOBILIARIO</t>
  </si>
  <si>
    <t>MATERIALES</t>
  </si>
  <si>
    <t>SALUD</t>
  </si>
  <si>
    <t>SERVICIOS PÚBLICOS</t>
  </si>
  <si>
    <t>TECNOLOGÍA DE LA INFORMACIÓN</t>
  </si>
  <si>
    <t>TELECOMUNICACIONES</t>
  </si>
  <si>
    <t>MERVAL</t>
  </si>
  <si>
    <t>Fuente: Refinitiv (ex Thomson Reuters)</t>
  </si>
  <si>
    <t>Las empresas están clasificadas por sector de acuerdo al GICS (Global Industry Classification Standard). Dentro de cada uno de ellos se ordena por Market Cap, de mayor a menor.</t>
  </si>
  <si>
    <t>Datos fundamentales</t>
  </si>
  <si>
    <t>VN</t>
  </si>
  <si>
    <t>Q reportado</t>
  </si>
  <si>
    <t>Solvencia / Riesgo</t>
  </si>
  <si>
    <t>Liquidez</t>
  </si>
  <si>
    <t>Operativos</t>
  </si>
  <si>
    <t>Rendimiento</t>
  </si>
  <si>
    <t>D/PN</t>
  </si>
  <si>
    <t>Ap. Financ.</t>
  </si>
  <si>
    <t>Ac/Pc</t>
  </si>
  <si>
    <t>P. Ácida</t>
  </si>
  <si>
    <t>V/A</t>
  </si>
  <si>
    <t>Ciclo Caja</t>
  </si>
  <si>
    <t>Mg Brt.</t>
  </si>
  <si>
    <t>Mg. Op.</t>
  </si>
  <si>
    <t xml:space="preserve">Mg. Neto </t>
  </si>
  <si>
    <t>FCF/V</t>
  </si>
  <si>
    <t>ROE</t>
  </si>
  <si>
    <t>ROA</t>
  </si>
  <si>
    <t>EPS</t>
  </si>
  <si>
    <r>
      <rPr>
        <b/>
        <sz val="10"/>
        <color theme="0"/>
        <rFont val="Calibri"/>
        <family val="2"/>
      </rPr>
      <t xml:space="preserve">∆ </t>
    </r>
    <r>
      <rPr>
        <b/>
        <sz val="10"/>
        <color theme="0"/>
        <rFont val="Calibri"/>
        <family val="2"/>
        <scheme val="minor"/>
      </rPr>
      <t>Rdo. Trim. ia.</t>
    </r>
  </si>
  <si>
    <t>Rdo. Pr. 5 yr (mill.)</t>
  </si>
  <si>
    <t>Pr. ∆ Rdo. Anual 5yr</t>
  </si>
  <si>
    <t>Desv. ∆ Rdo. Anual 5yr</t>
  </si>
  <si>
    <t>Pr. Vtas 5 yr (K mill.)</t>
  </si>
  <si>
    <t>Pr. ∆ Vta. 5yr</t>
  </si>
  <si>
    <t>Resultados</t>
  </si>
  <si>
    <t>Trimestrales individuales en Mill. ARS</t>
  </si>
  <si>
    <t>4Q2018</t>
  </si>
  <si>
    <t>3Q2018</t>
  </si>
  <si>
    <t>2Q2018</t>
  </si>
  <si>
    <t>1Q2018</t>
  </si>
  <si>
    <t>4Q2017</t>
  </si>
  <si>
    <t>3Q2017</t>
  </si>
  <si>
    <t>2Q2017</t>
  </si>
  <si>
    <t>1Q2017</t>
  </si>
  <si>
    <t>4Q2016</t>
  </si>
  <si>
    <t>3Q2016</t>
  </si>
  <si>
    <t>2Q2016</t>
  </si>
  <si>
    <t>1Q2016</t>
  </si>
  <si>
    <t>4Q2015</t>
  </si>
  <si>
    <t>3Q2015</t>
  </si>
  <si>
    <t>2Q2015</t>
  </si>
  <si>
    <t>1Q2015</t>
  </si>
  <si>
    <t>4Q2014</t>
  </si>
  <si>
    <t>3Q2014</t>
  </si>
  <si>
    <t>2Q2014</t>
  </si>
  <si>
    <t>1Q2014</t>
  </si>
  <si>
    <t>4 Q</t>
  </si>
  <si>
    <t>3 Q</t>
  </si>
  <si>
    <t>2 Q</t>
  </si>
  <si>
    <t>1 Q</t>
  </si>
  <si>
    <t>4Q</t>
  </si>
  <si>
    <t>1Q</t>
  </si>
  <si>
    <t>3Q</t>
  </si>
  <si>
    <t>-</t>
  </si>
  <si>
    <t>Glosario</t>
  </si>
  <si>
    <t>52 semanas - Máx</t>
  </si>
  <si>
    <t>Precio de cierre máximo de las últimas 52 semanas (1 año).</t>
  </si>
  <si>
    <t>52 semanas - Mín</t>
  </si>
  <si>
    <t>Precio de cierre mínimo de las últimas 52 semanas (1 año).</t>
  </si>
  <si>
    <t>Volatilidad (ars) 30 días</t>
  </si>
  <si>
    <t>La volatilidad de una acción hace referencia a las oscilaciones que presenta su cotización. El grado de oscilación que presenta una acción se mide con el desvío estándar de la variación diaria de los precios durante las últimas 30 ruedas.</t>
  </si>
  <si>
    <t>Volatilidad (ars) 90 días</t>
  </si>
  <si>
    <t>La volatilidad de una acción hace referencia a las oscilaciones que presenta su cotización. El grado de oscilación que presenta una acción se mide con el desvío estándar de la variación diaria de los precios durante las últimas 90 ruedas.</t>
  </si>
  <si>
    <t>Volatilidad usd 10yr</t>
  </si>
  <si>
    <t xml:space="preserve">Fórmula: 
Medida de dispersión anualizada del rendimiento diario del precio de la acción en dólares (CCL) de los últimos 10años. En caso de que el papel tenga menos de 10 años de historia, el valor de la volatilidad no estará disponible. </t>
  </si>
  <si>
    <t>Rdto. usd 10yr</t>
  </si>
  <si>
    <t xml:space="preserve">Fórmula: 
Rendimiento anual compuesto del precio de la acción valuada al dólar CCL, de los últimos 10 años. En caso de que el papel tenga menos de 10 años de historia, el valor no estará disponible. </t>
  </si>
  <si>
    <t>Beta representa el cambio en el precio de una compañía ante el cambio en el precio del Merval. El período de tiempo para la estimación del Beta es 180 días cuando está disponible. Un Beta mayor que 1, indica que en los dos últimos años, en promedio, la acción se movió más que el Merval (tanto a la baja como a la suba).</t>
  </si>
  <si>
    <t>Versus Merval</t>
  </si>
  <si>
    <t>Prima de rendimiento de la acción respecto del Merval, para las ruedas del mes y año en curso.</t>
  </si>
  <si>
    <t>Mkt cap (Mil mill.)</t>
  </si>
  <si>
    <t>Fórmula: Precio de mercado actual por acción x Número de acciones en circulación. La capitalización es una medida del tamaño corporativo. Expresada en miles de millones de pesos.</t>
  </si>
  <si>
    <t>EV (Mil mill.)</t>
  </si>
  <si>
    <t>Fórmula: Capitalización bursátil + Deuda total - Total efectivo e inversiones a corto plazo
El valor de la empresa (EV) es una medida del precio de canje teórico, y es útil en comparaciones frente a partidas de estados de ingresos superiores a las partidas de gastos /ingresos por intereses, tales como ingresos y EBITDA. Se tomaron los datps de los últimos 12 meses.</t>
  </si>
  <si>
    <t>Fórmula: Valor de la empresa / EBITDA
Valor de la firma comparado con EBITDA (siglas en inglés de: ganancias antes de intereses, impuestos, depreciaciones y amortizaciones). Se tomaron los datos de los últimos 12 meses.</t>
  </si>
  <si>
    <t>Rentabilidad del dividendo
Fórmula: (Dividendo anual  / Precio de mercado actual) x 100.</t>
  </si>
  <si>
    <t>Fórmula: Precio por Acción/Ventas Netas
Para calcular este ratio se utilizan las ventas por acción de los  últimos 12 meses, así como el precio actual del activo.</t>
  </si>
  <si>
    <t>Fórmula: Precio actual/Ganacias diluidas por Acción. 
Price/Earnings. Para calcular este ratio se utilizan el resultado neto diluido por acción de los últimos 12 meses, así como el precio actual del activo. En caso de pérdidas el ratio no se calcula.</t>
  </si>
  <si>
    <r>
      <t xml:space="preserve">Fórmula: Precio actual / Ganancias </t>
    </r>
    <r>
      <rPr>
        <b/>
        <sz val="11"/>
        <color theme="1"/>
        <rFont val="Calibri"/>
        <family val="2"/>
        <scheme val="minor"/>
      </rPr>
      <t>proyectadas</t>
    </r>
    <r>
      <rPr>
        <sz val="11"/>
        <color theme="1"/>
        <rFont val="Calibri"/>
        <family val="2"/>
        <scheme val="minor"/>
      </rPr>
      <t xml:space="preserve"> por acción
Una relación de valoración que se calcula dividiendo el precio de mercado actual por las ganancias proyectadas a 12 meses por acción.</t>
    </r>
  </si>
  <si>
    <t>Fórmula: Precio actual/Valor Libro por acción. 
El valor libro por acción es el patrimonio neto del último año fiscal dividido por la cantidad de acciones emitidas.</t>
  </si>
  <si>
    <t>Fórmula: Precio actual por acción/Flujo Caja Libre por acción
 Se utiliza el flujo de caja libre operativo por acción de los últimos 12 meses, así como el precio actual del activo.</t>
  </si>
  <si>
    <t>Datos Fundamentales</t>
  </si>
  <si>
    <t>Valor Nominal mínimo que es posible adquirir. El precio está expresado en VN 1.</t>
  </si>
  <si>
    <t>Fecha de cierre del trimestre del cual se reportaron los estados contables.</t>
  </si>
  <si>
    <t>Deuda Total/Patrimonio Neto. Se utilizan los datos del último año fiscal.</t>
  </si>
  <si>
    <t>Ap. Finan. (Apalancamiento Financiero)</t>
  </si>
  <si>
    <t>Fórmula: Activo/Patrimonio Neto. 
Se utilizan los datos de los últimos 12 meses.</t>
  </si>
  <si>
    <t>Ac/Pc (Ratio Corriente)</t>
  </si>
  <si>
    <t>Fórmula: Activo Corriente/Pasivo Corriente. 
(Current ratio). Se utilizan los datos de los últimos 12 meses.</t>
  </si>
  <si>
    <t>P. Ácida (Prueba Ácida)</t>
  </si>
  <si>
    <t>Fórmula: (Activo Corriente - Inventarios)/Pasivo Corriente
(Quick ratio). Se utilizan los datos de los últimos 12 meses.</t>
  </si>
  <si>
    <t>V/A (Rotación de Activos)</t>
  </si>
  <si>
    <t>Fórmula: Ventas /Activo Total
Se utilizan las ventas y el activo total d elos últimos 12 meses.</t>
  </si>
  <si>
    <t>x</t>
  </si>
  <si>
    <t>Ciclo Caja (Ciclo de Conversión de Caja)</t>
  </si>
  <si>
    <t>Es el tiempo en días que el efectivo de la empresa se inmoviliza entre el pago de los insumos para la producción y el cobro de la venta del precio resultante.</t>
  </si>
  <si>
    <t>Mg. Brt. (Margen Bruto)</t>
  </si>
  <si>
    <t>Fórmula: (Ventas Netas - Costo de Mercaderías Vendidas)/Ventas Netas
Se utilizan datos de los últimos12 meses. No se calcula en el caso en que el ingreso bruto sea negativo.</t>
  </si>
  <si>
    <t>Mg. Op. (Margen Operativo)</t>
  </si>
  <si>
    <t>Fórmula: Resultado Operativo/Ventas Netas
Se utilizan datos de los últimos 12 meses. No se calcula en el caso en que el ingreso operativo sea negativo.</t>
  </si>
  <si>
    <t>Mg. Neto (Margen Neto)</t>
  </si>
  <si>
    <t>Fórmula: Resultado Neto/Ventas Netas
Se utilizan datos de los últimos 12 meses. No se calcula en el caso en que el ingreso neto sea negativo.</t>
  </si>
  <si>
    <t>Fórmula: Flujo de Caja Libre/Ventas
Para calcular este ratio se utilizan los datos de los últimos 12 meses.</t>
  </si>
  <si>
    <t>ROE (Retorno sobre Patrimonio Neto)</t>
  </si>
  <si>
    <t>Fórmula: Resultado Neto/Patrimonio Neto
Se utiliza el resultado neto excluyendo resultados extraordinarios de los últimos 12 meses, así como el promedio del patrimonio neto del mismo período. El ratio no se calcula en caso en que el patrimonio neto sea negativo.</t>
  </si>
  <si>
    <t>ROA (Retorno sobre Activo)</t>
  </si>
  <si>
    <t xml:space="preserve">Fórmula: Resultado Neto/Activo Total
Se utilizan el resultado neto excluyendo resultados extraordinarios de los últimos 12 meses, así como el promedio del activo del mismo período. </t>
  </si>
  <si>
    <t>EPS (Earnings per share)</t>
  </si>
  <si>
    <t>Fórmula: Resultado neto asignado a accionistas ordinarios/Cantidad de acciones ordinarias
Se utilizan los resultados de los últimos 12 meses.</t>
  </si>
  <si>
    <t>∆ Rdo. Trim. ia.</t>
  </si>
  <si>
    <t>Tasa trimestral interanual del crecimiento del resultado neto, calculado como el ingreso del último trimestre comparado con el ingreso del mismo período del año anterior.</t>
  </si>
  <si>
    <t>Promedio del resultado neto de los últimos 5 años. Expresado en millones de pesos.</t>
  </si>
  <si>
    <t>Tasa promedio anualizada de crecimiento del resultado neto de los últimos 5 años.</t>
  </si>
  <si>
    <t>Medida de dispersión de la tasa anual de crecimiento del resultado neto de los últimos 5 años.</t>
  </si>
  <si>
    <t>Prom. Vtas 5yr (K mill.)</t>
  </si>
  <si>
    <t>Promedio de las ventas de los últimos 5 años expresado en miles de millones de pesos.</t>
  </si>
  <si>
    <t>Promedio del crecimiento de las ventas anuales de los últimos 5 años.</t>
  </si>
  <si>
    <t>Listado de compañías analizadas</t>
  </si>
  <si>
    <t>Empresa</t>
  </si>
  <si>
    <t>AGROMETAL S.A.</t>
  </si>
  <si>
    <t>ALUAR ALUMINIO ARGENTINO S.A.</t>
  </si>
  <si>
    <t>PETROLEO BRASILEIRO S.A.</t>
  </si>
  <si>
    <t>AUTOPISTAS DEL SOL S.A.</t>
  </si>
  <si>
    <t>BANCO HIPOTECARIO S.A.</t>
  </si>
  <si>
    <t>BANCO MACRO S.A.</t>
  </si>
  <si>
    <t>BOLDT S.A.</t>
  </si>
  <si>
    <t>BANCO PATAGONIA S.A.</t>
  </si>
  <si>
    <t>BANCO SANTANDER RIO S.A.</t>
  </si>
  <si>
    <t>BOLSAS Y MERCADOS ARGENTINOS S.A.</t>
  </si>
  <si>
    <t>MERANOL S.A.C.I.</t>
  </si>
  <si>
    <t>CARLOS CASADO S.A.</t>
  </si>
  <si>
    <t>CAPUTO S.A.</t>
  </si>
  <si>
    <t>CAPEX S.A.</t>
  </si>
  <si>
    <t>CARBOCLOR S. A.</t>
  </si>
  <si>
    <t>ENEL GENERACION COSTANERA S.A.</t>
  </si>
  <si>
    <t>CELULOSA ARGENTINA S.A.</t>
  </si>
  <si>
    <t>CENTRAL PUERTO S.A.</t>
  </si>
  <si>
    <t>CAMUZZI GAS PAMPEANA S.A.</t>
  </si>
  <si>
    <t>COLORIN S.A.</t>
  </si>
  <si>
    <t>SOCIEDAD COMERCIAL DEL PLATA S.A.</t>
  </si>
  <si>
    <t>CRESUD S.A.</t>
  </si>
  <si>
    <t>CONSULTATIO S.A.</t>
  </si>
  <si>
    <t>CABLEVISION HOLDING S.A.</t>
  </si>
  <si>
    <t>DISTRIBUIDORA DE GAS CUYANA S.A.</t>
  </si>
  <si>
    <t>DOMEC S.A.</t>
  </si>
  <si>
    <t>DYCASA SOCIEDAD ANONIMA</t>
  </si>
  <si>
    <t>EMPRESA DISTRIB. Y COMERCIALZADORA NORTE S.A. (EDENOR S.A.)</t>
  </si>
  <si>
    <t>BODEGAS ESMERALDA S.A.</t>
  </si>
  <si>
    <t>FERRUM S.A.</t>
  </si>
  <si>
    <t>FIPLASTO S.A.</t>
  </si>
  <si>
    <t>FRAN</t>
  </si>
  <si>
    <t>BBVA BANCO FRANCES S. A.</t>
  </si>
  <si>
    <t>GAROVAGLIO Y ZORRAQUIN S. A.</t>
  </si>
  <si>
    <t>GAS NATURAL BAN S.A.</t>
  </si>
  <si>
    <t>GRUPO CLARIN S.A.</t>
  </si>
  <si>
    <t>GRUPO FINANCIERO GALICIA S.A.</t>
  </si>
  <si>
    <t>GRIMOLDI S.A.</t>
  </si>
  <si>
    <t>HOLCIM (Argentina) S.A.</t>
  </si>
  <si>
    <t>HAVANNA HOLDING S.A.</t>
  </si>
  <si>
    <t>Composición de índices</t>
  </si>
  <si>
    <t>Segmento de Negociación por Subastas</t>
  </si>
  <si>
    <t>S&amp;P MERVAL</t>
  </si>
  <si>
    <t>S&amp;P MERVAL AR</t>
  </si>
  <si>
    <t xml:space="preserve"> S&amp;P MERVAL 25</t>
  </si>
  <si>
    <t>Vigente a partir del 11/01/2019</t>
  </si>
  <si>
    <t>Peso</t>
  </si>
  <si>
    <t>SUPV</t>
  </si>
  <si>
    <t>Período 1/1/2019 - 31/03/2019</t>
  </si>
  <si>
    <t>Fuente: Instituto Argentino del Mercado de Capitales</t>
  </si>
  <si>
    <t>Cotización por subasta</t>
  </si>
  <si>
    <t>APBRA </t>
  </si>
  <si>
    <t>Petroleo Brasileiro (Preferidas)</t>
  </si>
  <si>
    <t>EMDE </t>
  </si>
  <si>
    <t>Emdersa</t>
  </si>
  <si>
    <t>LEID </t>
  </si>
  <si>
    <t>LEYDEN ARG.</t>
  </si>
  <si>
    <t>BRIO6 </t>
  </si>
  <si>
    <t>Banco Río de la Plata 6 Votos</t>
  </si>
  <si>
    <t>ESME </t>
  </si>
  <si>
    <t>Bodegas Esmeralda</t>
  </si>
  <si>
    <t>LONG </t>
  </si>
  <si>
    <t>Longvie</t>
  </si>
  <si>
    <t>CAPU </t>
  </si>
  <si>
    <t>Caputo</t>
  </si>
  <si>
    <t>EURO </t>
  </si>
  <si>
    <t>Euromayor</t>
  </si>
  <si>
    <t>MERA </t>
  </si>
  <si>
    <t>COLO </t>
  </si>
  <si>
    <t>Colorín</t>
  </si>
  <si>
    <t>FERR </t>
  </si>
  <si>
    <t>Ferrum</t>
  </si>
  <si>
    <t>MVIA </t>
  </si>
  <si>
    <t>METROVIAS</t>
  </si>
  <si>
    <t>COMO </t>
  </si>
  <si>
    <t>Comodoro Rivadavia</t>
  </si>
  <si>
    <t>FIPL </t>
  </si>
  <si>
    <t>Fiplasto</t>
  </si>
  <si>
    <t>PATR </t>
  </si>
  <si>
    <t>PATRICIOS -NOMINATIVAS</t>
  </si>
  <si>
    <t>DOME </t>
  </si>
  <si>
    <t>Domec</t>
  </si>
  <si>
    <t>GARO </t>
  </si>
  <si>
    <t>Garovaglio y Zorraquin</t>
  </si>
  <si>
    <t>POLL </t>
  </si>
  <si>
    <t>Polledo</t>
  </si>
  <si>
    <t>DSUR </t>
  </si>
  <si>
    <t>EMP.DISTRIB.SUR(EDESUR)</t>
  </si>
  <si>
    <t>GBAN </t>
  </si>
  <si>
    <t>Gas Natural BAN</t>
  </si>
  <si>
    <t>PREN1 </t>
  </si>
  <si>
    <t>Papel Prensa</t>
  </si>
  <si>
    <t>EDLH </t>
  </si>
  <si>
    <t>EDESAL HOLDING S.A.</t>
  </si>
  <si>
    <t>HULI </t>
  </si>
  <si>
    <t>Hulytego S.A.</t>
  </si>
  <si>
    <t>PSUR </t>
  </si>
  <si>
    <t>Petrolera Del Conosur</t>
  </si>
  <si>
    <t>EDSH </t>
  </si>
  <si>
    <t>EDESA HOLDING S.A.</t>
  </si>
  <si>
    <t>INAG </t>
  </si>
  <si>
    <t>Insumos Agroquímicos</t>
  </si>
  <si>
    <t>REGE </t>
  </si>
  <si>
    <t>García Regera</t>
  </si>
  <si>
    <t>ELAP </t>
  </si>
  <si>
    <t>EMP.DISTRIB.LA PLATA(EDELAP)</t>
  </si>
  <si>
    <t>INTR </t>
  </si>
  <si>
    <t>Compania Introductora de Bs As</t>
  </si>
  <si>
    <t>RIGO </t>
  </si>
  <si>
    <t>Rigolleau</t>
  </si>
  <si>
    <t>EMAC </t>
  </si>
  <si>
    <t>ELECTROMAC</t>
  </si>
  <si>
    <t>IRCP </t>
  </si>
  <si>
    <t>Alto Palermo</t>
  </si>
  <si>
    <t>ROSE </t>
  </si>
  <si>
    <t>Instituto Rosenbusch</t>
  </si>
  <si>
    <t>Las acciones han sido ordenadas de acuerdo a su rendimiento a la fecha más reciente del mes en curso en comparación con el mes inmediatamente anterior.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</si>
  <si>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pérdida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</si>
  <si>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</si>
  <si>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Gerente de Inversiones</t>
  </si>
  <si>
    <t>abianchi@invertironline.com</t>
  </si>
  <si>
    <t>Flavia Matsuda</t>
  </si>
  <si>
    <t>Coordinadora de Research</t>
  </si>
  <si>
    <t>fmatsuda@invertironline.com</t>
  </si>
  <si>
    <t>@InvertirOnline</t>
  </si>
  <si>
    <t>InvertirOnline.com</t>
  </si>
  <si>
    <t>invertirOnline</t>
  </si>
  <si>
    <t>invertirOnline.com</t>
  </si>
  <si>
    <t>Grales., Comerc. y Admin.</t>
  </si>
  <si>
    <t>Remuneraciones</t>
  </si>
  <si>
    <t>Marketing y Publicidad</t>
  </si>
  <si>
    <t>Depreciación</t>
  </si>
  <si>
    <t>17 de Julio  de 2019</t>
  </si>
  <si>
    <t>Aug-18</t>
  </si>
  <si>
    <t>Sep-18</t>
  </si>
  <si>
    <t>Oct-18</t>
  </si>
  <si>
    <t>Nov-18</t>
  </si>
  <si>
    <t>Dec-18</t>
  </si>
  <si>
    <t>Jan-19</t>
  </si>
  <si>
    <t>Feb-19</t>
  </si>
  <si>
    <t>Mar-19</t>
  </si>
  <si>
    <t>Apr-19</t>
  </si>
  <si>
    <t>May-19</t>
  </si>
  <si>
    <t>Jun-19</t>
  </si>
  <si>
    <t>Jul-19</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</si>
</sst>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3" formatCode="_(* #,##0.00_);_(* \(#,##0.00\);_(* &quot;-&quot;??_);_(@_)"/>
    <numFmt numFmtId="164" formatCode="#,##0.00_);&quot;&lt;&quot;\-0%"/>
    <numFmt numFmtId="165" formatCode="&quot;&gt;&quot;0%"/>
    <numFmt numFmtId="166" formatCode="0.0%"/>
    <numFmt numFmtId="167" formatCode="_(* #,##0.0_);_(* \(#,##0.0\);_(* &quot;-&quot;??_);_(@_)"/>
    <numFmt numFmtId="168" formatCode="0.0"/>
    <numFmt numFmtId="169" formatCode="_(* #,##0_);_(* \(#,##0\);_(* &quot;-&quot;??_);_(@_)"/>
    <numFmt numFmtId="170" formatCode="_(* #,##0.0000_);_(* \(#,##0.0000\);_(* &quot;-&quot;??_);_(@_)"/>
    <numFmt numFmtId="171" formatCode="m/d/yy;@"/>
    <numFmt numFmtId="172" formatCode="_ * #,##0.00_ ;_ * \-#,##0.00_ ;_ * &quot;-&quot;??_ ;_ @_ "/>
  </numFmts>
  <fonts count="4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30"/>
      <color theme="1"/>
      <name val="Calibri"/>
      <family val="2"/>
      <scheme val="minor"/>
    </font>
    <font>
      <sz val="22"/>
      <color rgb="FF564585"/>
      <name val="Calibri"/>
      <family val="2"/>
      <scheme val="minor"/>
    </font>
    <font>
      <sz val="14"/>
      <color theme="1"/>
      <name val="Calibri"/>
      <family val="2"/>
      <scheme val="minor"/>
    </font>
    <font>
      <sz val="20"/>
      <color rgb="FF564585"/>
      <name val="Calibri"/>
      <family val="2"/>
      <scheme val="minor"/>
    </font>
    <font>
      <sz val="16"/>
      <color theme="1"/>
      <name val="Calibri"/>
      <family val="2"/>
      <scheme val="minor"/>
    </font>
    <font>
      <sz val="10"/>
      <name val="Arial"/>
      <family val="2"/>
    </font>
    <font>
      <b/>
      <sz val="10"/>
      <color theme="0"/>
      <name val="Calibri"/>
      <family val="2"/>
      <scheme val="minor"/>
    </font>
    <font>
      <sz val="1"/>
      <color rgb="FFF8F8F8"/>
      <name val="Calibri"/>
      <family val="2"/>
      <scheme val="minor"/>
    </font>
    <font>
      <sz val="11"/>
      <name val="Calibri"/>
      <family val="2"/>
      <scheme val="minor"/>
    </font>
    <font>
      <sz val="24"/>
      <color theme="1"/>
      <name val="Calibri"/>
      <family val="2"/>
      <scheme val="minor"/>
    </font>
    <font>
      <b/>
      <i/>
      <sz val="11"/>
      <color theme="1"/>
      <name val="Calibri"/>
      <family val="2"/>
      <scheme val="minor"/>
    </font>
    <font>
      <i/>
      <sz val="11"/>
      <color theme="1"/>
      <name val="Calibri"/>
      <family val="2"/>
      <scheme val="minor"/>
    </font>
    <font>
      <i/>
      <sz val="10"/>
      <color theme="1"/>
      <name val="Calibri"/>
      <family val="2"/>
      <scheme val="minor"/>
    </font>
    <font>
      <sz val="9"/>
      <color theme="1"/>
      <name val="Calibri"/>
      <family val="2"/>
      <scheme val="minor"/>
    </font>
    <font>
      <sz val="9"/>
      <color indexed="81"/>
      <name val="Tahoma"/>
      <family val="2"/>
    </font>
    <font>
      <sz val="20"/>
      <color rgb="FF0278BA"/>
      <name val="Calibri"/>
      <family val="2"/>
      <scheme val="minor"/>
    </font>
    <font>
      <b/>
      <sz val="10"/>
      <color theme="0"/>
      <name val="Calibri"/>
      <family val="2"/>
    </font>
    <font>
      <b/>
      <sz val="9"/>
      <color theme="0"/>
      <name val="Calibri"/>
      <family val="2"/>
      <scheme val="minor"/>
    </font>
    <font>
      <sz val="20"/>
      <color rgb="FF190258"/>
      <name val="Calibri"/>
      <family val="2"/>
      <scheme val="minor"/>
    </font>
    <font>
      <sz val="11"/>
      <color rgb="FF190258"/>
      <name val="Calibri"/>
      <family val="2"/>
      <scheme val="minor"/>
    </font>
    <font>
      <sz val="8"/>
      <color theme="0"/>
      <name val="Calibri"/>
      <family val="2"/>
      <scheme val="minor"/>
    </font>
    <font>
      <sz val="10.5"/>
      <color theme="1"/>
      <name val="Calibri"/>
      <family val="2"/>
      <scheme val="minor"/>
    </font>
    <font>
      <sz val="8"/>
      <color theme="1"/>
      <name val="Calibri"/>
      <family val="2"/>
      <scheme val="minor"/>
    </font>
    <font>
      <b/>
      <sz val="10.5"/>
      <color theme="1"/>
      <name val="Calibri"/>
      <family val="2"/>
      <scheme val="minor"/>
    </font>
    <font>
      <sz val="10"/>
      <color theme="1"/>
      <name val="Calibri"/>
      <family val="2"/>
      <scheme val="minor"/>
    </font>
    <font>
      <u/>
      <sz val="11"/>
      <color theme="1"/>
      <name val="Calibri"/>
      <family val="2"/>
      <scheme val="minor"/>
    </font>
    <font>
      <b/>
      <sz val="11"/>
      <name val="Calibri"/>
      <family val="2"/>
      <scheme val="minor"/>
    </font>
    <font>
      <sz val="10"/>
      <name val="Calibri"/>
      <family val="2"/>
      <scheme val="minor"/>
    </font>
    <font>
      <b/>
      <sz val="10"/>
      <color theme="1"/>
      <name val="Calibri"/>
      <family val="2"/>
      <scheme val="minor"/>
    </font>
    <font>
      <u/>
      <sz val="12"/>
      <name val="Calibri"/>
      <family val="2"/>
      <scheme val="minor"/>
    </font>
    <font>
      <b/>
      <u/>
      <sz val="12"/>
      <name val="Calibri"/>
      <family val="2"/>
      <scheme val="minor"/>
    </font>
    <font>
      <sz val="8"/>
      <name val="Calibri"/>
      <family val="2"/>
      <scheme val="minor"/>
    </font>
    <font>
      <sz val="8"/>
      <name val="Arial"/>
      <family val="2"/>
    </font>
    <font>
      <b/>
      <sz val="14"/>
      <name val="Calibri"/>
      <family val="2"/>
      <scheme val="minor"/>
    </font>
    <font>
      <sz val="12"/>
      <name val="Arial"/>
      <family val="2"/>
    </font>
    <font>
      <sz val="12"/>
      <name val="Calibri"/>
      <family val="2"/>
      <scheme val="minor"/>
    </font>
    <font>
      <sz val="12"/>
      <color theme="1"/>
      <name val="Calibri"/>
      <family val="2"/>
      <scheme val="minor"/>
    </font>
    <font>
      <sz val="12"/>
      <color rgb="FFFF0000"/>
      <name val="Calibri"/>
      <family val="2"/>
      <scheme val="minor"/>
    </font>
    <font>
      <sz val="10"/>
      <color rgb="FFFF0000"/>
      <name val="Arial"/>
      <family val="2"/>
    </font>
    <font>
      <sz val="8.5"/>
      <name val="Calibri"/>
      <family val="2"/>
      <scheme val="minor"/>
    </font>
    <font>
      <sz val="9"/>
      <name val="Calibri"/>
      <family val="2"/>
      <scheme val="minor"/>
    </font>
    <font>
      <sz val="10"/>
      <color theme="1"/>
      <name val="Arial"/>
      <family val="2"/>
    </font>
  </fonts>
  <fills count="9">
    <fill>
      <patternFill patternType="none"/>
    </fill>
    <fill>
      <patternFill patternType="gray125"/>
    </fill>
    <fill>
      <patternFill patternType="solid">
        <fgColor rgb="FF5645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278BA"/>
        <bgColor indexed="64"/>
      </patternFill>
    </fill>
    <fill>
      <patternFill patternType="solid">
        <fgColor rgb="FF190258"/>
        <bgColor indexed="64"/>
      </patternFill>
    </fill>
    <fill>
      <patternFill patternType="solid">
        <fgColor theme="0" tint="-4.9989318521683403E-2"/>
        <bgColor indexed="64"/>
      </patternFill>
    </fill>
    <fill>
      <patternFill patternType="solid">
        <fgColor theme="7" tint="0.59999389629810485"/>
        <bgColor indexed="64"/>
      </patternFill>
    </fill>
  </fills>
  <borders count="30">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theme="0"/>
      </left>
      <right style="thin">
        <color theme="0"/>
      </right>
      <top/>
      <bottom/>
      <diagonal/>
    </border>
    <border>
      <left style="thin">
        <color theme="0"/>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theme="0"/>
      </top>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style="thin">
        <color theme="0"/>
      </right>
      <top style="thin">
        <color theme="0"/>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xf numFmtId="172" fontId="9" fillId="0" borderId="0" applyFont="0" applyFill="0" applyBorder="0" applyAlignment="0" applyProtection="0"/>
    <xf numFmtId="0" fontId="45" fillId="0" borderId="0"/>
  </cellStyleXfs>
  <cellXfs count="329">
    <xf numFmtId="0" fontId="0" fillId="0" borderId="0" xfId="0"/>
    <xf numFmtId="14" fontId="0" fillId="0" borderId="0" xfId="0" applyNumberFormat="1"/>
    <xf numFmtId="0" fontId="4" fillId="0" borderId="0" xfId="0" applyFont="1"/>
    <xf numFmtId="0" fontId="5" fillId="0" borderId="0" xfId="0" applyFont="1"/>
    <xf numFmtId="0" fontId="6" fillId="0" borderId="0" xfId="0" applyFont="1" applyAlignment="1">
      <alignment vertical="center"/>
    </xf>
    <xf numFmtId="0" fontId="0" fillId="0" borderId="0" xfId="0" applyAlignment="1">
      <alignment vertical="center"/>
    </xf>
    <xf numFmtId="0" fontId="7" fillId="0" borderId="0" xfId="0" applyFont="1"/>
    <xf numFmtId="164" fontId="8" fillId="0" borderId="1" xfId="2" applyNumberFormat="1" applyFont="1" applyFill="1" applyBorder="1" applyAlignment="1">
      <alignment horizontal="center" vertical="center"/>
    </xf>
    <xf numFmtId="9" fontId="8" fillId="0" borderId="2" xfId="2" applyFont="1" applyFill="1" applyBorder="1" applyAlignment="1">
      <alignment horizontal="center" vertical="center"/>
    </xf>
    <xf numFmtId="165" fontId="8" fillId="0" borderId="3" xfId="2" applyNumberFormat="1" applyFont="1" applyFill="1" applyBorder="1" applyAlignment="1">
      <alignment horizontal="center" vertical="center"/>
    </xf>
    <xf numFmtId="0" fontId="10" fillId="2" borderId="4" xfId="3" applyFont="1" applyFill="1" applyBorder="1" applyAlignment="1">
      <alignment horizontal="center" vertical="center" wrapText="1"/>
    </xf>
    <xf numFmtId="0" fontId="10" fillId="2" borderId="5" xfId="3" applyFont="1" applyFill="1" applyBorder="1" applyAlignment="1">
      <alignment horizontal="center" vertical="center" wrapText="1"/>
    </xf>
    <xf numFmtId="0" fontId="10" fillId="2" borderId="6" xfId="3" applyFont="1" applyFill="1" applyBorder="1" applyAlignment="1">
      <alignment horizontal="center" vertical="center" wrapText="1"/>
    </xf>
    <xf numFmtId="0" fontId="10" fillId="2" borderId="7" xfId="3" applyFont="1" applyFill="1" applyBorder="1" applyAlignment="1">
      <alignment horizontal="center" vertical="center"/>
    </xf>
    <xf numFmtId="0" fontId="10" fillId="2" borderId="8" xfId="3" applyFont="1" applyFill="1" applyBorder="1" applyAlignment="1">
      <alignment horizontal="center" vertical="center" wrapText="1"/>
    </xf>
    <xf numFmtId="0" fontId="10" fillId="2" borderId="9" xfId="3" applyFont="1" applyFill="1" applyBorder="1" applyAlignment="1">
      <alignment horizontal="center" vertical="center" wrapText="1"/>
    </xf>
    <xf numFmtId="0" fontId="10" fillId="2" borderId="7" xfId="3" applyFont="1" applyFill="1" applyBorder="1" applyAlignment="1">
      <alignment horizontal="center" vertical="center" wrapText="1"/>
    </xf>
    <xf numFmtId="0" fontId="10" fillId="2" borderId="10" xfId="3" applyFont="1" applyFill="1" applyBorder="1" applyAlignment="1">
      <alignment horizontal="center" vertical="center"/>
    </xf>
    <xf numFmtId="0" fontId="10" fillId="2" borderId="10" xfId="3" applyFont="1" applyFill="1" applyBorder="1" applyAlignment="1">
      <alignment horizontal="center" vertical="center" wrapText="1"/>
    </xf>
    <xf numFmtId="0" fontId="10" fillId="2" borderId="11" xfId="3" applyFont="1" applyFill="1" applyBorder="1" applyAlignment="1">
      <alignment horizontal="center" vertical="center" wrapText="1"/>
    </xf>
    <xf numFmtId="0" fontId="10" fillId="2" borderId="12" xfId="3" applyFont="1" applyFill="1" applyBorder="1" applyAlignment="1">
      <alignment horizontal="center" vertical="center"/>
    </xf>
    <xf numFmtId="0" fontId="10" fillId="2" borderId="13" xfId="3" applyFont="1" applyFill="1" applyBorder="1" applyAlignment="1">
      <alignment horizontal="center" vertical="center" wrapText="1"/>
    </xf>
    <xf numFmtId="0" fontId="10" fillId="2" borderId="14" xfId="3" applyFont="1" applyFill="1" applyBorder="1" applyAlignment="1">
      <alignment horizontal="center" vertical="center" wrapText="1"/>
    </xf>
    <xf numFmtId="0" fontId="10" fillId="2" borderId="15" xfId="3" applyFont="1" applyFill="1" applyBorder="1" applyAlignment="1">
      <alignment horizontal="center" vertical="center" wrapText="1"/>
    </xf>
    <xf numFmtId="0" fontId="10" fillId="2" borderId="16" xfId="3" applyFont="1" applyFill="1" applyBorder="1" applyAlignment="1">
      <alignment horizontal="center" vertical="center"/>
    </xf>
    <xf numFmtId="0" fontId="10" fillId="2" borderId="16" xfId="3" applyFont="1" applyFill="1" applyBorder="1" applyAlignment="1">
      <alignment horizontal="center" vertical="center" wrapText="1"/>
    </xf>
    <xf numFmtId="0" fontId="10" fillId="2" borderId="17" xfId="3" applyFont="1" applyFill="1" applyBorder="1" applyAlignment="1">
      <alignment horizontal="center" vertical="center" wrapText="1"/>
    </xf>
    <xf numFmtId="0" fontId="0" fillId="0" borderId="7" xfId="0" applyFill="1" applyBorder="1"/>
    <xf numFmtId="10" fontId="1" fillId="0" borderId="18" xfId="2" applyNumberFormat="1" applyFont="1" applyFill="1" applyBorder="1" applyAlignment="1">
      <alignment horizontal="center" vertical="center"/>
    </xf>
    <xf numFmtId="9" fontId="11" fillId="0" borderId="0" xfId="2" applyFont="1"/>
    <xf numFmtId="0" fontId="0" fillId="0" borderId="0" xfId="0" applyFill="1" applyBorder="1" applyAlignment="1">
      <alignment horizontal="right"/>
    </xf>
    <xf numFmtId="0" fontId="0" fillId="0" borderId="0" xfId="0" applyBorder="1"/>
    <xf numFmtId="43" fontId="0" fillId="0" borderId="0" xfId="1" applyFont="1"/>
    <xf numFmtId="0" fontId="0" fillId="0" borderId="15" xfId="0" applyFill="1" applyBorder="1"/>
    <xf numFmtId="0" fontId="0" fillId="0" borderId="0" xfId="0" applyBorder="1" applyAlignment="1">
      <alignment horizontal="right"/>
    </xf>
    <xf numFmtId="0" fontId="0" fillId="0" borderId="12" xfId="0" applyFill="1" applyBorder="1"/>
    <xf numFmtId="9" fontId="1" fillId="0" borderId="18" xfId="2" applyNumberFormat="1" applyFont="1" applyFill="1" applyBorder="1" applyAlignment="1">
      <alignment horizontal="center" vertical="center"/>
    </xf>
    <xf numFmtId="0" fontId="0" fillId="0" borderId="16" xfId="0" applyFill="1" applyBorder="1" applyAlignment="1">
      <alignment horizontal="right"/>
    </xf>
    <xf numFmtId="0" fontId="0" fillId="0" borderId="16" xfId="0" applyBorder="1"/>
    <xf numFmtId="0" fontId="0" fillId="0" borderId="0" xfId="0" applyFill="1"/>
    <xf numFmtId="10" fontId="12" fillId="0" borderId="0" xfId="2" applyNumberFormat="1" applyFont="1" applyBorder="1" applyAlignment="1">
      <alignment horizontal="center"/>
    </xf>
    <xf numFmtId="9" fontId="0" fillId="0" borderId="0" xfId="2" applyFont="1"/>
    <xf numFmtId="0" fontId="13" fillId="0" borderId="0" xfId="0" applyFont="1"/>
    <xf numFmtId="0" fontId="10" fillId="2" borderId="19"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1" xfId="3" applyFont="1" applyFill="1" applyBorder="1" applyAlignment="1">
      <alignment horizontal="center" vertical="center"/>
    </xf>
    <xf numFmtId="0" fontId="10" fillId="2" borderId="22" xfId="3" applyFont="1" applyFill="1" applyBorder="1" applyAlignment="1">
      <alignment horizontal="center" vertical="center"/>
    </xf>
    <xf numFmtId="0" fontId="10" fillId="2" borderId="23" xfId="3" applyFont="1" applyFill="1" applyBorder="1" applyAlignment="1">
      <alignment horizontal="center" vertical="center"/>
    </xf>
    <xf numFmtId="0" fontId="10" fillId="2" borderId="24" xfId="3" applyFont="1" applyFill="1" applyBorder="1" applyAlignment="1">
      <alignment horizontal="center" vertical="center" wrapText="1"/>
    </xf>
    <xf numFmtId="0" fontId="10" fillId="2" borderId="20" xfId="3" applyFont="1" applyFill="1" applyBorder="1" applyAlignment="1">
      <alignment horizontal="center" vertical="center" wrapText="1"/>
    </xf>
    <xf numFmtId="0" fontId="10" fillId="2" borderId="25" xfId="3" applyFont="1" applyFill="1" applyBorder="1" applyAlignment="1">
      <alignment horizontal="center" vertical="center"/>
    </xf>
    <xf numFmtId="0" fontId="10" fillId="2" borderId="26"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0" xfId="3" applyFont="1" applyFill="1" applyBorder="1" applyAlignment="1">
      <alignment horizontal="center" vertical="center" wrapText="1"/>
    </xf>
    <xf numFmtId="0" fontId="10" fillId="2" borderId="27" xfId="3" applyFont="1" applyFill="1" applyBorder="1" applyAlignment="1">
      <alignment horizontal="center" vertical="center" wrapText="1"/>
    </xf>
    <xf numFmtId="0" fontId="10" fillId="2" borderId="20" xfId="3" applyFont="1" applyFill="1" applyBorder="1" applyAlignment="1">
      <alignment vertical="center" wrapText="1"/>
    </xf>
    <xf numFmtId="0" fontId="10" fillId="2" borderId="20" xfId="3" applyNumberFormat="1" applyFont="1" applyFill="1" applyBorder="1" applyAlignment="1">
      <alignment horizontal="center" vertical="center" wrapText="1"/>
    </xf>
    <xf numFmtId="0" fontId="10" fillId="2" borderId="28" xfId="3" applyFont="1" applyFill="1" applyBorder="1" applyAlignment="1">
      <alignment horizontal="center" vertical="center"/>
    </xf>
    <xf numFmtId="0" fontId="14" fillId="3" borderId="0" xfId="0" applyFont="1" applyFill="1"/>
    <xf numFmtId="0" fontId="0" fillId="3" borderId="0" xfId="0" applyFill="1"/>
    <xf numFmtId="0" fontId="0" fillId="0" borderId="0" xfId="0" applyAlignment="1">
      <alignment horizontal="center"/>
    </xf>
    <xf numFmtId="43" fontId="0" fillId="0" borderId="0" xfId="1" applyFont="1" applyAlignment="1">
      <alignment horizontal="center" vertical="center"/>
    </xf>
    <xf numFmtId="166" fontId="0" fillId="0" borderId="0" xfId="2" applyNumberFormat="1" applyFont="1" applyAlignment="1">
      <alignment horizontal="center"/>
    </xf>
    <xf numFmtId="9" fontId="0" fillId="0" borderId="0" xfId="2" applyFont="1" applyAlignment="1">
      <alignment horizontal="center"/>
    </xf>
    <xf numFmtId="10" fontId="0" fillId="0" borderId="0" xfId="2" applyNumberFormat="1" applyFont="1" applyAlignment="1">
      <alignment horizontal="center"/>
    </xf>
    <xf numFmtId="43" fontId="0" fillId="0" borderId="0" xfId="1" applyFont="1" applyAlignment="1">
      <alignment horizontal="center"/>
    </xf>
    <xf numFmtId="9" fontId="0" fillId="0" borderId="0" xfId="2" applyNumberFormat="1" applyFont="1" applyAlignment="1">
      <alignment horizontal="center"/>
    </xf>
    <xf numFmtId="167" fontId="0" fillId="0" borderId="0" xfId="1" applyNumberFormat="1" applyFont="1" applyAlignment="1">
      <alignment horizontal="center"/>
    </xf>
    <xf numFmtId="0" fontId="0" fillId="0" borderId="0" xfId="0" applyAlignment="1">
      <alignment horizontal="right"/>
    </xf>
    <xf numFmtId="167" fontId="0" fillId="0" borderId="16" xfId="1" applyNumberFormat="1" applyFont="1" applyBorder="1" applyAlignment="1">
      <alignment horizontal="center"/>
    </xf>
    <xf numFmtId="0" fontId="15" fillId="0" borderId="10" xfId="0" applyFont="1" applyBorder="1"/>
    <xf numFmtId="0" fontId="0" fillId="0" borderId="10" xfId="0" applyBorder="1"/>
    <xf numFmtId="166" fontId="0" fillId="0" borderId="10" xfId="0" applyNumberFormat="1" applyFont="1" applyBorder="1" applyAlignment="1">
      <alignment horizontal="center"/>
    </xf>
    <xf numFmtId="9" fontId="0" fillId="0" borderId="10" xfId="0" applyNumberFormat="1" applyFont="1" applyBorder="1" applyAlignment="1">
      <alignment horizontal="center"/>
    </xf>
    <xf numFmtId="43" fontId="0" fillId="0" borderId="10" xfId="1" applyFont="1" applyBorder="1" applyAlignment="1">
      <alignment horizontal="center"/>
    </xf>
    <xf numFmtId="167" fontId="0" fillId="0" borderId="10" xfId="1" applyNumberFormat="1" applyFont="1" applyBorder="1" applyAlignment="1">
      <alignment horizontal="center"/>
    </xf>
    <xf numFmtId="2" fontId="0" fillId="0" borderId="10" xfId="0" applyNumberFormat="1" applyFont="1" applyBorder="1" applyAlignment="1">
      <alignment horizontal="center"/>
    </xf>
    <xf numFmtId="167" fontId="0" fillId="0" borderId="10" xfId="0" applyNumberFormat="1" applyFont="1" applyBorder="1" applyAlignment="1">
      <alignment horizontal="center"/>
    </xf>
    <xf numFmtId="168" fontId="0" fillId="0" borderId="10" xfId="0" applyNumberFormat="1" applyFont="1" applyBorder="1" applyAlignment="1">
      <alignment horizontal="center"/>
    </xf>
    <xf numFmtId="0" fontId="15" fillId="0" borderId="10" xfId="0" applyFont="1" applyBorder="1" applyAlignment="1">
      <alignment horizontal="right"/>
    </xf>
    <xf numFmtId="9" fontId="0" fillId="0" borderId="0" xfId="2" applyNumberFormat="1" applyFont="1"/>
    <xf numFmtId="167" fontId="0" fillId="0" borderId="0" xfId="1" applyNumberFormat="1" applyFont="1"/>
    <xf numFmtId="166" fontId="0" fillId="0" borderId="0" xfId="2" applyNumberFormat="1" applyFont="1"/>
    <xf numFmtId="0" fontId="3" fillId="3" borderId="0" xfId="0" applyFont="1" applyFill="1"/>
    <xf numFmtId="9" fontId="3" fillId="3" borderId="0" xfId="2" applyFont="1" applyFill="1"/>
    <xf numFmtId="43" fontId="3" fillId="3" borderId="0" xfId="1" applyFont="1" applyFill="1"/>
    <xf numFmtId="9" fontId="3" fillId="3" borderId="0" xfId="2" applyNumberFormat="1" applyFont="1" applyFill="1"/>
    <xf numFmtId="167" fontId="3" fillId="3" borderId="0" xfId="1" applyNumberFormat="1" applyFont="1" applyFill="1"/>
    <xf numFmtId="166" fontId="3" fillId="3" borderId="0" xfId="2" applyNumberFormat="1" applyFont="1" applyFill="1"/>
    <xf numFmtId="0" fontId="3" fillId="3" borderId="0" xfId="0" applyFont="1" applyFill="1" applyAlignment="1">
      <alignment horizontal="right"/>
    </xf>
    <xf numFmtId="43" fontId="0" fillId="4" borderId="0" xfId="1" applyFont="1" applyFill="1"/>
    <xf numFmtId="169" fontId="0" fillId="0" borderId="0" xfId="1" applyNumberFormat="1" applyFont="1"/>
    <xf numFmtId="170" fontId="0" fillId="4" borderId="0" xfId="1" applyNumberFormat="1" applyFont="1" applyFill="1"/>
    <xf numFmtId="0" fontId="10" fillId="2" borderId="25" xfId="3" applyFont="1" applyFill="1" applyBorder="1" applyAlignment="1">
      <alignment horizontal="right" vertical="center"/>
    </xf>
    <xf numFmtId="0" fontId="10" fillId="2" borderId="28" xfId="3" applyFont="1" applyFill="1" applyBorder="1" applyAlignment="1">
      <alignment horizontal="right" vertical="center"/>
    </xf>
    <xf numFmtId="43" fontId="0" fillId="0" borderId="10" xfId="1" applyNumberFormat="1" applyFont="1" applyBorder="1" applyAlignment="1">
      <alignment horizontal="center"/>
    </xf>
    <xf numFmtId="166" fontId="0" fillId="0" borderId="10" xfId="2" applyNumberFormat="1" applyFont="1" applyBorder="1" applyAlignment="1">
      <alignment horizontal="center"/>
    </xf>
    <xf numFmtId="43" fontId="0" fillId="0" borderId="0" xfId="1" applyFont="1" applyAlignment="1"/>
    <xf numFmtId="0" fontId="15" fillId="0" borderId="0" xfId="0" applyFont="1" applyBorder="1"/>
    <xf numFmtId="166" fontId="0" fillId="0" borderId="0" xfId="2" applyNumberFormat="1" applyFont="1" applyBorder="1"/>
    <xf numFmtId="9" fontId="0" fillId="0" borderId="0" xfId="2" applyFont="1" applyBorder="1"/>
    <xf numFmtId="43" fontId="0" fillId="0" borderId="0" xfId="1" applyFont="1" applyBorder="1"/>
    <xf numFmtId="9" fontId="0" fillId="0" borderId="0" xfId="2" applyNumberFormat="1" applyFont="1" applyBorder="1"/>
    <xf numFmtId="167" fontId="0" fillId="0" borderId="0" xfId="1" applyNumberFormat="1" applyFont="1" applyBorder="1"/>
    <xf numFmtId="0" fontId="15" fillId="0" borderId="0" xfId="0" applyFont="1" applyBorder="1" applyAlignment="1">
      <alignment horizontal="right"/>
    </xf>
    <xf numFmtId="0" fontId="10" fillId="2" borderId="24" xfId="3" applyFont="1" applyFill="1" applyBorder="1" applyAlignment="1">
      <alignment horizontal="center" vertical="center"/>
    </xf>
    <xf numFmtId="0" fontId="10" fillId="2" borderId="19" xfId="3" applyFont="1" applyFill="1" applyBorder="1" applyAlignment="1">
      <alignment horizontal="right" vertical="center"/>
    </xf>
    <xf numFmtId="0" fontId="10" fillId="2" borderId="27" xfId="3" applyFont="1" applyFill="1" applyBorder="1" applyAlignment="1">
      <alignment horizontal="center" vertical="center"/>
    </xf>
    <xf numFmtId="0" fontId="10" fillId="2" borderId="26" xfId="3" applyFont="1" applyFill="1" applyBorder="1" applyAlignment="1">
      <alignment horizontal="right" vertical="center"/>
    </xf>
    <xf numFmtId="169" fontId="0" fillId="0" borderId="0" xfId="1" applyNumberFormat="1" applyFont="1" applyAlignment="1">
      <alignment horizontal="center"/>
    </xf>
    <xf numFmtId="169" fontId="0" fillId="0" borderId="10" xfId="1" applyNumberFormat="1" applyFont="1" applyBorder="1" applyAlignment="1">
      <alignment horizontal="center"/>
    </xf>
    <xf numFmtId="0" fontId="15" fillId="0" borderId="5" xfId="0" applyFont="1" applyBorder="1"/>
    <xf numFmtId="0" fontId="0" fillId="0" borderId="5" xfId="0" applyBorder="1"/>
    <xf numFmtId="166" fontId="0" fillId="0" borderId="5" xfId="0" applyNumberFormat="1" applyFont="1" applyBorder="1" applyAlignment="1">
      <alignment horizontal="center"/>
    </xf>
    <xf numFmtId="9" fontId="0" fillId="0" borderId="5" xfId="0" applyNumberFormat="1" applyFont="1" applyBorder="1" applyAlignment="1">
      <alignment horizontal="center"/>
    </xf>
    <xf numFmtId="43" fontId="0" fillId="0" borderId="5" xfId="1" applyFont="1" applyBorder="1" applyAlignment="1">
      <alignment horizontal="center"/>
    </xf>
    <xf numFmtId="167" fontId="0" fillId="0" borderId="5" xfId="1" applyNumberFormat="1" applyFont="1" applyBorder="1" applyAlignment="1">
      <alignment horizontal="center"/>
    </xf>
    <xf numFmtId="167" fontId="0" fillId="0" borderId="5" xfId="0" applyNumberFormat="1" applyFont="1" applyBorder="1" applyAlignment="1">
      <alignment horizontal="center"/>
    </xf>
    <xf numFmtId="0" fontId="15" fillId="0" borderId="5" xfId="0" applyFont="1" applyBorder="1" applyAlignment="1">
      <alignment horizontal="right"/>
    </xf>
    <xf numFmtId="0" fontId="16" fillId="0" borderId="0" xfId="0" applyFont="1"/>
    <xf numFmtId="0" fontId="1" fillId="0" borderId="0" xfId="1" applyNumberFormat="1" applyFont="1" applyAlignment="1">
      <alignment horizontal="center"/>
    </xf>
    <xf numFmtId="0" fontId="15" fillId="0" borderId="0" xfId="0" applyFont="1" applyAlignment="1">
      <alignment horizontal="right"/>
    </xf>
    <xf numFmtId="0" fontId="17" fillId="0" borderId="0" xfId="1" applyNumberFormat="1" applyFont="1"/>
    <xf numFmtId="0" fontId="15" fillId="0" borderId="0" xfId="0" applyFont="1"/>
    <xf numFmtId="0" fontId="19" fillId="0" borderId="0" xfId="0" applyFont="1"/>
    <xf numFmtId="0" fontId="10" fillId="5" borderId="19" xfId="3" applyFont="1" applyFill="1" applyBorder="1" applyAlignment="1">
      <alignment horizontal="center" vertical="center"/>
    </xf>
    <xf numFmtId="0" fontId="10" fillId="5" borderId="24" xfId="3" applyFont="1" applyFill="1" applyBorder="1" applyAlignment="1">
      <alignment horizontal="center" vertical="center"/>
    </xf>
    <xf numFmtId="0" fontId="10" fillId="5" borderId="24" xfId="3" applyFont="1" applyFill="1" applyBorder="1" applyAlignment="1">
      <alignment horizontal="center" vertical="center" wrapText="1"/>
    </xf>
    <xf numFmtId="0" fontId="10" fillId="5" borderId="21" xfId="3" applyFont="1" applyFill="1" applyBorder="1" applyAlignment="1">
      <alignment horizontal="center" vertical="center"/>
    </xf>
    <xf numFmtId="0" fontId="10" fillId="5" borderId="22" xfId="3" applyFont="1" applyFill="1" applyBorder="1" applyAlignment="1">
      <alignment horizontal="center" vertical="center"/>
    </xf>
    <xf numFmtId="0" fontId="10" fillId="5" borderId="23" xfId="3" applyFont="1" applyFill="1" applyBorder="1" applyAlignment="1">
      <alignment horizontal="center" vertical="center"/>
    </xf>
    <xf numFmtId="0" fontId="10" fillId="5" borderId="26" xfId="3" applyFont="1" applyFill="1" applyBorder="1" applyAlignment="1">
      <alignment horizontal="center" vertical="center"/>
    </xf>
    <xf numFmtId="0" fontId="10" fillId="5" borderId="27" xfId="3" applyFont="1" applyFill="1" applyBorder="1" applyAlignment="1">
      <alignment horizontal="center" vertical="center"/>
    </xf>
    <xf numFmtId="0" fontId="10" fillId="5" borderId="27" xfId="3" applyFont="1" applyFill="1" applyBorder="1" applyAlignment="1">
      <alignment horizontal="center" vertical="center" wrapText="1"/>
    </xf>
    <xf numFmtId="0" fontId="10" fillId="5" borderId="21" xfId="3" applyFont="1" applyFill="1" applyBorder="1" applyAlignment="1">
      <alignment horizontal="center" vertical="center" wrapText="1"/>
    </xf>
    <xf numFmtId="0" fontId="10" fillId="5" borderId="20" xfId="3" applyFont="1" applyFill="1" applyBorder="1" applyAlignment="1">
      <alignment horizontal="center" vertical="center" wrapText="1"/>
    </xf>
    <xf numFmtId="0" fontId="21" fillId="5" borderId="20" xfId="3" applyFont="1" applyFill="1" applyBorder="1" applyAlignment="1">
      <alignment horizontal="center" vertical="center" wrapText="1"/>
    </xf>
    <xf numFmtId="0" fontId="21" fillId="5" borderId="20" xfId="3" applyNumberFormat="1" applyFont="1" applyFill="1" applyBorder="1" applyAlignment="1">
      <alignment horizontal="center" vertical="center" wrapText="1"/>
    </xf>
    <xf numFmtId="2" fontId="17" fillId="0" borderId="0" xfId="0" applyNumberFormat="1" applyFont="1"/>
    <xf numFmtId="171" fontId="0" fillId="0" borderId="0" xfId="0" applyNumberFormat="1" applyAlignment="1">
      <alignment horizontal="right"/>
    </xf>
    <xf numFmtId="43" fontId="0" fillId="0" borderId="0" xfId="1" applyFont="1" applyAlignment="1">
      <alignment horizontal="right"/>
    </xf>
    <xf numFmtId="9" fontId="0" fillId="0" borderId="0" xfId="2" applyNumberFormat="1" applyFont="1" applyAlignment="1">
      <alignment horizontal="right"/>
    </xf>
    <xf numFmtId="169" fontId="0" fillId="0" borderId="0" xfId="1" applyNumberFormat="1" applyFont="1" applyAlignment="1">
      <alignment horizontal="right"/>
    </xf>
    <xf numFmtId="166" fontId="0" fillId="0" borderId="0" xfId="2" applyNumberFormat="1" applyFont="1" applyAlignment="1">
      <alignment horizontal="right"/>
    </xf>
    <xf numFmtId="43" fontId="0" fillId="0" borderId="0" xfId="1" applyFont="1" applyAlignment="1">
      <alignment horizontal="right" vertical="center"/>
    </xf>
    <xf numFmtId="0" fontId="0" fillId="0" borderId="10" xfId="0" applyBorder="1" applyAlignment="1">
      <alignment horizontal="right"/>
    </xf>
    <xf numFmtId="43" fontId="0" fillId="0" borderId="10" xfId="1" applyFont="1" applyBorder="1" applyAlignment="1">
      <alignment horizontal="right" vertical="center"/>
    </xf>
    <xf numFmtId="43" fontId="0" fillId="0" borderId="10" xfId="1" applyFont="1" applyBorder="1" applyAlignment="1">
      <alignment horizontal="right"/>
    </xf>
    <xf numFmtId="9" fontId="0" fillId="0" borderId="10" xfId="2" applyNumberFormat="1" applyFont="1" applyBorder="1" applyAlignment="1">
      <alignment horizontal="right"/>
    </xf>
    <xf numFmtId="169" fontId="0" fillId="0" borderId="10" xfId="1" applyNumberFormat="1" applyFont="1" applyBorder="1" applyAlignment="1">
      <alignment horizontal="right"/>
    </xf>
    <xf numFmtId="166" fontId="0" fillId="0" borderId="10" xfId="2" applyNumberFormat="1" applyFont="1" applyBorder="1" applyAlignment="1">
      <alignment horizontal="right"/>
    </xf>
    <xf numFmtId="167" fontId="0" fillId="0" borderId="10" xfId="1" applyNumberFormat="1" applyFont="1" applyBorder="1"/>
    <xf numFmtId="43" fontId="3" fillId="3" borderId="0" xfId="1" applyFont="1" applyFill="1" applyAlignment="1">
      <alignment horizontal="right" vertical="center"/>
    </xf>
    <xf numFmtId="43" fontId="3" fillId="3" borderId="0" xfId="1" applyFont="1" applyFill="1" applyAlignment="1">
      <alignment horizontal="right"/>
    </xf>
    <xf numFmtId="9" fontId="3" fillId="3" borderId="0" xfId="2" applyNumberFormat="1" applyFont="1" applyFill="1" applyAlignment="1">
      <alignment horizontal="right"/>
    </xf>
    <xf numFmtId="169" fontId="3" fillId="3" borderId="0" xfId="1" applyNumberFormat="1" applyFont="1" applyFill="1" applyAlignment="1">
      <alignment horizontal="right"/>
    </xf>
    <xf numFmtId="166" fontId="3" fillId="3" borderId="0" xfId="2" applyNumberFormat="1" applyFont="1" applyFill="1" applyAlignment="1">
      <alignment horizontal="right"/>
    </xf>
    <xf numFmtId="167" fontId="0" fillId="0" borderId="0" xfId="1" applyNumberFormat="1" applyFont="1" applyAlignment="1">
      <alignment horizontal="right"/>
    </xf>
    <xf numFmtId="171" fontId="0" fillId="0" borderId="10" xfId="0" applyNumberFormat="1" applyBorder="1" applyAlignment="1">
      <alignment horizontal="right"/>
    </xf>
    <xf numFmtId="171" fontId="3" fillId="3" borderId="0" xfId="0" applyNumberFormat="1" applyFont="1" applyFill="1" applyAlignment="1">
      <alignment horizontal="right"/>
    </xf>
    <xf numFmtId="43" fontId="0" fillId="0" borderId="0" xfId="1" applyFont="1" applyBorder="1" applyAlignment="1">
      <alignment vertical="center"/>
    </xf>
    <xf numFmtId="43" fontId="10" fillId="5" borderId="21" xfId="1" applyFont="1" applyFill="1" applyBorder="1" applyAlignment="1">
      <alignment horizontal="center" vertical="center"/>
    </xf>
    <xf numFmtId="43" fontId="10" fillId="5" borderId="22" xfId="1" applyFont="1" applyFill="1" applyBorder="1" applyAlignment="1">
      <alignment horizontal="center" vertical="center"/>
    </xf>
    <xf numFmtId="0" fontId="10" fillId="5" borderId="25" xfId="3" applyFont="1" applyFill="1" applyBorder="1" applyAlignment="1">
      <alignment horizontal="center" vertical="center"/>
    </xf>
    <xf numFmtId="0" fontId="10" fillId="5" borderId="29" xfId="3" applyFont="1" applyFill="1" applyBorder="1" applyAlignment="1">
      <alignment horizontal="center" vertical="center"/>
    </xf>
    <xf numFmtId="0" fontId="21" fillId="5" borderId="21" xfId="3" applyFont="1" applyFill="1" applyBorder="1" applyAlignment="1">
      <alignment horizontal="center" vertical="center" wrapText="1"/>
    </xf>
    <xf numFmtId="167" fontId="0" fillId="0" borderId="10" xfId="1" applyNumberFormat="1" applyFont="1" applyBorder="1" applyAlignment="1">
      <alignment horizontal="right"/>
    </xf>
    <xf numFmtId="167" fontId="1" fillId="0" borderId="0" xfId="1" applyNumberFormat="1" applyFont="1" applyAlignment="1">
      <alignment horizontal="right"/>
    </xf>
    <xf numFmtId="167" fontId="3" fillId="3" borderId="0" xfId="1" applyNumberFormat="1" applyFont="1" applyFill="1" applyAlignment="1">
      <alignment horizontal="right"/>
    </xf>
    <xf numFmtId="9" fontId="0" fillId="0" borderId="10" xfId="2" applyFont="1" applyBorder="1" applyAlignment="1">
      <alignment horizontal="right"/>
    </xf>
    <xf numFmtId="171" fontId="0" fillId="0" borderId="0" xfId="0" applyNumberFormat="1" applyFill="1" applyAlignment="1">
      <alignment horizontal="right"/>
    </xf>
    <xf numFmtId="43" fontId="10" fillId="5" borderId="21" xfId="1" applyFont="1" applyFill="1" applyBorder="1" applyAlignment="1">
      <alignment horizontal="center" vertical="center" wrapText="1"/>
    </xf>
    <xf numFmtId="43" fontId="0" fillId="0" borderId="5" xfId="1" applyFont="1" applyBorder="1" applyAlignment="1">
      <alignment horizontal="right" vertical="center"/>
    </xf>
    <xf numFmtId="43" fontId="0" fillId="0" borderId="5" xfId="1" applyFont="1" applyBorder="1" applyAlignment="1">
      <alignment horizontal="right"/>
    </xf>
    <xf numFmtId="9" fontId="0" fillId="0" borderId="5" xfId="2" applyNumberFormat="1" applyFont="1" applyBorder="1" applyAlignment="1">
      <alignment horizontal="right"/>
    </xf>
    <xf numFmtId="169" fontId="0" fillId="0" borderId="5" xfId="1" applyNumberFormat="1" applyFont="1" applyBorder="1" applyAlignment="1">
      <alignment horizontal="right"/>
    </xf>
    <xf numFmtId="166" fontId="0" fillId="0" borderId="5" xfId="2" applyNumberFormat="1" applyFont="1" applyBorder="1" applyAlignment="1">
      <alignment horizontal="right"/>
    </xf>
    <xf numFmtId="167" fontId="0" fillId="0" borderId="5" xfId="1" applyNumberFormat="1" applyFont="1" applyBorder="1" applyAlignment="1">
      <alignment horizontal="right"/>
    </xf>
    <xf numFmtId="43" fontId="0" fillId="0" borderId="0" xfId="1" applyFont="1" applyAlignment="1">
      <alignment vertical="center"/>
    </xf>
    <xf numFmtId="0" fontId="22" fillId="0" borderId="0" xfId="0" applyFont="1"/>
    <xf numFmtId="0" fontId="23" fillId="0" borderId="0" xfId="0" applyFont="1"/>
    <xf numFmtId="0" fontId="24" fillId="0" borderId="0" xfId="0" applyFont="1"/>
    <xf numFmtId="0" fontId="24" fillId="0" borderId="0" xfId="0" applyFont="1" applyFill="1"/>
    <xf numFmtId="0" fontId="2" fillId="0" borderId="0" xfId="0" applyFont="1" applyFill="1"/>
    <xf numFmtId="0" fontId="2" fillId="0" borderId="0" xfId="0" applyFont="1" applyAlignment="1">
      <alignment horizontal="right"/>
    </xf>
    <xf numFmtId="0" fontId="10" fillId="6" borderId="19" xfId="3" applyFont="1" applyFill="1" applyBorder="1" applyAlignment="1">
      <alignment horizontal="center" vertical="center"/>
    </xf>
    <xf numFmtId="0" fontId="10" fillId="6" borderId="20" xfId="3" applyFont="1" applyFill="1" applyBorder="1" applyAlignment="1">
      <alignment horizontal="center" vertical="center"/>
    </xf>
    <xf numFmtId="0" fontId="10" fillId="0" borderId="0" xfId="3" applyFont="1" applyFill="1" applyBorder="1" applyAlignment="1">
      <alignment horizontal="center" vertical="center"/>
    </xf>
    <xf numFmtId="0" fontId="10" fillId="6" borderId="24" xfId="3" applyFont="1" applyFill="1" applyBorder="1" applyAlignment="1">
      <alignment horizontal="center" vertical="center"/>
    </xf>
    <xf numFmtId="0" fontId="10" fillId="6" borderId="26" xfId="3" applyFont="1" applyFill="1" applyBorder="1" applyAlignment="1">
      <alignment horizontal="center" vertical="center"/>
    </xf>
    <xf numFmtId="0" fontId="10" fillId="6" borderId="24" xfId="3" applyFont="1" applyFill="1" applyBorder="1" applyAlignment="1">
      <alignment horizontal="center" vertical="center" wrapText="1"/>
    </xf>
    <xf numFmtId="0" fontId="10" fillId="0" borderId="0" xfId="3" applyFont="1" applyFill="1" applyBorder="1" applyAlignment="1">
      <alignment vertical="center" wrapText="1"/>
    </xf>
    <xf numFmtId="0" fontId="10" fillId="0" borderId="0" xfId="3" applyFont="1" applyFill="1" applyBorder="1" applyAlignment="1">
      <alignment horizontal="center" vertical="center" wrapText="1"/>
    </xf>
    <xf numFmtId="0" fontId="10" fillId="6" borderId="27" xfId="3" applyFont="1" applyFill="1" applyBorder="1" applyAlignment="1">
      <alignment horizontal="center" vertical="center"/>
    </xf>
    <xf numFmtId="0" fontId="14" fillId="3" borderId="21" xfId="0" applyFont="1" applyFill="1" applyBorder="1" applyAlignment="1">
      <alignment horizontal="left"/>
    </xf>
    <xf numFmtId="0" fontId="14" fillId="3" borderId="22" xfId="0" applyFont="1" applyFill="1" applyBorder="1" applyAlignment="1">
      <alignment horizontal="left"/>
    </xf>
    <xf numFmtId="0" fontId="14" fillId="3" borderId="23" xfId="0" applyFont="1" applyFill="1" applyBorder="1" applyAlignment="1">
      <alignment horizontal="left"/>
    </xf>
    <xf numFmtId="0" fontId="0" fillId="0" borderId="22" xfId="0" applyFill="1" applyBorder="1"/>
    <xf numFmtId="0" fontId="0" fillId="3" borderId="21" xfId="0" applyFill="1" applyBorder="1"/>
    <xf numFmtId="0" fontId="0" fillId="3" borderId="22" xfId="0" applyFill="1" applyBorder="1"/>
    <xf numFmtId="0" fontId="0" fillId="3" borderId="23" xfId="0" applyFill="1" applyBorder="1"/>
    <xf numFmtId="0" fontId="0" fillId="3" borderId="20" xfId="0" applyFill="1" applyBorder="1" applyAlignment="1">
      <alignment horizontal="right"/>
    </xf>
    <xf numFmtId="169" fontId="25" fillId="0" borderId="0" xfId="1" applyNumberFormat="1" applyFont="1"/>
    <xf numFmtId="169" fontId="25" fillId="0" borderId="0" xfId="1" applyNumberFormat="1" applyFont="1" applyFill="1"/>
    <xf numFmtId="43" fontId="25" fillId="0" borderId="0" xfId="1" applyFont="1" applyAlignment="1">
      <alignment vertical="center"/>
    </xf>
    <xf numFmtId="43" fontId="25" fillId="0" borderId="0" xfId="1" applyFont="1" applyFill="1" applyAlignment="1">
      <alignment vertical="center"/>
    </xf>
    <xf numFmtId="169" fontId="25" fillId="0" borderId="10" xfId="1" applyNumberFormat="1" applyFont="1" applyBorder="1"/>
    <xf numFmtId="43" fontId="25" fillId="0" borderId="10" xfId="1" applyFont="1" applyBorder="1" applyAlignment="1">
      <alignment vertical="center"/>
    </xf>
    <xf numFmtId="0" fontId="0" fillId="0" borderId="10" xfId="0" applyFill="1" applyBorder="1"/>
    <xf numFmtId="169" fontId="27" fillId="3" borderId="0" xfId="1" applyNumberFormat="1" applyFont="1" applyFill="1"/>
    <xf numFmtId="169" fontId="27" fillId="0" borderId="0" xfId="1" applyNumberFormat="1" applyFont="1" applyFill="1"/>
    <xf numFmtId="0" fontId="3" fillId="0" borderId="0" xfId="0" applyFont="1" applyFill="1"/>
    <xf numFmtId="169" fontId="17" fillId="0" borderId="0" xfId="1" applyNumberFormat="1" applyFont="1"/>
    <xf numFmtId="169" fontId="17" fillId="0" borderId="10" xfId="1" applyNumberFormat="1" applyFont="1" applyBorder="1"/>
    <xf numFmtId="43" fontId="25" fillId="0" borderId="10" xfId="1" applyFont="1" applyFill="1" applyBorder="1" applyAlignment="1">
      <alignment vertical="center"/>
    </xf>
    <xf numFmtId="169" fontId="25" fillId="0" borderId="10" xfId="1" applyNumberFormat="1" applyFont="1" applyFill="1" applyBorder="1"/>
    <xf numFmtId="43" fontId="25" fillId="0" borderId="0" xfId="1" applyNumberFormat="1" applyFont="1"/>
    <xf numFmtId="169" fontId="25" fillId="0" borderId="0" xfId="1" applyNumberFormat="1" applyFont="1" applyBorder="1"/>
    <xf numFmtId="43" fontId="25" fillId="0" borderId="0" xfId="1" applyFont="1" applyBorder="1" applyAlignment="1">
      <alignment vertical="center"/>
    </xf>
    <xf numFmtId="43" fontId="25" fillId="0" borderId="0" xfId="1" applyFont="1" applyFill="1" applyBorder="1" applyAlignment="1">
      <alignment vertical="center"/>
    </xf>
    <xf numFmtId="169" fontId="25" fillId="0" borderId="0" xfId="1" applyNumberFormat="1" applyFont="1" applyFill="1" applyBorder="1"/>
    <xf numFmtId="0" fontId="0" fillId="0" borderId="0" xfId="0" applyFill="1" applyBorder="1"/>
    <xf numFmtId="169" fontId="25" fillId="0" borderId="0" xfId="1" applyNumberFormat="1" applyFont="1" applyAlignment="1">
      <alignment horizontal="right"/>
    </xf>
    <xf numFmtId="169" fontId="25" fillId="0" borderId="0" xfId="1" applyNumberFormat="1" applyFont="1" applyFill="1" applyAlignment="1">
      <alignment horizontal="right"/>
    </xf>
    <xf numFmtId="169" fontId="28" fillId="0" borderId="0" xfId="1" applyNumberFormat="1" applyFont="1"/>
    <xf numFmtId="169" fontId="25" fillId="0" borderId="5" xfId="1" applyNumberFormat="1" applyFont="1" applyBorder="1"/>
    <xf numFmtId="43" fontId="25" fillId="0" borderId="5" xfId="1" applyFont="1" applyBorder="1" applyAlignment="1">
      <alignment vertical="center"/>
    </xf>
    <xf numFmtId="0" fontId="0" fillId="0" borderId="5" xfId="0" applyFill="1" applyBorder="1"/>
    <xf numFmtId="0" fontId="29" fillId="0" borderId="0" xfId="0" applyFont="1"/>
    <xf numFmtId="0" fontId="3" fillId="0" borderId="0" xfId="0" applyFont="1" applyAlignment="1">
      <alignment horizontal="right" vertical="top"/>
    </xf>
    <xf numFmtId="0" fontId="0" fillId="0" borderId="0" xfId="0" applyAlignment="1">
      <alignment vertical="top"/>
    </xf>
    <xf numFmtId="0" fontId="0" fillId="0" borderId="0" xfId="0" applyAlignment="1">
      <alignment horizontal="justify" vertical="top" wrapText="1"/>
    </xf>
    <xf numFmtId="43" fontId="0" fillId="0" borderId="0" xfId="1" applyFont="1" applyAlignment="1">
      <alignment horizontal="justify" vertical="center" wrapText="1"/>
    </xf>
    <xf numFmtId="0" fontId="0" fillId="0" borderId="0" xfId="0" applyAlignment="1">
      <alignment horizontal="left" vertical="top" wrapText="1"/>
    </xf>
    <xf numFmtId="43" fontId="0" fillId="0" borderId="0" xfId="1" applyFont="1" applyAlignment="1">
      <alignment horizontal="left" vertical="center" wrapText="1"/>
    </xf>
    <xf numFmtId="43" fontId="0" fillId="0" borderId="0" xfId="1" applyFont="1" applyAlignment="1">
      <alignment horizontal="justify" vertical="center"/>
    </xf>
    <xf numFmtId="0" fontId="0" fillId="0" borderId="0" xfId="0" applyAlignment="1">
      <alignment horizontal="justify" vertical="top"/>
    </xf>
    <xf numFmtId="0" fontId="30" fillId="0" borderId="0" xfId="3" applyFont="1" applyFill="1" applyBorder="1" applyAlignment="1">
      <alignment horizontal="right" vertical="top"/>
    </xf>
    <xf numFmtId="0" fontId="3" fillId="0" borderId="0" xfId="0" applyFont="1" applyAlignment="1">
      <alignment horizontal="right" vertical="top" wrapText="1"/>
    </xf>
    <xf numFmtId="0" fontId="12" fillId="0" borderId="0" xfId="3" applyFont="1" applyFill="1" applyBorder="1" applyAlignment="1">
      <alignment horizontal="justify" vertical="top" wrapText="1"/>
    </xf>
    <xf numFmtId="0" fontId="31" fillId="0" borderId="0" xfId="3" applyFont="1" applyFill="1" applyBorder="1" applyAlignment="1">
      <alignment vertical="center"/>
    </xf>
    <xf numFmtId="0" fontId="31" fillId="0" borderId="0" xfId="3" applyFont="1" applyAlignment="1">
      <alignment vertical="center"/>
    </xf>
    <xf numFmtId="49" fontId="28" fillId="0" borderId="0" xfId="3" applyNumberFormat="1" applyFont="1" applyFill="1" applyBorder="1" applyAlignment="1">
      <alignment vertical="center" wrapText="1"/>
    </xf>
    <xf numFmtId="0" fontId="0" fillId="0" borderId="0" xfId="0" applyFont="1" applyAlignment="1">
      <alignment horizontal="justify" vertical="top" wrapText="1"/>
    </xf>
    <xf numFmtId="0" fontId="28" fillId="0" borderId="0" xfId="0" applyFont="1" applyAlignment="1">
      <alignment horizontal="left" vertical="center"/>
    </xf>
    <xf numFmtId="0" fontId="28" fillId="0" borderId="0" xfId="0" applyFont="1" applyBorder="1" applyAlignment="1">
      <alignment horizontal="left" vertical="center"/>
    </xf>
    <xf numFmtId="0" fontId="32" fillId="0" borderId="0" xfId="0" applyFont="1" applyAlignment="1">
      <alignment horizontal="left" vertical="center"/>
    </xf>
    <xf numFmtId="0" fontId="32" fillId="0" borderId="0" xfId="0" applyFont="1" applyBorder="1" applyAlignment="1">
      <alignment horizontal="left" vertical="center"/>
    </xf>
    <xf numFmtId="0" fontId="28" fillId="0" borderId="0" xfId="0" applyFont="1" applyAlignment="1">
      <alignment vertical="center" wrapText="1"/>
    </xf>
    <xf numFmtId="0" fontId="28" fillId="0" borderId="0" xfId="0" applyFont="1" applyBorder="1" applyAlignment="1">
      <alignment vertical="center" wrapText="1"/>
    </xf>
    <xf numFmtId="0" fontId="0" fillId="0" borderId="0" xfId="0" applyFont="1" applyAlignment="1">
      <alignment horizontal="left" vertical="top" wrapText="1"/>
    </xf>
    <xf numFmtId="0" fontId="28" fillId="0" borderId="0" xfId="0" applyFont="1" applyAlignment="1">
      <alignment vertical="center"/>
    </xf>
    <xf numFmtId="0" fontId="28" fillId="0" borderId="0" xfId="0" applyFont="1" applyBorder="1" applyAlignment="1">
      <alignment vertical="center"/>
    </xf>
    <xf numFmtId="0" fontId="0" fillId="0" borderId="0" xfId="0" applyFont="1" applyAlignment="1">
      <alignment horizontal="justify" vertical="top"/>
    </xf>
    <xf numFmtId="0" fontId="3" fillId="0" borderId="0" xfId="0" applyFont="1" applyAlignment="1">
      <alignment horizontal="right" vertical="top"/>
    </xf>
    <xf numFmtId="0" fontId="0" fillId="0" borderId="0" xfId="0" applyFont="1" applyAlignment="1">
      <alignment horizontal="justify" vertical="top"/>
    </xf>
    <xf numFmtId="0" fontId="33" fillId="0" borderId="0" xfId="3" applyFont="1" applyFill="1" applyBorder="1" applyAlignment="1">
      <alignment vertical="center"/>
    </xf>
    <xf numFmtId="0" fontId="34" fillId="0" borderId="0" xfId="3" applyFont="1" applyFill="1" applyBorder="1" applyAlignment="1">
      <alignment vertical="center"/>
    </xf>
    <xf numFmtId="0" fontId="35" fillId="0" borderId="0" xfId="3" applyFont="1" applyFill="1" applyBorder="1" applyAlignment="1">
      <alignment vertical="center"/>
    </xf>
    <xf numFmtId="43" fontId="35" fillId="0" borderId="0" xfId="1" applyFont="1" applyFill="1" applyBorder="1" applyAlignment="1">
      <alignment vertical="center"/>
    </xf>
    <xf numFmtId="49" fontId="26" fillId="0" borderId="0" xfId="3" applyNumberFormat="1" applyFont="1" applyFill="1" applyBorder="1" applyAlignment="1">
      <alignment vertical="top" wrapText="1"/>
    </xf>
    <xf numFmtId="0" fontId="36" fillId="0" borderId="0" xfId="3" applyFont="1"/>
    <xf numFmtId="14" fontId="36" fillId="0" borderId="0" xfId="3" applyNumberFormat="1" applyFont="1"/>
    <xf numFmtId="0" fontId="30" fillId="0" borderId="16" xfId="3" applyFont="1" applyFill="1" applyBorder="1" applyAlignment="1">
      <alignment vertical="center"/>
    </xf>
    <xf numFmtId="0" fontId="30" fillId="0" borderId="12" xfId="3" applyFont="1" applyFill="1" applyBorder="1" applyAlignment="1">
      <alignment vertical="center"/>
    </xf>
    <xf numFmtId="43" fontId="0" fillId="0" borderId="16" xfId="1" applyFont="1" applyBorder="1" applyAlignment="1">
      <alignment vertical="center"/>
    </xf>
    <xf numFmtId="43" fontId="37" fillId="0" borderId="0" xfId="1" applyFont="1" applyFill="1" applyBorder="1" applyAlignment="1">
      <alignment vertical="center"/>
    </xf>
    <xf numFmtId="0" fontId="37" fillId="0" borderId="16" xfId="3" applyFont="1" applyFill="1" applyBorder="1" applyAlignment="1">
      <alignment vertical="center"/>
    </xf>
    <xf numFmtId="0" fontId="37" fillId="0" borderId="0" xfId="3" applyFont="1" applyFill="1" applyBorder="1" applyAlignment="1">
      <alignment vertical="center"/>
    </xf>
    <xf numFmtId="0" fontId="37" fillId="0" borderId="0" xfId="3" applyFont="1" applyFill="1" applyBorder="1" applyAlignment="1">
      <alignment horizontal="justify" vertical="center"/>
    </xf>
    <xf numFmtId="0" fontId="38" fillId="0" borderId="0" xfId="3" applyFont="1" applyBorder="1"/>
    <xf numFmtId="0" fontId="36" fillId="0" borderId="0" xfId="3" applyFont="1" applyBorder="1"/>
    <xf numFmtId="14" fontId="36" fillId="0" borderId="0" xfId="3" applyNumberFormat="1" applyFont="1" applyBorder="1"/>
    <xf numFmtId="0" fontId="28" fillId="0" borderId="0" xfId="0" applyFont="1" applyFill="1" applyBorder="1" applyAlignment="1"/>
    <xf numFmtId="0" fontId="28" fillId="0" borderId="15" xfId="0" applyFont="1" applyFill="1" applyBorder="1"/>
    <xf numFmtId="43" fontId="39" fillId="0" borderId="0" xfId="1" applyFont="1" applyFill="1" applyBorder="1" applyAlignment="1">
      <alignment vertical="center"/>
    </xf>
    <xf numFmtId="0" fontId="28" fillId="0" borderId="0" xfId="0" applyFont="1"/>
    <xf numFmtId="0" fontId="28" fillId="0" borderId="7" xfId="0" applyFont="1" applyFill="1" applyBorder="1"/>
    <xf numFmtId="0" fontId="39" fillId="0" borderId="0" xfId="3" applyFont="1" applyFill="1" applyBorder="1" applyAlignment="1">
      <alignment vertical="center"/>
    </xf>
    <xf numFmtId="0" fontId="9" fillId="0" borderId="0" xfId="3" applyFont="1" applyBorder="1"/>
    <xf numFmtId="0" fontId="9" fillId="0" borderId="0" xfId="3" applyFont="1"/>
    <xf numFmtId="49" fontId="40" fillId="0" borderId="0" xfId="3" applyNumberFormat="1" applyFont="1" applyFill="1" applyBorder="1" applyAlignment="1">
      <alignment vertical="top" wrapText="1"/>
    </xf>
    <xf numFmtId="0" fontId="38" fillId="0" borderId="0" xfId="3" applyFont="1"/>
    <xf numFmtId="0" fontId="28" fillId="0" borderId="15" xfId="0" applyFont="1" applyBorder="1"/>
    <xf numFmtId="0" fontId="40" fillId="0" borderId="0" xfId="0" applyFont="1" applyFill="1" applyBorder="1" applyAlignment="1"/>
    <xf numFmtId="0" fontId="31" fillId="0" borderId="0" xfId="0" applyFont="1" applyFill="1" applyBorder="1" applyAlignment="1"/>
    <xf numFmtId="0" fontId="39" fillId="0" borderId="0" xfId="0" applyFont="1" applyFill="1" applyBorder="1" applyAlignment="1"/>
    <xf numFmtId="0" fontId="41" fillId="0" borderId="0" xfId="3" applyFont="1" applyFill="1" applyBorder="1" applyAlignment="1">
      <alignment vertical="center"/>
    </xf>
    <xf numFmtId="0" fontId="9" fillId="0" borderId="0" xfId="3" applyFont="1" applyFill="1" applyBorder="1"/>
    <xf numFmtId="0" fontId="42" fillId="0" borderId="0" xfId="3" applyFont="1"/>
    <xf numFmtId="0" fontId="9" fillId="0" borderId="0" xfId="3" applyFont="1" applyFill="1"/>
    <xf numFmtId="43" fontId="9" fillId="0" borderId="0" xfId="1" applyFont="1" applyAlignment="1">
      <alignment vertical="center"/>
    </xf>
    <xf numFmtId="0" fontId="28" fillId="0" borderId="0" xfId="0" applyFont="1" applyFill="1" applyBorder="1"/>
    <xf numFmtId="0" fontId="40" fillId="0" borderId="0" xfId="0" applyFont="1" applyFill="1" applyAlignment="1">
      <alignment horizontal="center"/>
    </xf>
    <xf numFmtId="0" fontId="40" fillId="0" borderId="0" xfId="0" applyFont="1" applyFill="1"/>
    <xf numFmtId="0" fontId="40" fillId="0" borderId="0" xfId="0" applyFont="1" applyFill="1" applyBorder="1" applyAlignment="1">
      <alignment horizontal="center"/>
    </xf>
    <xf numFmtId="0" fontId="3" fillId="0" borderId="16" xfId="0" applyFont="1" applyFill="1" applyBorder="1" applyAlignment="1">
      <alignment horizontal="center"/>
    </xf>
    <xf numFmtId="0" fontId="0" fillId="0" borderId="0" xfId="0" applyFill="1" applyBorder="1" applyAlignment="1"/>
    <xf numFmtId="0" fontId="0" fillId="7" borderId="0" xfId="0" applyFill="1" applyBorder="1" applyAlignment="1"/>
    <xf numFmtId="0" fontId="12" fillId="0" borderId="0" xfId="3" applyFont="1" applyFill="1" applyBorder="1" applyAlignment="1">
      <alignment vertical="center"/>
    </xf>
    <xf numFmtId="0" fontId="3" fillId="0" borderId="5" xfId="0" applyFont="1" applyBorder="1" applyAlignment="1"/>
    <xf numFmtId="0" fontId="3" fillId="0" borderId="5" xfId="0" applyFont="1" applyBorder="1" applyAlignment="1">
      <alignment horizontal="right"/>
    </xf>
    <xf numFmtId="0" fontId="0" fillId="0" borderId="0" xfId="0" applyBorder="1" applyAlignment="1"/>
    <xf numFmtId="10" fontId="0" fillId="0" borderId="0" xfId="0" applyNumberFormat="1" applyFill="1" applyAlignment="1"/>
    <xf numFmtId="0" fontId="9" fillId="8" borderId="0" xfId="3" applyFont="1" applyFill="1" applyBorder="1"/>
    <xf numFmtId="10" fontId="0" fillId="8" borderId="0" xfId="0" applyNumberFormat="1" applyFill="1" applyBorder="1" applyAlignment="1"/>
    <xf numFmtId="43" fontId="40" fillId="0" borderId="0" xfId="1" applyFont="1" applyFill="1" applyAlignment="1">
      <alignment vertical="center"/>
    </xf>
    <xf numFmtId="43" fontId="0" fillId="0" borderId="0" xfId="1" applyFont="1" applyFill="1" applyAlignment="1">
      <alignment vertical="center"/>
    </xf>
    <xf numFmtId="10" fontId="0" fillId="0" borderId="0" xfId="0" applyNumberFormat="1" applyAlignment="1"/>
    <xf numFmtId="0" fontId="9" fillId="8" borderId="0" xfId="3" applyFont="1" applyFill="1"/>
    <xf numFmtId="10" fontId="0" fillId="8" borderId="0" xfId="0" applyNumberFormat="1" applyFill="1" applyAlignment="1"/>
    <xf numFmtId="10" fontId="0" fillId="0" borderId="0" xfId="0" applyNumberFormat="1" applyBorder="1" applyAlignment="1"/>
    <xf numFmtId="0" fontId="0" fillId="0" borderId="16" xfId="0" applyFill="1" applyBorder="1"/>
    <xf numFmtId="10" fontId="0" fillId="0" borderId="16" xfId="0" applyNumberFormat="1" applyFill="1" applyBorder="1" applyAlignment="1"/>
    <xf numFmtId="0" fontId="40" fillId="0" borderId="0" xfId="0" applyFont="1" applyFill="1" applyAlignment="1"/>
    <xf numFmtId="0" fontId="0" fillId="0" borderId="15" xfId="0" applyBorder="1"/>
    <xf numFmtId="0" fontId="0" fillId="0" borderId="15" xfId="0" applyFont="1" applyBorder="1"/>
    <xf numFmtId="0" fontId="29" fillId="0" borderId="0" xfId="0" applyFont="1" applyBorder="1"/>
    <xf numFmtId="10" fontId="0" fillId="0" borderId="0" xfId="2" applyNumberFormat="1" applyFont="1"/>
    <xf numFmtId="0" fontId="43" fillId="0" borderId="0" xfId="0" applyFont="1" applyBorder="1" applyAlignment="1">
      <alignment horizontal="justify" wrapText="1"/>
    </xf>
    <xf numFmtId="0" fontId="12" fillId="0" borderId="0" xfId="0" applyFont="1" applyBorder="1"/>
    <xf numFmtId="0" fontId="12" fillId="0" borderId="0" xfId="0" applyFont="1"/>
    <xf numFmtId="0" fontId="44" fillId="0" borderId="0" xfId="0" applyFont="1" applyBorder="1" applyAlignment="1">
      <alignment horizontal="justify" vertical="center" wrapText="1"/>
    </xf>
    <xf numFmtId="0" fontId="35" fillId="0" borderId="15" xfId="0" applyFont="1" applyBorder="1"/>
    <xf numFmtId="0" fontId="44" fillId="0" borderId="15" xfId="0" applyFont="1" applyBorder="1" applyAlignment="1">
      <alignment wrapText="1"/>
    </xf>
    <xf numFmtId="0" fontId="31" fillId="0" borderId="0" xfId="0" quotePrefix="1" applyFont="1" applyBorder="1"/>
    <xf numFmtId="0" fontId="31" fillId="0" borderId="0" xfId="0" applyFont="1" applyBorder="1"/>
    <xf numFmtId="0" fontId="44" fillId="0" borderId="0" xfId="0" applyFont="1" applyBorder="1" applyAlignment="1">
      <alignment vertical="center"/>
    </xf>
    <xf numFmtId="43" fontId="44" fillId="0" borderId="0" xfId="1" applyFont="1" applyBorder="1" applyAlignment="1">
      <alignment vertical="center"/>
    </xf>
  </cellXfs>
  <cellStyles count="6">
    <cellStyle name="Millares" xfId="1" builtinId="3"/>
    <cellStyle name="Millares 2" xfId="4"/>
    <cellStyle name="Normal" xfId="0" builtinId="0"/>
    <cellStyle name="Normal 2" xfId="3"/>
    <cellStyle name="Porcentaje" xfId="2" builtinId="5"/>
    <cellStyle name="標準 2" xfId="5"/>
  </cellStyles>
  <dxfs count="36">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NULL"/></Relationships>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29</xdr:col>
      <xdr:colOff>465666</xdr:colOff>
      <xdr:row>25</xdr:row>
      <xdr:rowOff>148168</xdr:rowOff>
    </xdr:from>
    <xdr:to>
      <xdr:col>37</xdr:col>
      <xdr:colOff>275488</xdr:colOff>
      <xdr:row>33</xdr:row>
      <xdr:rowOff>59130</xdr:rowOff>
    </xdr:to>
    <xdr:grpSp>
      <xdr:nvGrpSpPr>
        <xdr:cNvPr id="2" name="Grupo 3"/>
        <xdr:cNvGrpSpPr/>
      </xdr:nvGrpSpPr>
      <xdr:grpSpPr>
        <a:xfrm>
          <a:off x="18267891" y="5215468"/>
          <a:ext cx="5905822" cy="1358762"/>
          <a:chOff x="17377833" y="5238751"/>
          <a:chExt cx="5905822" cy="1360879"/>
        </a:xfrm>
      </xdr:grpSpPr>
      <xdr:pic>
        <xdr:nvPicPr>
          <xdr:cNvPr id="3" name="Imagen 1"/>
          <xdr:cNvPicPr>
            <a:picLocks noChangeAspect="1"/>
          </xdr:cNvPicPr>
        </xdr:nvPicPr>
        <xdr:blipFill>
          <a:blip xmlns:r="http://schemas.openxmlformats.org/officeDocument/2006/relationships" r:embed="rId1"/>
          <a:stretch>
            <a:fillRect/>
          </a:stretch>
        </xdr:blipFill>
        <xdr:spPr>
          <a:xfrm>
            <a:off x="17388417" y="5513916"/>
            <a:ext cx="5895238" cy="1085714"/>
          </a:xfrm>
          <a:prstGeom prst="rect">
            <a:avLst/>
          </a:prstGeom>
        </xdr:spPr>
      </xdr:pic>
      <xdr:sp macro="" textlink="">
        <xdr:nvSpPr>
          <xdr:cNvPr id="4" name="CuadroTexto 2"/>
          <xdr:cNvSpPr txBox="1"/>
        </xdr:nvSpPr>
        <xdr:spPr>
          <a:xfrm>
            <a:off x="17377833" y="5238751"/>
            <a:ext cx="423334"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t>YPF</a:t>
            </a:r>
          </a:p>
        </xdr:txBody>
      </xdr:sp>
    </xdr:grpSp>
    <xdr:clientData/>
  </xdr:twoCellAnchor>
  <xdr:twoCellAnchor>
    <xdr:from>
      <xdr:col>29</xdr:col>
      <xdr:colOff>529166</xdr:colOff>
      <xdr:row>35</xdr:row>
      <xdr:rowOff>127000</xdr:rowOff>
    </xdr:from>
    <xdr:to>
      <xdr:col>37</xdr:col>
      <xdr:colOff>90310</xdr:colOff>
      <xdr:row>48</xdr:row>
      <xdr:rowOff>48608</xdr:rowOff>
    </xdr:to>
    <xdr:grpSp>
      <xdr:nvGrpSpPr>
        <xdr:cNvPr id="5" name="Grupo 8"/>
        <xdr:cNvGrpSpPr/>
      </xdr:nvGrpSpPr>
      <xdr:grpSpPr>
        <a:xfrm>
          <a:off x="18331391" y="7023100"/>
          <a:ext cx="5657144" cy="2683858"/>
          <a:chOff x="17441333" y="7048500"/>
          <a:chExt cx="5657144" cy="2694441"/>
        </a:xfrm>
      </xdr:grpSpPr>
      <xdr:grpSp>
        <xdr:nvGrpSpPr>
          <xdr:cNvPr id="6" name="Grupo 6"/>
          <xdr:cNvGrpSpPr/>
        </xdr:nvGrpSpPr>
        <xdr:grpSpPr>
          <a:xfrm>
            <a:off x="17441333" y="7048500"/>
            <a:ext cx="5657144" cy="2084691"/>
            <a:chOff x="17134416" y="7164917"/>
            <a:chExt cx="5657144" cy="2084691"/>
          </a:xfrm>
        </xdr:grpSpPr>
        <xdr:pic>
          <xdr:nvPicPr>
            <xdr:cNvPr id="8" name="Imagen 4"/>
            <xdr:cNvPicPr>
              <a:picLocks noChangeAspect="1"/>
            </xdr:cNvPicPr>
          </xdr:nvPicPr>
          <xdr:blipFill>
            <a:blip xmlns:r="http://schemas.openxmlformats.org/officeDocument/2006/relationships" r:embed="rId1"/>
            <a:stretch>
              <a:fillRect/>
            </a:stretch>
          </xdr:blipFill>
          <xdr:spPr>
            <a:xfrm>
              <a:off x="17134417" y="7440084"/>
              <a:ext cx="5657143" cy="1809524"/>
            </a:xfrm>
            <a:prstGeom prst="rect">
              <a:avLst/>
            </a:prstGeom>
          </xdr:spPr>
        </xdr:pic>
        <xdr:sp macro="" textlink="">
          <xdr:nvSpPr>
            <xdr:cNvPr id="9" name="CuadroTexto 5"/>
            <xdr:cNvSpPr txBox="1"/>
          </xdr:nvSpPr>
          <xdr:spPr>
            <a:xfrm>
              <a:off x="17134416" y="7164917"/>
              <a:ext cx="613833"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t>COME</a:t>
              </a:r>
            </a:p>
          </xdr:txBody>
        </xdr:sp>
      </xdr:grpSp>
      <xdr:pic>
        <xdr:nvPicPr>
          <xdr:cNvPr id="7" name="Imagen 7"/>
          <xdr:cNvPicPr>
            <a:picLocks noChangeAspect="1"/>
          </xdr:cNvPicPr>
        </xdr:nvPicPr>
        <xdr:blipFill>
          <a:blip xmlns:r="http://schemas.openxmlformats.org/officeDocument/2006/relationships" r:embed="rId1"/>
          <a:stretch>
            <a:fillRect/>
          </a:stretch>
        </xdr:blipFill>
        <xdr:spPr>
          <a:xfrm>
            <a:off x="17441333" y="9133417"/>
            <a:ext cx="3533333" cy="60952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47</xdr:col>
      <xdr:colOff>392905</xdr:colOff>
      <xdr:row>45</xdr:row>
      <xdr:rowOff>0</xdr:rowOff>
    </xdr:from>
    <xdr:to>
      <xdr:col>54</xdr:col>
      <xdr:colOff>537881</xdr:colOff>
      <xdr:row>47</xdr:row>
      <xdr:rowOff>0</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892955" y="17811750"/>
          <a:ext cx="5478976"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601327</xdr:colOff>
      <xdr:row>8</xdr:row>
      <xdr:rowOff>24946</xdr:rowOff>
    </xdr:from>
    <xdr:to>
      <xdr:col>5</xdr:col>
      <xdr:colOff>52687</xdr:colOff>
      <xdr:row>8</xdr:row>
      <xdr:rowOff>187158</xdr:rowOff>
    </xdr:to>
    <xdr:pic>
      <xdr:nvPicPr>
        <xdr:cNvPr id="3" name="2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20577" y="2101396"/>
          <a:ext cx="1737360" cy="162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600074</xdr:colOff>
      <xdr:row>9</xdr:row>
      <xdr:rowOff>31430</xdr:rowOff>
    </xdr:from>
    <xdr:to>
      <xdr:col>5</xdr:col>
      <xdr:colOff>114300</xdr:colOff>
      <xdr:row>9</xdr:row>
      <xdr:rowOff>431476</xdr:rowOff>
    </xdr:to>
    <xdr:pic>
      <xdr:nvPicPr>
        <xdr:cNvPr id="4" name="3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19324" y="2717480"/>
          <a:ext cx="1800226" cy="4000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38100</xdr:colOff>
      <xdr:row>26</xdr:row>
      <xdr:rowOff>104775</xdr:rowOff>
    </xdr:from>
    <xdr:to>
      <xdr:col>12</xdr:col>
      <xdr:colOff>131445</xdr:colOff>
      <xdr:row>27</xdr:row>
      <xdr:rowOff>188595</xdr:rowOff>
    </xdr:to>
    <xdr:sp macro="" textlink="">
      <xdr:nvSpPr>
        <xdr:cNvPr id="2" name="Freeform 286">
          <a:extLst>
            <a:ext uri="{FF2B5EF4-FFF2-40B4-BE49-F238E27FC236}">
              <a16:creationId xmlns="" xmlns:a16="http://schemas.microsoft.com/office/drawing/2014/main" id="{00000000-0008-0000-2400-00000B000000}"/>
            </a:ext>
          </a:extLst>
        </xdr:cNvPr>
        <xdr:cNvSpPr/>
      </xdr:nvSpPr>
      <xdr:spPr>
        <a:xfrm>
          <a:off x="8534400" y="5057775"/>
          <a:ext cx="274320" cy="274320"/>
        </a:xfrm>
        <a:custGeom>
          <a:avLst/>
          <a:gdLst/>
          <a:ahLst/>
          <a:cxnLst/>
          <a:rect l="l" t="t" r="r" b="b"/>
          <a:pathLst>
            <a:path w="432708" h="432707">
              <a:moveTo>
                <a:pt x="81133" y="0"/>
              </a:moveTo>
              <a:lnTo>
                <a:pt x="351575" y="0"/>
              </a:lnTo>
              <a:cubicBezTo>
                <a:pt x="373924" y="0"/>
                <a:pt x="393034" y="7935"/>
                <a:pt x="408903" y="23805"/>
              </a:cubicBezTo>
              <a:cubicBezTo>
                <a:pt x="424773" y="39674"/>
                <a:pt x="432708" y="58784"/>
                <a:pt x="432708" y="81133"/>
              </a:cubicBezTo>
              <a:lnTo>
                <a:pt x="432708" y="351575"/>
              </a:lnTo>
              <a:cubicBezTo>
                <a:pt x="432708" y="373923"/>
                <a:pt x="424773" y="393033"/>
                <a:pt x="408903" y="408903"/>
              </a:cubicBezTo>
              <a:cubicBezTo>
                <a:pt x="393034" y="424772"/>
                <a:pt x="373924" y="432707"/>
                <a:pt x="351575" y="432707"/>
              </a:cubicBezTo>
              <a:lnTo>
                <a:pt x="81133" y="432707"/>
              </a:lnTo>
              <a:cubicBezTo>
                <a:pt x="58784" y="432707"/>
                <a:pt x="39675" y="424772"/>
                <a:pt x="23805" y="408903"/>
              </a:cubicBezTo>
              <a:cubicBezTo>
                <a:pt x="7935" y="393033"/>
                <a:pt x="0" y="373923"/>
                <a:pt x="0" y="351575"/>
              </a:cubicBezTo>
              <a:lnTo>
                <a:pt x="0" y="81133"/>
              </a:lnTo>
              <a:cubicBezTo>
                <a:pt x="0" y="58784"/>
                <a:pt x="7935" y="39674"/>
                <a:pt x="23805" y="23805"/>
              </a:cubicBezTo>
              <a:cubicBezTo>
                <a:pt x="39675" y="7935"/>
                <a:pt x="58784" y="0"/>
                <a:pt x="81133" y="0"/>
              </a:cubicBezTo>
              <a:close/>
              <a:moveTo>
                <a:pt x="271851" y="108177"/>
              </a:moveTo>
              <a:cubicBezTo>
                <a:pt x="255511" y="108177"/>
                <a:pt x="241567" y="113952"/>
                <a:pt x="230017" y="125502"/>
              </a:cubicBezTo>
              <a:cubicBezTo>
                <a:pt x="218467" y="137052"/>
                <a:pt x="212691" y="150997"/>
                <a:pt x="212691" y="167336"/>
              </a:cubicBezTo>
              <a:cubicBezTo>
                <a:pt x="212691" y="172782"/>
                <a:pt x="213161" y="177290"/>
                <a:pt x="214100" y="180858"/>
              </a:cubicBezTo>
              <a:cubicBezTo>
                <a:pt x="189873" y="179544"/>
                <a:pt x="167149" y="173440"/>
                <a:pt x="145926" y="162547"/>
              </a:cubicBezTo>
              <a:cubicBezTo>
                <a:pt x="124704" y="151654"/>
                <a:pt x="106675" y="137099"/>
                <a:pt x="91838" y="118882"/>
              </a:cubicBezTo>
              <a:cubicBezTo>
                <a:pt x="86391" y="128272"/>
                <a:pt x="83668" y="138226"/>
                <a:pt x="83668" y="148743"/>
              </a:cubicBezTo>
              <a:cubicBezTo>
                <a:pt x="83668" y="170153"/>
                <a:pt x="92213" y="186586"/>
                <a:pt x="109304" y="198043"/>
              </a:cubicBezTo>
              <a:cubicBezTo>
                <a:pt x="100477" y="197855"/>
                <a:pt x="91087" y="195413"/>
                <a:pt x="81133" y="190718"/>
              </a:cubicBezTo>
              <a:lnTo>
                <a:pt x="81133" y="191281"/>
              </a:lnTo>
              <a:cubicBezTo>
                <a:pt x="81133" y="205367"/>
                <a:pt x="85828" y="217903"/>
                <a:pt x="95218" y="228890"/>
              </a:cubicBezTo>
              <a:cubicBezTo>
                <a:pt x="104609" y="239876"/>
                <a:pt x="116159" y="246684"/>
                <a:pt x="129868" y="249314"/>
              </a:cubicBezTo>
              <a:cubicBezTo>
                <a:pt x="124422" y="250816"/>
                <a:pt x="119634" y="251568"/>
                <a:pt x="115502" y="251568"/>
              </a:cubicBezTo>
              <a:cubicBezTo>
                <a:pt x="113060" y="251568"/>
                <a:pt x="109398" y="251192"/>
                <a:pt x="104515" y="250441"/>
              </a:cubicBezTo>
              <a:cubicBezTo>
                <a:pt x="108459" y="262272"/>
                <a:pt x="115454" y="272038"/>
                <a:pt x="125502" y="279739"/>
              </a:cubicBezTo>
              <a:cubicBezTo>
                <a:pt x="135550" y="287438"/>
                <a:pt x="146959" y="291383"/>
                <a:pt x="159730" y="291570"/>
              </a:cubicBezTo>
              <a:cubicBezTo>
                <a:pt x="137944" y="308473"/>
                <a:pt x="113435" y="316924"/>
                <a:pt x="86204" y="316924"/>
              </a:cubicBezTo>
              <a:cubicBezTo>
                <a:pt x="81321" y="316924"/>
                <a:pt x="76625" y="316642"/>
                <a:pt x="72118" y="316079"/>
              </a:cubicBezTo>
              <a:cubicBezTo>
                <a:pt x="99914" y="333733"/>
                <a:pt x="130150" y="342560"/>
                <a:pt x="162829" y="342560"/>
              </a:cubicBezTo>
              <a:cubicBezTo>
                <a:pt x="183864" y="342560"/>
                <a:pt x="203583" y="339226"/>
                <a:pt x="221988" y="332559"/>
              </a:cubicBezTo>
              <a:cubicBezTo>
                <a:pt x="240393" y="325892"/>
                <a:pt x="256169" y="316971"/>
                <a:pt x="269315" y="305796"/>
              </a:cubicBezTo>
              <a:cubicBezTo>
                <a:pt x="282462" y="294622"/>
                <a:pt x="293777" y="281757"/>
                <a:pt x="303262" y="267202"/>
              </a:cubicBezTo>
              <a:cubicBezTo>
                <a:pt x="312746" y="252647"/>
                <a:pt x="319789" y="237435"/>
                <a:pt x="324390" y="221565"/>
              </a:cubicBezTo>
              <a:cubicBezTo>
                <a:pt x="328991" y="205696"/>
                <a:pt x="331292" y="189873"/>
                <a:pt x="331292" y="174097"/>
              </a:cubicBezTo>
              <a:cubicBezTo>
                <a:pt x="331292" y="170716"/>
                <a:pt x="331198" y="168181"/>
                <a:pt x="331010" y="166491"/>
              </a:cubicBezTo>
              <a:cubicBezTo>
                <a:pt x="342842" y="158040"/>
                <a:pt x="352701" y="147804"/>
                <a:pt x="360590" y="135785"/>
              </a:cubicBezTo>
              <a:cubicBezTo>
                <a:pt x="350073" y="140479"/>
                <a:pt x="338710" y="143672"/>
                <a:pt x="326503" y="145363"/>
              </a:cubicBezTo>
              <a:cubicBezTo>
                <a:pt x="339274" y="137851"/>
                <a:pt x="348007" y="126864"/>
                <a:pt x="352701" y="112402"/>
              </a:cubicBezTo>
              <a:cubicBezTo>
                <a:pt x="340495" y="119539"/>
                <a:pt x="327911" y="124328"/>
                <a:pt x="314953" y="126770"/>
              </a:cubicBezTo>
              <a:cubicBezTo>
                <a:pt x="303496" y="114374"/>
                <a:pt x="289129" y="108177"/>
                <a:pt x="271851" y="108177"/>
              </a:cubicBezTo>
              <a:close/>
            </a:path>
          </a:pathLst>
        </a:cu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28</xdr:row>
      <xdr:rowOff>104775</xdr:rowOff>
    </xdr:from>
    <xdr:to>
      <xdr:col>12</xdr:col>
      <xdr:colOff>131445</xdr:colOff>
      <xdr:row>29</xdr:row>
      <xdr:rowOff>188595</xdr:rowOff>
    </xdr:to>
    <xdr:sp macro="" textlink="">
      <xdr:nvSpPr>
        <xdr:cNvPr id="3" name="Freeform 126">
          <a:extLst>
            <a:ext uri="{FF2B5EF4-FFF2-40B4-BE49-F238E27FC236}">
              <a16:creationId xmlns="" xmlns:a16="http://schemas.microsoft.com/office/drawing/2014/main" id="{00000000-0008-0000-2400-00000C000000}"/>
            </a:ext>
          </a:extLst>
        </xdr:cNvPr>
        <xdr:cNvSpPr/>
      </xdr:nvSpPr>
      <xdr:spPr>
        <a:xfrm>
          <a:off x="8534400" y="5438775"/>
          <a:ext cx="274320" cy="274320"/>
        </a:xfrm>
        <a:custGeom>
          <a:avLst/>
          <a:gdLst/>
          <a:ahLst/>
          <a:cxnLst/>
          <a:rect l="l" t="t" r="r" b="b"/>
          <a:pathLst>
            <a:path w="432707" h="432707">
              <a:moveTo>
                <a:pt x="23945" y="0"/>
              </a:moveTo>
              <a:lnTo>
                <a:pt x="408761" y="0"/>
              </a:lnTo>
              <a:cubicBezTo>
                <a:pt x="415334" y="0"/>
                <a:pt x="420969" y="2348"/>
                <a:pt x="425664" y="7043"/>
              </a:cubicBezTo>
              <a:cubicBezTo>
                <a:pt x="430359" y="11738"/>
                <a:pt x="432707" y="17372"/>
                <a:pt x="432707" y="23945"/>
              </a:cubicBezTo>
              <a:lnTo>
                <a:pt x="432707" y="408762"/>
              </a:lnTo>
              <a:cubicBezTo>
                <a:pt x="432707" y="415335"/>
                <a:pt x="430359" y="420969"/>
                <a:pt x="425664" y="425664"/>
              </a:cubicBezTo>
              <a:cubicBezTo>
                <a:pt x="420969" y="430359"/>
                <a:pt x="415334" y="432707"/>
                <a:pt x="408761" y="432707"/>
              </a:cubicBezTo>
              <a:lnTo>
                <a:pt x="298612" y="432707"/>
              </a:lnTo>
              <a:lnTo>
                <a:pt x="298612" y="265089"/>
              </a:lnTo>
              <a:lnTo>
                <a:pt x="354673" y="265089"/>
              </a:lnTo>
              <a:lnTo>
                <a:pt x="363124" y="199733"/>
              </a:lnTo>
              <a:lnTo>
                <a:pt x="298612" y="199733"/>
              </a:lnTo>
              <a:lnTo>
                <a:pt x="298612" y="158039"/>
              </a:lnTo>
              <a:cubicBezTo>
                <a:pt x="298612" y="147522"/>
                <a:pt x="300819" y="139634"/>
                <a:pt x="305232" y="134376"/>
              </a:cubicBezTo>
              <a:cubicBezTo>
                <a:pt x="309646" y="129117"/>
                <a:pt x="318238" y="126488"/>
                <a:pt x="331009" y="126488"/>
              </a:cubicBezTo>
              <a:lnTo>
                <a:pt x="365378" y="126206"/>
              </a:lnTo>
              <a:lnTo>
                <a:pt x="365378" y="67892"/>
              </a:lnTo>
              <a:cubicBezTo>
                <a:pt x="353546" y="66202"/>
                <a:pt x="336831" y="65357"/>
                <a:pt x="315233" y="65357"/>
              </a:cubicBezTo>
              <a:cubicBezTo>
                <a:pt x="289692" y="65357"/>
                <a:pt x="269268" y="72869"/>
                <a:pt x="253961" y="87894"/>
              </a:cubicBezTo>
              <a:cubicBezTo>
                <a:pt x="238655" y="102918"/>
                <a:pt x="231002" y="124140"/>
                <a:pt x="231002" y="151560"/>
              </a:cubicBezTo>
              <a:lnTo>
                <a:pt x="231002" y="199733"/>
              </a:lnTo>
              <a:lnTo>
                <a:pt x="174660" y="199733"/>
              </a:lnTo>
              <a:lnTo>
                <a:pt x="174660" y="265089"/>
              </a:lnTo>
              <a:lnTo>
                <a:pt x="231002" y="265089"/>
              </a:lnTo>
              <a:lnTo>
                <a:pt x="231002" y="432707"/>
              </a:lnTo>
              <a:lnTo>
                <a:pt x="23945" y="432707"/>
              </a:lnTo>
              <a:cubicBezTo>
                <a:pt x="17372" y="432707"/>
                <a:pt x="11737" y="430359"/>
                <a:pt x="7042" y="425664"/>
              </a:cubicBezTo>
              <a:cubicBezTo>
                <a:pt x="2347" y="420969"/>
                <a:pt x="0" y="415335"/>
                <a:pt x="0" y="408762"/>
              </a:cubicBezTo>
              <a:lnTo>
                <a:pt x="0" y="23945"/>
              </a:lnTo>
              <a:cubicBezTo>
                <a:pt x="0" y="17372"/>
                <a:pt x="2347" y="11738"/>
                <a:pt x="7042" y="7043"/>
              </a:cubicBezTo>
              <a:cubicBezTo>
                <a:pt x="11737" y="2348"/>
                <a:pt x="17372" y="0"/>
                <a:pt x="23945" y="0"/>
              </a:cubicBezTo>
              <a:close/>
            </a:path>
          </a:pathLst>
        </a:custGeom>
        <a:solidFill>
          <a:srgbClr val="3858F6"/>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38100</xdr:colOff>
      <xdr:row>30</xdr:row>
      <xdr:rowOff>104775</xdr:rowOff>
    </xdr:from>
    <xdr:to>
      <xdr:col>12</xdr:col>
      <xdr:colOff>131445</xdr:colOff>
      <xdr:row>31</xdr:row>
      <xdr:rowOff>188595</xdr:rowOff>
    </xdr:to>
    <xdr:sp macro="" textlink="">
      <xdr:nvSpPr>
        <xdr:cNvPr id="4" name="Freeform 490">
          <a:extLst>
            <a:ext uri="{FF2B5EF4-FFF2-40B4-BE49-F238E27FC236}">
              <a16:creationId xmlns="" xmlns:a16="http://schemas.microsoft.com/office/drawing/2014/main" id="{00000000-0008-0000-2400-00000D000000}"/>
            </a:ext>
          </a:extLst>
        </xdr:cNvPr>
        <xdr:cNvSpPr/>
      </xdr:nvSpPr>
      <xdr:spPr>
        <a:xfrm>
          <a:off x="8534400" y="5819775"/>
          <a:ext cx="274320" cy="274320"/>
        </a:xfrm>
        <a:custGeom>
          <a:avLst/>
          <a:gdLst>
            <a:gd name="connsiteX0" fmla="*/ 320022 w 432707"/>
            <a:gd name="connsiteY0" fmla="*/ 272696 h 432707"/>
            <a:gd name="connsiteX1" fmla="*/ 310726 w 432707"/>
            <a:gd name="connsiteY1" fmla="*/ 287063 h 432707"/>
            <a:gd name="connsiteX2" fmla="*/ 310726 w 432707"/>
            <a:gd name="connsiteY2" fmla="*/ 296641 h 432707"/>
            <a:gd name="connsiteX3" fmla="*/ 329319 w 432707"/>
            <a:gd name="connsiteY3" fmla="*/ 296641 h 432707"/>
            <a:gd name="connsiteX4" fmla="*/ 329319 w 432707"/>
            <a:gd name="connsiteY4" fmla="*/ 287063 h 432707"/>
            <a:gd name="connsiteX5" fmla="*/ 320022 w 432707"/>
            <a:gd name="connsiteY5" fmla="*/ 272696 h 432707"/>
            <a:gd name="connsiteX6" fmla="*/ 250722 w 432707"/>
            <a:gd name="connsiteY6" fmla="*/ 272696 h 432707"/>
            <a:gd name="connsiteX7" fmla="*/ 241426 w 432707"/>
            <a:gd name="connsiteY7" fmla="*/ 277203 h 432707"/>
            <a:gd name="connsiteX8" fmla="*/ 241426 w 432707"/>
            <a:gd name="connsiteY8" fmla="*/ 340306 h 432707"/>
            <a:gd name="connsiteX9" fmla="*/ 250722 w 432707"/>
            <a:gd name="connsiteY9" fmla="*/ 344813 h 432707"/>
            <a:gd name="connsiteX10" fmla="*/ 258891 w 432707"/>
            <a:gd name="connsiteY10" fmla="*/ 331010 h 432707"/>
            <a:gd name="connsiteX11" fmla="*/ 258891 w 432707"/>
            <a:gd name="connsiteY11" fmla="*/ 286781 h 432707"/>
            <a:gd name="connsiteX12" fmla="*/ 250722 w 432707"/>
            <a:gd name="connsiteY12" fmla="*/ 272696 h 432707"/>
            <a:gd name="connsiteX13" fmla="*/ 152687 w 432707"/>
            <a:gd name="connsiteY13" fmla="*/ 257202 h 432707"/>
            <a:gd name="connsiteX14" fmla="*/ 171280 w 432707"/>
            <a:gd name="connsiteY14" fmla="*/ 257202 h 432707"/>
            <a:gd name="connsiteX15" fmla="*/ 171280 w 432707"/>
            <a:gd name="connsiteY15" fmla="*/ 333263 h 432707"/>
            <a:gd name="connsiteX16" fmla="*/ 171561 w 432707"/>
            <a:gd name="connsiteY16" fmla="*/ 340588 h 432707"/>
            <a:gd name="connsiteX17" fmla="*/ 175787 w 432707"/>
            <a:gd name="connsiteY17" fmla="*/ 344813 h 432707"/>
            <a:gd name="connsiteX18" fmla="*/ 187619 w 432707"/>
            <a:gd name="connsiteY18" fmla="*/ 336080 h 432707"/>
            <a:gd name="connsiteX19" fmla="*/ 187619 w 432707"/>
            <a:gd name="connsiteY19" fmla="*/ 257202 h 432707"/>
            <a:gd name="connsiteX20" fmla="*/ 206494 w 432707"/>
            <a:gd name="connsiteY20" fmla="*/ 257202 h 432707"/>
            <a:gd name="connsiteX21" fmla="*/ 206494 w 432707"/>
            <a:gd name="connsiteY21" fmla="*/ 360589 h 432707"/>
            <a:gd name="connsiteX22" fmla="*/ 187619 w 432707"/>
            <a:gd name="connsiteY22" fmla="*/ 360589 h 432707"/>
            <a:gd name="connsiteX23" fmla="*/ 187619 w 432707"/>
            <a:gd name="connsiteY23" fmla="*/ 349321 h 432707"/>
            <a:gd name="connsiteX24" fmla="*/ 166209 w 432707"/>
            <a:gd name="connsiteY24" fmla="*/ 361998 h 432707"/>
            <a:gd name="connsiteX25" fmla="*/ 154377 w 432707"/>
            <a:gd name="connsiteY25" fmla="*/ 354110 h 432707"/>
            <a:gd name="connsiteX26" fmla="*/ 152687 w 432707"/>
            <a:gd name="connsiteY26" fmla="*/ 338897 h 432707"/>
            <a:gd name="connsiteX27" fmla="*/ 320305 w 432707"/>
            <a:gd name="connsiteY27" fmla="*/ 255793 h 432707"/>
            <a:gd name="connsiteX28" fmla="*/ 342278 w 432707"/>
            <a:gd name="connsiteY28" fmla="*/ 266498 h 432707"/>
            <a:gd name="connsiteX29" fmla="*/ 348194 w 432707"/>
            <a:gd name="connsiteY29" fmla="*/ 290725 h 432707"/>
            <a:gd name="connsiteX30" fmla="*/ 348194 w 432707"/>
            <a:gd name="connsiteY30" fmla="*/ 312135 h 432707"/>
            <a:gd name="connsiteX31" fmla="*/ 310726 w 432707"/>
            <a:gd name="connsiteY31" fmla="*/ 312135 h 432707"/>
            <a:gd name="connsiteX32" fmla="*/ 310726 w 432707"/>
            <a:gd name="connsiteY32" fmla="*/ 330446 h 432707"/>
            <a:gd name="connsiteX33" fmla="*/ 320305 w 432707"/>
            <a:gd name="connsiteY33" fmla="*/ 344813 h 432707"/>
            <a:gd name="connsiteX34" fmla="*/ 328756 w 432707"/>
            <a:gd name="connsiteY34" fmla="*/ 337489 h 432707"/>
            <a:gd name="connsiteX35" fmla="*/ 328897 w 432707"/>
            <a:gd name="connsiteY35" fmla="*/ 335517 h 432707"/>
            <a:gd name="connsiteX36" fmla="*/ 329038 w 432707"/>
            <a:gd name="connsiteY36" fmla="*/ 330869 h 432707"/>
            <a:gd name="connsiteX37" fmla="*/ 329038 w 432707"/>
            <a:gd name="connsiteY37" fmla="*/ 324812 h 432707"/>
            <a:gd name="connsiteX38" fmla="*/ 348194 w 432707"/>
            <a:gd name="connsiteY38" fmla="*/ 324812 h 432707"/>
            <a:gd name="connsiteX39" fmla="*/ 348194 w 432707"/>
            <a:gd name="connsiteY39" fmla="*/ 327347 h 432707"/>
            <a:gd name="connsiteX40" fmla="*/ 347630 w 432707"/>
            <a:gd name="connsiteY40" fmla="*/ 339461 h 432707"/>
            <a:gd name="connsiteX41" fmla="*/ 343405 w 432707"/>
            <a:gd name="connsiteY41" fmla="*/ 350729 h 432707"/>
            <a:gd name="connsiteX42" fmla="*/ 320868 w 432707"/>
            <a:gd name="connsiteY42" fmla="*/ 361998 h 432707"/>
            <a:gd name="connsiteX43" fmla="*/ 298049 w 432707"/>
            <a:gd name="connsiteY43" fmla="*/ 351293 h 432707"/>
            <a:gd name="connsiteX44" fmla="*/ 292134 w 432707"/>
            <a:gd name="connsiteY44" fmla="*/ 327066 h 432707"/>
            <a:gd name="connsiteX45" fmla="*/ 292134 w 432707"/>
            <a:gd name="connsiteY45" fmla="*/ 290725 h 432707"/>
            <a:gd name="connsiteX46" fmla="*/ 297767 w 432707"/>
            <a:gd name="connsiteY46" fmla="*/ 266498 h 432707"/>
            <a:gd name="connsiteX47" fmla="*/ 320305 w 432707"/>
            <a:gd name="connsiteY47" fmla="*/ 255793 h 432707"/>
            <a:gd name="connsiteX48" fmla="*/ 222551 w 432707"/>
            <a:gd name="connsiteY48" fmla="*/ 221706 h 432707"/>
            <a:gd name="connsiteX49" fmla="*/ 241426 w 432707"/>
            <a:gd name="connsiteY49" fmla="*/ 221706 h 432707"/>
            <a:gd name="connsiteX50" fmla="*/ 241426 w 432707"/>
            <a:gd name="connsiteY50" fmla="*/ 267061 h 432707"/>
            <a:gd name="connsiteX51" fmla="*/ 260582 w 432707"/>
            <a:gd name="connsiteY51" fmla="*/ 255793 h 432707"/>
            <a:gd name="connsiteX52" fmla="*/ 275512 w 432707"/>
            <a:gd name="connsiteY52" fmla="*/ 267625 h 432707"/>
            <a:gd name="connsiteX53" fmla="*/ 277484 w 432707"/>
            <a:gd name="connsiteY53" fmla="*/ 288471 h 432707"/>
            <a:gd name="connsiteX54" fmla="*/ 277484 w 432707"/>
            <a:gd name="connsiteY54" fmla="*/ 329601 h 432707"/>
            <a:gd name="connsiteX55" fmla="*/ 275512 w 432707"/>
            <a:gd name="connsiteY55" fmla="*/ 350166 h 432707"/>
            <a:gd name="connsiteX56" fmla="*/ 260582 w 432707"/>
            <a:gd name="connsiteY56" fmla="*/ 361998 h 432707"/>
            <a:gd name="connsiteX57" fmla="*/ 241426 w 432707"/>
            <a:gd name="connsiteY57" fmla="*/ 350448 h 432707"/>
            <a:gd name="connsiteX58" fmla="*/ 241426 w 432707"/>
            <a:gd name="connsiteY58" fmla="*/ 360589 h 432707"/>
            <a:gd name="connsiteX59" fmla="*/ 222551 w 432707"/>
            <a:gd name="connsiteY59" fmla="*/ 360589 h 432707"/>
            <a:gd name="connsiteX60" fmla="*/ 84513 w 432707"/>
            <a:gd name="connsiteY60" fmla="*/ 221706 h 432707"/>
            <a:gd name="connsiteX61" fmla="*/ 149869 w 432707"/>
            <a:gd name="connsiteY61" fmla="*/ 221706 h 432707"/>
            <a:gd name="connsiteX62" fmla="*/ 149869 w 432707"/>
            <a:gd name="connsiteY62" fmla="*/ 241426 h 432707"/>
            <a:gd name="connsiteX63" fmla="*/ 127333 w 432707"/>
            <a:gd name="connsiteY63" fmla="*/ 241426 h 432707"/>
            <a:gd name="connsiteX64" fmla="*/ 127333 w 432707"/>
            <a:gd name="connsiteY64" fmla="*/ 360589 h 432707"/>
            <a:gd name="connsiteX65" fmla="*/ 106486 w 432707"/>
            <a:gd name="connsiteY65" fmla="*/ 360589 h 432707"/>
            <a:gd name="connsiteX66" fmla="*/ 106486 w 432707"/>
            <a:gd name="connsiteY66" fmla="*/ 241426 h 432707"/>
            <a:gd name="connsiteX67" fmla="*/ 84513 w 432707"/>
            <a:gd name="connsiteY67" fmla="*/ 241426 h 432707"/>
            <a:gd name="connsiteX68" fmla="*/ 216353 w 432707"/>
            <a:gd name="connsiteY68" fmla="*/ 185647 h 432707"/>
            <a:gd name="connsiteX69" fmla="*/ 100570 w 432707"/>
            <a:gd name="connsiteY69" fmla="*/ 189873 h 432707"/>
            <a:gd name="connsiteX70" fmla="*/ 79019 w 432707"/>
            <a:gd name="connsiteY70" fmla="*/ 199592 h 432707"/>
            <a:gd name="connsiteX71" fmla="*/ 67047 w 432707"/>
            <a:gd name="connsiteY71" fmla="*/ 220297 h 432707"/>
            <a:gd name="connsiteX72" fmla="*/ 61412 w 432707"/>
            <a:gd name="connsiteY72" fmla="*/ 293542 h 432707"/>
            <a:gd name="connsiteX73" fmla="*/ 67047 w 432707"/>
            <a:gd name="connsiteY73" fmla="*/ 366787 h 432707"/>
            <a:gd name="connsiteX74" fmla="*/ 79019 w 432707"/>
            <a:gd name="connsiteY74" fmla="*/ 387352 h 432707"/>
            <a:gd name="connsiteX75" fmla="*/ 100289 w 432707"/>
            <a:gd name="connsiteY75" fmla="*/ 397212 h 432707"/>
            <a:gd name="connsiteX76" fmla="*/ 216353 w 432707"/>
            <a:gd name="connsiteY76" fmla="*/ 401437 h 432707"/>
            <a:gd name="connsiteX77" fmla="*/ 332418 w 432707"/>
            <a:gd name="connsiteY77" fmla="*/ 397212 h 432707"/>
            <a:gd name="connsiteX78" fmla="*/ 353687 w 432707"/>
            <a:gd name="connsiteY78" fmla="*/ 387352 h 432707"/>
            <a:gd name="connsiteX79" fmla="*/ 365660 w 432707"/>
            <a:gd name="connsiteY79" fmla="*/ 366787 h 432707"/>
            <a:gd name="connsiteX80" fmla="*/ 371294 w 432707"/>
            <a:gd name="connsiteY80" fmla="*/ 293542 h 432707"/>
            <a:gd name="connsiteX81" fmla="*/ 365941 w 432707"/>
            <a:gd name="connsiteY81" fmla="*/ 220297 h 432707"/>
            <a:gd name="connsiteX82" fmla="*/ 353828 w 432707"/>
            <a:gd name="connsiteY82" fmla="*/ 199592 h 432707"/>
            <a:gd name="connsiteX83" fmla="*/ 332418 w 432707"/>
            <a:gd name="connsiteY83" fmla="*/ 189873 h 432707"/>
            <a:gd name="connsiteX84" fmla="*/ 216353 w 432707"/>
            <a:gd name="connsiteY84" fmla="*/ 185647 h 432707"/>
            <a:gd name="connsiteX85" fmla="*/ 212127 w 432707"/>
            <a:gd name="connsiteY85" fmla="*/ 78034 h 432707"/>
            <a:gd name="connsiteX86" fmla="*/ 221142 w 432707"/>
            <a:gd name="connsiteY86" fmla="*/ 92683 h 432707"/>
            <a:gd name="connsiteX87" fmla="*/ 221142 w 432707"/>
            <a:gd name="connsiteY87" fmla="*/ 136630 h 432707"/>
            <a:gd name="connsiteX88" fmla="*/ 212127 w 432707"/>
            <a:gd name="connsiteY88" fmla="*/ 150997 h 432707"/>
            <a:gd name="connsiteX89" fmla="*/ 203113 w 432707"/>
            <a:gd name="connsiteY89" fmla="*/ 136630 h 432707"/>
            <a:gd name="connsiteX90" fmla="*/ 203113 w 432707"/>
            <a:gd name="connsiteY90" fmla="*/ 92683 h 432707"/>
            <a:gd name="connsiteX91" fmla="*/ 212127 w 432707"/>
            <a:gd name="connsiteY91" fmla="*/ 78034 h 432707"/>
            <a:gd name="connsiteX92" fmla="*/ 255511 w 432707"/>
            <a:gd name="connsiteY92" fmla="*/ 62540 h 432707"/>
            <a:gd name="connsiteX93" fmla="*/ 255511 w 432707"/>
            <a:gd name="connsiteY93" fmla="*/ 145081 h 432707"/>
            <a:gd name="connsiteX94" fmla="*/ 257201 w 432707"/>
            <a:gd name="connsiteY94" fmla="*/ 160575 h 432707"/>
            <a:gd name="connsiteX95" fmla="*/ 269315 w 432707"/>
            <a:gd name="connsiteY95" fmla="*/ 168181 h 432707"/>
            <a:gd name="connsiteX96" fmla="*/ 291006 w 432707"/>
            <a:gd name="connsiteY96" fmla="*/ 155504 h 432707"/>
            <a:gd name="connsiteX97" fmla="*/ 291006 w 432707"/>
            <a:gd name="connsiteY97" fmla="*/ 166773 h 432707"/>
            <a:gd name="connsiteX98" fmla="*/ 309881 w 432707"/>
            <a:gd name="connsiteY98" fmla="*/ 166773 h 432707"/>
            <a:gd name="connsiteX99" fmla="*/ 309881 w 432707"/>
            <a:gd name="connsiteY99" fmla="*/ 62540 h 432707"/>
            <a:gd name="connsiteX100" fmla="*/ 291006 w 432707"/>
            <a:gd name="connsiteY100" fmla="*/ 62540 h 432707"/>
            <a:gd name="connsiteX101" fmla="*/ 291006 w 432707"/>
            <a:gd name="connsiteY101" fmla="*/ 142264 h 432707"/>
            <a:gd name="connsiteX102" fmla="*/ 279175 w 432707"/>
            <a:gd name="connsiteY102" fmla="*/ 150997 h 432707"/>
            <a:gd name="connsiteX103" fmla="*/ 274668 w 432707"/>
            <a:gd name="connsiteY103" fmla="*/ 146489 h 432707"/>
            <a:gd name="connsiteX104" fmla="*/ 274386 w 432707"/>
            <a:gd name="connsiteY104" fmla="*/ 139165 h 432707"/>
            <a:gd name="connsiteX105" fmla="*/ 274386 w 432707"/>
            <a:gd name="connsiteY105" fmla="*/ 62540 h 432707"/>
            <a:gd name="connsiteX106" fmla="*/ 212127 w 432707"/>
            <a:gd name="connsiteY106" fmla="*/ 61131 h 432707"/>
            <a:gd name="connsiteX107" fmla="*/ 190154 w 432707"/>
            <a:gd name="connsiteY107" fmla="*/ 71836 h 432707"/>
            <a:gd name="connsiteX108" fmla="*/ 184238 w 432707"/>
            <a:gd name="connsiteY108" fmla="*/ 96345 h 432707"/>
            <a:gd name="connsiteX109" fmla="*/ 184238 w 432707"/>
            <a:gd name="connsiteY109" fmla="*/ 132967 h 432707"/>
            <a:gd name="connsiteX110" fmla="*/ 190154 w 432707"/>
            <a:gd name="connsiteY110" fmla="*/ 157476 h 432707"/>
            <a:gd name="connsiteX111" fmla="*/ 212127 w 432707"/>
            <a:gd name="connsiteY111" fmla="*/ 168181 h 432707"/>
            <a:gd name="connsiteX112" fmla="*/ 234101 w 432707"/>
            <a:gd name="connsiteY112" fmla="*/ 157476 h 432707"/>
            <a:gd name="connsiteX113" fmla="*/ 240017 w 432707"/>
            <a:gd name="connsiteY113" fmla="*/ 132967 h 432707"/>
            <a:gd name="connsiteX114" fmla="*/ 240017 w 432707"/>
            <a:gd name="connsiteY114" fmla="*/ 96345 h 432707"/>
            <a:gd name="connsiteX115" fmla="*/ 234101 w 432707"/>
            <a:gd name="connsiteY115" fmla="*/ 71836 h 432707"/>
            <a:gd name="connsiteX116" fmla="*/ 212127 w 432707"/>
            <a:gd name="connsiteY116" fmla="*/ 61131 h 432707"/>
            <a:gd name="connsiteX117" fmla="*/ 111557 w 432707"/>
            <a:gd name="connsiteY117" fmla="*/ 26762 h 432707"/>
            <a:gd name="connsiteX118" fmla="*/ 118318 w 432707"/>
            <a:gd name="connsiteY118" fmla="*/ 46201 h 432707"/>
            <a:gd name="connsiteX119" fmla="*/ 124798 w 432707"/>
            <a:gd name="connsiteY119" fmla="*/ 65639 h 432707"/>
            <a:gd name="connsiteX120" fmla="*/ 137756 w 432707"/>
            <a:gd name="connsiteY120" fmla="*/ 110149 h 432707"/>
            <a:gd name="connsiteX121" fmla="*/ 137756 w 432707"/>
            <a:gd name="connsiteY121" fmla="*/ 166773 h 432707"/>
            <a:gd name="connsiteX122" fmla="*/ 158603 w 432707"/>
            <a:gd name="connsiteY122" fmla="*/ 166773 h 432707"/>
            <a:gd name="connsiteX123" fmla="*/ 158603 w 432707"/>
            <a:gd name="connsiteY123" fmla="*/ 110149 h 432707"/>
            <a:gd name="connsiteX124" fmla="*/ 183956 w 432707"/>
            <a:gd name="connsiteY124" fmla="*/ 26762 h 432707"/>
            <a:gd name="connsiteX125" fmla="*/ 162828 w 432707"/>
            <a:gd name="connsiteY125" fmla="*/ 26762 h 432707"/>
            <a:gd name="connsiteX126" fmla="*/ 148461 w 432707"/>
            <a:gd name="connsiteY126" fmla="*/ 81696 h 432707"/>
            <a:gd name="connsiteX127" fmla="*/ 133530 w 432707"/>
            <a:gd name="connsiteY127" fmla="*/ 26762 h 432707"/>
            <a:gd name="connsiteX128" fmla="*/ 81133 w 432707"/>
            <a:gd name="connsiteY128" fmla="*/ 0 h 432707"/>
            <a:gd name="connsiteX129" fmla="*/ 351574 w 432707"/>
            <a:gd name="connsiteY129" fmla="*/ 0 h 432707"/>
            <a:gd name="connsiteX130" fmla="*/ 408902 w 432707"/>
            <a:gd name="connsiteY130" fmla="*/ 23804 h 432707"/>
            <a:gd name="connsiteX131" fmla="*/ 432707 w 432707"/>
            <a:gd name="connsiteY131" fmla="*/ 81132 h 432707"/>
            <a:gd name="connsiteX132" fmla="*/ 432707 w 432707"/>
            <a:gd name="connsiteY132" fmla="*/ 351575 h 432707"/>
            <a:gd name="connsiteX133" fmla="*/ 408902 w 432707"/>
            <a:gd name="connsiteY133" fmla="*/ 408902 h 432707"/>
            <a:gd name="connsiteX134" fmla="*/ 351574 w 432707"/>
            <a:gd name="connsiteY134" fmla="*/ 432707 h 432707"/>
            <a:gd name="connsiteX135" fmla="*/ 81133 w 432707"/>
            <a:gd name="connsiteY135" fmla="*/ 432707 h 432707"/>
            <a:gd name="connsiteX136" fmla="*/ 23805 w 432707"/>
            <a:gd name="connsiteY136" fmla="*/ 408902 h 432707"/>
            <a:gd name="connsiteX137" fmla="*/ 0 w 432707"/>
            <a:gd name="connsiteY137" fmla="*/ 351575 h 432707"/>
            <a:gd name="connsiteX138" fmla="*/ 0 w 432707"/>
            <a:gd name="connsiteY138" fmla="*/ 81132 h 432707"/>
            <a:gd name="connsiteX139" fmla="*/ 23805 w 432707"/>
            <a:gd name="connsiteY139" fmla="*/ 23804 h 432707"/>
            <a:gd name="connsiteX140" fmla="*/ 81133 w 432707"/>
            <a:gd name="connsiteY140"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432707" h="432707">
              <a:moveTo>
                <a:pt x="320022" y="272696"/>
              </a:moveTo>
              <a:cubicBezTo>
                <a:pt x="313825" y="272696"/>
                <a:pt x="310726" y="277485"/>
                <a:pt x="310726" y="287063"/>
              </a:cubicBezTo>
              <a:lnTo>
                <a:pt x="310726" y="296641"/>
              </a:lnTo>
              <a:lnTo>
                <a:pt x="329319" y="296641"/>
              </a:lnTo>
              <a:lnTo>
                <a:pt x="329319" y="287063"/>
              </a:lnTo>
              <a:cubicBezTo>
                <a:pt x="329319" y="277485"/>
                <a:pt x="326220" y="272696"/>
                <a:pt x="320022" y="272696"/>
              </a:cubicBezTo>
              <a:close/>
              <a:moveTo>
                <a:pt x="250722" y="272696"/>
              </a:moveTo>
              <a:cubicBezTo>
                <a:pt x="247529" y="272696"/>
                <a:pt x="244431" y="274198"/>
                <a:pt x="241426" y="277203"/>
              </a:cubicBezTo>
              <a:lnTo>
                <a:pt x="241426" y="340306"/>
              </a:lnTo>
              <a:cubicBezTo>
                <a:pt x="244431" y="343311"/>
                <a:pt x="247529" y="344813"/>
                <a:pt x="250722" y="344813"/>
              </a:cubicBezTo>
              <a:cubicBezTo>
                <a:pt x="256168" y="344813"/>
                <a:pt x="258891" y="340212"/>
                <a:pt x="258891" y="331010"/>
              </a:cubicBezTo>
              <a:lnTo>
                <a:pt x="258891" y="286781"/>
              </a:lnTo>
              <a:cubicBezTo>
                <a:pt x="258891" y="277391"/>
                <a:pt x="256168" y="272696"/>
                <a:pt x="250722" y="272696"/>
              </a:cubicBezTo>
              <a:close/>
              <a:moveTo>
                <a:pt x="152687" y="257202"/>
              </a:moveTo>
              <a:lnTo>
                <a:pt x="171280" y="257202"/>
              </a:lnTo>
              <a:lnTo>
                <a:pt x="171280" y="333263"/>
              </a:lnTo>
              <a:cubicBezTo>
                <a:pt x="171280" y="337771"/>
                <a:pt x="171374" y="340212"/>
                <a:pt x="171561" y="340588"/>
              </a:cubicBezTo>
              <a:cubicBezTo>
                <a:pt x="171749" y="343405"/>
                <a:pt x="173158" y="344813"/>
                <a:pt x="175787" y="344813"/>
              </a:cubicBezTo>
              <a:cubicBezTo>
                <a:pt x="179543" y="344813"/>
                <a:pt x="183487" y="341903"/>
                <a:pt x="187619" y="336080"/>
              </a:cubicBezTo>
              <a:lnTo>
                <a:pt x="187619" y="257202"/>
              </a:lnTo>
              <a:lnTo>
                <a:pt x="206494" y="257202"/>
              </a:lnTo>
              <a:lnTo>
                <a:pt x="206494" y="360589"/>
              </a:lnTo>
              <a:lnTo>
                <a:pt x="187619" y="360589"/>
              </a:lnTo>
              <a:lnTo>
                <a:pt x="187619" y="349321"/>
              </a:lnTo>
              <a:cubicBezTo>
                <a:pt x="180294" y="357772"/>
                <a:pt x="173158" y="361998"/>
                <a:pt x="166209" y="361998"/>
              </a:cubicBezTo>
              <a:cubicBezTo>
                <a:pt x="160011" y="361998"/>
                <a:pt x="156067" y="359368"/>
                <a:pt x="154377" y="354110"/>
              </a:cubicBezTo>
              <a:cubicBezTo>
                <a:pt x="153250" y="351105"/>
                <a:pt x="152687" y="346034"/>
                <a:pt x="152687" y="338897"/>
              </a:cubicBezTo>
              <a:close/>
              <a:moveTo>
                <a:pt x="320305" y="255793"/>
              </a:moveTo>
              <a:cubicBezTo>
                <a:pt x="329882" y="255793"/>
                <a:pt x="337207" y="259361"/>
                <a:pt x="342278" y="266498"/>
              </a:cubicBezTo>
              <a:cubicBezTo>
                <a:pt x="346221" y="271757"/>
                <a:pt x="348194" y="279832"/>
                <a:pt x="348194" y="290725"/>
              </a:cubicBezTo>
              <a:lnTo>
                <a:pt x="348194" y="312135"/>
              </a:lnTo>
              <a:lnTo>
                <a:pt x="310726" y="312135"/>
              </a:lnTo>
              <a:lnTo>
                <a:pt x="310726" y="330446"/>
              </a:lnTo>
              <a:cubicBezTo>
                <a:pt x="310726" y="340024"/>
                <a:pt x="313919" y="344813"/>
                <a:pt x="320305" y="344813"/>
              </a:cubicBezTo>
              <a:cubicBezTo>
                <a:pt x="324812" y="344813"/>
                <a:pt x="327629" y="342372"/>
                <a:pt x="328756" y="337489"/>
              </a:cubicBezTo>
              <a:cubicBezTo>
                <a:pt x="328756" y="337301"/>
                <a:pt x="328803" y="336644"/>
                <a:pt x="328897" y="335517"/>
              </a:cubicBezTo>
              <a:cubicBezTo>
                <a:pt x="328991" y="334390"/>
                <a:pt x="329038" y="332841"/>
                <a:pt x="329038" y="330869"/>
              </a:cubicBezTo>
              <a:cubicBezTo>
                <a:pt x="329038" y="328897"/>
                <a:pt x="329038" y="326878"/>
                <a:pt x="329038" y="324812"/>
              </a:cubicBezTo>
              <a:lnTo>
                <a:pt x="348194" y="324812"/>
              </a:lnTo>
              <a:lnTo>
                <a:pt x="348194" y="327347"/>
              </a:lnTo>
              <a:cubicBezTo>
                <a:pt x="348194" y="332794"/>
                <a:pt x="348006" y="336832"/>
                <a:pt x="347630" y="339461"/>
              </a:cubicBezTo>
              <a:cubicBezTo>
                <a:pt x="347067" y="343593"/>
                <a:pt x="345658" y="347349"/>
                <a:pt x="343405" y="350729"/>
              </a:cubicBezTo>
              <a:cubicBezTo>
                <a:pt x="338334" y="358242"/>
                <a:pt x="330821" y="361998"/>
                <a:pt x="320868" y="361998"/>
              </a:cubicBezTo>
              <a:cubicBezTo>
                <a:pt x="311102" y="361998"/>
                <a:pt x="303496" y="358429"/>
                <a:pt x="298049" y="351293"/>
              </a:cubicBezTo>
              <a:cubicBezTo>
                <a:pt x="294106" y="346222"/>
                <a:pt x="292134" y="338146"/>
                <a:pt x="292134" y="327066"/>
              </a:cubicBezTo>
              <a:lnTo>
                <a:pt x="292134" y="290725"/>
              </a:lnTo>
              <a:cubicBezTo>
                <a:pt x="292134" y="279644"/>
                <a:pt x="294011" y="271569"/>
                <a:pt x="297767" y="266498"/>
              </a:cubicBezTo>
              <a:cubicBezTo>
                <a:pt x="303214" y="259361"/>
                <a:pt x="310726" y="255793"/>
                <a:pt x="320305" y="255793"/>
              </a:cubicBezTo>
              <a:close/>
              <a:moveTo>
                <a:pt x="222551" y="221706"/>
              </a:moveTo>
              <a:lnTo>
                <a:pt x="241426" y="221706"/>
              </a:lnTo>
              <a:lnTo>
                <a:pt x="241426" y="267061"/>
              </a:lnTo>
              <a:cubicBezTo>
                <a:pt x="247435" y="259549"/>
                <a:pt x="253820" y="255793"/>
                <a:pt x="260582" y="255793"/>
              </a:cubicBezTo>
              <a:cubicBezTo>
                <a:pt x="268282" y="255793"/>
                <a:pt x="273259" y="259737"/>
                <a:pt x="275512" y="267625"/>
              </a:cubicBezTo>
              <a:cubicBezTo>
                <a:pt x="276827" y="271569"/>
                <a:pt x="277484" y="278517"/>
                <a:pt x="277484" y="288471"/>
              </a:cubicBezTo>
              <a:lnTo>
                <a:pt x="277484" y="329601"/>
              </a:lnTo>
              <a:cubicBezTo>
                <a:pt x="277484" y="339367"/>
                <a:pt x="276827" y="346222"/>
                <a:pt x="275512" y="350166"/>
              </a:cubicBezTo>
              <a:cubicBezTo>
                <a:pt x="273259" y="358054"/>
                <a:pt x="268282" y="361998"/>
                <a:pt x="260582" y="361998"/>
              </a:cubicBezTo>
              <a:cubicBezTo>
                <a:pt x="254009" y="361998"/>
                <a:pt x="247623" y="358148"/>
                <a:pt x="241426" y="350448"/>
              </a:cubicBezTo>
              <a:lnTo>
                <a:pt x="241426" y="360589"/>
              </a:lnTo>
              <a:lnTo>
                <a:pt x="222551" y="360589"/>
              </a:lnTo>
              <a:close/>
              <a:moveTo>
                <a:pt x="84513" y="221706"/>
              </a:moveTo>
              <a:lnTo>
                <a:pt x="149869" y="221706"/>
              </a:lnTo>
              <a:lnTo>
                <a:pt x="149869" y="241426"/>
              </a:lnTo>
              <a:lnTo>
                <a:pt x="127333" y="241426"/>
              </a:lnTo>
              <a:lnTo>
                <a:pt x="127333" y="360589"/>
              </a:lnTo>
              <a:lnTo>
                <a:pt x="106486" y="360589"/>
              </a:lnTo>
              <a:lnTo>
                <a:pt x="106486" y="241426"/>
              </a:lnTo>
              <a:lnTo>
                <a:pt x="84513" y="241426"/>
              </a:lnTo>
              <a:close/>
              <a:moveTo>
                <a:pt x="216353" y="185647"/>
              </a:moveTo>
              <a:cubicBezTo>
                <a:pt x="164706" y="185647"/>
                <a:pt x="126112" y="187056"/>
                <a:pt x="100570" y="189873"/>
              </a:cubicBezTo>
              <a:cubicBezTo>
                <a:pt x="92307" y="190812"/>
                <a:pt x="85123" y="194051"/>
                <a:pt x="79019" y="199592"/>
              </a:cubicBezTo>
              <a:cubicBezTo>
                <a:pt x="72916" y="205132"/>
                <a:pt x="68925" y="212034"/>
                <a:pt x="67047" y="220297"/>
              </a:cubicBezTo>
              <a:cubicBezTo>
                <a:pt x="63290" y="236637"/>
                <a:pt x="61412" y="261052"/>
                <a:pt x="61412" y="293542"/>
              </a:cubicBezTo>
              <a:cubicBezTo>
                <a:pt x="61412" y="326596"/>
                <a:pt x="63290" y="351011"/>
                <a:pt x="67047" y="366787"/>
              </a:cubicBezTo>
              <a:cubicBezTo>
                <a:pt x="68925" y="374862"/>
                <a:pt x="72916" y="381718"/>
                <a:pt x="79019" y="387352"/>
              </a:cubicBezTo>
              <a:cubicBezTo>
                <a:pt x="85123" y="392986"/>
                <a:pt x="92213" y="396272"/>
                <a:pt x="100289" y="397212"/>
              </a:cubicBezTo>
              <a:cubicBezTo>
                <a:pt x="126018" y="400029"/>
                <a:pt x="164706" y="401437"/>
                <a:pt x="216353" y="401437"/>
              </a:cubicBezTo>
              <a:cubicBezTo>
                <a:pt x="268000" y="401437"/>
                <a:pt x="306689" y="400029"/>
                <a:pt x="332418" y="397212"/>
              </a:cubicBezTo>
              <a:cubicBezTo>
                <a:pt x="340494" y="396272"/>
                <a:pt x="347583" y="392986"/>
                <a:pt x="353687" y="387352"/>
              </a:cubicBezTo>
              <a:cubicBezTo>
                <a:pt x="359791" y="381718"/>
                <a:pt x="363782" y="374862"/>
                <a:pt x="365660" y="366787"/>
              </a:cubicBezTo>
              <a:cubicBezTo>
                <a:pt x="369416" y="351011"/>
                <a:pt x="371294" y="326596"/>
                <a:pt x="371294" y="293542"/>
              </a:cubicBezTo>
              <a:cubicBezTo>
                <a:pt x="371294" y="260300"/>
                <a:pt x="369510" y="235885"/>
                <a:pt x="365941" y="220297"/>
              </a:cubicBezTo>
              <a:cubicBezTo>
                <a:pt x="364063" y="212034"/>
                <a:pt x="360025" y="205132"/>
                <a:pt x="353828" y="199592"/>
              </a:cubicBezTo>
              <a:cubicBezTo>
                <a:pt x="347630" y="194051"/>
                <a:pt x="340494" y="190812"/>
                <a:pt x="332418" y="189873"/>
              </a:cubicBezTo>
              <a:cubicBezTo>
                <a:pt x="306876" y="187056"/>
                <a:pt x="268188" y="185647"/>
                <a:pt x="216353" y="185647"/>
              </a:cubicBezTo>
              <a:close/>
              <a:moveTo>
                <a:pt x="212127" y="78034"/>
              </a:moveTo>
              <a:cubicBezTo>
                <a:pt x="218137" y="78034"/>
                <a:pt x="221142" y="82917"/>
                <a:pt x="221142" y="92683"/>
              </a:cubicBezTo>
              <a:lnTo>
                <a:pt x="221142" y="136630"/>
              </a:lnTo>
              <a:cubicBezTo>
                <a:pt x="221142" y="146207"/>
                <a:pt x="218137" y="150997"/>
                <a:pt x="212127" y="150997"/>
              </a:cubicBezTo>
              <a:cubicBezTo>
                <a:pt x="206118" y="150997"/>
                <a:pt x="203113" y="146207"/>
                <a:pt x="203113" y="136630"/>
              </a:cubicBezTo>
              <a:lnTo>
                <a:pt x="203113" y="92683"/>
              </a:lnTo>
              <a:cubicBezTo>
                <a:pt x="203113" y="82917"/>
                <a:pt x="206118" y="78034"/>
                <a:pt x="212127" y="78034"/>
              </a:cubicBezTo>
              <a:close/>
              <a:moveTo>
                <a:pt x="255511" y="62540"/>
              </a:moveTo>
              <a:lnTo>
                <a:pt x="255511" y="145081"/>
              </a:lnTo>
              <a:cubicBezTo>
                <a:pt x="255511" y="152030"/>
                <a:pt x="256074" y="157194"/>
                <a:pt x="257201" y="160575"/>
              </a:cubicBezTo>
              <a:cubicBezTo>
                <a:pt x="259267" y="165646"/>
                <a:pt x="263305" y="168181"/>
                <a:pt x="269315" y="168181"/>
              </a:cubicBezTo>
              <a:cubicBezTo>
                <a:pt x="276076" y="168181"/>
                <a:pt x="283306" y="163955"/>
                <a:pt x="291006" y="155504"/>
              </a:cubicBezTo>
              <a:lnTo>
                <a:pt x="291006" y="166773"/>
              </a:lnTo>
              <a:lnTo>
                <a:pt x="309881" y="166773"/>
              </a:lnTo>
              <a:lnTo>
                <a:pt x="309881" y="62540"/>
              </a:lnTo>
              <a:lnTo>
                <a:pt x="291006" y="62540"/>
              </a:lnTo>
              <a:lnTo>
                <a:pt x="291006" y="142264"/>
              </a:lnTo>
              <a:cubicBezTo>
                <a:pt x="286875" y="148086"/>
                <a:pt x="282931" y="150997"/>
                <a:pt x="279175" y="150997"/>
              </a:cubicBezTo>
              <a:cubicBezTo>
                <a:pt x="276358" y="150997"/>
                <a:pt x="274855" y="149494"/>
                <a:pt x="274668" y="146489"/>
              </a:cubicBezTo>
              <a:cubicBezTo>
                <a:pt x="274479" y="146114"/>
                <a:pt x="274386" y="143672"/>
                <a:pt x="274386" y="139165"/>
              </a:cubicBezTo>
              <a:lnTo>
                <a:pt x="274386" y="62540"/>
              </a:lnTo>
              <a:close/>
              <a:moveTo>
                <a:pt x="212127" y="61131"/>
              </a:moveTo>
              <a:cubicBezTo>
                <a:pt x="202550" y="61131"/>
                <a:pt x="195225" y="64699"/>
                <a:pt x="190154" y="71836"/>
              </a:cubicBezTo>
              <a:cubicBezTo>
                <a:pt x="186210" y="77283"/>
                <a:pt x="184238" y="85452"/>
                <a:pt x="184238" y="96345"/>
              </a:cubicBezTo>
              <a:lnTo>
                <a:pt x="184238" y="132967"/>
              </a:lnTo>
              <a:cubicBezTo>
                <a:pt x="184238" y="143860"/>
                <a:pt x="186210" y="152030"/>
                <a:pt x="190154" y="157476"/>
              </a:cubicBezTo>
              <a:cubicBezTo>
                <a:pt x="195225" y="164613"/>
                <a:pt x="202550" y="168181"/>
                <a:pt x="212127" y="168181"/>
              </a:cubicBezTo>
              <a:cubicBezTo>
                <a:pt x="221330" y="168181"/>
                <a:pt x="228655" y="164613"/>
                <a:pt x="234101" y="157476"/>
              </a:cubicBezTo>
              <a:cubicBezTo>
                <a:pt x="238045" y="152405"/>
                <a:pt x="240017" y="144236"/>
                <a:pt x="240017" y="132967"/>
              </a:cubicBezTo>
              <a:lnTo>
                <a:pt x="240017" y="96345"/>
              </a:lnTo>
              <a:cubicBezTo>
                <a:pt x="240017" y="85452"/>
                <a:pt x="238045" y="77283"/>
                <a:pt x="234101" y="71836"/>
              </a:cubicBezTo>
              <a:cubicBezTo>
                <a:pt x="228655" y="64699"/>
                <a:pt x="221330" y="61131"/>
                <a:pt x="212127" y="61131"/>
              </a:cubicBezTo>
              <a:close/>
              <a:moveTo>
                <a:pt x="111557" y="26762"/>
              </a:moveTo>
              <a:cubicBezTo>
                <a:pt x="113059" y="31082"/>
                <a:pt x="115313" y="37561"/>
                <a:pt x="118318" y="46201"/>
              </a:cubicBezTo>
              <a:cubicBezTo>
                <a:pt x="121323" y="54840"/>
                <a:pt x="123483" y="61319"/>
                <a:pt x="124798" y="65639"/>
              </a:cubicBezTo>
              <a:cubicBezTo>
                <a:pt x="131370" y="84982"/>
                <a:pt x="135690" y="99819"/>
                <a:pt x="137756" y="110149"/>
              </a:cubicBezTo>
              <a:lnTo>
                <a:pt x="137756" y="166773"/>
              </a:lnTo>
              <a:lnTo>
                <a:pt x="158603" y="166773"/>
              </a:lnTo>
              <a:lnTo>
                <a:pt x="158603" y="110149"/>
              </a:lnTo>
              <a:lnTo>
                <a:pt x="183956" y="26762"/>
              </a:lnTo>
              <a:lnTo>
                <a:pt x="162828" y="26762"/>
              </a:lnTo>
              <a:lnTo>
                <a:pt x="148461" y="81696"/>
              </a:lnTo>
              <a:lnTo>
                <a:pt x="133530" y="26762"/>
              </a:lnTo>
              <a:close/>
              <a:moveTo>
                <a:pt x="81133" y="0"/>
              </a:moveTo>
              <a:lnTo>
                <a:pt x="351574" y="0"/>
              </a:lnTo>
              <a:cubicBezTo>
                <a:pt x="373923" y="0"/>
                <a:pt x="393032" y="7935"/>
                <a:pt x="408902" y="23804"/>
              </a:cubicBezTo>
              <a:cubicBezTo>
                <a:pt x="424772" y="39674"/>
                <a:pt x="432707" y="58783"/>
                <a:pt x="432707" y="81132"/>
              </a:cubicBezTo>
              <a:lnTo>
                <a:pt x="432707" y="351575"/>
              </a:lnTo>
              <a:cubicBezTo>
                <a:pt x="432707" y="373924"/>
                <a:pt x="424772" y="393033"/>
                <a:pt x="408902" y="408902"/>
              </a:cubicBezTo>
              <a:cubicBezTo>
                <a:pt x="393032" y="424772"/>
                <a:pt x="373923" y="432707"/>
                <a:pt x="351574" y="432707"/>
              </a:cubicBezTo>
              <a:lnTo>
                <a:pt x="81133" y="432707"/>
              </a:lnTo>
              <a:cubicBezTo>
                <a:pt x="58783" y="432707"/>
                <a:pt x="39674" y="424772"/>
                <a:pt x="23805" y="408902"/>
              </a:cubicBezTo>
              <a:cubicBezTo>
                <a:pt x="7935" y="393033"/>
                <a:pt x="0" y="373924"/>
                <a:pt x="0" y="351575"/>
              </a:cubicBezTo>
              <a:lnTo>
                <a:pt x="0" y="81132"/>
              </a:lnTo>
              <a:cubicBezTo>
                <a:pt x="0" y="58783"/>
                <a:pt x="7935" y="39674"/>
                <a:pt x="23805" y="23804"/>
              </a:cubicBezTo>
              <a:cubicBezTo>
                <a:pt x="39674" y="7935"/>
                <a:pt x="58783" y="0"/>
                <a:pt x="81133" y="0"/>
              </a:cubicBezTo>
              <a:close/>
            </a:path>
          </a:pathLst>
        </a:cu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32</xdr:row>
      <xdr:rowOff>104775</xdr:rowOff>
    </xdr:from>
    <xdr:to>
      <xdr:col>12</xdr:col>
      <xdr:colOff>131445</xdr:colOff>
      <xdr:row>33</xdr:row>
      <xdr:rowOff>188595</xdr:rowOff>
    </xdr:to>
    <xdr:sp macro="" textlink="">
      <xdr:nvSpPr>
        <xdr:cNvPr id="5" name="Freeform 335">
          <a:extLst>
            <a:ext uri="{FF2B5EF4-FFF2-40B4-BE49-F238E27FC236}">
              <a16:creationId xmlns="" xmlns:a16="http://schemas.microsoft.com/office/drawing/2014/main" id="{00000000-0008-0000-2400-00000E000000}"/>
            </a:ext>
          </a:extLst>
        </xdr:cNvPr>
        <xdr:cNvSpPr/>
      </xdr:nvSpPr>
      <xdr:spPr>
        <a:xfrm>
          <a:off x="8534400" y="6200775"/>
          <a:ext cx="274320" cy="274320"/>
        </a:xfrm>
        <a:custGeom>
          <a:avLst/>
          <a:gdLst>
            <a:gd name="connsiteX0" fmla="*/ 232693 w 432707"/>
            <a:gd name="connsiteY0" fmla="*/ 194512 h 432707"/>
            <a:gd name="connsiteX1" fmla="*/ 232693 w 432707"/>
            <a:gd name="connsiteY1" fmla="*/ 195225 h 432707"/>
            <a:gd name="connsiteX2" fmla="*/ 232130 w 432707"/>
            <a:gd name="connsiteY2" fmla="*/ 195225 h 432707"/>
            <a:gd name="connsiteX3" fmla="*/ 66766 w 432707"/>
            <a:gd name="connsiteY3" fmla="*/ 166772 h 432707"/>
            <a:gd name="connsiteX4" fmla="*/ 66766 w 432707"/>
            <a:gd name="connsiteY4" fmla="*/ 362280 h 432707"/>
            <a:gd name="connsiteX5" fmla="*/ 131841 w 432707"/>
            <a:gd name="connsiteY5" fmla="*/ 362280 h 432707"/>
            <a:gd name="connsiteX6" fmla="*/ 131841 w 432707"/>
            <a:gd name="connsiteY6" fmla="*/ 166772 h 432707"/>
            <a:gd name="connsiteX7" fmla="*/ 291007 w 432707"/>
            <a:gd name="connsiteY7" fmla="*/ 162265 h 432707"/>
            <a:gd name="connsiteX8" fmla="*/ 243521 w 432707"/>
            <a:gd name="connsiteY8" fmla="*/ 180805 h 432707"/>
            <a:gd name="connsiteX9" fmla="*/ 232693 w 432707"/>
            <a:gd name="connsiteY9" fmla="*/ 194512 h 432707"/>
            <a:gd name="connsiteX10" fmla="*/ 232693 w 432707"/>
            <a:gd name="connsiteY10" fmla="*/ 166772 h 432707"/>
            <a:gd name="connsiteX11" fmla="*/ 167618 w 432707"/>
            <a:gd name="connsiteY11" fmla="*/ 166772 h 432707"/>
            <a:gd name="connsiteX12" fmla="*/ 167618 w 432707"/>
            <a:gd name="connsiteY12" fmla="*/ 362280 h 432707"/>
            <a:gd name="connsiteX13" fmla="*/ 232693 w 432707"/>
            <a:gd name="connsiteY13" fmla="*/ 362280 h 432707"/>
            <a:gd name="connsiteX14" fmla="*/ 232693 w 432707"/>
            <a:gd name="connsiteY14" fmla="*/ 252976 h 432707"/>
            <a:gd name="connsiteX15" fmla="*/ 234665 w 432707"/>
            <a:gd name="connsiteY15" fmla="*/ 237200 h 432707"/>
            <a:gd name="connsiteX16" fmla="*/ 247342 w 432707"/>
            <a:gd name="connsiteY16" fmla="*/ 220438 h 432707"/>
            <a:gd name="connsiteX17" fmla="*/ 268189 w 432707"/>
            <a:gd name="connsiteY17" fmla="*/ 213536 h 432707"/>
            <a:gd name="connsiteX18" fmla="*/ 300867 w 432707"/>
            <a:gd name="connsiteY18" fmla="*/ 257765 h 432707"/>
            <a:gd name="connsiteX19" fmla="*/ 300867 w 432707"/>
            <a:gd name="connsiteY19" fmla="*/ 362280 h 432707"/>
            <a:gd name="connsiteX20" fmla="*/ 365942 w 432707"/>
            <a:gd name="connsiteY20" fmla="*/ 362280 h 432707"/>
            <a:gd name="connsiteX21" fmla="*/ 365942 w 432707"/>
            <a:gd name="connsiteY21" fmla="*/ 250159 h 432707"/>
            <a:gd name="connsiteX22" fmla="*/ 345377 w 432707"/>
            <a:gd name="connsiteY22" fmla="*/ 184520 h 432707"/>
            <a:gd name="connsiteX23" fmla="*/ 291007 w 432707"/>
            <a:gd name="connsiteY23" fmla="*/ 162265 h 432707"/>
            <a:gd name="connsiteX24" fmla="*/ 99726 w 432707"/>
            <a:gd name="connsiteY24" fmla="*/ 72681 h 432707"/>
            <a:gd name="connsiteX25" fmla="*/ 73104 w 432707"/>
            <a:gd name="connsiteY25" fmla="*/ 82259 h 432707"/>
            <a:gd name="connsiteX26" fmla="*/ 62822 w 432707"/>
            <a:gd name="connsiteY26" fmla="*/ 106486 h 432707"/>
            <a:gd name="connsiteX27" fmla="*/ 72822 w 432707"/>
            <a:gd name="connsiteY27" fmla="*/ 130573 h 432707"/>
            <a:gd name="connsiteX28" fmla="*/ 98881 w 432707"/>
            <a:gd name="connsiteY28" fmla="*/ 140292 h 432707"/>
            <a:gd name="connsiteX29" fmla="*/ 99162 w 432707"/>
            <a:gd name="connsiteY29" fmla="*/ 140292 h 432707"/>
            <a:gd name="connsiteX30" fmla="*/ 125925 w 432707"/>
            <a:gd name="connsiteY30" fmla="*/ 130573 h 432707"/>
            <a:gd name="connsiteX31" fmla="*/ 136066 w 432707"/>
            <a:gd name="connsiteY31" fmla="*/ 106486 h 432707"/>
            <a:gd name="connsiteX32" fmla="*/ 125925 w 432707"/>
            <a:gd name="connsiteY32" fmla="*/ 82259 h 432707"/>
            <a:gd name="connsiteX33" fmla="*/ 99726 w 432707"/>
            <a:gd name="connsiteY33" fmla="*/ 72681 h 432707"/>
            <a:gd name="connsiteX34" fmla="*/ 81133 w 432707"/>
            <a:gd name="connsiteY34" fmla="*/ 0 h 432707"/>
            <a:gd name="connsiteX35" fmla="*/ 351575 w 432707"/>
            <a:gd name="connsiteY35" fmla="*/ 0 h 432707"/>
            <a:gd name="connsiteX36" fmla="*/ 408903 w 432707"/>
            <a:gd name="connsiteY36" fmla="*/ 23804 h 432707"/>
            <a:gd name="connsiteX37" fmla="*/ 432707 w 432707"/>
            <a:gd name="connsiteY37" fmla="*/ 81133 h 432707"/>
            <a:gd name="connsiteX38" fmla="*/ 432707 w 432707"/>
            <a:gd name="connsiteY38" fmla="*/ 351575 h 432707"/>
            <a:gd name="connsiteX39" fmla="*/ 408903 w 432707"/>
            <a:gd name="connsiteY39" fmla="*/ 408903 h 432707"/>
            <a:gd name="connsiteX40" fmla="*/ 351575 w 432707"/>
            <a:gd name="connsiteY40" fmla="*/ 432707 h 432707"/>
            <a:gd name="connsiteX41" fmla="*/ 81133 w 432707"/>
            <a:gd name="connsiteY41" fmla="*/ 432707 h 432707"/>
            <a:gd name="connsiteX42" fmla="*/ 23805 w 432707"/>
            <a:gd name="connsiteY42" fmla="*/ 408903 h 432707"/>
            <a:gd name="connsiteX43" fmla="*/ 0 w 432707"/>
            <a:gd name="connsiteY43" fmla="*/ 351575 h 432707"/>
            <a:gd name="connsiteX44" fmla="*/ 0 w 432707"/>
            <a:gd name="connsiteY44" fmla="*/ 81133 h 432707"/>
            <a:gd name="connsiteX45" fmla="*/ 23805 w 432707"/>
            <a:gd name="connsiteY45" fmla="*/ 23804 h 432707"/>
            <a:gd name="connsiteX46" fmla="*/ 81133 w 432707"/>
            <a:gd name="connsiteY46"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432707" h="432707">
              <a:moveTo>
                <a:pt x="232693" y="194512"/>
              </a:moveTo>
              <a:lnTo>
                <a:pt x="232693" y="195225"/>
              </a:lnTo>
              <a:lnTo>
                <a:pt x="232130" y="195225"/>
              </a:lnTo>
              <a:close/>
              <a:moveTo>
                <a:pt x="66766" y="166772"/>
              </a:moveTo>
              <a:lnTo>
                <a:pt x="66766" y="362280"/>
              </a:lnTo>
              <a:lnTo>
                <a:pt x="131841" y="362280"/>
              </a:lnTo>
              <a:lnTo>
                <a:pt x="131841" y="166772"/>
              </a:lnTo>
              <a:close/>
              <a:moveTo>
                <a:pt x="291007" y="162265"/>
              </a:moveTo>
              <a:cubicBezTo>
                <a:pt x="271851" y="162265"/>
                <a:pt x="256022" y="168445"/>
                <a:pt x="243521" y="180805"/>
              </a:cubicBezTo>
              <a:lnTo>
                <a:pt x="232693" y="194512"/>
              </a:lnTo>
              <a:lnTo>
                <a:pt x="232693" y="166772"/>
              </a:lnTo>
              <a:lnTo>
                <a:pt x="167618" y="166772"/>
              </a:lnTo>
              <a:cubicBezTo>
                <a:pt x="168181" y="179168"/>
                <a:pt x="168181" y="244337"/>
                <a:pt x="167618" y="362280"/>
              </a:cubicBezTo>
              <a:lnTo>
                <a:pt x="232693" y="362280"/>
              </a:lnTo>
              <a:lnTo>
                <a:pt x="232693" y="252976"/>
              </a:lnTo>
              <a:cubicBezTo>
                <a:pt x="232693" y="245839"/>
                <a:pt x="233350" y="240581"/>
                <a:pt x="234665" y="237200"/>
              </a:cubicBezTo>
              <a:cubicBezTo>
                <a:pt x="237482" y="230627"/>
                <a:pt x="241708" y="225040"/>
                <a:pt x="247342" y="220438"/>
              </a:cubicBezTo>
              <a:cubicBezTo>
                <a:pt x="252976" y="215837"/>
                <a:pt x="259925" y="213536"/>
                <a:pt x="268189" y="213536"/>
              </a:cubicBezTo>
              <a:cubicBezTo>
                <a:pt x="289974" y="213536"/>
                <a:pt x="300867" y="228279"/>
                <a:pt x="300867" y="257765"/>
              </a:cubicBezTo>
              <a:lnTo>
                <a:pt x="300867" y="362280"/>
              </a:lnTo>
              <a:lnTo>
                <a:pt x="365942" y="362280"/>
              </a:lnTo>
              <a:lnTo>
                <a:pt x="365942" y="250159"/>
              </a:lnTo>
              <a:cubicBezTo>
                <a:pt x="365942" y="221237"/>
                <a:pt x="359087" y="199357"/>
                <a:pt x="345377" y="184520"/>
              </a:cubicBezTo>
              <a:cubicBezTo>
                <a:pt x="331667" y="169683"/>
                <a:pt x="313544" y="162265"/>
                <a:pt x="291007" y="162265"/>
              </a:cubicBezTo>
              <a:close/>
              <a:moveTo>
                <a:pt x="99726" y="72681"/>
              </a:moveTo>
              <a:cubicBezTo>
                <a:pt x="88833" y="72681"/>
                <a:pt x="79959" y="75874"/>
                <a:pt x="73104" y="82259"/>
              </a:cubicBezTo>
              <a:cubicBezTo>
                <a:pt x="66249" y="88645"/>
                <a:pt x="62822" y="96720"/>
                <a:pt x="62822" y="106486"/>
              </a:cubicBezTo>
              <a:cubicBezTo>
                <a:pt x="62822" y="116065"/>
                <a:pt x="66155" y="124093"/>
                <a:pt x="72822" y="130573"/>
              </a:cubicBezTo>
              <a:cubicBezTo>
                <a:pt x="79490" y="137052"/>
                <a:pt x="88176" y="140292"/>
                <a:pt x="98881" y="140292"/>
              </a:cubicBezTo>
              <a:lnTo>
                <a:pt x="99162" y="140292"/>
              </a:lnTo>
              <a:cubicBezTo>
                <a:pt x="110243" y="140292"/>
                <a:pt x="119164" y="137052"/>
                <a:pt x="125925" y="130573"/>
              </a:cubicBezTo>
              <a:cubicBezTo>
                <a:pt x="132686" y="124093"/>
                <a:pt x="136066" y="116065"/>
                <a:pt x="136066" y="106486"/>
              </a:cubicBezTo>
              <a:cubicBezTo>
                <a:pt x="135879" y="96720"/>
                <a:pt x="132498" y="88645"/>
                <a:pt x="125925" y="82259"/>
              </a:cubicBezTo>
              <a:cubicBezTo>
                <a:pt x="119352" y="75874"/>
                <a:pt x="110619" y="72681"/>
                <a:pt x="99726" y="72681"/>
              </a:cubicBezTo>
              <a:close/>
              <a:moveTo>
                <a:pt x="81133" y="0"/>
              </a:moveTo>
              <a:lnTo>
                <a:pt x="351575" y="0"/>
              </a:lnTo>
              <a:cubicBezTo>
                <a:pt x="373924" y="0"/>
                <a:pt x="393033" y="7935"/>
                <a:pt x="408903" y="23804"/>
              </a:cubicBezTo>
              <a:cubicBezTo>
                <a:pt x="424773" y="39674"/>
                <a:pt x="432707" y="58783"/>
                <a:pt x="432707" y="81133"/>
              </a:cubicBezTo>
              <a:lnTo>
                <a:pt x="432707" y="351575"/>
              </a:lnTo>
              <a:cubicBezTo>
                <a:pt x="432707" y="373924"/>
                <a:pt x="424773" y="393033"/>
                <a:pt x="408903" y="408903"/>
              </a:cubicBezTo>
              <a:cubicBezTo>
                <a:pt x="393033" y="424772"/>
                <a:pt x="373924" y="432707"/>
                <a:pt x="351575" y="432707"/>
              </a:cubicBezTo>
              <a:lnTo>
                <a:pt x="81133" y="432707"/>
              </a:lnTo>
              <a:cubicBezTo>
                <a:pt x="58784" y="432707"/>
                <a:pt x="39674" y="424772"/>
                <a:pt x="23805" y="408903"/>
              </a:cubicBezTo>
              <a:cubicBezTo>
                <a:pt x="7935" y="393033"/>
                <a:pt x="0" y="373924"/>
                <a:pt x="0" y="351575"/>
              </a:cubicBezTo>
              <a:lnTo>
                <a:pt x="0" y="81133"/>
              </a:lnTo>
              <a:cubicBezTo>
                <a:pt x="0" y="58783"/>
                <a:pt x="7935" y="39674"/>
                <a:pt x="23805" y="23804"/>
              </a:cubicBezTo>
              <a:cubicBezTo>
                <a:pt x="39674" y="7935"/>
                <a:pt x="58784" y="0"/>
                <a:pt x="81133" y="0"/>
              </a:cubicBezTo>
              <a:close/>
            </a:path>
          </a:pathLst>
        </a:custGeom>
        <a:solidFill>
          <a:srgbClr val="007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0</xdr:col>
      <xdr:colOff>0</xdr:colOff>
      <xdr:row>35</xdr:row>
      <xdr:rowOff>0</xdr:rowOff>
    </xdr:from>
    <xdr:to>
      <xdr:col>18</xdr:col>
      <xdr:colOff>190499</xdr:colOff>
      <xdr:row>36</xdr:row>
      <xdr:rowOff>180974</xdr:rowOff>
    </xdr:to>
    <xdr:sp macro="" textlink="">
      <xdr:nvSpPr>
        <xdr:cNvPr id="6" name="5 Rectángulo">
          <a:extLst>
            <a:ext uri="{FF2B5EF4-FFF2-40B4-BE49-F238E27FC236}">
              <a16:creationId xmlns="" xmlns:a16="http://schemas.microsoft.com/office/drawing/2014/main" id="{00000000-0008-0000-2400-000006000000}"/>
            </a:ext>
          </a:extLst>
        </xdr:cNvPr>
        <xdr:cNvSpPr/>
      </xdr:nvSpPr>
      <xdr:spPr>
        <a:xfrm>
          <a:off x="0" y="6667500"/>
          <a:ext cx="9953624" cy="371474"/>
        </a:xfrm>
        <a:prstGeom prst="rect">
          <a:avLst/>
        </a:prstGeom>
        <a:gradFill>
          <a:gsLst>
            <a:gs pos="0">
              <a:srgbClr val="742F9D"/>
            </a:gs>
            <a:gs pos="100000">
              <a:srgbClr val="375EB0"/>
            </a:gs>
          </a:gsLst>
          <a:lin ang="7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A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x-none"/>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OL-SUPV_v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OL-SUPV_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tmap"/>
      <sheetName val="Mercado"/>
      <sheetName val="Fundamentals"/>
      <sheetName val="Earnings"/>
      <sheetName val="Glosario"/>
      <sheetName val="Disclaimer"/>
      <sheetName val="Hetmap CA"/>
      <sheetName val="Macro"/>
      <sheetName val="NI"/>
      <sheetName val="Datos"/>
      <sheetName val="Mkt cap"/>
      <sheetName val="Heatmap (2)"/>
      <sheetName val="Mkt SUPV"/>
      <sheetName val="Fund SUPV"/>
      <sheetName val="Earn SUPV"/>
      <sheetName val="Glos SUPV"/>
    </sheetNames>
    <definedNames>
      <definedName name="Ordenar"/>
    </definedNames>
    <sheetDataSet>
      <sheetData sheetId="0"/>
      <sheetData sheetId="1"/>
      <sheetData sheetId="2"/>
      <sheetData sheetId="3"/>
      <sheetData sheetId="4"/>
      <sheetData sheetId="5"/>
      <sheetData sheetId="6">
        <row r="2">
          <cell r="P2">
            <v>43343</v>
          </cell>
          <cell r="Q2">
            <v>43373</v>
          </cell>
          <cell r="R2">
            <v>43404</v>
          </cell>
          <cell r="S2">
            <v>43434</v>
          </cell>
          <cell r="T2">
            <v>43465</v>
          </cell>
          <cell r="U2">
            <v>43496</v>
          </cell>
          <cell r="V2">
            <v>43524</v>
          </cell>
          <cell r="W2">
            <v>43555</v>
          </cell>
          <cell r="X2">
            <v>43585</v>
          </cell>
          <cell r="Y2">
            <v>43616</v>
          </cell>
          <cell r="Z2">
            <v>43646</v>
          </cell>
          <cell r="AA2">
            <v>43663</v>
          </cell>
        </row>
        <row r="4">
          <cell r="A4" t="str">
            <v>TEF.BA</v>
          </cell>
          <cell r="B4">
            <v>255</v>
          </cell>
          <cell r="C4">
            <v>306</v>
          </cell>
          <cell r="D4">
            <v>325</v>
          </cell>
          <cell r="E4">
            <v>297.55</v>
          </cell>
          <cell r="F4">
            <v>327.35000000000002</v>
          </cell>
          <cell r="G4">
            <v>319</v>
          </cell>
          <cell r="H4">
            <v>334</v>
          </cell>
          <cell r="I4">
            <v>339.5</v>
          </cell>
          <cell r="J4">
            <v>370</v>
          </cell>
          <cell r="K4">
            <v>365</v>
          </cell>
          <cell r="L4">
            <v>348</v>
          </cell>
          <cell r="M4">
            <v>350</v>
          </cell>
          <cell r="N4" t="str">
            <v>NULL</v>
          </cell>
          <cell r="P4">
            <v>0.19999999999999996</v>
          </cell>
          <cell r="Q4">
            <v>6.2091503267973858E-2</v>
          </cell>
          <cell r="R4">
            <v>-8.4461538461538477E-2</v>
          </cell>
          <cell r="S4">
            <v>0.10015123508654011</v>
          </cell>
          <cell r="T4">
            <v>-2.5507866198258844E-2</v>
          </cell>
          <cell r="U4">
            <v>4.7021943573667624E-2</v>
          </cell>
          <cell r="V4">
            <v>1.646706586826352E-2</v>
          </cell>
          <cell r="W4">
            <v>8.9837997054491803E-2</v>
          </cell>
          <cell r="X4">
            <v>-1.3513513513513487E-2</v>
          </cell>
          <cell r="Y4">
            <v>-4.6575342465753455E-2</v>
          </cell>
          <cell r="Z4">
            <v>5.7471264367816577E-3</v>
          </cell>
          <cell r="AA4" t="e">
            <v>#VALUE!</v>
          </cell>
        </row>
        <row r="5">
          <cell r="A5" t="str">
            <v>TECO2.BA</v>
          </cell>
          <cell r="B5">
            <v>108.0238275</v>
          </cell>
          <cell r="C5">
            <v>121.8805425</v>
          </cell>
          <cell r="D5">
            <v>140.42121750000001</v>
          </cell>
          <cell r="E5">
            <v>126.75966750000001</v>
          </cell>
          <cell r="F5">
            <v>126.75966750000001</v>
          </cell>
          <cell r="G5">
            <v>116.123175</v>
          </cell>
          <cell r="H5">
            <v>120.807135</v>
          </cell>
          <cell r="I5">
            <v>114.12273374999999</v>
          </cell>
          <cell r="J5">
            <v>123.73461</v>
          </cell>
          <cell r="K5">
            <v>115.732845</v>
          </cell>
          <cell r="L5">
            <v>132.6</v>
          </cell>
          <cell r="M5">
            <v>152</v>
          </cell>
          <cell r="N5">
            <v>151.69999999999999</v>
          </cell>
          <cell r="P5">
            <v>0.12827461607949431</v>
          </cell>
          <cell r="Q5">
            <v>0.15212169735788628</v>
          </cell>
          <cell r="R5">
            <v>-9.7289784572619942E-2</v>
          </cell>
          <cell r="S5">
            <v>0</v>
          </cell>
          <cell r="T5">
            <v>-8.391070053887606E-2</v>
          </cell>
          <cell r="U5">
            <v>4.0336134453781591E-2</v>
          </cell>
          <cell r="V5">
            <v>-5.5331179321486346E-2</v>
          </cell>
          <cell r="W5">
            <v>8.4224027362120646E-2</v>
          </cell>
          <cell r="X5">
            <v>-6.466876971608837E-2</v>
          </cell>
          <cell r="Y5">
            <v>0.14574216161367159</v>
          </cell>
          <cell r="Z5">
            <v>0.14630467571644057</v>
          </cell>
          <cell r="AA5">
            <v>-1.9736842105263497E-3</v>
          </cell>
        </row>
        <row r="6">
          <cell r="A6" t="str">
            <v>CVH.BA</v>
          </cell>
          <cell r="B6">
            <v>345</v>
          </cell>
          <cell r="C6">
            <v>289.55</v>
          </cell>
          <cell r="D6">
            <v>337.75</v>
          </cell>
          <cell r="E6">
            <v>288.64999999999998</v>
          </cell>
          <cell r="F6">
            <v>265.64999999999998</v>
          </cell>
          <cell r="G6">
            <v>238.45</v>
          </cell>
          <cell r="H6">
            <v>274</v>
          </cell>
          <cell r="I6">
            <v>258.5</v>
          </cell>
          <cell r="J6">
            <v>223.75</v>
          </cell>
          <cell r="K6">
            <v>187.75</v>
          </cell>
          <cell r="L6">
            <v>219</v>
          </cell>
          <cell r="M6">
            <v>262</v>
          </cell>
          <cell r="N6">
            <v>255</v>
          </cell>
          <cell r="P6">
            <v>-0.16072463768115941</v>
          </cell>
          <cell r="Q6">
            <v>0.16646520462787073</v>
          </cell>
          <cell r="R6">
            <v>-0.14537379718726873</v>
          </cell>
          <cell r="S6">
            <v>-7.9681274900398447E-2</v>
          </cell>
          <cell r="T6">
            <v>-0.10239036325992845</v>
          </cell>
          <cell r="U6">
            <v>0.14908785908995603</v>
          </cell>
          <cell r="V6">
            <v>-5.6569343065693389E-2</v>
          </cell>
          <cell r="W6">
            <v>-0.13442940038684714</v>
          </cell>
          <cell r="X6">
            <v>-0.1608938547486034</v>
          </cell>
          <cell r="Y6">
            <v>0.16644474034620504</v>
          </cell>
          <cell r="Z6">
            <v>0.19634703196347036</v>
          </cell>
          <cell r="AA6">
            <v>-2.6717557251908386E-2</v>
          </cell>
        </row>
        <row r="7">
          <cell r="A7" t="str">
            <v>GCLA.BA</v>
          </cell>
          <cell r="B7">
            <v>51</v>
          </cell>
          <cell r="C7">
            <v>51</v>
          </cell>
          <cell r="D7">
            <v>68.400000000000006</v>
          </cell>
          <cell r="E7">
            <v>58</v>
          </cell>
          <cell r="F7">
            <v>50</v>
          </cell>
          <cell r="G7">
            <v>49.5</v>
          </cell>
          <cell r="H7">
            <v>49</v>
          </cell>
          <cell r="I7">
            <v>46.5</v>
          </cell>
          <cell r="J7">
            <v>39.4</v>
          </cell>
          <cell r="K7">
            <v>32.5</v>
          </cell>
          <cell r="L7">
            <v>37</v>
          </cell>
          <cell r="M7">
            <v>39</v>
          </cell>
          <cell r="N7">
            <v>43</v>
          </cell>
          <cell r="P7">
            <v>0</v>
          </cell>
          <cell r="Q7">
            <v>0.34117647058823541</v>
          </cell>
          <cell r="R7">
            <v>-0.1520467836257311</v>
          </cell>
          <cell r="S7">
            <v>-0.13793103448275867</v>
          </cell>
          <cell r="T7">
            <v>-1.0000000000000009E-2</v>
          </cell>
          <cell r="U7">
            <v>-1.0101010101010055E-2</v>
          </cell>
          <cell r="V7">
            <v>-5.1020408163265252E-2</v>
          </cell>
          <cell r="W7">
            <v>-0.15268817204301077</v>
          </cell>
          <cell r="X7">
            <v>-0.17512690355329952</v>
          </cell>
          <cell r="Y7">
            <v>0.13846153846153841</v>
          </cell>
          <cell r="Z7">
            <v>5.4054054054053946E-2</v>
          </cell>
          <cell r="AA7">
            <v>0.10256410256410264</v>
          </cell>
        </row>
        <row r="8">
          <cell r="A8" t="str">
            <v>MIRG.BA</v>
          </cell>
          <cell r="B8">
            <v>394.60475346099997</v>
          </cell>
          <cell r="C8">
            <v>345.71522793100002</v>
          </cell>
          <cell r="D8">
            <v>369.38752622499999</v>
          </cell>
          <cell r="E8">
            <v>315.54107419399998</v>
          </cell>
          <cell r="F8">
            <v>305.95501624399998</v>
          </cell>
          <cell r="G8">
            <v>354.98370846900002</v>
          </cell>
          <cell r="H8">
            <v>383.94159186000002</v>
          </cell>
          <cell r="I8">
            <v>370.960471719</v>
          </cell>
          <cell r="J8">
            <v>311.04760952999999</v>
          </cell>
          <cell r="K8">
            <v>300.56285864699998</v>
          </cell>
          <cell r="L8">
            <v>306.70995352199998</v>
          </cell>
          <cell r="M8">
            <v>342.84050500000001</v>
          </cell>
          <cell r="N8">
            <v>352.5</v>
          </cell>
          <cell r="P8">
            <v>-0.12389492296075921</v>
          </cell>
          <cell r="Q8">
            <v>6.8473403487811169E-2</v>
          </cell>
          <cell r="R8">
            <v>-0.14577225327907051</v>
          </cell>
          <cell r="S8">
            <v>-3.0379746834817256E-2</v>
          </cell>
          <cell r="T8">
            <v>0.16024804177715968</v>
          </cell>
          <cell r="U8">
            <v>8.1575246131411872E-2</v>
          </cell>
          <cell r="V8">
            <v>-3.3810143043146668E-2</v>
          </cell>
          <cell r="W8">
            <v>-0.16150740242314443</v>
          </cell>
          <cell r="X8">
            <v>-3.3707865168430939E-2</v>
          </cell>
          <cell r="Y8">
            <v>2.0451944404147104E-2</v>
          </cell>
          <cell r="Z8">
            <v>0.11780038783582691</v>
          </cell>
          <cell r="AA8">
            <v>2.8174894328778288E-2</v>
          </cell>
        </row>
        <row r="9">
          <cell r="A9" t="str">
            <v>HAVA.BA</v>
          </cell>
          <cell r="B9">
            <v>44.157266960999998</v>
          </cell>
          <cell r="C9">
            <v>47.837039208</v>
          </cell>
          <cell r="D9">
            <v>57.956412886999999</v>
          </cell>
          <cell r="E9">
            <v>44.157266960999998</v>
          </cell>
          <cell r="F9">
            <v>50.228891169000001</v>
          </cell>
          <cell r="G9">
            <v>49.676925332000003</v>
          </cell>
          <cell r="H9">
            <v>64.396014319000003</v>
          </cell>
          <cell r="I9">
            <v>68.075786566000005</v>
          </cell>
          <cell r="J9">
            <v>87.394590860999998</v>
          </cell>
          <cell r="K9">
            <v>76.815245652000002</v>
          </cell>
          <cell r="L9">
            <v>80.5</v>
          </cell>
          <cell r="M9">
            <v>81</v>
          </cell>
          <cell r="N9">
            <v>78.5</v>
          </cell>
          <cell r="P9">
            <v>8.3333333338994953E-2</v>
          </cell>
          <cell r="Q9">
            <v>0.21153846154650169</v>
          </cell>
          <cell r="R9">
            <v>-0.23809523810427613</v>
          </cell>
          <cell r="S9">
            <v>0.13750000001953255</v>
          </cell>
          <cell r="T9">
            <v>-1.0989010988573411E-2</v>
          </cell>
          <cell r="U9">
            <v>0.29629629629107734</v>
          </cell>
          <cell r="V9">
            <v>5.71428571459629E-2</v>
          </cell>
          <cell r="W9">
            <v>0.28378378377266733</v>
          </cell>
          <cell r="X9">
            <v>-0.12105263157334656</v>
          </cell>
          <cell r="Y9">
            <v>4.7969049851031231E-2</v>
          </cell>
          <cell r="Z9">
            <v>6.2111801242235032E-3</v>
          </cell>
          <cell r="AA9">
            <v>-3.0864197530864224E-2</v>
          </cell>
        </row>
        <row r="10">
          <cell r="A10" t="str">
            <v>GRIM.BA</v>
          </cell>
          <cell r="B10">
            <v>30.315085627999999</v>
          </cell>
          <cell r="C10">
            <v>27.407902499999999</v>
          </cell>
          <cell r="D10">
            <v>24.417949499999999</v>
          </cell>
          <cell r="E10">
            <v>18.936368999999999</v>
          </cell>
          <cell r="F10">
            <v>18.899999999999999</v>
          </cell>
          <cell r="G10">
            <v>18.55</v>
          </cell>
          <cell r="H10">
            <v>15.5</v>
          </cell>
          <cell r="I10">
            <v>31.9</v>
          </cell>
          <cell r="J10">
            <v>25</v>
          </cell>
          <cell r="K10">
            <v>21</v>
          </cell>
          <cell r="L10">
            <v>27</v>
          </cell>
          <cell r="M10">
            <v>20</v>
          </cell>
          <cell r="N10">
            <v>23</v>
          </cell>
          <cell r="P10">
            <v>-9.5898892177788575E-2</v>
          </cell>
          <cell r="Q10">
            <v>-0.10909090909090913</v>
          </cell>
          <cell r="R10">
            <v>-0.22448979591836737</v>
          </cell>
          <cell r="S10">
            <v>-1.9205899504810553E-3</v>
          </cell>
          <cell r="T10">
            <v>-1.8518518518518379E-2</v>
          </cell>
          <cell r="U10">
            <v>-0.16442048517520214</v>
          </cell>
          <cell r="V10">
            <v>1.0580645161290323</v>
          </cell>
          <cell r="W10">
            <v>-0.21630094043887149</v>
          </cell>
          <cell r="X10">
            <v>-0.16000000000000003</v>
          </cell>
          <cell r="Y10">
            <v>0.28571428571428581</v>
          </cell>
          <cell r="Z10">
            <v>-0.2592592592592593</v>
          </cell>
          <cell r="AA10">
            <v>0.14999999999999991</v>
          </cell>
        </row>
        <row r="11">
          <cell r="A11" t="str">
            <v>TGLT.BA</v>
          </cell>
          <cell r="B11">
            <v>10.1</v>
          </cell>
          <cell r="C11">
            <v>8.4499999999999993</v>
          </cell>
          <cell r="D11">
            <v>11.85</v>
          </cell>
          <cell r="E11">
            <v>8.6</v>
          </cell>
          <cell r="F11">
            <v>7.9</v>
          </cell>
          <cell r="G11">
            <v>7.28</v>
          </cell>
          <cell r="H11">
            <v>6.6</v>
          </cell>
          <cell r="I11">
            <v>5.75</v>
          </cell>
          <cell r="J11">
            <v>4.55</v>
          </cell>
          <cell r="K11">
            <v>3.9</v>
          </cell>
          <cell r="L11">
            <v>4.8600000000000003</v>
          </cell>
          <cell r="M11">
            <v>4.63</v>
          </cell>
          <cell r="N11">
            <v>4.8</v>
          </cell>
          <cell r="P11">
            <v>-0.1633663366336634</v>
          </cell>
          <cell r="Q11">
            <v>0.4023668639053255</v>
          </cell>
          <cell r="R11">
            <v>-0.27426160337552741</v>
          </cell>
          <cell r="S11">
            <v>-8.1395348837209225E-2</v>
          </cell>
          <cell r="T11">
            <v>-7.8481012658227822E-2</v>
          </cell>
          <cell r="U11">
            <v>-9.3406593406593519E-2</v>
          </cell>
          <cell r="V11">
            <v>-0.12878787878787878</v>
          </cell>
          <cell r="W11">
            <v>-0.20869565217391306</v>
          </cell>
          <cell r="X11">
            <v>-0.14285714285714279</v>
          </cell>
          <cell r="Y11">
            <v>0.24615384615384617</v>
          </cell>
          <cell r="Z11">
            <v>-4.7325102880658498E-2</v>
          </cell>
          <cell r="AA11">
            <v>3.6717062634989084E-2</v>
          </cell>
        </row>
        <row r="12">
          <cell r="A12" t="str">
            <v>LONG.BA</v>
          </cell>
          <cell r="B12">
            <v>3.21</v>
          </cell>
          <cell r="C12">
            <v>3.19</v>
          </cell>
          <cell r="D12">
            <v>3.45</v>
          </cell>
          <cell r="E12">
            <v>2.65</v>
          </cell>
          <cell r="F12">
            <v>2.5</v>
          </cell>
          <cell r="G12">
            <v>2.19</v>
          </cell>
          <cell r="H12">
            <v>2.4</v>
          </cell>
          <cell r="I12">
            <v>2.5</v>
          </cell>
          <cell r="J12">
            <v>2.21</v>
          </cell>
          <cell r="K12">
            <v>2.35</v>
          </cell>
          <cell r="L12">
            <v>2.4900000000000002</v>
          </cell>
          <cell r="M12">
            <v>2.38</v>
          </cell>
          <cell r="N12">
            <v>2.5</v>
          </cell>
          <cell r="P12">
            <v>-6.230529595015577E-3</v>
          </cell>
          <cell r="Q12">
            <v>8.1504702194357348E-2</v>
          </cell>
          <cell r="R12">
            <v>-0.23188405797101452</v>
          </cell>
          <cell r="S12">
            <v>-5.6603773584905648E-2</v>
          </cell>
          <cell r="T12">
            <v>-0.124</v>
          </cell>
          <cell r="U12">
            <v>9.5890410958904049E-2</v>
          </cell>
          <cell r="V12">
            <v>4.1666666666666741E-2</v>
          </cell>
          <cell r="W12">
            <v>-0.11599999999999999</v>
          </cell>
          <cell r="X12">
            <v>6.3348416289592757E-2</v>
          </cell>
          <cell r="Y12">
            <v>5.9574468085106469E-2</v>
          </cell>
          <cell r="Z12">
            <v>-4.4176706827309342E-2</v>
          </cell>
          <cell r="AA12">
            <v>5.0420168067226934E-2</v>
          </cell>
        </row>
        <row r="13">
          <cell r="A13" t="str">
            <v>PSUR.BA</v>
          </cell>
          <cell r="B13">
            <v>2.73</v>
          </cell>
          <cell r="C13">
            <v>2.91</v>
          </cell>
          <cell r="D13">
            <v>4.76</v>
          </cell>
          <cell r="E13">
            <v>2.75</v>
          </cell>
          <cell r="F13">
            <v>2.62</v>
          </cell>
          <cell r="G13">
            <v>2.8</v>
          </cell>
          <cell r="H13">
            <v>3.7</v>
          </cell>
          <cell r="I13">
            <v>4.3499999999999996</v>
          </cell>
          <cell r="J13">
            <v>3.65</v>
          </cell>
          <cell r="K13">
            <v>3.65</v>
          </cell>
          <cell r="L13">
            <v>3.65</v>
          </cell>
          <cell r="M13">
            <v>3.65</v>
          </cell>
          <cell r="N13" t="str">
            <v>NULL</v>
          </cell>
          <cell r="P13">
            <v>6.5934065934065922E-2</v>
          </cell>
          <cell r="Q13">
            <v>0.63573883161512001</v>
          </cell>
          <cell r="R13">
            <v>-0.42226890756302515</v>
          </cell>
          <cell r="S13">
            <v>-4.7272727272727244E-2</v>
          </cell>
          <cell r="T13">
            <v>6.8702290076335659E-2</v>
          </cell>
          <cell r="U13">
            <v>0.32142857142857162</v>
          </cell>
          <cell r="V13">
            <v>0.17567567567567544</v>
          </cell>
          <cell r="W13">
            <v>-0.16091954022988497</v>
          </cell>
          <cell r="X13">
            <v>0</v>
          </cell>
          <cell r="Y13">
            <v>0</v>
          </cell>
          <cell r="Z13">
            <v>0</v>
          </cell>
          <cell r="AA13" t="e">
            <v>#VALUE!</v>
          </cell>
        </row>
        <row r="14">
          <cell r="A14" t="str">
            <v>DOME.BA</v>
          </cell>
          <cell r="B14">
            <v>2.9202145000000002</v>
          </cell>
          <cell r="C14">
            <v>2.9202145000000002</v>
          </cell>
          <cell r="D14">
            <v>3.1353882</v>
          </cell>
          <cell r="E14">
            <v>2.6128235000000002</v>
          </cell>
          <cell r="F14">
            <v>2.4591280000000002</v>
          </cell>
          <cell r="G14">
            <v>2.4591280000000002</v>
          </cell>
          <cell r="H14">
            <v>2.4591280000000002</v>
          </cell>
          <cell r="I14">
            <v>2.4591280000000002</v>
          </cell>
          <cell r="J14">
            <v>2.4591280000000002</v>
          </cell>
          <cell r="K14">
            <v>2.1517369999999998</v>
          </cell>
          <cell r="L14">
            <v>2.1517369999999998</v>
          </cell>
          <cell r="M14">
            <v>2000</v>
          </cell>
          <cell r="N14">
            <v>1.95</v>
          </cell>
          <cell r="P14">
            <v>0</v>
          </cell>
          <cell r="Q14">
            <v>7.3684210526315796E-2</v>
          </cell>
          <cell r="R14">
            <v>-0.16666666666666663</v>
          </cell>
          <cell r="S14">
            <v>-5.8823529411764719E-2</v>
          </cell>
          <cell r="T14">
            <v>0</v>
          </cell>
          <cell r="U14">
            <v>0</v>
          </cell>
          <cell r="V14">
            <v>0</v>
          </cell>
          <cell r="W14">
            <v>0</v>
          </cell>
          <cell r="X14">
            <v>-0.12500000000000011</v>
          </cell>
          <cell r="Y14">
            <v>0</v>
          </cell>
          <cell r="Z14">
            <v>928.48162345119329</v>
          </cell>
          <cell r="AA14">
            <v>-0.99902500000000005</v>
          </cell>
        </row>
        <row r="15">
          <cell r="A15" t="str">
            <v>PATA.BA</v>
          </cell>
          <cell r="B15">
            <v>27.3</v>
          </cell>
          <cell r="C15">
            <v>27</v>
          </cell>
          <cell r="D15">
            <v>26</v>
          </cell>
          <cell r="E15">
            <v>27</v>
          </cell>
          <cell r="F15">
            <v>26</v>
          </cell>
          <cell r="G15">
            <v>24.2</v>
          </cell>
          <cell r="H15">
            <v>24.5</v>
          </cell>
          <cell r="I15">
            <v>24.4</v>
          </cell>
          <cell r="J15">
            <v>23.5</v>
          </cell>
          <cell r="K15">
            <v>22</v>
          </cell>
          <cell r="L15">
            <v>21</v>
          </cell>
          <cell r="M15">
            <v>22.8</v>
          </cell>
          <cell r="N15">
            <v>23</v>
          </cell>
          <cell r="P15">
            <v>-1.0989010989011061E-2</v>
          </cell>
          <cell r="Q15">
            <v>-3.703703703703709E-2</v>
          </cell>
          <cell r="R15">
            <v>3.8461538461538547E-2</v>
          </cell>
          <cell r="S15">
            <v>-3.703703703703709E-2</v>
          </cell>
          <cell r="T15">
            <v>-6.9230769230769207E-2</v>
          </cell>
          <cell r="U15">
            <v>1.2396694214876103E-2</v>
          </cell>
          <cell r="V15">
            <v>-4.0816326530612734E-3</v>
          </cell>
          <cell r="W15">
            <v>-3.688524590163933E-2</v>
          </cell>
          <cell r="X15">
            <v>-6.3829787234042534E-2</v>
          </cell>
          <cell r="Y15">
            <v>-4.5454545454545414E-2</v>
          </cell>
          <cell r="Z15">
            <v>8.5714285714285854E-2</v>
          </cell>
          <cell r="AA15">
            <v>8.7719298245614308E-3</v>
          </cell>
        </row>
        <row r="16">
          <cell r="A16" t="str">
            <v>MOLA.BA</v>
          </cell>
          <cell r="B16">
            <v>239.449208</v>
          </cell>
          <cell r="C16">
            <v>285</v>
          </cell>
          <cell r="D16">
            <v>297</v>
          </cell>
          <cell r="E16">
            <v>235</v>
          </cell>
          <cell r="F16">
            <v>240</v>
          </cell>
          <cell r="G16">
            <v>213</v>
          </cell>
          <cell r="H16">
            <v>245</v>
          </cell>
          <cell r="I16">
            <v>230</v>
          </cell>
          <cell r="J16">
            <v>222.75</v>
          </cell>
          <cell r="K16">
            <v>195</v>
          </cell>
          <cell r="L16">
            <v>255</v>
          </cell>
          <cell r="M16">
            <v>362</v>
          </cell>
          <cell r="N16">
            <v>376</v>
          </cell>
          <cell r="P16">
            <v>0.19023154171384848</v>
          </cell>
          <cell r="Q16">
            <v>4.2105263157894646E-2</v>
          </cell>
          <cell r="R16">
            <v>-0.2087542087542088</v>
          </cell>
          <cell r="S16">
            <v>2.1276595744680771E-2</v>
          </cell>
          <cell r="T16">
            <v>-0.11250000000000004</v>
          </cell>
          <cell r="U16">
            <v>0.15023474178403751</v>
          </cell>
          <cell r="V16">
            <v>-6.1224489795918324E-2</v>
          </cell>
          <cell r="W16">
            <v>-3.1521739130434767E-2</v>
          </cell>
          <cell r="X16">
            <v>-0.12457912457912457</v>
          </cell>
          <cell r="Y16">
            <v>0.30769230769230771</v>
          </cell>
          <cell r="Z16">
            <v>0.41960784313725497</v>
          </cell>
          <cell r="AA16">
            <v>3.8674033149171283E-2</v>
          </cell>
        </row>
        <row r="17">
          <cell r="A17" t="str">
            <v>MOLI.BA</v>
          </cell>
          <cell r="B17">
            <v>45.4</v>
          </cell>
          <cell r="C17">
            <v>43.25</v>
          </cell>
          <cell r="D17">
            <v>50.9</v>
          </cell>
          <cell r="E17">
            <v>43</v>
          </cell>
          <cell r="F17">
            <v>42</v>
          </cell>
          <cell r="G17">
            <v>37</v>
          </cell>
          <cell r="H17">
            <v>43.5</v>
          </cell>
          <cell r="I17">
            <v>39.9</v>
          </cell>
          <cell r="J17">
            <v>39</v>
          </cell>
          <cell r="K17">
            <v>36.35</v>
          </cell>
          <cell r="L17">
            <v>46.3</v>
          </cell>
          <cell r="M17">
            <v>44.15</v>
          </cell>
          <cell r="N17">
            <v>43.55</v>
          </cell>
          <cell r="P17">
            <v>-4.7356828193832579E-2</v>
          </cell>
          <cell r="Q17">
            <v>0.17687861271676297</v>
          </cell>
          <cell r="R17">
            <v>-0.15520628683693516</v>
          </cell>
          <cell r="S17">
            <v>-2.3255813953488413E-2</v>
          </cell>
          <cell r="T17">
            <v>-0.11904761904761907</v>
          </cell>
          <cell r="U17">
            <v>0.17567567567567566</v>
          </cell>
          <cell r="V17">
            <v>-8.2758620689655227E-2</v>
          </cell>
          <cell r="W17">
            <v>-2.2556390977443552E-2</v>
          </cell>
          <cell r="X17">
            <v>-6.7948717948717929E-2</v>
          </cell>
          <cell r="Y17">
            <v>0.27372764786795045</v>
          </cell>
          <cell r="Z17">
            <v>-4.643628509719222E-2</v>
          </cell>
          <cell r="AA17">
            <v>-1.3590033975084959E-2</v>
          </cell>
        </row>
        <row r="18">
          <cell r="A18" t="str">
            <v>ESME.BA</v>
          </cell>
          <cell r="B18">
            <v>100</v>
          </cell>
          <cell r="C18">
            <v>105</v>
          </cell>
          <cell r="D18">
            <v>123</v>
          </cell>
          <cell r="E18">
            <v>120</v>
          </cell>
          <cell r="F18">
            <v>120</v>
          </cell>
          <cell r="G18">
            <v>127</v>
          </cell>
          <cell r="H18">
            <v>134.75</v>
          </cell>
          <cell r="I18">
            <v>138</v>
          </cell>
          <cell r="J18">
            <v>125</v>
          </cell>
          <cell r="K18">
            <v>129</v>
          </cell>
          <cell r="L18">
            <v>137</v>
          </cell>
          <cell r="M18">
            <v>138</v>
          </cell>
          <cell r="N18">
            <v>124</v>
          </cell>
          <cell r="P18">
            <v>5.0000000000000044E-2</v>
          </cell>
          <cell r="Q18">
            <v>0.17142857142857149</v>
          </cell>
          <cell r="R18">
            <v>-2.4390243902439046E-2</v>
          </cell>
          <cell r="S18">
            <v>0</v>
          </cell>
          <cell r="T18">
            <v>5.8333333333333348E-2</v>
          </cell>
          <cell r="U18">
            <v>6.1023622047243986E-2</v>
          </cell>
          <cell r="V18">
            <v>2.4118738404452778E-2</v>
          </cell>
          <cell r="W18">
            <v>-9.4202898550724612E-2</v>
          </cell>
          <cell r="X18">
            <v>3.2000000000000028E-2</v>
          </cell>
          <cell r="Y18">
            <v>6.2015503875969102E-2</v>
          </cell>
          <cell r="Z18">
            <v>7.2992700729928028E-3</v>
          </cell>
          <cell r="AA18">
            <v>-0.10144927536231885</v>
          </cell>
        </row>
        <row r="19">
          <cell r="A19" t="str">
            <v>SAMI.BA</v>
          </cell>
          <cell r="B19">
            <v>110.47796700000001</v>
          </cell>
          <cell r="C19">
            <v>107.8901948</v>
          </cell>
          <cell r="D19">
            <v>124.0140062</v>
          </cell>
          <cell r="E19">
            <v>104.506185</v>
          </cell>
          <cell r="F19">
            <v>103.0132395</v>
          </cell>
          <cell r="G19">
            <v>95.050863500000006</v>
          </cell>
          <cell r="H19">
            <v>97.539106000000004</v>
          </cell>
          <cell r="I19">
            <v>94.553214999999994</v>
          </cell>
          <cell r="J19">
            <v>84.600245000000001</v>
          </cell>
          <cell r="K19">
            <v>72.656681000000006</v>
          </cell>
          <cell r="L19">
            <v>77.099999999999994</v>
          </cell>
          <cell r="M19">
            <v>80.900000000000006</v>
          </cell>
          <cell r="N19">
            <v>84.1</v>
          </cell>
          <cell r="P19">
            <v>-2.3423423423423406E-2</v>
          </cell>
          <cell r="Q19">
            <v>0.14944649446494451</v>
          </cell>
          <cell r="R19">
            <v>-0.15730337078651679</v>
          </cell>
          <cell r="S19">
            <v>-1.4285714285714346E-2</v>
          </cell>
          <cell r="T19">
            <v>-7.7294685990338063E-2</v>
          </cell>
          <cell r="U19">
            <v>2.6178010471204161E-2</v>
          </cell>
          <cell r="V19">
            <v>-3.0612244897959329E-2</v>
          </cell>
          <cell r="W19">
            <v>-0.10526315789473673</v>
          </cell>
          <cell r="X19">
            <v>-0.14117647058823524</v>
          </cell>
          <cell r="Y19">
            <v>6.115499550550596E-2</v>
          </cell>
          <cell r="Z19">
            <v>4.9286640726329489E-2</v>
          </cell>
          <cell r="AA19">
            <v>3.9555006180469476E-2</v>
          </cell>
        </row>
        <row r="20">
          <cell r="A20" t="str">
            <v>LEDE.BA</v>
          </cell>
          <cell r="B20">
            <v>12.4</v>
          </cell>
          <cell r="C20">
            <v>13.2</v>
          </cell>
          <cell r="D20">
            <v>15.05</v>
          </cell>
          <cell r="E20">
            <v>12.6</v>
          </cell>
          <cell r="F20">
            <v>12.75</v>
          </cell>
          <cell r="G20">
            <v>12.2</v>
          </cell>
          <cell r="H20">
            <v>13.45</v>
          </cell>
          <cell r="I20">
            <v>12.95</v>
          </cell>
          <cell r="J20">
            <v>12.2</v>
          </cell>
          <cell r="K20">
            <v>11.65</v>
          </cell>
          <cell r="L20">
            <v>11.6</v>
          </cell>
          <cell r="M20">
            <v>12.1</v>
          </cell>
          <cell r="N20">
            <v>13.1</v>
          </cell>
          <cell r="P20">
            <v>6.4516129032258007E-2</v>
          </cell>
          <cell r="Q20">
            <v>0.14015151515151536</v>
          </cell>
          <cell r="R20">
            <v>-0.16279069767441867</v>
          </cell>
          <cell r="S20">
            <v>1.1904761904761862E-2</v>
          </cell>
          <cell r="T20">
            <v>-4.3137254901960853E-2</v>
          </cell>
          <cell r="U20">
            <v>0.10245901639344268</v>
          </cell>
          <cell r="V20">
            <v>-3.7174721189591087E-2</v>
          </cell>
          <cell r="W20">
            <v>-5.791505791505791E-2</v>
          </cell>
          <cell r="X20">
            <v>-4.5081967213114638E-2</v>
          </cell>
          <cell r="Y20">
            <v>-4.2918454935623185E-3</v>
          </cell>
          <cell r="Z20">
            <v>4.31034482758621E-2</v>
          </cell>
          <cell r="AA20">
            <v>8.2644628099173501E-2</v>
          </cell>
        </row>
        <row r="21">
          <cell r="A21" t="str">
            <v>INVJ.BA</v>
          </cell>
          <cell r="B21">
            <v>10.25</v>
          </cell>
          <cell r="C21">
            <v>10.5</v>
          </cell>
          <cell r="D21">
            <v>9.9499999999999993</v>
          </cell>
          <cell r="E21">
            <v>8.75</v>
          </cell>
          <cell r="F21">
            <v>8.8000000000000007</v>
          </cell>
          <cell r="G21">
            <v>8.6999999999999993</v>
          </cell>
          <cell r="H21">
            <v>9.2899999999999991</v>
          </cell>
          <cell r="I21">
            <v>8.9</v>
          </cell>
          <cell r="J21">
            <v>8.4</v>
          </cell>
          <cell r="K21">
            <v>8.5</v>
          </cell>
          <cell r="L21">
            <v>8.6</v>
          </cell>
          <cell r="M21">
            <v>10.7</v>
          </cell>
          <cell r="N21">
            <v>9.5</v>
          </cell>
          <cell r="P21">
            <v>2.4390243902439046E-2</v>
          </cell>
          <cell r="Q21">
            <v>-5.2380952380952417E-2</v>
          </cell>
          <cell r="R21">
            <v>-0.12060301507537685</v>
          </cell>
          <cell r="S21">
            <v>5.7142857142857828E-3</v>
          </cell>
          <cell r="T21">
            <v>-1.1363636363636576E-2</v>
          </cell>
          <cell r="U21">
            <v>6.7816091954022939E-2</v>
          </cell>
          <cell r="V21">
            <v>-4.1980624327233484E-2</v>
          </cell>
          <cell r="W21">
            <v>-5.6179775280898903E-2</v>
          </cell>
          <cell r="X21">
            <v>1.1904761904761862E-2</v>
          </cell>
          <cell r="Y21">
            <v>1.1764705882352899E-2</v>
          </cell>
          <cell r="Z21">
            <v>0.2441860465116279</v>
          </cell>
          <cell r="AA21">
            <v>-0.11214953271028028</v>
          </cell>
        </row>
        <row r="22">
          <cell r="A22" t="str">
            <v>PATY.BA</v>
          </cell>
          <cell r="B22">
            <v>4.6391916499999999</v>
          </cell>
          <cell r="C22">
            <v>3.5366035</v>
          </cell>
          <cell r="D22">
            <v>4.2439242000000004</v>
          </cell>
          <cell r="E22">
            <v>4.25</v>
          </cell>
          <cell r="F22">
            <v>5.55</v>
          </cell>
          <cell r="G22">
            <v>4.4400000000000004</v>
          </cell>
          <cell r="H22">
            <v>4.45</v>
          </cell>
          <cell r="I22">
            <v>4.3</v>
          </cell>
          <cell r="J22">
            <v>4.4000000000000004</v>
          </cell>
          <cell r="K22">
            <v>4.67</v>
          </cell>
          <cell r="L22">
            <v>4.32</v>
          </cell>
          <cell r="M22">
            <v>4.45</v>
          </cell>
          <cell r="N22">
            <v>4.45</v>
          </cell>
          <cell r="P22">
            <v>-0.2376681614349776</v>
          </cell>
          <cell r="Q22">
            <v>0.20000000000000018</v>
          </cell>
          <cell r="R22">
            <v>1.4316466820967211E-3</v>
          </cell>
          <cell r="S22">
            <v>0.30588235294117649</v>
          </cell>
          <cell r="T22">
            <v>-0.19999999999999996</v>
          </cell>
          <cell r="U22">
            <v>2.2522522522521182E-3</v>
          </cell>
          <cell r="V22">
            <v>-3.3707865168539408E-2</v>
          </cell>
          <cell r="W22">
            <v>2.3255813953488413E-2</v>
          </cell>
          <cell r="X22">
            <v>6.1363636363636287E-2</v>
          </cell>
          <cell r="Y22">
            <v>-7.4946466809421741E-2</v>
          </cell>
          <cell r="Z22">
            <v>3.009259259259256E-2</v>
          </cell>
          <cell r="AA22">
            <v>0</v>
          </cell>
        </row>
        <row r="23">
          <cell r="A23" t="str">
            <v>INTR.BA</v>
          </cell>
          <cell r="B23">
            <v>6.194449724</v>
          </cell>
          <cell r="C23">
            <v>5.8794777040000001</v>
          </cell>
          <cell r="D23">
            <v>6.1594528329999996</v>
          </cell>
          <cell r="E23">
            <v>6.2994403969999997</v>
          </cell>
          <cell r="F23">
            <v>6.3274461000000004</v>
          </cell>
          <cell r="G23">
            <v>6.0430665000000001</v>
          </cell>
          <cell r="H23">
            <v>6.3274461000000004</v>
          </cell>
          <cell r="I23">
            <v>6.6829206000000001</v>
          </cell>
          <cell r="J23">
            <v>6.4</v>
          </cell>
          <cell r="K23">
            <v>5.5</v>
          </cell>
          <cell r="L23">
            <v>5.7</v>
          </cell>
          <cell r="M23">
            <v>5.8</v>
          </cell>
          <cell r="N23">
            <v>5.89</v>
          </cell>
          <cell r="P23">
            <v>-5.084745764900811E-2</v>
          </cell>
          <cell r="Q23">
            <v>4.7619047659543501E-2</v>
          </cell>
          <cell r="R23">
            <v>2.2727272664545772E-2</v>
          </cell>
          <cell r="S23">
            <v>4.4457445796832751E-3</v>
          </cell>
          <cell r="T23">
            <v>-4.49438202247191E-2</v>
          </cell>
          <cell r="U23">
            <v>4.705882352941182E-2</v>
          </cell>
          <cell r="V23">
            <v>5.6179775280898792E-2</v>
          </cell>
          <cell r="W23">
            <v>-4.233487376761591E-2</v>
          </cell>
          <cell r="X23">
            <v>-0.140625</v>
          </cell>
          <cell r="Y23">
            <v>3.6363636363636376E-2</v>
          </cell>
          <cell r="Z23">
            <v>1.754385964912264E-2</v>
          </cell>
          <cell r="AA23">
            <v>1.551724137931032E-2</v>
          </cell>
        </row>
        <row r="24">
          <cell r="A24" t="str">
            <v>SEMI.BA</v>
          </cell>
          <cell r="B24">
            <v>2.679314626</v>
          </cell>
          <cell r="C24">
            <v>2.7571011790000002</v>
          </cell>
          <cell r="D24">
            <v>3.2324634520000002</v>
          </cell>
          <cell r="E24">
            <v>3.0702699999999998</v>
          </cell>
          <cell r="F24">
            <v>2.8246484000000001</v>
          </cell>
          <cell r="G24">
            <v>2.5965712000000001</v>
          </cell>
          <cell r="H24">
            <v>2.7456985999999999</v>
          </cell>
          <cell r="I24">
            <v>2.587799</v>
          </cell>
          <cell r="J24">
            <v>2.59</v>
          </cell>
          <cell r="K24">
            <v>2.2200000000000002</v>
          </cell>
          <cell r="L24">
            <v>2.76</v>
          </cell>
          <cell r="M24">
            <v>3.1</v>
          </cell>
          <cell r="N24">
            <v>2.87</v>
          </cell>
          <cell r="P24">
            <v>2.9032257818906837E-2</v>
          </cell>
          <cell r="Q24">
            <v>0.17241379337859986</v>
          </cell>
          <cell r="R24">
            <v>-5.0176422536083898E-2</v>
          </cell>
          <cell r="S24">
            <v>-7.999999999999996E-2</v>
          </cell>
          <cell r="T24">
            <v>-8.0745341614906874E-2</v>
          </cell>
          <cell r="U24">
            <v>5.7432432432432456E-2</v>
          </cell>
          <cell r="V24">
            <v>-5.7507987220447254E-2</v>
          </cell>
          <cell r="W24">
            <v>8.5052973588739533E-4</v>
          </cell>
          <cell r="X24">
            <v>-0.14285714285714268</v>
          </cell>
          <cell r="Y24">
            <v>0.24324324324324298</v>
          </cell>
          <cell r="Z24">
            <v>0.12318840579710155</v>
          </cell>
          <cell r="AA24">
            <v>-7.4193548387096797E-2</v>
          </cell>
        </row>
        <row r="25">
          <cell r="A25" t="str">
            <v>MORI.BA</v>
          </cell>
          <cell r="B25">
            <v>2.1255663</v>
          </cell>
          <cell r="C25">
            <v>2.1800000000000002</v>
          </cell>
          <cell r="D25">
            <v>2.25</v>
          </cell>
          <cell r="E25">
            <v>1.99</v>
          </cell>
          <cell r="F25">
            <v>1.95</v>
          </cell>
          <cell r="G25">
            <v>1.87</v>
          </cell>
          <cell r="H25">
            <v>1.9</v>
          </cell>
          <cell r="I25">
            <v>1.84</v>
          </cell>
          <cell r="J25">
            <v>1.75</v>
          </cell>
          <cell r="K25">
            <v>1.71</v>
          </cell>
          <cell r="L25">
            <v>2.58</v>
          </cell>
          <cell r="M25">
            <v>3.08</v>
          </cell>
          <cell r="N25">
            <v>3.14</v>
          </cell>
          <cell r="P25">
            <v>2.560903416656557E-2</v>
          </cell>
          <cell r="Q25">
            <v>3.2110091743119185E-2</v>
          </cell>
          <cell r="R25">
            <v>-0.11555555555555552</v>
          </cell>
          <cell r="S25">
            <v>-2.010050251256279E-2</v>
          </cell>
          <cell r="T25">
            <v>-4.1025641025640991E-2</v>
          </cell>
          <cell r="U25">
            <v>1.6042780748662944E-2</v>
          </cell>
          <cell r="V25">
            <v>-3.1578947368420929E-2</v>
          </cell>
          <cell r="W25">
            <v>-4.8913043478260865E-2</v>
          </cell>
          <cell r="X25">
            <v>-2.2857142857142909E-2</v>
          </cell>
          <cell r="Y25">
            <v>0.50877192982456143</v>
          </cell>
          <cell r="Z25">
            <v>0.193798449612403</v>
          </cell>
          <cell r="AA25">
            <v>1.9480519480519431E-2</v>
          </cell>
        </row>
        <row r="26">
          <cell r="A26" t="str">
            <v>APBR.BA</v>
          </cell>
          <cell r="B26">
            <v>158.385036445</v>
          </cell>
          <cell r="C26">
            <v>202.47721111999999</v>
          </cell>
          <cell r="D26">
            <v>246.76755287200001</v>
          </cell>
          <cell r="E26">
            <v>288.234013774</v>
          </cell>
          <cell r="F26">
            <v>267.21333129200002</v>
          </cell>
          <cell r="G26">
            <v>248.7832152</v>
          </cell>
          <cell r="H26">
            <v>300.90162959999998</v>
          </cell>
          <cell r="I26">
            <v>308.32576319999998</v>
          </cell>
          <cell r="J26">
            <v>345.19729919999997</v>
          </cell>
          <cell r="K26">
            <v>336.62715839999998</v>
          </cell>
          <cell r="L26">
            <v>323.75</v>
          </cell>
          <cell r="M26">
            <v>330.75</v>
          </cell>
          <cell r="N26">
            <v>341.7</v>
          </cell>
          <cell r="P26">
            <v>0.27838598686253557</v>
          </cell>
          <cell r="Q26">
            <v>0.21874235380371254</v>
          </cell>
          <cell r="R26">
            <v>0.16803854647579586</v>
          </cell>
          <cell r="S26">
            <v>-7.2929222359169543E-2</v>
          </cell>
          <cell r="T26">
            <v>-6.8971544207352187E-2</v>
          </cell>
          <cell r="U26">
            <v>0.2094932906068494</v>
          </cell>
          <cell r="V26">
            <v>2.4672959099188541E-2</v>
          </cell>
          <cell r="W26">
            <v>0.11958629605688431</v>
          </cell>
          <cell r="X26">
            <v>-2.4826789838337193E-2</v>
          </cell>
          <cell r="Y26">
            <v>-3.8253474440997359E-2</v>
          </cell>
          <cell r="Z26">
            <v>2.1621621621621623E-2</v>
          </cell>
          <cell r="AA26">
            <v>3.3106575963718798E-2</v>
          </cell>
        </row>
        <row r="27">
          <cell r="A27" t="str">
            <v>TS.BA</v>
          </cell>
          <cell r="B27">
            <v>504.9</v>
          </cell>
          <cell r="C27">
            <v>624.65</v>
          </cell>
          <cell r="D27">
            <v>695.6</v>
          </cell>
          <cell r="E27">
            <v>527.5</v>
          </cell>
          <cell r="F27">
            <v>464.3</v>
          </cell>
          <cell r="G27">
            <v>410.6</v>
          </cell>
          <cell r="H27">
            <v>465.6</v>
          </cell>
          <cell r="I27">
            <v>521.20000000000005</v>
          </cell>
          <cell r="J27">
            <v>615.1</v>
          </cell>
          <cell r="K27">
            <v>615</v>
          </cell>
          <cell r="L27">
            <v>525.5</v>
          </cell>
          <cell r="M27">
            <v>558.04999999999995</v>
          </cell>
          <cell r="N27">
            <v>548.25</v>
          </cell>
          <cell r="P27">
            <v>0.23717567835214903</v>
          </cell>
          <cell r="Q27">
            <v>0.11358360681981927</v>
          </cell>
          <cell r="R27">
            <v>-0.24166187464059807</v>
          </cell>
          <cell r="S27">
            <v>-0.11981042654028429</v>
          </cell>
          <cell r="T27">
            <v>-0.11565797975446912</v>
          </cell>
          <cell r="U27">
            <v>0.13395031660983925</v>
          </cell>
          <cell r="V27">
            <v>0.11941580756013748</v>
          </cell>
          <cell r="W27">
            <v>0.18016116653875658</v>
          </cell>
          <cell r="X27">
            <v>-1.6257519102591544E-4</v>
          </cell>
          <cell r="Y27">
            <v>-0.14552845528455283</v>
          </cell>
          <cell r="Z27">
            <v>6.1941008563273003E-2</v>
          </cell>
          <cell r="AA27">
            <v>-1.7561150434548756E-2</v>
          </cell>
        </row>
        <row r="28">
          <cell r="A28" t="str">
            <v>YPFD.BA</v>
          </cell>
          <cell r="B28">
            <v>444.923397443</v>
          </cell>
          <cell r="C28">
            <v>558.94056601900002</v>
          </cell>
          <cell r="D28">
            <v>635.23146557999996</v>
          </cell>
          <cell r="E28">
            <v>534.43082000599998</v>
          </cell>
          <cell r="F28">
            <v>559.38440447799996</v>
          </cell>
          <cell r="G28">
            <v>498.34420514999999</v>
          </cell>
          <cell r="H28">
            <v>601.70485229999997</v>
          </cell>
          <cell r="I28">
            <v>549.99971819999996</v>
          </cell>
          <cell r="J28">
            <v>605.37680999999998</v>
          </cell>
          <cell r="K28">
            <v>595.45259999999996</v>
          </cell>
          <cell r="L28">
            <v>658.12398614999995</v>
          </cell>
          <cell r="M28">
            <v>774.03875894999999</v>
          </cell>
          <cell r="N28">
            <v>765.8</v>
          </cell>
          <cell r="P28">
            <v>0.25626246952006371</v>
          </cell>
          <cell r="Q28">
            <v>0.13649197105941768</v>
          </cell>
          <cell r="R28">
            <v>-0.15868333203860374</v>
          </cell>
          <cell r="S28">
            <v>4.669188889914655E-2</v>
          </cell>
          <cell r="T28">
            <v>-0.10912030946762052</v>
          </cell>
          <cell r="U28">
            <v>0.20740814497660054</v>
          </cell>
          <cell r="V28">
            <v>-8.5931057232393249E-2</v>
          </cell>
          <cell r="W28">
            <v>0.10068567304222298</v>
          </cell>
          <cell r="X28">
            <v>-1.6393442622950838E-2</v>
          </cell>
          <cell r="Y28">
            <v>0.10525000000000007</v>
          </cell>
          <cell r="Z28">
            <v>0.17612908090175683</v>
          </cell>
          <cell r="AA28">
            <v>-1.0643858404682627E-2</v>
          </cell>
        </row>
        <row r="29">
          <cell r="A29" t="str">
            <v>TGSU2.BA</v>
          </cell>
          <cell r="B29">
            <v>80.302559930000001</v>
          </cell>
          <cell r="C29">
            <v>88.500033809000001</v>
          </cell>
          <cell r="D29">
            <v>109.68200179999999</v>
          </cell>
          <cell r="E29">
            <v>94.972462199999995</v>
          </cell>
          <cell r="F29">
            <v>105.4792762</v>
          </cell>
          <cell r="G29">
            <v>100.18018739999999</v>
          </cell>
          <cell r="H29">
            <v>114.9810906</v>
          </cell>
          <cell r="I29">
            <v>104.611322</v>
          </cell>
          <cell r="J29">
            <v>104.2458676</v>
          </cell>
          <cell r="K29">
            <v>90.4</v>
          </cell>
          <cell r="L29">
            <v>116.35</v>
          </cell>
          <cell r="M29">
            <v>123.5</v>
          </cell>
          <cell r="N29">
            <v>134.25</v>
          </cell>
          <cell r="P29">
            <v>0.10208234813617101</v>
          </cell>
          <cell r="Q29">
            <v>0.2393441796498601</v>
          </cell>
          <cell r="R29">
            <v>-0.13411078717201164</v>
          </cell>
          <cell r="S29">
            <v>0.11063011063011063</v>
          </cell>
          <cell r="T29">
            <v>-5.0238198354266017E-2</v>
          </cell>
          <cell r="U29">
            <v>0.14774281805745559</v>
          </cell>
          <cell r="V29">
            <v>-9.0186730234406043E-2</v>
          </cell>
          <cell r="W29">
            <v>-3.4934497816594412E-3</v>
          </cell>
          <cell r="X29">
            <v>-0.1328193425673978</v>
          </cell>
          <cell r="Y29">
            <v>0.28705752212389357</v>
          </cell>
          <cell r="Z29">
            <v>6.1452513966480549E-2</v>
          </cell>
          <cell r="AA29">
            <v>8.7044534412955565E-2</v>
          </cell>
        </row>
        <row r="30">
          <cell r="A30" t="str">
            <v>TGNO4.BA</v>
          </cell>
          <cell r="B30">
            <v>62.2</v>
          </cell>
          <cell r="C30">
            <v>49.05</v>
          </cell>
          <cell r="D30">
            <v>65.2</v>
          </cell>
          <cell r="E30">
            <v>50.3</v>
          </cell>
          <cell r="F30">
            <v>51.4</v>
          </cell>
          <cell r="G30">
            <v>56.55</v>
          </cell>
          <cell r="H30">
            <v>66.7</v>
          </cell>
          <cell r="I30">
            <v>70.8</v>
          </cell>
          <cell r="J30">
            <v>64.8</v>
          </cell>
          <cell r="K30">
            <v>53.3</v>
          </cell>
          <cell r="L30">
            <v>69</v>
          </cell>
          <cell r="M30">
            <v>68.5</v>
          </cell>
          <cell r="N30">
            <v>69.400000000000006</v>
          </cell>
          <cell r="P30">
            <v>-0.21141479099678462</v>
          </cell>
          <cell r="Q30">
            <v>0.32925586136595331</v>
          </cell>
          <cell r="R30">
            <v>-0.22852760736196331</v>
          </cell>
          <cell r="S30">
            <v>2.1868787276341894E-2</v>
          </cell>
          <cell r="T30">
            <v>0.10019455252918275</v>
          </cell>
          <cell r="U30">
            <v>0.17948717948717952</v>
          </cell>
          <cell r="V30">
            <v>6.1469265367316339E-2</v>
          </cell>
          <cell r="W30">
            <v>-8.4745762711864403E-2</v>
          </cell>
          <cell r="X30">
            <v>-0.17746913580246915</v>
          </cell>
          <cell r="Y30">
            <v>0.29455909943714831</v>
          </cell>
          <cell r="Z30">
            <v>-7.2463768115942351E-3</v>
          </cell>
          <cell r="AA30">
            <v>1.3138686131386912E-2</v>
          </cell>
        </row>
        <row r="31">
          <cell r="A31" t="str">
            <v>PGR.BA</v>
          </cell>
          <cell r="B31">
            <v>8.2799999999999994</v>
          </cell>
          <cell r="C31">
            <v>11.3</v>
          </cell>
          <cell r="D31">
            <v>12</v>
          </cell>
          <cell r="E31">
            <v>8.5</v>
          </cell>
          <cell r="F31">
            <v>7.9</v>
          </cell>
          <cell r="G31">
            <v>11.05</v>
          </cell>
          <cell r="H31">
            <v>11.75</v>
          </cell>
          <cell r="I31">
            <v>12.2</v>
          </cell>
          <cell r="J31">
            <v>10.7</v>
          </cell>
          <cell r="K31">
            <v>9.1300000000000008</v>
          </cell>
          <cell r="L31">
            <v>12.1</v>
          </cell>
          <cell r="M31">
            <v>12.1</v>
          </cell>
          <cell r="N31">
            <v>11.1</v>
          </cell>
          <cell r="P31">
            <v>0.3647342995169085</v>
          </cell>
          <cell r="Q31">
            <v>6.1946902654867131E-2</v>
          </cell>
          <cell r="R31">
            <v>-0.29166666666666663</v>
          </cell>
          <cell r="S31">
            <v>-7.0588235294117618E-2</v>
          </cell>
          <cell r="T31">
            <v>0.39873417721519</v>
          </cell>
          <cell r="U31">
            <v>6.3348416289592757E-2</v>
          </cell>
          <cell r="V31">
            <v>3.8297872340425476E-2</v>
          </cell>
          <cell r="W31">
            <v>-0.12295081967213117</v>
          </cell>
          <cell r="X31">
            <v>-0.14672897196261669</v>
          </cell>
          <cell r="Y31">
            <v>0.32530120481927693</v>
          </cell>
          <cell r="Z31">
            <v>0</v>
          </cell>
          <cell r="AA31">
            <v>-8.2644628099173612E-2</v>
          </cell>
        </row>
        <row r="32">
          <cell r="A32" t="str">
            <v>COME.BA</v>
          </cell>
          <cell r="B32">
            <v>3.92688478</v>
          </cell>
          <cell r="C32">
            <v>4.08163886</v>
          </cell>
          <cell r="D32">
            <v>4.3427863699999998</v>
          </cell>
          <cell r="E32">
            <v>3.4432782799999999</v>
          </cell>
          <cell r="F32">
            <v>3.3465569799999999</v>
          </cell>
          <cell r="G32">
            <v>3.2304914199999999</v>
          </cell>
          <cell r="H32">
            <v>3.3562291100000001</v>
          </cell>
          <cell r="I32">
            <v>3.1821307700000001</v>
          </cell>
          <cell r="J32">
            <v>3.2111471599999999</v>
          </cell>
          <cell r="K32">
            <v>2.7275406599999998</v>
          </cell>
          <cell r="L32">
            <v>2.92</v>
          </cell>
          <cell r="M32">
            <v>3.13</v>
          </cell>
          <cell r="N32">
            <v>3.03</v>
          </cell>
          <cell r="P32">
            <v>3.9408866995073843E-2</v>
          </cell>
          <cell r="Q32">
            <v>6.3981042654028375E-2</v>
          </cell>
          <cell r="R32">
            <v>-0.20712694877505566</v>
          </cell>
          <cell r="S32">
            <v>-2.8089887640449396E-2</v>
          </cell>
          <cell r="T32">
            <v>-3.4682080924855474E-2</v>
          </cell>
          <cell r="U32">
            <v>3.8922155688622784E-2</v>
          </cell>
          <cell r="V32">
            <v>-5.187319884726227E-2</v>
          </cell>
          <cell r="W32">
            <v>9.1185410334346795E-3</v>
          </cell>
          <cell r="X32">
            <v>-0.1506024096385542</v>
          </cell>
          <cell r="Y32">
            <v>7.0561492564514161E-2</v>
          </cell>
          <cell r="Z32">
            <v>7.1917808219178037E-2</v>
          </cell>
          <cell r="AA32">
            <v>-3.1948881789137462E-2</v>
          </cell>
        </row>
        <row r="33">
          <cell r="A33" t="str">
            <v>CARC.BA</v>
          </cell>
          <cell r="B33">
            <v>1.167551</v>
          </cell>
          <cell r="C33">
            <v>1</v>
          </cell>
          <cell r="D33">
            <v>2.99</v>
          </cell>
          <cell r="E33">
            <v>1.92</v>
          </cell>
          <cell r="F33">
            <v>1.78</v>
          </cell>
          <cell r="G33">
            <v>1.55</v>
          </cell>
          <cell r="H33">
            <v>1.52</v>
          </cell>
          <cell r="I33">
            <v>1.65</v>
          </cell>
          <cell r="J33">
            <v>1.37</v>
          </cell>
          <cell r="K33">
            <v>1.39</v>
          </cell>
          <cell r="L33">
            <v>1.5</v>
          </cell>
          <cell r="M33">
            <v>1.79</v>
          </cell>
          <cell r="N33">
            <v>1.8</v>
          </cell>
          <cell r="P33">
            <v>-0.14350636503244829</v>
          </cell>
          <cell r="Q33">
            <v>1.9900000000000002</v>
          </cell>
          <cell r="R33">
            <v>-0.35785953177257535</v>
          </cell>
          <cell r="S33">
            <v>-7.291666666666663E-2</v>
          </cell>
          <cell r="T33">
            <v>-0.1292134831460674</v>
          </cell>
          <cell r="U33">
            <v>-1.9354838709677469E-2</v>
          </cell>
          <cell r="V33">
            <v>8.5526315789473673E-2</v>
          </cell>
          <cell r="W33">
            <v>-0.16969696969696957</v>
          </cell>
          <cell r="X33">
            <v>1.4598540145985162E-2</v>
          </cell>
          <cell r="Y33">
            <v>7.9136690647482189E-2</v>
          </cell>
          <cell r="Z33">
            <v>0.19333333333333336</v>
          </cell>
          <cell r="AA33">
            <v>5.5865921787709993E-3</v>
          </cell>
        </row>
        <row r="34">
          <cell r="A34" t="str">
            <v>GGAL.BA</v>
          </cell>
          <cell r="B34">
            <v>96.150260599999996</v>
          </cell>
          <cell r="C34">
            <v>84.995250900000002</v>
          </cell>
          <cell r="D34">
            <v>104.29440485000001</v>
          </cell>
          <cell r="E34">
            <v>82.181819250000004</v>
          </cell>
          <cell r="F34">
            <v>100.5925211</v>
          </cell>
          <cell r="G34">
            <v>101.97455770000001</v>
          </cell>
          <cell r="H34">
            <v>133.61332415000001</v>
          </cell>
          <cell r="I34">
            <v>119.25001520000001</v>
          </cell>
          <cell r="J34">
            <v>109.27960830000001</v>
          </cell>
          <cell r="K34">
            <v>95.706034549999998</v>
          </cell>
          <cell r="L34">
            <v>114.7</v>
          </cell>
          <cell r="M34">
            <v>151.6</v>
          </cell>
          <cell r="N34">
            <v>152.9</v>
          </cell>
          <cell r="P34">
            <v>-0.11601642710472271</v>
          </cell>
          <cell r="Q34">
            <v>0.22706155632984903</v>
          </cell>
          <cell r="R34">
            <v>-0.21202082347373408</v>
          </cell>
          <cell r="S34">
            <v>0.22402402402402388</v>
          </cell>
          <cell r="T34">
            <v>1.3738959764475034E-2</v>
          </cell>
          <cell r="U34">
            <v>0.31026137463697978</v>
          </cell>
          <cell r="V34">
            <v>-0.10749907646841528</v>
          </cell>
          <cell r="W34">
            <v>-8.3609271523178763E-2</v>
          </cell>
          <cell r="X34">
            <v>-0.12420957542908773</v>
          </cell>
          <cell r="Y34">
            <v>0.19846152376187876</v>
          </cell>
          <cell r="Z34">
            <v>0.32170880557977322</v>
          </cell>
          <cell r="AA34">
            <v>8.5751978891821512E-3</v>
          </cell>
        </row>
        <row r="35">
          <cell r="A35" t="str">
            <v>BMA.BA</v>
          </cell>
          <cell r="B35">
            <v>178.59699025</v>
          </cell>
          <cell r="C35">
            <v>155.80143315000001</v>
          </cell>
          <cell r="D35">
            <v>164.09939745</v>
          </cell>
          <cell r="E35">
            <v>151.98627715000001</v>
          </cell>
          <cell r="F35">
            <v>162.00106165</v>
          </cell>
          <cell r="G35">
            <v>156.37370655000001</v>
          </cell>
          <cell r="H35">
            <v>204.5877405</v>
          </cell>
          <cell r="I35">
            <v>187.61029629999999</v>
          </cell>
          <cell r="J35">
            <v>189.56556375</v>
          </cell>
          <cell r="K35">
            <v>172.15891450000001</v>
          </cell>
          <cell r="L35">
            <v>223.85</v>
          </cell>
          <cell r="M35">
            <v>312.60000000000002</v>
          </cell>
          <cell r="N35">
            <v>289.7</v>
          </cell>
          <cell r="P35">
            <v>-0.12763684913217621</v>
          </cell>
          <cell r="Q35">
            <v>5.3259871441689643E-2</v>
          </cell>
          <cell r="R35">
            <v>-7.3815751235105975E-2</v>
          </cell>
          <cell r="S35">
            <v>6.5892689049262598E-2</v>
          </cell>
          <cell r="T35">
            <v>-3.473653223432438E-2</v>
          </cell>
          <cell r="U35">
            <v>0.30832570905763945</v>
          </cell>
          <cell r="V35">
            <v>-8.2983682983682971E-2</v>
          </cell>
          <cell r="W35">
            <v>1.0421962379257854E-2</v>
          </cell>
          <cell r="X35">
            <v>-9.1823899371069162E-2</v>
          </cell>
          <cell r="Y35">
            <v>0.30025215743329969</v>
          </cell>
          <cell r="Z35">
            <v>0.39647085101630575</v>
          </cell>
          <cell r="AA35">
            <v>-7.3256557901471675E-2</v>
          </cell>
        </row>
        <row r="36">
          <cell r="A36" t="str">
            <v>BBAR.BA</v>
          </cell>
          <cell r="B36">
            <v>123.01308899999999</v>
          </cell>
          <cell r="C36">
            <v>106.54677</v>
          </cell>
          <cell r="D36">
            <v>154.97712000000001</v>
          </cell>
          <cell r="E36">
            <v>127.85612399999999</v>
          </cell>
          <cell r="F36">
            <v>145.19418930000001</v>
          </cell>
          <cell r="G36">
            <v>136.33143525</v>
          </cell>
          <cell r="H36">
            <v>162.725976</v>
          </cell>
          <cell r="I36">
            <v>139.96371149999999</v>
          </cell>
          <cell r="J36">
            <v>133.61933565000001</v>
          </cell>
          <cell r="K36">
            <v>115.7485365</v>
          </cell>
          <cell r="L36">
            <v>134.30000000000001</v>
          </cell>
          <cell r="M36">
            <v>161.85</v>
          </cell>
          <cell r="N36">
            <v>163.85</v>
          </cell>
          <cell r="P36">
            <v>-0.13385826771653542</v>
          </cell>
          <cell r="Q36">
            <v>0.45454545454545481</v>
          </cell>
          <cell r="R36">
            <v>-0.17500000000000016</v>
          </cell>
          <cell r="S36">
            <v>0.13560606060606073</v>
          </cell>
          <cell r="T36">
            <v>-6.1040693795863965E-2</v>
          </cell>
          <cell r="U36">
            <v>0.19360568383658983</v>
          </cell>
          <cell r="V36">
            <v>-0.13988095238095244</v>
          </cell>
          <cell r="W36">
            <v>-4.5328719723183197E-2</v>
          </cell>
          <cell r="X36">
            <v>-0.13374411018484966</v>
          </cell>
          <cell r="Y36">
            <v>0.16027384933717936</v>
          </cell>
          <cell r="Z36">
            <v>0.20513775130305278</v>
          </cell>
          <cell r="AA36">
            <v>1.2357120790855713E-2</v>
          </cell>
        </row>
        <row r="37">
          <cell r="A37" t="str">
            <v>BRIO.BA</v>
          </cell>
          <cell r="B37">
            <v>21.346401989</v>
          </cell>
          <cell r="C37">
            <v>19.308790890000001</v>
          </cell>
          <cell r="D37">
            <v>23.917673138000001</v>
          </cell>
          <cell r="E37">
            <v>19.357305440000001</v>
          </cell>
          <cell r="F37">
            <v>18.726616290999999</v>
          </cell>
          <cell r="G37">
            <v>16.980092492000001</v>
          </cell>
          <cell r="H37">
            <v>20.610702</v>
          </cell>
          <cell r="I37">
            <v>19.1875821</v>
          </cell>
          <cell r="J37">
            <v>17.862608399999999</v>
          </cell>
          <cell r="K37">
            <v>13.396956299999999</v>
          </cell>
          <cell r="L37">
            <v>14.6</v>
          </cell>
          <cell r="M37">
            <v>19</v>
          </cell>
          <cell r="N37">
            <v>23.55</v>
          </cell>
          <cell r="P37">
            <v>-9.5454545456887696E-2</v>
          </cell>
          <cell r="Q37">
            <v>0.2386934673567227</v>
          </cell>
          <cell r="R37">
            <v>-0.19066937120879723</v>
          </cell>
          <cell r="S37">
            <v>-3.2581453599256793E-2</v>
          </cell>
          <cell r="T37">
            <v>-9.3264248696085961E-2</v>
          </cell>
          <cell r="U37">
            <v>0.21381564969157396</v>
          </cell>
          <cell r="V37">
            <v>-6.9047619047619024E-2</v>
          </cell>
          <cell r="W37">
            <v>-6.9053708439897776E-2</v>
          </cell>
          <cell r="X37">
            <v>-0.25</v>
          </cell>
          <cell r="Y37">
            <v>8.9799777879397968E-2</v>
          </cell>
          <cell r="Z37">
            <v>0.30136986301369872</v>
          </cell>
          <cell r="AA37">
            <v>0.23947368421052628</v>
          </cell>
        </row>
        <row r="38">
          <cell r="A38" t="str">
            <v>BYMA.BA</v>
          </cell>
          <cell r="B38">
            <v>379.2503246</v>
          </cell>
          <cell r="C38">
            <v>364.10784339999998</v>
          </cell>
          <cell r="D38">
            <v>353.8325883</v>
          </cell>
          <cell r="E38">
            <v>330.6763914</v>
          </cell>
          <cell r="F38">
            <v>354.12757169999998</v>
          </cell>
          <cell r="G38">
            <v>372.07239520000002</v>
          </cell>
          <cell r="H38">
            <v>376.103835</v>
          </cell>
          <cell r="I38">
            <v>350.04696799999999</v>
          </cell>
          <cell r="J38">
            <v>316.61551600000001</v>
          </cell>
          <cell r="K38">
            <v>288.5</v>
          </cell>
          <cell r="L38">
            <v>265</v>
          </cell>
          <cell r="M38">
            <v>371</v>
          </cell>
          <cell r="N38">
            <v>324.5</v>
          </cell>
          <cell r="P38">
            <v>-3.9927404718693382E-2</v>
          </cell>
          <cell r="Q38">
            <v>-2.8220361868754984E-2</v>
          </cell>
          <cell r="R38">
            <v>-6.5443934972905349E-2</v>
          </cell>
          <cell r="S38">
            <v>7.0918822479928645E-2</v>
          </cell>
          <cell r="T38">
            <v>5.0673330556712637E-2</v>
          </cell>
          <cell r="U38">
            <v>1.0835095137420758E-2</v>
          </cell>
          <cell r="V38">
            <v>-6.9281045751633963E-2</v>
          </cell>
          <cell r="W38">
            <v>-9.550561797752799E-2</v>
          </cell>
          <cell r="X38">
            <v>-8.8800183753470874E-2</v>
          </cell>
          <cell r="Y38">
            <v>-8.1455805892547639E-2</v>
          </cell>
          <cell r="Z38">
            <v>0.39999999999999991</v>
          </cell>
          <cell r="AA38">
            <v>-0.1253369272237197</v>
          </cell>
        </row>
        <row r="39">
          <cell r="A39" t="str">
            <v>BPAT.BA</v>
          </cell>
          <cell r="B39">
            <v>38.03436</v>
          </cell>
          <cell r="C39">
            <v>30.880278000000001</v>
          </cell>
          <cell r="D39">
            <v>36.675989999999999</v>
          </cell>
          <cell r="E39">
            <v>30.336929999999999</v>
          </cell>
          <cell r="F39">
            <v>33.053669999999997</v>
          </cell>
          <cell r="G39">
            <v>30.925557000000001</v>
          </cell>
          <cell r="H39">
            <v>35.815688999999999</v>
          </cell>
          <cell r="I39">
            <v>37.672128000000001</v>
          </cell>
          <cell r="J39">
            <v>35.453457</v>
          </cell>
          <cell r="K39">
            <v>29.793582000000001</v>
          </cell>
          <cell r="L39">
            <v>37.9</v>
          </cell>
          <cell r="M39">
            <v>42</v>
          </cell>
          <cell r="N39">
            <v>50</v>
          </cell>
          <cell r="P39">
            <v>-0.18809523809523809</v>
          </cell>
          <cell r="Q39">
            <v>0.18768328445747784</v>
          </cell>
          <cell r="R39">
            <v>-0.1728395061728395</v>
          </cell>
          <cell r="S39">
            <v>8.9552238805970186E-2</v>
          </cell>
          <cell r="T39">
            <v>-6.4383561643835518E-2</v>
          </cell>
          <cell r="U39">
            <v>0.15812591508052698</v>
          </cell>
          <cell r="V39">
            <v>5.1833122629582951E-2</v>
          </cell>
          <cell r="W39">
            <v>-5.8894230769230727E-2</v>
          </cell>
          <cell r="X39">
            <v>-0.15964240102171134</v>
          </cell>
          <cell r="Y39">
            <v>0.27208604859932572</v>
          </cell>
          <cell r="Z39">
            <v>0.10817941952506605</v>
          </cell>
          <cell r="AA39">
            <v>0.19047619047619047</v>
          </cell>
        </row>
        <row r="40">
          <cell r="A40" t="str">
            <v>BHIP.BA</v>
          </cell>
          <cell r="B40">
            <v>13.6518619</v>
          </cell>
          <cell r="C40">
            <v>10.4483564</v>
          </cell>
          <cell r="D40">
            <v>12.321175</v>
          </cell>
          <cell r="E40">
            <v>10.842634</v>
          </cell>
          <cell r="F40">
            <v>12.321175</v>
          </cell>
          <cell r="G40">
            <v>11.5819045</v>
          </cell>
          <cell r="H40">
            <v>13.3561537</v>
          </cell>
          <cell r="I40">
            <v>13.6518619</v>
          </cell>
          <cell r="J40">
            <v>12.6661679</v>
          </cell>
          <cell r="K40">
            <v>12</v>
          </cell>
          <cell r="L40">
            <v>14</v>
          </cell>
          <cell r="M40">
            <v>17.149999999999999</v>
          </cell>
          <cell r="N40">
            <v>18.25</v>
          </cell>
          <cell r="P40">
            <v>-0.23465703971119134</v>
          </cell>
          <cell r="Q40">
            <v>0.179245283018868</v>
          </cell>
          <cell r="R40">
            <v>-0.12</v>
          </cell>
          <cell r="S40">
            <v>0.13636363636363624</v>
          </cell>
          <cell r="T40">
            <v>-5.9999999999999942E-2</v>
          </cell>
          <cell r="U40">
            <v>0.15319148936170213</v>
          </cell>
          <cell r="V40">
            <v>2.2140221402213944E-2</v>
          </cell>
          <cell r="W40">
            <v>-7.2202166064981976E-2</v>
          </cell>
          <cell r="X40">
            <v>-5.2594273600304886E-2</v>
          </cell>
          <cell r="Y40">
            <v>0.16666666666666674</v>
          </cell>
          <cell r="Z40">
            <v>0.22499999999999987</v>
          </cell>
          <cell r="AA40">
            <v>6.4139941690962265E-2</v>
          </cell>
        </row>
        <row r="41">
          <cell r="A41" t="str">
            <v>VALO.BA</v>
          </cell>
          <cell r="B41">
            <v>5.1806925000000001</v>
          </cell>
          <cell r="C41">
            <v>4.7932667999999996</v>
          </cell>
          <cell r="D41">
            <v>5.4239598000000004</v>
          </cell>
          <cell r="E41">
            <v>4.5590093999999999</v>
          </cell>
          <cell r="F41">
            <v>5.0905934999999998</v>
          </cell>
          <cell r="G41">
            <v>4.7482173000000003</v>
          </cell>
          <cell r="H41">
            <v>5.5500984000000004</v>
          </cell>
          <cell r="I41">
            <v>6.2258408999999997</v>
          </cell>
          <cell r="J41">
            <v>5.5951478999999997</v>
          </cell>
          <cell r="K41">
            <v>5.62</v>
          </cell>
          <cell r="L41">
            <v>6.03</v>
          </cell>
          <cell r="M41">
            <v>8.18</v>
          </cell>
          <cell r="N41">
            <v>7.97</v>
          </cell>
          <cell r="P41">
            <v>-7.4782608695652231E-2</v>
          </cell>
          <cell r="Q41">
            <v>0.13157894736842124</v>
          </cell>
          <cell r="R41">
            <v>-0.15946843853820603</v>
          </cell>
          <cell r="S41">
            <v>0.11660079051383399</v>
          </cell>
          <cell r="T41">
            <v>-6.7256637168141453E-2</v>
          </cell>
          <cell r="U41">
            <v>0.1688804554079697</v>
          </cell>
          <cell r="V41">
            <v>0.1217532467532465</v>
          </cell>
          <cell r="W41">
            <v>-0.10130246020260492</v>
          </cell>
          <cell r="X41">
            <v>4.4417235154767809E-3</v>
          </cell>
          <cell r="Y41">
            <v>7.2953736654804313E-2</v>
          </cell>
          <cell r="Z41">
            <v>0.35655058043117727</v>
          </cell>
          <cell r="AA41">
            <v>-2.5672371638141844E-2</v>
          </cell>
        </row>
        <row r="42">
          <cell r="A42" t="str">
            <v>RICH.BA</v>
          </cell>
          <cell r="B42">
            <v>28.5</v>
          </cell>
          <cell r="C42">
            <v>30.8</v>
          </cell>
          <cell r="D42">
            <v>33.200000000000003</v>
          </cell>
          <cell r="E42">
            <v>37.5</v>
          </cell>
          <cell r="F42">
            <v>37.5</v>
          </cell>
          <cell r="G42">
            <v>36.299999999999997</v>
          </cell>
          <cell r="H42">
            <v>41</v>
          </cell>
          <cell r="I42">
            <v>39.25</v>
          </cell>
          <cell r="J42">
            <v>39</v>
          </cell>
          <cell r="K42">
            <v>40.4</v>
          </cell>
          <cell r="L42">
            <v>43</v>
          </cell>
          <cell r="M42">
            <v>44.5</v>
          </cell>
          <cell r="N42">
            <v>43.5</v>
          </cell>
          <cell r="P42">
            <v>8.0701754385964941E-2</v>
          </cell>
          <cell r="Q42">
            <v>7.7922077922077948E-2</v>
          </cell>
          <cell r="R42">
            <v>0.12951807228915646</v>
          </cell>
          <cell r="S42">
            <v>0</v>
          </cell>
          <cell r="T42">
            <v>-3.2000000000000028E-2</v>
          </cell>
          <cell r="U42">
            <v>0.12947658402203865</v>
          </cell>
          <cell r="V42">
            <v>-4.2682926829268331E-2</v>
          </cell>
          <cell r="W42">
            <v>-6.3694267515923553E-3</v>
          </cell>
          <cell r="X42">
            <v>3.589743589743577E-2</v>
          </cell>
          <cell r="Y42">
            <v>6.4356435643564414E-2</v>
          </cell>
          <cell r="Z42">
            <v>3.488372093023262E-2</v>
          </cell>
          <cell r="AA42">
            <v>-2.2471910112359605E-2</v>
          </cell>
        </row>
        <row r="43">
          <cell r="A43" t="str">
            <v>ROSE.BA</v>
          </cell>
          <cell r="B43">
            <v>7</v>
          </cell>
          <cell r="C43">
            <v>7.3</v>
          </cell>
          <cell r="D43">
            <v>8</v>
          </cell>
          <cell r="E43">
            <v>6.6</v>
          </cell>
          <cell r="F43">
            <v>6</v>
          </cell>
          <cell r="G43">
            <v>6.3</v>
          </cell>
          <cell r="H43">
            <v>5.7</v>
          </cell>
          <cell r="I43">
            <v>5.9</v>
          </cell>
          <cell r="J43">
            <v>5.6</v>
          </cell>
          <cell r="K43">
            <v>4.9000000000000004</v>
          </cell>
          <cell r="L43">
            <v>5.95</v>
          </cell>
          <cell r="M43">
            <v>6</v>
          </cell>
          <cell r="N43">
            <v>5.87</v>
          </cell>
          <cell r="P43">
            <v>4.2857142857142927E-2</v>
          </cell>
          <cell r="Q43">
            <v>9.5890410958904049E-2</v>
          </cell>
          <cell r="R43">
            <v>-0.17500000000000004</v>
          </cell>
          <cell r="S43">
            <v>-9.0909090909090828E-2</v>
          </cell>
          <cell r="T43">
            <v>5.0000000000000044E-2</v>
          </cell>
          <cell r="U43">
            <v>-9.5238095238095233E-2</v>
          </cell>
          <cell r="V43">
            <v>3.5087719298245723E-2</v>
          </cell>
          <cell r="W43">
            <v>-5.0847457627118731E-2</v>
          </cell>
          <cell r="X43">
            <v>-0.12499999999999989</v>
          </cell>
          <cell r="Y43">
            <v>0.21428571428571419</v>
          </cell>
          <cell r="Z43">
            <v>8.4033613445377853E-3</v>
          </cell>
          <cell r="AA43">
            <v>-2.1666666666666612E-2</v>
          </cell>
        </row>
        <row r="44">
          <cell r="A44" t="str">
            <v>AUSO.BA</v>
          </cell>
          <cell r="B44">
            <v>83.726248944000005</v>
          </cell>
          <cell r="C44">
            <v>72.416289173999999</v>
          </cell>
          <cell r="D44">
            <v>88.038679647999999</v>
          </cell>
          <cell r="E44">
            <v>83.238049242000002</v>
          </cell>
          <cell r="F44">
            <v>111.472265358</v>
          </cell>
          <cell r="G44">
            <v>110.75134755000001</v>
          </cell>
          <cell r="H44">
            <v>118.282624</v>
          </cell>
          <cell r="I44">
            <v>110.88996</v>
          </cell>
          <cell r="J44">
            <v>103.9593375</v>
          </cell>
          <cell r="K44">
            <v>97.490756500000003</v>
          </cell>
          <cell r="L44">
            <v>98.3</v>
          </cell>
          <cell r="M44">
            <v>109</v>
          </cell>
          <cell r="N44">
            <v>106</v>
          </cell>
          <cell r="P44">
            <v>-0.13508260447168285</v>
          </cell>
          <cell r="Q44">
            <v>0.21573033708566491</v>
          </cell>
          <cell r="R44">
            <v>-5.4528650647579946E-2</v>
          </cell>
          <cell r="S44">
            <v>0.33919843596903587</v>
          </cell>
          <cell r="T44">
            <v>-6.467239233765687E-3</v>
          </cell>
          <cell r="U44">
            <v>6.8001668752607269E-2</v>
          </cell>
          <cell r="V44">
            <v>-6.25E-2</v>
          </cell>
          <cell r="W44">
            <v>-6.25E-2</v>
          </cell>
          <cell r="X44">
            <v>-6.2222222222222179E-2</v>
          </cell>
          <cell r="Y44">
            <v>8.3007202841840488E-3</v>
          </cell>
          <cell r="Z44">
            <v>0.10885045778229907</v>
          </cell>
          <cell r="AA44">
            <v>-2.752293577981646E-2</v>
          </cell>
        </row>
        <row r="45">
          <cell r="A45" t="str">
            <v>OEST.BA</v>
          </cell>
          <cell r="B45">
            <v>26.153792803999998</v>
          </cell>
          <cell r="C45">
            <v>25.638084212999999</v>
          </cell>
          <cell r="D45">
            <v>29.653243954000001</v>
          </cell>
          <cell r="E45">
            <v>26.595828739000002</v>
          </cell>
          <cell r="F45">
            <v>33.096232399999998</v>
          </cell>
          <cell r="G45">
            <v>30.97241</v>
          </cell>
          <cell r="H45">
            <v>33.4502028</v>
          </cell>
          <cell r="I45">
            <v>34.777591800000003</v>
          </cell>
          <cell r="J45">
            <v>34.866084399999998</v>
          </cell>
          <cell r="K45">
            <v>34.158143600000002</v>
          </cell>
          <cell r="L45">
            <v>36.75</v>
          </cell>
          <cell r="M45">
            <v>39.200000000000003</v>
          </cell>
          <cell r="N45">
            <v>37.75</v>
          </cell>
          <cell r="P45">
            <v>-1.9718309878218765E-2</v>
          </cell>
          <cell r="Q45">
            <v>0.15660919543138418</v>
          </cell>
          <cell r="R45">
            <v>-0.10310559005762931</v>
          </cell>
          <cell r="S45">
            <v>0.24441440516075486</v>
          </cell>
          <cell r="T45">
            <v>-6.417112299465233E-2</v>
          </cell>
          <cell r="U45">
            <v>8.0000000000000071E-2</v>
          </cell>
          <cell r="V45">
            <v>3.9682539682539764E-2</v>
          </cell>
          <cell r="W45">
            <v>2.5445292620864812E-3</v>
          </cell>
          <cell r="X45">
            <v>-2.0304568527918621E-2</v>
          </cell>
          <cell r="Y45">
            <v>7.5878139934981714E-2</v>
          </cell>
          <cell r="Z45">
            <v>6.6666666666666652E-2</v>
          </cell>
          <cell r="AA45">
            <v>-3.6989795918367374E-2</v>
          </cell>
        </row>
        <row r="46">
          <cell r="A46" t="str">
            <v>CAPU.BA</v>
          </cell>
          <cell r="B46">
            <v>20.5</v>
          </cell>
          <cell r="C46">
            <v>28.4</v>
          </cell>
          <cell r="D46">
            <v>21.9</v>
          </cell>
          <cell r="E46">
            <v>14.5</v>
          </cell>
          <cell r="F46">
            <v>13.8</v>
          </cell>
          <cell r="G46">
            <v>13.6</v>
          </cell>
          <cell r="H46">
            <v>12</v>
          </cell>
          <cell r="I46">
            <v>10.45</v>
          </cell>
          <cell r="J46">
            <v>8.0399999999999991</v>
          </cell>
          <cell r="K46">
            <v>6.7</v>
          </cell>
          <cell r="L46">
            <v>8.5</v>
          </cell>
          <cell r="M46">
            <v>7.65</v>
          </cell>
          <cell r="N46" t="str">
            <v>NULL</v>
          </cell>
          <cell r="P46">
            <v>0.38536585365853648</v>
          </cell>
          <cell r="Q46">
            <v>-0.22887323943661975</v>
          </cell>
          <cell r="R46">
            <v>-0.33789954337899542</v>
          </cell>
          <cell r="S46">
            <v>-4.8275862068965503E-2</v>
          </cell>
          <cell r="T46">
            <v>-1.449275362318847E-2</v>
          </cell>
          <cell r="U46">
            <v>-0.11764705882352944</v>
          </cell>
          <cell r="V46">
            <v>-0.12916666666666676</v>
          </cell>
          <cell r="W46">
            <v>-0.23062200956937806</v>
          </cell>
          <cell r="X46">
            <v>-0.16666666666666652</v>
          </cell>
          <cell r="Y46">
            <v>0.26865671641791034</v>
          </cell>
          <cell r="Z46">
            <v>-9.9999999999999978E-2</v>
          </cell>
          <cell r="AA46" t="e">
            <v>#VALUE!</v>
          </cell>
        </row>
        <row r="47">
          <cell r="A47" t="str">
            <v>CADO.BA</v>
          </cell>
          <cell r="B47">
            <v>9.1172643000000004</v>
          </cell>
          <cell r="C47">
            <v>9.1172643000000004</v>
          </cell>
          <cell r="D47">
            <v>10.930913650000001</v>
          </cell>
          <cell r="E47">
            <v>10.979931199999999</v>
          </cell>
          <cell r="F47">
            <v>11.3720716</v>
          </cell>
          <cell r="G47">
            <v>12.59751035</v>
          </cell>
          <cell r="H47">
            <v>12.646527900000001</v>
          </cell>
          <cell r="I47">
            <v>12.156352399999999</v>
          </cell>
          <cell r="J47">
            <v>12.156352399999999</v>
          </cell>
          <cell r="K47">
            <v>11.71519445</v>
          </cell>
          <cell r="L47">
            <v>11.71519445</v>
          </cell>
          <cell r="M47">
            <v>12</v>
          </cell>
          <cell r="N47">
            <v>12.25</v>
          </cell>
          <cell r="P47">
            <v>0</v>
          </cell>
          <cell r="Q47">
            <v>0.19892473118279574</v>
          </cell>
          <cell r="R47">
            <v>4.4843049327352169E-3</v>
          </cell>
          <cell r="S47">
            <v>3.5714285714285809E-2</v>
          </cell>
          <cell r="T47">
            <v>0.10775862068965525</v>
          </cell>
          <cell r="U47">
            <v>3.8910505836575737E-3</v>
          </cell>
          <cell r="V47">
            <v>-3.8759689922480689E-2</v>
          </cell>
          <cell r="W47">
            <v>0</v>
          </cell>
          <cell r="X47">
            <v>-3.6290322580645129E-2</v>
          </cell>
          <cell r="Y47">
            <v>0</v>
          </cell>
          <cell r="Z47">
            <v>2.4310782993448354E-2</v>
          </cell>
          <cell r="AA47">
            <v>2.0833333333333259E-2</v>
          </cell>
        </row>
        <row r="48">
          <cell r="A48" t="str">
            <v>FERR.BA</v>
          </cell>
          <cell r="B48">
            <v>3.9637644500000002</v>
          </cell>
          <cell r="C48">
            <v>3.4250003499999999</v>
          </cell>
          <cell r="D48">
            <v>4.2716296500000004</v>
          </cell>
          <cell r="E48">
            <v>3.4634835000000002</v>
          </cell>
          <cell r="F48">
            <v>3.50196665</v>
          </cell>
          <cell r="G48">
            <v>3.35</v>
          </cell>
          <cell r="H48">
            <v>3.69</v>
          </cell>
          <cell r="I48">
            <v>3.78</v>
          </cell>
          <cell r="J48">
            <v>3.25</v>
          </cell>
          <cell r="K48">
            <v>3.05</v>
          </cell>
          <cell r="L48">
            <v>3.49</v>
          </cell>
          <cell r="M48">
            <v>3.44</v>
          </cell>
          <cell r="N48">
            <v>3.37</v>
          </cell>
          <cell r="P48">
            <v>-0.13592233009708743</v>
          </cell>
          <cell r="Q48">
            <v>0.24719101123595522</v>
          </cell>
          <cell r="R48">
            <v>-0.18918918918918926</v>
          </cell>
          <cell r="S48">
            <v>1.1111111111111072E-2</v>
          </cell>
          <cell r="T48">
            <v>-4.3394659398027113E-2</v>
          </cell>
          <cell r="U48">
            <v>0.10149253731343277</v>
          </cell>
          <cell r="V48">
            <v>2.4390243902439046E-2</v>
          </cell>
          <cell r="W48">
            <v>-0.14021164021164012</v>
          </cell>
          <cell r="X48">
            <v>-6.1538461538461542E-2</v>
          </cell>
          <cell r="Y48">
            <v>0.14426229508196742</v>
          </cell>
          <cell r="Z48">
            <v>-1.4326647564469996E-2</v>
          </cell>
          <cell r="AA48">
            <v>-2.0348837209302251E-2</v>
          </cell>
        </row>
        <row r="49">
          <cell r="A49" t="str">
            <v>DYCA.BA</v>
          </cell>
          <cell r="B49">
            <v>28.4</v>
          </cell>
          <cell r="C49">
            <v>24</v>
          </cell>
          <cell r="D49">
            <v>38.5</v>
          </cell>
          <cell r="E49">
            <v>38</v>
          </cell>
          <cell r="F49">
            <v>39.25</v>
          </cell>
          <cell r="G49">
            <v>38</v>
          </cell>
          <cell r="H49">
            <v>45</v>
          </cell>
          <cell r="I49">
            <v>43</v>
          </cell>
          <cell r="J49">
            <v>36.9</v>
          </cell>
          <cell r="K49">
            <v>34.700000000000003</v>
          </cell>
          <cell r="L49">
            <v>36.5</v>
          </cell>
          <cell r="M49">
            <v>42</v>
          </cell>
          <cell r="N49">
            <v>41.55</v>
          </cell>
          <cell r="P49">
            <v>-0.15492957746478864</v>
          </cell>
          <cell r="Q49">
            <v>0.60416666666666674</v>
          </cell>
          <cell r="R49">
            <v>-1.2987012987012991E-2</v>
          </cell>
          <cell r="S49">
            <v>3.289473684210531E-2</v>
          </cell>
          <cell r="T49">
            <v>-3.1847133757961776E-2</v>
          </cell>
          <cell r="U49">
            <v>0.18421052631578938</v>
          </cell>
          <cell r="V49">
            <v>-4.4444444444444398E-2</v>
          </cell>
          <cell r="W49">
            <v>-0.14186046511627914</v>
          </cell>
          <cell r="X49">
            <v>-5.962059620596194E-2</v>
          </cell>
          <cell r="Y49">
            <v>5.187319884726227E-2</v>
          </cell>
          <cell r="Z49">
            <v>0.15068493150684925</v>
          </cell>
          <cell r="AA49">
            <v>-1.0714285714285787E-2</v>
          </cell>
        </row>
        <row r="50">
          <cell r="A50" t="str">
            <v>AGRO.BA</v>
          </cell>
          <cell r="B50">
            <v>10.95</v>
          </cell>
          <cell r="C50">
            <v>10.425000000000001</v>
          </cell>
          <cell r="D50">
            <v>12.375</v>
          </cell>
          <cell r="E50">
            <v>9.9375</v>
          </cell>
          <cell r="F50">
            <v>9.9749999999999996</v>
          </cell>
          <cell r="G50">
            <v>9</v>
          </cell>
          <cell r="H50">
            <v>9.4875000000000007</v>
          </cell>
          <cell r="I50">
            <v>9.7125000000000004</v>
          </cell>
          <cell r="J50">
            <v>9.1875</v>
          </cell>
          <cell r="K50">
            <v>9.9</v>
          </cell>
          <cell r="L50">
            <v>10.7</v>
          </cell>
          <cell r="M50">
            <v>11.5</v>
          </cell>
          <cell r="N50">
            <v>11.4</v>
          </cell>
          <cell r="P50">
            <v>-4.7945205479451913E-2</v>
          </cell>
          <cell r="Q50">
            <v>0.18705035971223016</v>
          </cell>
          <cell r="R50">
            <v>-0.19696969696969702</v>
          </cell>
          <cell r="S50">
            <v>3.7735849056603765E-3</v>
          </cell>
          <cell r="T50">
            <v>-9.7744360902255578E-2</v>
          </cell>
          <cell r="U50">
            <v>5.4166666666666696E-2</v>
          </cell>
          <cell r="V50">
            <v>2.3715415019762709E-2</v>
          </cell>
          <cell r="W50">
            <v>-5.4054054054054057E-2</v>
          </cell>
          <cell r="X50">
            <v>7.7551020408163307E-2</v>
          </cell>
          <cell r="Y50">
            <v>8.0808080808080662E-2</v>
          </cell>
          <cell r="Z50">
            <v>7.4766355140186924E-2</v>
          </cell>
          <cell r="AA50">
            <v>-8.6956521739129933E-3</v>
          </cell>
        </row>
        <row r="51">
          <cell r="A51" t="str">
            <v>GARO.BA</v>
          </cell>
          <cell r="B51">
            <v>7.19</v>
          </cell>
          <cell r="C51">
            <v>5.55</v>
          </cell>
          <cell r="D51">
            <v>6.94</v>
          </cell>
          <cell r="E51">
            <v>5.75</v>
          </cell>
          <cell r="F51">
            <v>5.14</v>
          </cell>
          <cell r="G51">
            <v>4.7300000000000004</v>
          </cell>
          <cell r="H51">
            <v>4.8499999999999996</v>
          </cell>
          <cell r="I51">
            <v>5</v>
          </cell>
          <cell r="J51">
            <v>4.32</v>
          </cell>
          <cell r="K51">
            <v>4.3499999999999996</v>
          </cell>
          <cell r="L51">
            <v>4.26</v>
          </cell>
          <cell r="M51">
            <v>4.3499999999999996</v>
          </cell>
          <cell r="N51">
            <v>4.3</v>
          </cell>
          <cell r="P51">
            <v>-0.22809457579972192</v>
          </cell>
          <cell r="Q51">
            <v>0.25045045045045056</v>
          </cell>
          <cell r="R51">
            <v>-0.17146974063400577</v>
          </cell>
          <cell r="S51">
            <v>-0.10608695652173916</v>
          </cell>
          <cell r="T51">
            <v>-7.9766536964980372E-2</v>
          </cell>
          <cell r="U51">
            <v>2.5369978858350795E-2</v>
          </cell>
          <cell r="V51">
            <v>3.0927835051546504E-2</v>
          </cell>
          <cell r="W51">
            <v>-0.1359999999999999</v>
          </cell>
          <cell r="X51">
            <v>6.9444444444441977E-3</v>
          </cell>
          <cell r="Y51">
            <v>-2.0689655172413723E-2</v>
          </cell>
          <cell r="Z51">
            <v>2.1126760563380254E-2</v>
          </cell>
          <cell r="AA51">
            <v>-1.1494252873563204E-2</v>
          </cell>
        </row>
        <row r="52">
          <cell r="A52" t="str">
            <v>INAG.BA</v>
          </cell>
          <cell r="B52">
            <v>20.281921000000001</v>
          </cell>
          <cell r="C52">
            <v>22</v>
          </cell>
          <cell r="D52">
            <v>33</v>
          </cell>
          <cell r="E52">
            <v>35</v>
          </cell>
          <cell r="F52">
            <v>38.85</v>
          </cell>
          <cell r="G52">
            <v>50</v>
          </cell>
          <cell r="H52">
            <v>55</v>
          </cell>
          <cell r="I52">
            <v>65</v>
          </cell>
          <cell r="J52">
            <v>54</v>
          </cell>
          <cell r="K52">
            <v>65</v>
          </cell>
          <cell r="L52">
            <v>60.1</v>
          </cell>
          <cell r="M52">
            <v>76</v>
          </cell>
          <cell r="N52" t="str">
            <v>NULL</v>
          </cell>
          <cell r="P52">
            <v>8.4709875361411724E-2</v>
          </cell>
          <cell r="Q52">
            <v>0.5</v>
          </cell>
          <cell r="R52">
            <v>6.0606060606060552E-2</v>
          </cell>
          <cell r="S52">
            <v>0.1100000000000001</v>
          </cell>
          <cell r="T52">
            <v>0.28700128700128702</v>
          </cell>
          <cell r="U52">
            <v>0.10000000000000009</v>
          </cell>
          <cell r="V52">
            <v>0.18181818181818188</v>
          </cell>
          <cell r="W52">
            <v>-0.16923076923076918</v>
          </cell>
          <cell r="X52">
            <v>0.20370370370370372</v>
          </cell>
          <cell r="Y52">
            <v>-7.5384615384615383E-2</v>
          </cell>
          <cell r="Z52">
            <v>0.26455906821963393</v>
          </cell>
          <cell r="AA52" t="e">
            <v>#VALUE!</v>
          </cell>
        </row>
        <row r="53">
          <cell r="A53" t="str">
            <v>POLL.BA</v>
          </cell>
          <cell r="B53">
            <v>11.8</v>
          </cell>
          <cell r="C53">
            <v>8.85</v>
          </cell>
          <cell r="D53">
            <v>8.5</v>
          </cell>
          <cell r="E53">
            <v>8</v>
          </cell>
          <cell r="F53">
            <v>8</v>
          </cell>
          <cell r="G53">
            <v>9.5</v>
          </cell>
          <cell r="H53">
            <v>9</v>
          </cell>
          <cell r="I53">
            <v>7.6</v>
          </cell>
          <cell r="J53">
            <v>7.15</v>
          </cell>
          <cell r="K53">
            <v>10.3</v>
          </cell>
          <cell r="L53">
            <v>7.95</v>
          </cell>
          <cell r="M53">
            <v>7</v>
          </cell>
          <cell r="N53">
            <v>7.5</v>
          </cell>
          <cell r="P53">
            <v>-0.25000000000000011</v>
          </cell>
          <cell r="Q53">
            <v>-3.9548022598870025E-2</v>
          </cell>
          <cell r="R53">
            <v>-5.8823529411764719E-2</v>
          </cell>
          <cell r="S53">
            <v>0</v>
          </cell>
          <cell r="T53">
            <v>0.1875</v>
          </cell>
          <cell r="U53">
            <v>-5.2631578947368474E-2</v>
          </cell>
          <cell r="V53">
            <v>-0.15555555555555556</v>
          </cell>
          <cell r="W53">
            <v>-5.921052631578938E-2</v>
          </cell>
          <cell r="X53">
            <v>0.44055944055944063</v>
          </cell>
          <cell r="Y53">
            <v>-0.22815533980582525</v>
          </cell>
          <cell r="Z53">
            <v>-0.11949685534591192</v>
          </cell>
          <cell r="AA53">
            <v>7.1428571428571397E-2</v>
          </cell>
        </row>
        <row r="54">
          <cell r="A54" t="str">
            <v>BOLT.BA</v>
          </cell>
          <cell r="B54">
            <v>4.1594484669999998</v>
          </cell>
          <cell r="C54">
            <v>3.3173960720000002</v>
          </cell>
          <cell r="D54">
            <v>4.0287851640000003</v>
          </cell>
          <cell r="E54">
            <v>3.5133910259999999</v>
          </cell>
          <cell r="F54">
            <v>3.1214011180000001</v>
          </cell>
          <cell r="G54">
            <v>2.9544424540000001</v>
          </cell>
          <cell r="H54">
            <v>3.114142046</v>
          </cell>
          <cell r="I54">
            <v>3.2794112399999999</v>
          </cell>
          <cell r="J54">
            <v>3.1102936200000002</v>
          </cell>
          <cell r="K54">
            <v>2.6</v>
          </cell>
          <cell r="L54">
            <v>2.86</v>
          </cell>
          <cell r="M54">
            <v>4.04</v>
          </cell>
          <cell r="N54">
            <v>4.22</v>
          </cell>
          <cell r="P54">
            <v>-0.20244328104570308</v>
          </cell>
          <cell r="Q54">
            <v>0.21444201312118749</v>
          </cell>
          <cell r="R54">
            <v>-0.12792792790377749</v>
          </cell>
          <cell r="S54">
            <v>-0.11157024797387294</v>
          </cell>
          <cell r="T54">
            <v>-5.348837194848477E-2</v>
          </cell>
          <cell r="U54">
            <v>5.4054054017462327E-2</v>
          </cell>
          <cell r="V54">
            <v>5.3070538067549577E-2</v>
          </cell>
          <cell r="W54">
            <v>-5.1569506726457326E-2</v>
          </cell>
          <cell r="X54">
            <v>-0.16406606010399749</v>
          </cell>
          <cell r="Y54">
            <v>9.9999999999999867E-2</v>
          </cell>
          <cell r="Z54">
            <v>0.41258741258741272</v>
          </cell>
          <cell r="AA54">
            <v>4.4554455445544594E-2</v>
          </cell>
        </row>
        <row r="55">
          <cell r="A55" t="str">
            <v>TXAR.BA</v>
          </cell>
          <cell r="B55">
            <v>14.1225892</v>
          </cell>
          <cell r="C55">
            <v>13.1683602</v>
          </cell>
          <cell r="D55">
            <v>16.078758650000001</v>
          </cell>
          <cell r="E55">
            <v>14.8859724</v>
          </cell>
          <cell r="F55">
            <v>14.17030065</v>
          </cell>
          <cell r="G55">
            <v>12.595822800000001</v>
          </cell>
          <cell r="H55">
            <v>14.456569350000001</v>
          </cell>
          <cell r="I55">
            <v>13.9317434</v>
          </cell>
          <cell r="J55">
            <v>14.8859724</v>
          </cell>
          <cell r="K55">
            <v>11.55</v>
          </cell>
          <cell r="L55">
            <v>12.35</v>
          </cell>
          <cell r="M55">
            <v>13.8</v>
          </cell>
          <cell r="N55">
            <v>13.8</v>
          </cell>
          <cell r="P55">
            <v>-6.7567567567567544E-2</v>
          </cell>
          <cell r="Q55">
            <v>0.22101449275362328</v>
          </cell>
          <cell r="R55">
            <v>-7.4183976261127604E-2</v>
          </cell>
          <cell r="S55">
            <v>-4.8076923076923128E-2</v>
          </cell>
          <cell r="T55">
            <v>-0.11111111111111105</v>
          </cell>
          <cell r="U55">
            <v>0.14772727272727271</v>
          </cell>
          <cell r="V55">
            <v>-3.6303630363036299E-2</v>
          </cell>
          <cell r="W55">
            <v>6.8493150684931559E-2</v>
          </cell>
          <cell r="X55">
            <v>-0.2241017456138773</v>
          </cell>
          <cell r="Y55">
            <v>6.9264069264069139E-2</v>
          </cell>
          <cell r="Z55">
            <v>0.1174089068825912</v>
          </cell>
          <cell r="AA55">
            <v>0</v>
          </cell>
        </row>
        <row r="56">
          <cell r="A56" t="str">
            <v>LOMA.BA</v>
          </cell>
          <cell r="B56">
            <v>62.05</v>
          </cell>
          <cell r="C56">
            <v>56.45</v>
          </cell>
          <cell r="D56">
            <v>72.45</v>
          </cell>
          <cell r="E56">
            <v>64</v>
          </cell>
          <cell r="F56">
            <v>78</v>
          </cell>
          <cell r="G56">
            <v>80.5</v>
          </cell>
          <cell r="H56">
            <v>93.8</v>
          </cell>
          <cell r="I56">
            <v>87.6</v>
          </cell>
          <cell r="J56">
            <v>97</v>
          </cell>
          <cell r="K56">
            <v>88</v>
          </cell>
          <cell r="L56">
            <v>89.45</v>
          </cell>
          <cell r="M56">
            <v>99.2</v>
          </cell>
          <cell r="N56">
            <v>105.9</v>
          </cell>
          <cell r="P56">
            <v>-9.0249798549556726E-2</v>
          </cell>
          <cell r="Q56">
            <v>0.28343666961913194</v>
          </cell>
          <cell r="R56">
            <v>-0.11663216011042099</v>
          </cell>
          <cell r="S56">
            <v>0.21875</v>
          </cell>
          <cell r="T56">
            <v>3.2051282051282159E-2</v>
          </cell>
          <cell r="U56">
            <v>0.16521739130434776</v>
          </cell>
          <cell r="V56">
            <v>-6.6098081023454158E-2</v>
          </cell>
          <cell r="W56">
            <v>0.10730593607305949</v>
          </cell>
          <cell r="X56">
            <v>-9.2783505154639179E-2</v>
          </cell>
          <cell r="Y56">
            <v>1.647727272727284E-2</v>
          </cell>
          <cell r="Z56">
            <v>0.10899944102850756</v>
          </cell>
          <cell r="AA56">
            <v>6.754032258064524E-2</v>
          </cell>
        </row>
        <row r="57">
          <cell r="A57" t="str">
            <v>ALUA.BA</v>
          </cell>
          <cell r="B57">
            <v>17.901805509999999</v>
          </cell>
          <cell r="C57">
            <v>20.900585113000002</v>
          </cell>
          <cell r="D57">
            <v>20.537096677000001</v>
          </cell>
          <cell r="E57">
            <v>16.765904145</v>
          </cell>
          <cell r="F57">
            <v>18.249860999999999</v>
          </cell>
          <cell r="G57">
            <v>16.616978700000001</v>
          </cell>
          <cell r="H57">
            <v>18.297886949999999</v>
          </cell>
          <cell r="I57">
            <v>17.961705299999998</v>
          </cell>
          <cell r="J57">
            <v>16.568952750000001</v>
          </cell>
          <cell r="K57">
            <v>14.7919926</v>
          </cell>
          <cell r="L57">
            <v>14.26370715</v>
          </cell>
          <cell r="M57">
            <v>17.289342000000001</v>
          </cell>
          <cell r="N57">
            <v>18.3</v>
          </cell>
          <cell r="P57">
            <v>0.16751269034427141</v>
          </cell>
          <cell r="Q57">
            <v>-1.7391304312045941E-2</v>
          </cell>
          <cell r="R57">
            <v>-0.18362831861348017</v>
          </cell>
          <cell r="S57">
            <v>8.8510398375535981E-2</v>
          </cell>
          <cell r="T57">
            <v>-8.9473684210526261E-2</v>
          </cell>
          <cell r="U57">
            <v>0.10115606936416177</v>
          </cell>
          <cell r="V57">
            <v>-1.8372703412073532E-2</v>
          </cell>
          <cell r="W57">
            <v>-7.7540106951871524E-2</v>
          </cell>
          <cell r="X57">
            <v>-0.10724637681159421</v>
          </cell>
          <cell r="Y57">
            <v>-3.5714285714285698E-2</v>
          </cell>
          <cell r="Z57">
            <v>0.21212121212121215</v>
          </cell>
          <cell r="AA57">
            <v>5.845555024592608E-2</v>
          </cell>
        </row>
        <row r="58">
          <cell r="A58" t="str">
            <v>HARG.BA</v>
          </cell>
          <cell r="B58">
            <v>57</v>
          </cell>
          <cell r="C58">
            <v>47.5</v>
          </cell>
          <cell r="D58">
            <v>55.25</v>
          </cell>
          <cell r="E58">
            <v>44.2</v>
          </cell>
          <cell r="F58">
            <v>55</v>
          </cell>
          <cell r="G58">
            <v>58.5</v>
          </cell>
          <cell r="H58">
            <v>71.5</v>
          </cell>
          <cell r="I58">
            <v>72</v>
          </cell>
          <cell r="J58">
            <v>72</v>
          </cell>
          <cell r="K58">
            <v>82</v>
          </cell>
          <cell r="L58">
            <v>89</v>
          </cell>
          <cell r="M58">
            <v>99</v>
          </cell>
          <cell r="N58">
            <v>92.9</v>
          </cell>
          <cell r="P58">
            <v>-0.16666666666666663</v>
          </cell>
          <cell r="Q58">
            <v>0.16315789473684217</v>
          </cell>
          <cell r="R58">
            <v>-0.19999999999999996</v>
          </cell>
          <cell r="S58">
            <v>0.24434389140271495</v>
          </cell>
          <cell r="T58">
            <v>6.3636363636363713E-2</v>
          </cell>
          <cell r="U58">
            <v>0.22222222222222232</v>
          </cell>
          <cell r="V58">
            <v>6.9930069930070893E-3</v>
          </cell>
          <cell r="W58">
            <v>0</v>
          </cell>
          <cell r="X58">
            <v>0.13888888888888884</v>
          </cell>
          <cell r="Y58">
            <v>8.5365853658536661E-2</v>
          </cell>
          <cell r="Z58">
            <v>0.11235955056179781</v>
          </cell>
          <cell r="AA58">
            <v>-6.1616161616161569E-2</v>
          </cell>
        </row>
        <row r="59">
          <cell r="A59" t="str">
            <v>INDU.BA</v>
          </cell>
          <cell r="B59">
            <v>15.35</v>
          </cell>
          <cell r="C59">
            <v>19.5</v>
          </cell>
          <cell r="D59">
            <v>22.4</v>
          </cell>
          <cell r="E59">
            <v>15.05</v>
          </cell>
          <cell r="F59">
            <v>17.05</v>
          </cell>
          <cell r="G59">
            <v>16.3</v>
          </cell>
          <cell r="H59">
            <v>18</v>
          </cell>
          <cell r="I59">
            <v>17.75</v>
          </cell>
          <cell r="J59">
            <v>18.5</v>
          </cell>
          <cell r="K59">
            <v>21.5</v>
          </cell>
          <cell r="L59">
            <v>16.899999999999999</v>
          </cell>
          <cell r="M59">
            <v>16.100000000000001</v>
          </cell>
          <cell r="N59">
            <v>16.05</v>
          </cell>
          <cell r="P59">
            <v>0.2703583061889252</v>
          </cell>
          <cell r="Q59">
            <v>0.14871794871794863</v>
          </cell>
          <cell r="R59">
            <v>-0.32812499999999989</v>
          </cell>
          <cell r="S59">
            <v>0.13289036544850497</v>
          </cell>
          <cell r="T59">
            <v>-4.3988269794721369E-2</v>
          </cell>
          <cell r="U59">
            <v>0.1042944785276072</v>
          </cell>
          <cell r="V59">
            <v>-1.388888888888884E-2</v>
          </cell>
          <cell r="W59">
            <v>4.2253521126760507E-2</v>
          </cell>
          <cell r="X59">
            <v>0.16216216216216206</v>
          </cell>
          <cell r="Y59">
            <v>-0.21395348837209305</v>
          </cell>
          <cell r="Z59">
            <v>-4.7337278106508673E-2</v>
          </cell>
          <cell r="AA59">
            <v>-3.1055900621118626E-3</v>
          </cell>
        </row>
        <row r="60">
          <cell r="A60" t="str">
            <v>RIGO.BA</v>
          </cell>
          <cell r="B60">
            <v>36.879785210999998</v>
          </cell>
          <cell r="C60">
            <v>39.908150349000003</v>
          </cell>
          <cell r="D60">
            <v>43.435035272999997</v>
          </cell>
          <cell r="E60">
            <v>44.966385000000002</v>
          </cell>
          <cell r="F60">
            <v>46</v>
          </cell>
          <cell r="G60">
            <v>45.524999999999999</v>
          </cell>
          <cell r="H60">
            <v>47</v>
          </cell>
          <cell r="I60">
            <v>45</v>
          </cell>
          <cell r="J60">
            <v>40</v>
          </cell>
          <cell r="K60">
            <v>37.25</v>
          </cell>
          <cell r="L60">
            <v>35</v>
          </cell>
          <cell r="M60">
            <v>37.5</v>
          </cell>
          <cell r="N60">
            <v>38.75</v>
          </cell>
          <cell r="P60">
            <v>8.2114500414626868E-2</v>
          </cell>
          <cell r="Q60">
            <v>8.8375053545631577E-2</v>
          </cell>
          <cell r="R60">
            <v>3.5256094932929027E-2</v>
          </cell>
          <cell r="S60">
            <v>2.2986393057836452E-2</v>
          </cell>
          <cell r="T60">
            <v>-1.0326086956521818E-2</v>
          </cell>
          <cell r="U60">
            <v>3.2399780340472306E-2</v>
          </cell>
          <cell r="V60">
            <v>-4.2553191489361653E-2</v>
          </cell>
          <cell r="W60">
            <v>-0.11111111111111116</v>
          </cell>
          <cell r="X60">
            <v>-6.8749999999999978E-2</v>
          </cell>
          <cell r="Y60">
            <v>-6.0402684563758413E-2</v>
          </cell>
          <cell r="Z60">
            <v>7.1428571428571397E-2</v>
          </cell>
          <cell r="AA60">
            <v>3.3333333333333437E-2</v>
          </cell>
        </row>
        <row r="61">
          <cell r="A61" t="str">
            <v>CELU.BA</v>
          </cell>
          <cell r="B61">
            <v>10.3</v>
          </cell>
          <cell r="C61">
            <v>10.4</v>
          </cell>
          <cell r="D61">
            <v>17.95</v>
          </cell>
          <cell r="E61">
            <v>14.75</v>
          </cell>
          <cell r="F61">
            <v>17.899999999999999</v>
          </cell>
          <cell r="G61">
            <v>18.2</v>
          </cell>
          <cell r="H61">
            <v>18.5</v>
          </cell>
          <cell r="I61">
            <v>18.95</v>
          </cell>
          <cell r="J61">
            <v>18.8</v>
          </cell>
          <cell r="K61">
            <v>21</v>
          </cell>
          <cell r="L61">
            <v>26</v>
          </cell>
          <cell r="M61">
            <v>28.95</v>
          </cell>
          <cell r="N61">
            <v>29</v>
          </cell>
          <cell r="P61">
            <v>9.7087378640776656E-3</v>
          </cell>
          <cell r="Q61">
            <v>0.72596153846153832</v>
          </cell>
          <cell r="R61">
            <v>-0.17827298050139273</v>
          </cell>
          <cell r="S61">
            <v>0.21355932203389827</v>
          </cell>
          <cell r="T61">
            <v>1.6759776536312998E-2</v>
          </cell>
          <cell r="U61">
            <v>1.6483516483516425E-2</v>
          </cell>
          <cell r="V61">
            <v>2.4324324324324298E-2</v>
          </cell>
          <cell r="W61">
            <v>-7.9155672823217893E-3</v>
          </cell>
          <cell r="X61">
            <v>0.11702127659574457</v>
          </cell>
          <cell r="Y61">
            <v>0.23809523809523814</v>
          </cell>
          <cell r="Z61">
            <v>0.1134615384615385</v>
          </cell>
          <cell r="AA61">
            <v>1.7271157167531026E-3</v>
          </cell>
        </row>
        <row r="62">
          <cell r="A62" t="str">
            <v>MERA.BA</v>
          </cell>
          <cell r="B62">
            <v>43</v>
          </cell>
          <cell r="C62">
            <v>43</v>
          </cell>
          <cell r="D62">
            <v>43</v>
          </cell>
          <cell r="E62">
            <v>44</v>
          </cell>
          <cell r="F62">
            <v>43</v>
          </cell>
          <cell r="G62">
            <v>46</v>
          </cell>
          <cell r="H62">
            <v>46</v>
          </cell>
          <cell r="I62">
            <v>45</v>
          </cell>
          <cell r="J62">
            <v>47</v>
          </cell>
          <cell r="K62">
            <v>47</v>
          </cell>
          <cell r="L62">
            <v>47</v>
          </cell>
          <cell r="M62">
            <v>47</v>
          </cell>
          <cell r="N62">
            <v>47</v>
          </cell>
          <cell r="P62">
            <v>0</v>
          </cell>
          <cell r="Q62">
            <v>0</v>
          </cell>
          <cell r="R62">
            <v>2.3255813953488413E-2</v>
          </cell>
          <cell r="S62">
            <v>-2.2727272727272707E-2</v>
          </cell>
          <cell r="T62">
            <v>6.9767441860465018E-2</v>
          </cell>
          <cell r="U62">
            <v>0</v>
          </cell>
          <cell r="V62">
            <v>-2.1739130434782594E-2</v>
          </cell>
          <cell r="W62">
            <v>4.4444444444444509E-2</v>
          </cell>
          <cell r="X62">
            <v>0</v>
          </cell>
          <cell r="Y62">
            <v>0</v>
          </cell>
          <cell r="Z62">
            <v>0</v>
          </cell>
          <cell r="AA62">
            <v>0</v>
          </cell>
        </row>
        <row r="63">
          <cell r="A63" t="str">
            <v>COLO.BA</v>
          </cell>
          <cell r="B63">
            <v>11.55</v>
          </cell>
          <cell r="C63">
            <v>12</v>
          </cell>
          <cell r="D63">
            <v>14</v>
          </cell>
          <cell r="E63">
            <v>15.05</v>
          </cell>
          <cell r="F63">
            <v>14.9</v>
          </cell>
          <cell r="G63">
            <v>14.9</v>
          </cell>
          <cell r="H63">
            <v>10.55</v>
          </cell>
          <cell r="I63">
            <v>11.1</v>
          </cell>
          <cell r="J63">
            <v>10.1</v>
          </cell>
          <cell r="K63">
            <v>10</v>
          </cell>
          <cell r="L63">
            <v>12.6</v>
          </cell>
          <cell r="M63">
            <v>12.65</v>
          </cell>
          <cell r="N63">
            <v>12.55</v>
          </cell>
          <cell r="P63">
            <v>3.8961038961038863E-2</v>
          </cell>
          <cell r="Q63">
            <v>0.16666666666666674</v>
          </cell>
          <cell r="R63">
            <v>7.4999999999999956E-2</v>
          </cell>
          <cell r="S63">
            <v>-9.966777408637939E-3</v>
          </cell>
          <cell r="T63">
            <v>0</v>
          </cell>
          <cell r="U63">
            <v>-0.29194630872483218</v>
          </cell>
          <cell r="V63">
            <v>5.2132701421800931E-2</v>
          </cell>
          <cell r="W63">
            <v>-9.0090090090090058E-2</v>
          </cell>
          <cell r="X63">
            <v>-9.9009900990099098E-3</v>
          </cell>
          <cell r="Y63">
            <v>0.26</v>
          </cell>
          <cell r="Z63">
            <v>3.9682539682539542E-3</v>
          </cell>
          <cell r="AA63">
            <v>-7.905138339920903E-3</v>
          </cell>
        </row>
        <row r="64">
          <cell r="A64" t="str">
            <v>FIPL.BA</v>
          </cell>
          <cell r="B64">
            <v>5.0058051499999996</v>
          </cell>
          <cell r="C64">
            <v>5.0544051999999997</v>
          </cell>
          <cell r="D64">
            <v>5.6278857899999997</v>
          </cell>
          <cell r="E64">
            <v>3.9463240599999998</v>
          </cell>
          <cell r="F64">
            <v>3.888004</v>
          </cell>
          <cell r="G64">
            <v>3.3922834900000001</v>
          </cell>
          <cell r="H64">
            <v>3.5</v>
          </cell>
          <cell r="I64">
            <v>3.65</v>
          </cell>
          <cell r="J64">
            <v>3.4</v>
          </cell>
          <cell r="K64">
            <v>3.4</v>
          </cell>
          <cell r="L64">
            <v>3.4</v>
          </cell>
          <cell r="M64">
            <v>3.55</v>
          </cell>
          <cell r="N64" t="str">
            <v>NULL</v>
          </cell>
          <cell r="P64">
            <v>9.7087378640776656E-3</v>
          </cell>
          <cell r="Q64">
            <v>0.1134615384615385</v>
          </cell>
          <cell r="R64">
            <v>-0.29879101899827287</v>
          </cell>
          <cell r="S64">
            <v>-1.4778325123152691E-2</v>
          </cell>
          <cell r="T64">
            <v>-0.12749999999999995</v>
          </cell>
          <cell r="U64">
            <v>3.1753392756688426E-2</v>
          </cell>
          <cell r="V64">
            <v>4.2857142857142927E-2</v>
          </cell>
          <cell r="W64">
            <v>-6.8493150684931559E-2</v>
          </cell>
          <cell r="X64">
            <v>0</v>
          </cell>
          <cell r="Y64">
            <v>0</v>
          </cell>
          <cell r="Z64">
            <v>4.4117647058823595E-2</v>
          </cell>
          <cell r="AA64" t="e">
            <v>#VALUE!</v>
          </cell>
        </row>
        <row r="65">
          <cell r="A65" t="str">
            <v>IRSA.BA</v>
          </cell>
          <cell r="B65">
            <v>48.6717394</v>
          </cell>
          <cell r="C65">
            <v>54.732033800000004</v>
          </cell>
          <cell r="D65">
            <v>63.917167499999998</v>
          </cell>
          <cell r="E65">
            <v>45.49955405</v>
          </cell>
          <cell r="F65">
            <v>50.45</v>
          </cell>
          <cell r="G65">
            <v>48.05</v>
          </cell>
          <cell r="H65">
            <v>55.5</v>
          </cell>
          <cell r="I65">
            <v>52.65</v>
          </cell>
          <cell r="J65">
            <v>49</v>
          </cell>
          <cell r="K65">
            <v>41.4</v>
          </cell>
          <cell r="L65">
            <v>42.1</v>
          </cell>
          <cell r="M65">
            <v>41.45</v>
          </cell>
          <cell r="N65">
            <v>43.3</v>
          </cell>
          <cell r="P65">
            <v>0.1245136186770428</v>
          </cell>
          <cell r="Q65">
            <v>0.16782006920415204</v>
          </cell>
          <cell r="R65">
            <v>-0.28814814814814815</v>
          </cell>
          <cell r="S65">
            <v>0.10880207627002014</v>
          </cell>
          <cell r="T65">
            <v>-4.757185332011904E-2</v>
          </cell>
          <cell r="U65">
            <v>0.15504682622268473</v>
          </cell>
          <cell r="V65">
            <v>-5.1351351351351382E-2</v>
          </cell>
          <cell r="W65">
            <v>-6.9325735992402659E-2</v>
          </cell>
          <cell r="X65">
            <v>-0.15510204081632661</v>
          </cell>
          <cell r="Y65">
            <v>1.6908212560386549E-2</v>
          </cell>
          <cell r="Z65">
            <v>-1.5439429928741033E-2</v>
          </cell>
          <cell r="AA65">
            <v>4.4632086851628339E-2</v>
          </cell>
        </row>
        <row r="66">
          <cell r="A66" t="str">
            <v>IRCP.BA</v>
          </cell>
          <cell r="B66">
            <v>213.80960400000001</v>
          </cell>
          <cell r="C66">
            <v>250.09838999999999</v>
          </cell>
          <cell r="D66">
            <v>235.38672</v>
          </cell>
          <cell r="E66">
            <v>214.79038199999999</v>
          </cell>
          <cell r="F66">
            <v>194.3</v>
          </cell>
          <cell r="G66">
            <v>189.5</v>
          </cell>
          <cell r="H66">
            <v>195</v>
          </cell>
          <cell r="I66">
            <v>216.15</v>
          </cell>
          <cell r="J66">
            <v>210</v>
          </cell>
          <cell r="K66">
            <v>198.5</v>
          </cell>
          <cell r="L66">
            <v>190</v>
          </cell>
          <cell r="M66">
            <v>196</v>
          </cell>
          <cell r="N66">
            <v>210</v>
          </cell>
          <cell r="P66">
            <v>0.16972477064220182</v>
          </cell>
          <cell r="Q66">
            <v>-5.8823529411764719E-2</v>
          </cell>
          <cell r="R66">
            <v>-8.7500000000000022E-2</v>
          </cell>
          <cell r="S66">
            <v>-9.5397111403247026E-2</v>
          </cell>
          <cell r="T66">
            <v>-2.4704065877509063E-2</v>
          </cell>
          <cell r="U66">
            <v>2.9023746701847042E-2</v>
          </cell>
          <cell r="V66">
            <v>0.10846153846153839</v>
          </cell>
          <cell r="W66">
            <v>-2.8452463566967401E-2</v>
          </cell>
          <cell r="X66">
            <v>-5.4761904761904789E-2</v>
          </cell>
          <cell r="Y66">
            <v>-4.2821158690176331E-2</v>
          </cell>
          <cell r="Z66">
            <v>3.1578947368421151E-2</v>
          </cell>
          <cell r="AA66">
            <v>7.1428571428571397E-2</v>
          </cell>
        </row>
        <row r="67">
          <cell r="A67" t="str">
            <v>CRES.BA</v>
          </cell>
          <cell r="B67">
            <v>44.537328350000003</v>
          </cell>
          <cell r="C67">
            <v>52.687323849999999</v>
          </cell>
          <cell r="D67">
            <v>55.27614595</v>
          </cell>
          <cell r="E67">
            <v>40.270566000000002</v>
          </cell>
          <cell r="F67">
            <v>43.8</v>
          </cell>
          <cell r="G67">
            <v>44.9</v>
          </cell>
          <cell r="H67">
            <v>50</v>
          </cell>
          <cell r="I67">
            <v>48.25</v>
          </cell>
          <cell r="J67">
            <v>50.95</v>
          </cell>
          <cell r="K67">
            <v>44.5</v>
          </cell>
          <cell r="L67">
            <v>44.7</v>
          </cell>
          <cell r="M67">
            <v>44.85</v>
          </cell>
          <cell r="N67">
            <v>46.4</v>
          </cell>
          <cell r="P67">
            <v>0.1829924650161463</v>
          </cell>
          <cell r="Q67">
            <v>4.9135577797998264E-2</v>
          </cell>
          <cell r="R67">
            <v>-0.27146574154379877</v>
          </cell>
          <cell r="S67">
            <v>8.7643019469852756E-2</v>
          </cell>
          <cell r="T67">
            <v>2.5114155251141579E-2</v>
          </cell>
          <cell r="U67">
            <v>0.11358574610244987</v>
          </cell>
          <cell r="V67">
            <v>-3.5000000000000031E-2</v>
          </cell>
          <cell r="W67">
            <v>5.5958549222798082E-2</v>
          </cell>
          <cell r="X67">
            <v>-0.126594700686948</v>
          </cell>
          <cell r="Y67">
            <v>4.4943820224718767E-3</v>
          </cell>
          <cell r="Z67">
            <v>3.3557046979866278E-3</v>
          </cell>
          <cell r="AA67">
            <v>3.4559643255295258E-2</v>
          </cell>
        </row>
        <row r="68">
          <cell r="A68" t="str">
            <v>CTIO.BA</v>
          </cell>
          <cell r="B68">
            <v>41.792560000000002</v>
          </cell>
          <cell r="C68">
            <v>40.480468000000002</v>
          </cell>
          <cell r="D68">
            <v>44.708320000000001</v>
          </cell>
          <cell r="E68">
            <v>36.447000000000003</v>
          </cell>
          <cell r="F68">
            <v>38.099263999999998</v>
          </cell>
          <cell r="G68">
            <v>36.252616000000003</v>
          </cell>
          <cell r="H68">
            <v>41.306600000000003</v>
          </cell>
          <cell r="I68">
            <v>44.708320000000001</v>
          </cell>
          <cell r="J68">
            <v>45.680239999999998</v>
          </cell>
          <cell r="K68">
            <v>41.112215999999997</v>
          </cell>
          <cell r="L68">
            <v>47</v>
          </cell>
          <cell r="M68">
            <v>55.1</v>
          </cell>
          <cell r="N68">
            <v>50.4</v>
          </cell>
          <cell r="P68">
            <v>-3.1395348837209291E-2</v>
          </cell>
          <cell r="Q68">
            <v>0.10444177671068422</v>
          </cell>
          <cell r="R68">
            <v>-0.18478260869565211</v>
          </cell>
          <cell r="S68">
            <v>4.5333333333333226E-2</v>
          </cell>
          <cell r="T68">
            <v>-4.84693877551019E-2</v>
          </cell>
          <cell r="U68">
            <v>0.13941018766756041</v>
          </cell>
          <cell r="V68">
            <v>8.2352941176470518E-2</v>
          </cell>
          <cell r="W68">
            <v>2.1739130434782483E-2</v>
          </cell>
          <cell r="X68">
            <v>-9.9999999999999978E-2</v>
          </cell>
          <cell r="Y68">
            <v>0.14321251863436424</v>
          </cell>
          <cell r="Z68">
            <v>0.17234042553191498</v>
          </cell>
          <cell r="AA68">
            <v>-8.5299455535390201E-2</v>
          </cell>
        </row>
        <row r="69">
          <cell r="A69" t="str">
            <v>PAMP.BA</v>
          </cell>
          <cell r="B69">
            <v>46.45</v>
          </cell>
          <cell r="C69">
            <v>46.35</v>
          </cell>
          <cell r="D69">
            <v>50.95</v>
          </cell>
          <cell r="E69">
            <v>47.7</v>
          </cell>
          <cell r="F69">
            <v>53.75</v>
          </cell>
          <cell r="G69">
            <v>46.75</v>
          </cell>
          <cell r="H69">
            <v>53.25</v>
          </cell>
          <cell r="I69">
            <v>50.75</v>
          </cell>
          <cell r="J69">
            <v>48.1</v>
          </cell>
          <cell r="K69">
            <v>37.450000000000003</v>
          </cell>
          <cell r="L69">
            <v>45.45</v>
          </cell>
          <cell r="M69">
            <v>59.45</v>
          </cell>
          <cell r="N69">
            <v>58.4</v>
          </cell>
          <cell r="P69">
            <v>-2.1528525296017342E-3</v>
          </cell>
          <cell r="Q69">
            <v>9.9244875943905075E-2</v>
          </cell>
          <cell r="R69">
            <v>-6.3788027477919562E-2</v>
          </cell>
          <cell r="S69">
            <v>0.12683438155136262</v>
          </cell>
          <cell r="T69">
            <v>-0.13023255813953494</v>
          </cell>
          <cell r="U69">
            <v>0.1390374331550801</v>
          </cell>
          <cell r="V69">
            <v>-4.6948356807511749E-2</v>
          </cell>
          <cell r="W69">
            <v>-5.2216748768472931E-2</v>
          </cell>
          <cell r="X69">
            <v>-0.2214137214137214</v>
          </cell>
          <cell r="Y69">
            <v>0.21361815754339109</v>
          </cell>
          <cell r="Z69">
            <v>0.30803080308030806</v>
          </cell>
          <cell r="AA69">
            <v>-1.7661900756938631E-2</v>
          </cell>
        </row>
        <row r="70">
          <cell r="A70" t="str">
            <v>EDN.BA</v>
          </cell>
          <cell r="B70">
            <v>47.55</v>
          </cell>
          <cell r="C70">
            <v>45.4</v>
          </cell>
          <cell r="D70">
            <v>51.3</v>
          </cell>
          <cell r="E70">
            <v>40.5</v>
          </cell>
          <cell r="F70">
            <v>48.15</v>
          </cell>
          <cell r="G70">
            <v>50.95</v>
          </cell>
          <cell r="H70">
            <v>53.5</v>
          </cell>
          <cell r="I70">
            <v>50.25</v>
          </cell>
          <cell r="J70">
            <v>43.1</v>
          </cell>
          <cell r="K70">
            <v>38.799999999999997</v>
          </cell>
          <cell r="L70">
            <v>38.85</v>
          </cell>
          <cell r="M70">
            <v>39.1</v>
          </cell>
          <cell r="N70">
            <v>42.9</v>
          </cell>
          <cell r="P70">
            <v>-4.5215562565720235E-2</v>
          </cell>
          <cell r="Q70">
            <v>0.12995594713656389</v>
          </cell>
          <cell r="R70">
            <v>-0.21052631578947367</v>
          </cell>
          <cell r="S70">
            <v>0.18888888888888888</v>
          </cell>
          <cell r="T70">
            <v>5.8151609553478867E-2</v>
          </cell>
          <cell r="U70">
            <v>5.0049067713444417E-2</v>
          </cell>
          <cell r="V70">
            <v>-6.074766355140182E-2</v>
          </cell>
          <cell r="W70">
            <v>-0.1422885572139303</v>
          </cell>
          <cell r="X70">
            <v>-9.9767981438515174E-2</v>
          </cell>
          <cell r="Y70">
            <v>1.2886597938146505E-3</v>
          </cell>
          <cell r="Z70">
            <v>6.4350064350064962E-3</v>
          </cell>
          <cell r="AA70">
            <v>9.7186700767263323E-2</v>
          </cell>
        </row>
        <row r="71">
          <cell r="A71" t="str">
            <v>TRAN.BA</v>
          </cell>
          <cell r="B71">
            <v>40.962993677999997</v>
          </cell>
          <cell r="C71">
            <v>34.552754209</v>
          </cell>
          <cell r="D71">
            <v>37.836047596</v>
          </cell>
          <cell r="E71">
            <v>31.621242256999999</v>
          </cell>
          <cell r="F71">
            <v>34.435493731000001</v>
          </cell>
          <cell r="G71">
            <v>37.867948800000001</v>
          </cell>
          <cell r="H71">
            <v>47.996889600000003</v>
          </cell>
          <cell r="I71">
            <v>46.231679999999997</v>
          </cell>
          <cell r="J71">
            <v>38.792582400000001</v>
          </cell>
          <cell r="K71">
            <v>32.992607999999997</v>
          </cell>
          <cell r="L71">
            <v>38.65</v>
          </cell>
          <cell r="M71">
            <v>43.4</v>
          </cell>
          <cell r="N71">
            <v>43.4</v>
          </cell>
          <cell r="P71">
            <v>-0.15648854962577463</v>
          </cell>
          <cell r="Q71">
            <v>9.5022624452461013E-2</v>
          </cell>
          <cell r="R71">
            <v>-0.16425619835770122</v>
          </cell>
          <cell r="S71">
            <v>8.899876390457151E-2</v>
          </cell>
          <cell r="T71">
            <v>9.9677823579743974E-2</v>
          </cell>
          <cell r="U71">
            <v>0.26748057713651496</v>
          </cell>
          <cell r="V71">
            <v>-3.6777583187390661E-2</v>
          </cell>
          <cell r="W71">
            <v>-0.16090909090909089</v>
          </cell>
          <cell r="X71">
            <v>-0.14951245937161439</v>
          </cell>
          <cell r="Y71">
            <v>0.17147453150717884</v>
          </cell>
          <cell r="Z71">
            <v>0.12289780077619672</v>
          </cell>
          <cell r="AA71">
            <v>0</v>
          </cell>
        </row>
        <row r="72">
          <cell r="A72" t="str">
            <v>METR.BA</v>
          </cell>
          <cell r="B72">
            <v>36.9</v>
          </cell>
          <cell r="C72">
            <v>30</v>
          </cell>
          <cell r="D72">
            <v>37.65</v>
          </cell>
          <cell r="E72">
            <v>30.1</v>
          </cell>
          <cell r="F72">
            <v>28.05</v>
          </cell>
          <cell r="G72">
            <v>26.5</v>
          </cell>
          <cell r="H72">
            <v>30.65</v>
          </cell>
          <cell r="I72">
            <v>26.9</v>
          </cell>
          <cell r="J72">
            <v>22.8</v>
          </cell>
          <cell r="K72">
            <v>16.399999999999999</v>
          </cell>
          <cell r="L72">
            <v>17.75</v>
          </cell>
          <cell r="M72">
            <v>20.7</v>
          </cell>
          <cell r="N72">
            <v>21.05</v>
          </cell>
          <cell r="P72">
            <v>-0.18699186991869921</v>
          </cell>
          <cell r="Q72">
            <v>0.25499999999999989</v>
          </cell>
          <cell r="R72">
            <v>-0.20053120849933592</v>
          </cell>
          <cell r="S72">
            <v>-6.8106312292358862E-2</v>
          </cell>
          <cell r="T72">
            <v>-5.5258467023172941E-2</v>
          </cell>
          <cell r="U72">
            <v>0.15660377358490551</v>
          </cell>
          <cell r="V72">
            <v>-0.12234910277324629</v>
          </cell>
          <cell r="W72">
            <v>-0.15241635687732336</v>
          </cell>
          <cell r="X72">
            <v>-0.28070175438596501</v>
          </cell>
          <cell r="Y72">
            <v>8.2317073170731891E-2</v>
          </cell>
          <cell r="Z72">
            <v>0.16619718309859155</v>
          </cell>
          <cell r="AA72">
            <v>1.6908212560386549E-2</v>
          </cell>
        </row>
        <row r="73">
          <cell r="A73" t="str">
            <v>GBAN.BA</v>
          </cell>
          <cell r="B73">
            <v>48</v>
          </cell>
          <cell r="C73">
            <v>42</v>
          </cell>
          <cell r="D73">
            <v>48</v>
          </cell>
          <cell r="E73">
            <v>42</v>
          </cell>
          <cell r="F73">
            <v>38</v>
          </cell>
          <cell r="G73">
            <v>38.5</v>
          </cell>
          <cell r="H73">
            <v>39</v>
          </cell>
          <cell r="I73">
            <v>35.799999999999997</v>
          </cell>
          <cell r="J73">
            <v>38</v>
          </cell>
          <cell r="K73">
            <v>33.799999999999997</v>
          </cell>
          <cell r="L73">
            <v>35</v>
          </cell>
          <cell r="M73">
            <v>37.9</v>
          </cell>
          <cell r="N73">
            <v>35</v>
          </cell>
          <cell r="P73">
            <v>-0.125</v>
          </cell>
          <cell r="Q73">
            <v>0.14285714285714279</v>
          </cell>
          <cell r="R73">
            <v>-0.125</v>
          </cell>
          <cell r="S73">
            <v>-9.5238095238095233E-2</v>
          </cell>
          <cell r="T73">
            <v>1.3157894736842035E-2</v>
          </cell>
          <cell r="U73">
            <v>1.298701298701288E-2</v>
          </cell>
          <cell r="V73">
            <v>-8.2051282051282093E-2</v>
          </cell>
          <cell r="W73">
            <v>6.1452513966480549E-2</v>
          </cell>
          <cell r="X73">
            <v>-0.11052631578947381</v>
          </cell>
          <cell r="Y73">
            <v>3.5502958579881838E-2</v>
          </cell>
          <cell r="Z73">
            <v>8.285714285714274E-2</v>
          </cell>
          <cell r="AA73">
            <v>-7.6517150395778333E-2</v>
          </cell>
        </row>
        <row r="74">
          <cell r="A74" t="str">
            <v>CAPX.BA</v>
          </cell>
          <cell r="B74">
            <v>58</v>
          </cell>
          <cell r="C74">
            <v>50</v>
          </cell>
          <cell r="D74">
            <v>74.599999999999994</v>
          </cell>
          <cell r="E74">
            <v>68</v>
          </cell>
          <cell r="F74">
            <v>69.5</v>
          </cell>
          <cell r="G74">
            <v>61.9</v>
          </cell>
          <cell r="H74">
            <v>72</v>
          </cell>
          <cell r="I74">
            <v>63.1</v>
          </cell>
          <cell r="J74">
            <v>53.6</v>
          </cell>
          <cell r="K74">
            <v>43</v>
          </cell>
          <cell r="L74">
            <v>52</v>
          </cell>
          <cell r="M74">
            <v>59.6</v>
          </cell>
          <cell r="N74">
            <v>66</v>
          </cell>
          <cell r="P74">
            <v>-0.13793103448275867</v>
          </cell>
          <cell r="Q74">
            <v>0.49199999999999999</v>
          </cell>
          <cell r="R74">
            <v>-8.8471849865951691E-2</v>
          </cell>
          <cell r="S74">
            <v>2.2058823529411686E-2</v>
          </cell>
          <cell r="T74">
            <v>-0.10935251798561152</v>
          </cell>
          <cell r="U74">
            <v>0.16316639741518579</v>
          </cell>
          <cell r="V74">
            <v>-0.12361111111111112</v>
          </cell>
          <cell r="W74">
            <v>-0.150554675118859</v>
          </cell>
          <cell r="X74">
            <v>-0.19776119402985082</v>
          </cell>
          <cell r="Y74">
            <v>0.20930232558139528</v>
          </cell>
          <cell r="Z74">
            <v>0.14615384615384608</v>
          </cell>
          <cell r="AA74">
            <v>0.10738255033557054</v>
          </cell>
        </row>
        <row r="75">
          <cell r="A75" t="str">
            <v>CGPA2.BA</v>
          </cell>
          <cell r="B75">
            <v>44.341191000000002</v>
          </cell>
          <cell r="C75">
            <v>37</v>
          </cell>
          <cell r="D75">
            <v>47.45</v>
          </cell>
          <cell r="E75">
            <v>37.950000000000003</v>
          </cell>
          <cell r="F75">
            <v>34</v>
          </cell>
          <cell r="G75">
            <v>30.35</v>
          </cell>
          <cell r="H75">
            <v>37</v>
          </cell>
          <cell r="I75">
            <v>32.4</v>
          </cell>
          <cell r="J75">
            <v>26.8</v>
          </cell>
          <cell r="K75">
            <v>20</v>
          </cell>
          <cell r="L75">
            <v>22.4</v>
          </cell>
          <cell r="M75">
            <v>29.1</v>
          </cell>
          <cell r="N75">
            <v>31</v>
          </cell>
          <cell r="P75">
            <v>-0.1655614302286107</v>
          </cell>
          <cell r="Q75">
            <v>0.28243243243243255</v>
          </cell>
          <cell r="R75">
            <v>-0.20021074815595363</v>
          </cell>
          <cell r="S75">
            <v>-0.10408432147562585</v>
          </cell>
          <cell r="T75">
            <v>-0.10735294117647054</v>
          </cell>
          <cell r="U75">
            <v>0.21911037891268537</v>
          </cell>
          <cell r="V75">
            <v>-0.12432432432432439</v>
          </cell>
          <cell r="W75">
            <v>-0.1728395061728395</v>
          </cell>
          <cell r="X75">
            <v>-0.25373134328358216</v>
          </cell>
          <cell r="Y75">
            <v>0.11999999999999988</v>
          </cell>
          <cell r="Z75">
            <v>0.29910714285714302</v>
          </cell>
          <cell r="AA75">
            <v>6.5292096219931262E-2</v>
          </cell>
        </row>
        <row r="76">
          <cell r="A76" t="str">
            <v>DGCU2.BA</v>
          </cell>
          <cell r="B76">
            <v>50</v>
          </cell>
          <cell r="C76">
            <v>46.8</v>
          </cell>
          <cell r="D76">
            <v>50.8</v>
          </cell>
          <cell r="E76">
            <v>43</v>
          </cell>
          <cell r="F76">
            <v>40.549999999999997</v>
          </cell>
          <cell r="G76">
            <v>38.25</v>
          </cell>
          <cell r="H76">
            <v>45.4</v>
          </cell>
          <cell r="I76">
            <v>39.799999999999997</v>
          </cell>
          <cell r="J76">
            <v>34.4</v>
          </cell>
          <cell r="K76">
            <v>22.95</v>
          </cell>
          <cell r="L76">
            <v>25.6</v>
          </cell>
          <cell r="M76">
            <v>30.3</v>
          </cell>
          <cell r="N76">
            <v>32</v>
          </cell>
          <cell r="P76">
            <v>-6.4000000000000057E-2</v>
          </cell>
          <cell r="Q76">
            <v>8.5470085470085388E-2</v>
          </cell>
          <cell r="R76">
            <v>-0.15354330708661412</v>
          </cell>
          <cell r="S76">
            <v>-5.6976744186046591E-2</v>
          </cell>
          <cell r="T76">
            <v>-5.6720098643649797E-2</v>
          </cell>
          <cell r="U76">
            <v>0.1869281045751634</v>
          </cell>
          <cell r="V76">
            <v>-0.12334801762114544</v>
          </cell>
          <cell r="W76">
            <v>-0.13567839195979892</v>
          </cell>
          <cell r="X76">
            <v>-0.33284883720930236</v>
          </cell>
          <cell r="Y76">
            <v>0.11546840958605675</v>
          </cell>
          <cell r="Z76">
            <v>0.18359375</v>
          </cell>
          <cell r="AA76">
            <v>5.6105610561056007E-2</v>
          </cell>
        </row>
        <row r="77">
          <cell r="A77" t="str">
            <v>CEPU.BA</v>
          </cell>
          <cell r="B77">
            <v>31.55</v>
          </cell>
          <cell r="C77">
            <v>35.9</v>
          </cell>
          <cell r="D77">
            <v>41.15</v>
          </cell>
          <cell r="E77">
            <v>34.049999999999997</v>
          </cell>
          <cell r="F77">
            <v>35.299999999999997</v>
          </cell>
          <cell r="G77">
            <v>33.299999999999997</v>
          </cell>
          <cell r="H77">
            <v>38.450000000000003</v>
          </cell>
          <cell r="I77">
            <v>39.799999999999997</v>
          </cell>
          <cell r="J77">
            <v>39.85</v>
          </cell>
          <cell r="K77">
            <v>35.4</v>
          </cell>
          <cell r="L77">
            <v>35.9</v>
          </cell>
          <cell r="M77">
            <v>39.200000000000003</v>
          </cell>
          <cell r="N77">
            <v>39.799999999999997</v>
          </cell>
          <cell r="P77">
            <v>0.137876386687797</v>
          </cell>
          <cell r="Q77">
            <v>0.14623955431754876</v>
          </cell>
          <cell r="R77">
            <v>-0.172539489671932</v>
          </cell>
          <cell r="S77">
            <v>3.6710719530102853E-2</v>
          </cell>
          <cell r="T77">
            <v>-5.6657223796033995E-2</v>
          </cell>
          <cell r="U77">
            <v>0.15465465465465478</v>
          </cell>
          <cell r="V77">
            <v>3.5110533159947943E-2</v>
          </cell>
          <cell r="W77">
            <v>1.2562814070353756E-3</v>
          </cell>
          <cell r="X77">
            <v>-0.11166875784190722</v>
          </cell>
          <cell r="Y77">
            <v>1.4124293785310771E-2</v>
          </cell>
          <cell r="Z77">
            <v>9.1922005571030807E-2</v>
          </cell>
          <cell r="AA77">
            <v>1.5306122448979442E-2</v>
          </cell>
        </row>
        <row r="78">
          <cell r="A78" t="str">
            <v>CECO2.BA</v>
          </cell>
          <cell r="B78">
            <v>7.53329</v>
          </cell>
          <cell r="C78">
            <v>6.0266320000000002</v>
          </cell>
          <cell r="D78">
            <v>7.4956235500000004</v>
          </cell>
          <cell r="E78">
            <v>7.2319583999999999</v>
          </cell>
          <cell r="F78">
            <v>6.5916287499999999</v>
          </cell>
          <cell r="G78">
            <v>6.2074309599999999</v>
          </cell>
          <cell r="H78">
            <v>6.7799610000000001</v>
          </cell>
          <cell r="I78">
            <v>7.1566254999999996</v>
          </cell>
          <cell r="J78">
            <v>5.82323317</v>
          </cell>
          <cell r="K78">
            <v>7.3976907799999996</v>
          </cell>
          <cell r="L78">
            <v>8.92</v>
          </cell>
          <cell r="M78">
            <v>9.2799999999999994</v>
          </cell>
          <cell r="N78">
            <v>9.84</v>
          </cell>
          <cell r="P78">
            <v>-0.19999999999999996</v>
          </cell>
          <cell r="Q78">
            <v>0.24374999999999991</v>
          </cell>
          <cell r="R78">
            <v>-3.5175879396984966E-2</v>
          </cell>
          <cell r="S78">
            <v>-8.854166666666663E-2</v>
          </cell>
          <cell r="T78">
            <v>-5.8285714285714274E-2</v>
          </cell>
          <cell r="U78">
            <v>9.2233009708737823E-2</v>
          </cell>
          <cell r="V78">
            <v>5.555555555555558E-2</v>
          </cell>
          <cell r="W78">
            <v>-0.18631578947368421</v>
          </cell>
          <cell r="X78">
            <v>0.27037516170763243</v>
          </cell>
          <cell r="Y78">
            <v>0.20578167772511313</v>
          </cell>
          <cell r="Z78">
            <v>4.0358744394618729E-2</v>
          </cell>
          <cell r="AA78">
            <v>6.0344827586206851E-2</v>
          </cell>
        </row>
      </sheetData>
      <sheetData sheetId="7" refreshError="1"/>
      <sheetData sheetId="8">
        <row r="1">
          <cell r="B1">
            <v>2019</v>
          </cell>
        </row>
      </sheetData>
      <sheetData sheetId="9">
        <row r="1">
          <cell r="A1">
            <v>1</v>
          </cell>
          <cell r="B1">
            <v>2</v>
          </cell>
          <cell r="E1">
            <v>5</v>
          </cell>
        </row>
        <row r="3">
          <cell r="A3" t="str">
            <v>Ticker</v>
          </cell>
          <cell r="B3" t="str">
            <v>Ric</v>
          </cell>
          <cell r="C3" t="str">
            <v>GICS Sector Name</v>
          </cell>
          <cell r="D3" t="str">
            <v>Nombre</v>
          </cell>
          <cell r="E3" t="str">
            <v>Market cap</v>
          </cell>
        </row>
        <row r="4">
          <cell r="A4" t="str">
            <v>TEF</v>
          </cell>
          <cell r="B4" t="str">
            <v>TEF.BA</v>
          </cell>
          <cell r="C4" t="str">
            <v>Communication Services</v>
          </cell>
          <cell r="D4" t="str">
            <v>TELEFONICA S.A.</v>
          </cell>
          <cell r="E4">
            <v>1692065246899.7</v>
          </cell>
        </row>
        <row r="5">
          <cell r="A5" t="str">
            <v>TECO2</v>
          </cell>
          <cell r="B5" t="str">
            <v>TECO2.BA</v>
          </cell>
          <cell r="C5" t="str">
            <v>Communication Services</v>
          </cell>
          <cell r="D5" t="str">
            <v>TELECOM ARGENTINA S. A.</v>
          </cell>
          <cell r="E5">
            <v>327939098860.79999</v>
          </cell>
        </row>
        <row r="6">
          <cell r="A6" t="str">
            <v>CVH</v>
          </cell>
          <cell r="B6" t="str">
            <v>CVH.BA</v>
          </cell>
          <cell r="C6" t="str">
            <v>Communication Services</v>
          </cell>
          <cell r="D6" t="str">
            <v>CABLEVISION HOLDING S.A.</v>
          </cell>
          <cell r="E6">
            <v>45792894030</v>
          </cell>
        </row>
        <row r="7">
          <cell r="A7" t="str">
            <v>GCLA</v>
          </cell>
          <cell r="B7" t="str">
            <v>GCLA.BA</v>
          </cell>
          <cell r="C7" t="str">
            <v>Communication Services</v>
          </cell>
          <cell r="D7" t="str">
            <v>GRUPO CLARIN S.A.</v>
          </cell>
          <cell r="E7">
            <v>4591368172</v>
          </cell>
        </row>
        <row r="8">
          <cell r="A8" t="str">
            <v>MIRG</v>
          </cell>
          <cell r="B8" t="str">
            <v>MIRG.BA</v>
          </cell>
          <cell r="C8" t="str">
            <v>Consumer Discretionary</v>
          </cell>
          <cell r="D8" t="str">
            <v>MIRGOR S.A.</v>
          </cell>
          <cell r="E8">
            <v>6282000000</v>
          </cell>
        </row>
        <row r="9">
          <cell r="A9" t="str">
            <v>HAVA</v>
          </cell>
          <cell r="B9" t="str">
            <v>HAVA.BA</v>
          </cell>
          <cell r="C9" t="str">
            <v>Consumer Discretionary</v>
          </cell>
          <cell r="D9" t="str">
            <v>HAVANNA HOLDING S.A.</v>
          </cell>
          <cell r="E9">
            <v>3758090800</v>
          </cell>
        </row>
        <row r="10">
          <cell r="A10" t="str">
            <v>GRIM</v>
          </cell>
          <cell r="B10" t="str">
            <v>GRIM.BA</v>
          </cell>
          <cell r="C10" t="str">
            <v>Consumer Discretionary</v>
          </cell>
          <cell r="D10" t="str">
            <v>GRIMOLDI S.A.</v>
          </cell>
          <cell r="E10">
            <v>1041226579</v>
          </cell>
        </row>
        <row r="11">
          <cell r="A11" t="str">
            <v>TGLT</v>
          </cell>
          <cell r="B11" t="str">
            <v>TGLT.BA</v>
          </cell>
          <cell r="C11" t="str">
            <v>Consumer Discretionary</v>
          </cell>
          <cell r="D11" t="str">
            <v>TGLT S.A.</v>
          </cell>
          <cell r="E11">
            <v>355320435.30000001</v>
          </cell>
        </row>
        <row r="12">
          <cell r="A12" t="str">
            <v>LONG</v>
          </cell>
          <cell r="B12" t="str">
            <v>LONG.BA</v>
          </cell>
          <cell r="C12" t="str">
            <v>Consumer Discretionary</v>
          </cell>
          <cell r="D12" t="str">
            <v>LONGVIE S.A.</v>
          </cell>
          <cell r="E12">
            <v>393322273.27999997</v>
          </cell>
        </row>
        <row r="13">
          <cell r="A13" t="str">
            <v>PSUR</v>
          </cell>
          <cell r="B13" t="str">
            <v>PSUR.BA</v>
          </cell>
          <cell r="C13" t="str">
            <v>Consumer Discretionary</v>
          </cell>
          <cell r="D13" t="str">
            <v>PETROLERA DEL CONOSUR S.A.</v>
          </cell>
          <cell r="E13">
            <v>366346678.44999999</v>
          </cell>
        </row>
        <row r="14">
          <cell r="A14" t="str">
            <v>DOME</v>
          </cell>
          <cell r="B14" t="str">
            <v>DOME.BA</v>
          </cell>
          <cell r="C14" t="str">
            <v>Consumer Discretionary</v>
          </cell>
          <cell r="D14" t="str">
            <v>DOMEC S.A.</v>
          </cell>
          <cell r="E14">
            <v>195000000</v>
          </cell>
        </row>
        <row r="15">
          <cell r="A15" t="str">
            <v>PATA</v>
          </cell>
          <cell r="B15" t="str">
            <v>PATA.BA</v>
          </cell>
          <cell r="C15" t="str">
            <v>Consumer Staples</v>
          </cell>
          <cell r="D15" t="str">
            <v>IMPORTADORA Y EXPORTADORA DE LA PATAGONIA S.A.</v>
          </cell>
          <cell r="E15">
            <v>11525000000</v>
          </cell>
        </row>
        <row r="16">
          <cell r="A16" t="str">
            <v>MOLA</v>
          </cell>
          <cell r="B16" t="str">
            <v>MOLA.BA</v>
          </cell>
          <cell r="C16" t="str">
            <v>Consumer Staples</v>
          </cell>
          <cell r="D16" t="str">
            <v>MOLINOS AGRO S.A.</v>
          </cell>
          <cell r="E16">
            <v>20958024248</v>
          </cell>
        </row>
        <row r="17">
          <cell r="A17" t="str">
            <v>MOLI</v>
          </cell>
          <cell r="B17" t="str">
            <v>MOLI.BA</v>
          </cell>
          <cell r="C17" t="str">
            <v>Consumer Staples</v>
          </cell>
          <cell r="D17" t="str">
            <v>MOLINOS RIO DE LA PLATA S.A.</v>
          </cell>
          <cell r="E17">
            <v>9003256176.8999996</v>
          </cell>
        </row>
        <row r="18">
          <cell r="A18" t="str">
            <v>ESME</v>
          </cell>
          <cell r="B18" t="str">
            <v>ESME.BA</v>
          </cell>
          <cell r="C18" t="str">
            <v>Consumer Staples</v>
          </cell>
          <cell r="D18" t="str">
            <v>BODEGAS ESMERALDA S.A.</v>
          </cell>
          <cell r="E18">
            <v>7661797520</v>
          </cell>
        </row>
        <row r="19">
          <cell r="A19" t="str">
            <v>SAMI</v>
          </cell>
          <cell r="B19" t="str">
            <v>SAMI.BA</v>
          </cell>
          <cell r="C19" t="str">
            <v>Consumer Staples</v>
          </cell>
          <cell r="D19" t="str">
            <v>S.A. SAN MIGUEL</v>
          </cell>
          <cell r="E19">
            <v>6168790659.6000004</v>
          </cell>
        </row>
        <row r="20">
          <cell r="A20" t="str">
            <v>LEDE</v>
          </cell>
          <cell r="B20" t="str">
            <v>LEDE.BA</v>
          </cell>
          <cell r="C20" t="str">
            <v>Consumer Staples</v>
          </cell>
          <cell r="D20" t="str">
            <v>LEDESMA S.A.</v>
          </cell>
          <cell r="E20">
            <v>5610000000</v>
          </cell>
        </row>
        <row r="21">
          <cell r="A21" t="str">
            <v>INVJ</v>
          </cell>
          <cell r="B21" t="str">
            <v>INVJ.BA</v>
          </cell>
          <cell r="C21" t="str">
            <v>Consumer Staples</v>
          </cell>
          <cell r="D21" t="str">
            <v>INVERSORA JURAMENTO S.A.</v>
          </cell>
          <cell r="E21">
            <v>5305169046.8000002</v>
          </cell>
        </row>
        <row r="22">
          <cell r="A22" t="str">
            <v>PATY</v>
          </cell>
          <cell r="B22" t="str">
            <v>PATY.BA</v>
          </cell>
          <cell r="C22" t="str">
            <v>Consumer Staples</v>
          </cell>
          <cell r="D22" t="str">
            <v>QUICKFOOD S.A.</v>
          </cell>
          <cell r="E22">
            <v>2595748243.4000001</v>
          </cell>
        </row>
        <row r="23">
          <cell r="A23" t="str">
            <v>INTR</v>
          </cell>
          <cell r="B23" t="str">
            <v>INTR.BA</v>
          </cell>
          <cell r="C23" t="str">
            <v>Consumer Staples</v>
          </cell>
          <cell r="D23" t="str">
            <v>COMPAÑIA INTRODUCTORA DE BUENOS AIRES S.A.</v>
          </cell>
          <cell r="E23">
            <v>507045403.23000002</v>
          </cell>
        </row>
        <row r="24">
          <cell r="A24" t="str">
            <v>SEMI</v>
          </cell>
          <cell r="B24" t="str">
            <v>SEMI.BA</v>
          </cell>
          <cell r="C24" t="str">
            <v>Consumer Staples</v>
          </cell>
          <cell r="D24" t="str">
            <v>MOLINOS JUAN SEMINO S.A.</v>
          </cell>
          <cell r="E24">
            <v>490268000</v>
          </cell>
        </row>
        <row r="25">
          <cell r="A25" t="str">
            <v>MORI</v>
          </cell>
          <cell r="B25" t="str">
            <v>MORI.BA</v>
          </cell>
          <cell r="C25" t="str">
            <v>Consumer Staples</v>
          </cell>
          <cell r="D25" t="str">
            <v>MORIXE HERMANOS S.A.</v>
          </cell>
          <cell r="E25">
            <v>687896255.79999995</v>
          </cell>
        </row>
        <row r="26">
          <cell r="A26" t="str">
            <v>APBR</v>
          </cell>
          <cell r="B26" t="str">
            <v>APBR.BA</v>
          </cell>
          <cell r="C26" t="str">
            <v>Energy</v>
          </cell>
          <cell r="D26" t="str">
            <v>PETROLEO BRASILEIRO S.A. - PETROBRAS (Sociedad de Economía Mixta)</v>
          </cell>
          <cell r="E26">
            <v>3913519091072.1499</v>
          </cell>
        </row>
        <row r="27">
          <cell r="A27" t="str">
            <v>TS</v>
          </cell>
          <cell r="B27" t="str">
            <v>TS.BA</v>
          </cell>
          <cell r="C27" t="str">
            <v>Energy</v>
          </cell>
          <cell r="D27" t="str">
            <v>TENARIS S.A.</v>
          </cell>
          <cell r="E27">
            <v>663815859509</v>
          </cell>
        </row>
        <row r="28">
          <cell r="A28" t="str">
            <v>YPFD</v>
          </cell>
          <cell r="B28" t="str">
            <v>YPFD.BA</v>
          </cell>
          <cell r="C28" t="str">
            <v>Energy</v>
          </cell>
          <cell r="D28" t="str">
            <v>YPF S.A.</v>
          </cell>
          <cell r="E28">
            <v>303794801313.20001</v>
          </cell>
        </row>
        <row r="29">
          <cell r="A29" t="str">
            <v>TGSU2</v>
          </cell>
          <cell r="B29" t="str">
            <v>TGSU2.BA</v>
          </cell>
          <cell r="C29" t="str">
            <v>Energy</v>
          </cell>
          <cell r="D29" t="str">
            <v>TRANSPORTADORA DE GAS DEL SUR S.A.</v>
          </cell>
          <cell r="E29">
            <v>106065120280.5</v>
          </cell>
        </row>
        <row r="30">
          <cell r="A30" t="str">
            <v>TGNO4</v>
          </cell>
          <cell r="B30" t="str">
            <v>TGNO4.BA</v>
          </cell>
          <cell r="C30" t="str">
            <v>Energy</v>
          </cell>
          <cell r="D30" t="str">
            <v>TRANSPORTADORA DE GAS DEL NORTE S.A.</v>
          </cell>
          <cell r="E30">
            <v>30272864397.099998</v>
          </cell>
        </row>
        <row r="31">
          <cell r="A31" t="str">
            <v>PGR</v>
          </cell>
          <cell r="B31" t="str">
            <v>PGR.BA</v>
          </cell>
          <cell r="C31" t="str">
            <v>Energy</v>
          </cell>
          <cell r="D31" t="str">
            <v>PHOENIX GLOBAL RESOURCES P.L.C.</v>
          </cell>
          <cell r="E31">
            <v>6903126040.8000002</v>
          </cell>
        </row>
        <row r="32">
          <cell r="A32" t="str">
            <v>COME</v>
          </cell>
          <cell r="B32" t="str">
            <v>COME.BA</v>
          </cell>
          <cell r="C32" t="str">
            <v>Energy</v>
          </cell>
          <cell r="D32" t="str">
            <v>SOCIEDAD COMERCIAL DEL PLATA S.A.</v>
          </cell>
          <cell r="E32">
            <v>4620796880.3999996</v>
          </cell>
        </row>
        <row r="33">
          <cell r="A33" t="str">
            <v>CARC</v>
          </cell>
          <cell r="B33" t="str">
            <v>CARC.BA</v>
          </cell>
          <cell r="C33" t="str">
            <v>Energy</v>
          </cell>
          <cell r="D33" t="str">
            <v>CARBOCLOR S. A.</v>
          </cell>
          <cell r="E33">
            <v>838418996.30999994</v>
          </cell>
        </row>
        <row r="34">
          <cell r="A34" t="str">
            <v>GGAL</v>
          </cell>
          <cell r="B34" t="str">
            <v>GGAL.BA</v>
          </cell>
          <cell r="C34" t="str">
            <v>Financials</v>
          </cell>
          <cell r="D34" t="str">
            <v>GRUPO FINANCIERO GALICIA S.A.</v>
          </cell>
          <cell r="E34">
            <v>220007100857.39999</v>
          </cell>
        </row>
        <row r="35">
          <cell r="A35" t="str">
            <v>BMA</v>
          </cell>
          <cell r="B35" t="str">
            <v>BMA.BA</v>
          </cell>
          <cell r="C35" t="str">
            <v>Financials</v>
          </cell>
          <cell r="D35" t="str">
            <v>BANCO MACRO S.A.</v>
          </cell>
          <cell r="E35">
            <v>198655535179.64999</v>
          </cell>
        </row>
        <row r="36">
          <cell r="A36" t="str">
            <v>BBAR</v>
          </cell>
          <cell r="B36" t="str">
            <v>BBAR.BA</v>
          </cell>
          <cell r="C36" t="str">
            <v>Financials</v>
          </cell>
          <cell r="D36" t="str">
            <v>BBVA BANCO FRANCES S. A.</v>
          </cell>
          <cell r="E36">
            <v>102743021292.60001</v>
          </cell>
        </row>
        <row r="37">
          <cell r="A37" t="str">
            <v>BRIO</v>
          </cell>
          <cell r="B37" t="str">
            <v>BRIO.BA</v>
          </cell>
          <cell r="C37" t="str">
            <v>Financials</v>
          </cell>
          <cell r="D37" t="str">
            <v>BANCO SANTANDER RIO S.A.</v>
          </cell>
          <cell r="E37">
            <v>49650077506.449997</v>
          </cell>
        </row>
        <row r="38">
          <cell r="A38" t="str">
            <v>BYMA</v>
          </cell>
          <cell r="B38" t="str">
            <v>BYMA.BA</v>
          </cell>
          <cell r="C38" t="str">
            <v>Financials</v>
          </cell>
          <cell r="D38" t="str">
            <v>BOLSAS Y MERCADOS ARGENTINOS S.A. (BYMA)</v>
          </cell>
          <cell r="E38">
            <v>25315000000</v>
          </cell>
        </row>
        <row r="39">
          <cell r="A39" t="str">
            <v>BPAT</v>
          </cell>
          <cell r="B39" t="str">
            <v>BPAT.BA</v>
          </cell>
          <cell r="C39" t="str">
            <v>Financials</v>
          </cell>
          <cell r="D39" t="str">
            <v>BANCO PATAGONIA S.A.</v>
          </cell>
          <cell r="E39">
            <v>36173005421.099998</v>
          </cell>
        </row>
        <row r="40">
          <cell r="A40" t="str">
            <v>BHIP</v>
          </cell>
          <cell r="B40" t="str">
            <v>BHIP.BA</v>
          </cell>
          <cell r="C40" t="str">
            <v>Financials</v>
          </cell>
          <cell r="D40" t="str">
            <v>BANCO HIPOTECARIO S.A.</v>
          </cell>
          <cell r="E40">
            <v>27225000000</v>
          </cell>
        </row>
        <row r="41">
          <cell r="A41" t="str">
            <v>VALO</v>
          </cell>
          <cell r="B41" t="str">
            <v>VALO.BA</v>
          </cell>
          <cell r="C41" t="str">
            <v>Financials</v>
          </cell>
          <cell r="D41" t="str">
            <v>GRUPO FINANCIERO VALORES SOCIEDAD ANONIMA</v>
          </cell>
          <cell r="E41">
            <v>6936300240</v>
          </cell>
        </row>
        <row r="42">
          <cell r="A42" t="str">
            <v>RICH</v>
          </cell>
          <cell r="B42" t="str">
            <v>RICH.BA</v>
          </cell>
          <cell r="C42" t="str">
            <v>Health Care</v>
          </cell>
          <cell r="D42" t="str">
            <v>LABORATORIOS RICHMOND S.A.C.I.F.</v>
          </cell>
          <cell r="E42">
            <v>3532877556.25</v>
          </cell>
        </row>
        <row r="43">
          <cell r="A43" t="str">
            <v>ROSE</v>
          </cell>
          <cell r="B43" t="str">
            <v>ROSE.BA</v>
          </cell>
          <cell r="C43" t="str">
            <v>Health Care</v>
          </cell>
          <cell r="D43" t="str">
            <v>INSTITUTO ROSENBUSCH S.A.</v>
          </cell>
          <cell r="E43">
            <v>250000159.55000001</v>
          </cell>
        </row>
        <row r="44">
          <cell r="A44" t="str">
            <v>AUSO</v>
          </cell>
          <cell r="B44" t="str">
            <v>AUSO.BA</v>
          </cell>
          <cell r="C44" t="str">
            <v>Industrials</v>
          </cell>
          <cell r="D44" t="str">
            <v>AUTOPISTAS DEL SOL S.A.</v>
          </cell>
          <cell r="E44">
            <v>9852903305</v>
          </cell>
        </row>
        <row r="45">
          <cell r="A45" t="str">
            <v>OEST</v>
          </cell>
          <cell r="B45" t="str">
            <v>OEST.BA</v>
          </cell>
          <cell r="C45" t="str">
            <v>Industrials</v>
          </cell>
          <cell r="D45" t="str">
            <v>GRUPO CONCESIONARIO DEL OESTE S.A.</v>
          </cell>
          <cell r="E45">
            <v>6000000000</v>
          </cell>
        </row>
        <row r="46">
          <cell r="A46" t="str">
            <v>CAPU</v>
          </cell>
          <cell r="B46" t="str">
            <v>CAPU.BA</v>
          </cell>
          <cell r="C46" t="str">
            <v>Industrials</v>
          </cell>
          <cell r="D46" t="str">
            <v>CAPUTO S.A.</v>
          </cell>
          <cell r="E46">
            <v>1284886962</v>
          </cell>
        </row>
        <row r="47">
          <cell r="A47" t="str">
            <v>CADO</v>
          </cell>
          <cell r="B47" t="str">
            <v>CADO.BA</v>
          </cell>
          <cell r="C47" t="str">
            <v>Industrials</v>
          </cell>
          <cell r="D47" t="str">
            <v>CARLOS CASADO S.A.</v>
          </cell>
          <cell r="E47">
            <v>1515360000</v>
          </cell>
        </row>
        <row r="48">
          <cell r="A48" t="str">
            <v>FERR</v>
          </cell>
          <cell r="B48" t="str">
            <v>FERR.BA</v>
          </cell>
          <cell r="C48" t="str">
            <v>Industrials</v>
          </cell>
          <cell r="D48" t="str">
            <v>FERRUM S.A.</v>
          </cell>
          <cell r="E48">
            <v>1385070000</v>
          </cell>
        </row>
        <row r="49">
          <cell r="A49" t="str">
            <v>DYCA</v>
          </cell>
          <cell r="B49" t="str">
            <v>DYCA.BA</v>
          </cell>
          <cell r="C49" t="str">
            <v>Industrials</v>
          </cell>
          <cell r="D49" t="str">
            <v>DYCASA SOCIEDAD ANONIMA</v>
          </cell>
          <cell r="E49">
            <v>1242000000</v>
          </cell>
        </row>
        <row r="50">
          <cell r="A50" t="str">
            <v>AGRO</v>
          </cell>
          <cell r="B50" t="str">
            <v>AGRO.BA</v>
          </cell>
          <cell r="C50" t="str">
            <v>Industrials</v>
          </cell>
          <cell r="D50" t="str">
            <v>AGROMETAL S.A.</v>
          </cell>
          <cell r="E50">
            <v>881250000</v>
          </cell>
        </row>
        <row r="51">
          <cell r="A51" t="str">
            <v>GARO</v>
          </cell>
          <cell r="B51" t="str">
            <v>GARO.BA</v>
          </cell>
          <cell r="C51" t="str">
            <v>Industrials</v>
          </cell>
          <cell r="D51" t="str">
            <v>GAROVAGLIO Y ZORRAQUIN S. A.</v>
          </cell>
          <cell r="E51">
            <v>193600000</v>
          </cell>
        </row>
        <row r="52">
          <cell r="A52" t="str">
            <v>INAG</v>
          </cell>
          <cell r="B52" t="str">
            <v>INAG.BA</v>
          </cell>
          <cell r="C52" t="str">
            <v>Industrials</v>
          </cell>
          <cell r="D52" t="str">
            <v>INSUMOS AGROQUIMICOS S.A.</v>
          </cell>
          <cell r="E52">
            <v>180400000</v>
          </cell>
        </row>
        <row r="53">
          <cell r="A53" t="str">
            <v>POLL</v>
          </cell>
          <cell r="B53" t="str">
            <v>POLL.BA</v>
          </cell>
          <cell r="C53" t="str">
            <v>Industrials</v>
          </cell>
          <cell r="D53" t="str">
            <v>POLLEDO S.A.</v>
          </cell>
          <cell r="E53">
            <v>48152955</v>
          </cell>
        </row>
        <row r="54">
          <cell r="A54" t="str">
            <v>BOLT</v>
          </cell>
          <cell r="B54" t="str">
            <v>BOLT.BA</v>
          </cell>
          <cell r="C54" t="str">
            <v>Information Technology</v>
          </cell>
          <cell r="D54" t="str">
            <v>BOLDT S.A.</v>
          </cell>
          <cell r="E54">
            <v>5087500000</v>
          </cell>
        </row>
        <row r="55">
          <cell r="A55" t="str">
            <v>TXAR</v>
          </cell>
          <cell r="B55" t="str">
            <v>TXAR.BA</v>
          </cell>
          <cell r="C55" t="str">
            <v>Materials</v>
          </cell>
          <cell r="D55" t="str">
            <v>TERNIUM ARGENTINA S.A.</v>
          </cell>
          <cell r="E55">
            <v>63798506418.094902</v>
          </cell>
        </row>
        <row r="56">
          <cell r="A56" t="str">
            <v>LOMA</v>
          </cell>
          <cell r="B56" t="str">
            <v>LOMA.BA</v>
          </cell>
          <cell r="C56" t="str">
            <v>Materials</v>
          </cell>
          <cell r="D56" t="str">
            <v>LOMA NEGRA COMPAÑIA INDUSTRIAL ARGENTINA SOCIEDAD ANONIMA</v>
          </cell>
          <cell r="E56">
            <v>62582781450</v>
          </cell>
        </row>
        <row r="57">
          <cell r="A57" t="str">
            <v>ALUA</v>
          </cell>
          <cell r="B57" t="str">
            <v>ALUA.BA</v>
          </cell>
          <cell r="C57" t="str">
            <v>Materials</v>
          </cell>
          <cell r="D57" t="str">
            <v>ALUAR ALUMINIO ARGENTINO S.A.</v>
          </cell>
          <cell r="E57">
            <v>52360000000</v>
          </cell>
        </row>
        <row r="58">
          <cell r="A58" t="str">
            <v>HARG</v>
          </cell>
          <cell r="B58" t="str">
            <v>HARG.BA</v>
          </cell>
          <cell r="C58" t="str">
            <v>Materials</v>
          </cell>
          <cell r="D58" t="str">
            <v>HOLCIM (Argentina) S.A.</v>
          </cell>
          <cell r="E58">
            <v>32354029018.099998</v>
          </cell>
        </row>
        <row r="59">
          <cell r="A59" t="str">
            <v>INDU</v>
          </cell>
          <cell r="B59" t="str">
            <v>INDU.BA</v>
          </cell>
          <cell r="C59" t="str">
            <v>Materials</v>
          </cell>
          <cell r="D59" t="str">
            <v>UNIPAR INDUPA SOCIEDAD ANONIMA INDUSTRIAL Y COMERCIAL</v>
          </cell>
          <cell r="E59">
            <v>6918529206.1999998</v>
          </cell>
        </row>
        <row r="60">
          <cell r="A60" t="str">
            <v>RIGO</v>
          </cell>
          <cell r="B60" t="str">
            <v>RIGO.BA</v>
          </cell>
          <cell r="C60" t="str">
            <v>Materials</v>
          </cell>
          <cell r="D60" t="str">
            <v>RIGOLLEAU S.A.</v>
          </cell>
          <cell r="E60">
            <v>5657508558</v>
          </cell>
        </row>
        <row r="61">
          <cell r="A61" t="str">
            <v>CELU</v>
          </cell>
          <cell r="B61" t="str">
            <v>CELU.BA</v>
          </cell>
          <cell r="C61" t="str">
            <v>Materials</v>
          </cell>
          <cell r="D61" t="str">
            <v>CELULOSA ARGENTINA S.A.</v>
          </cell>
          <cell r="E61">
            <v>2917218075.7800002</v>
          </cell>
        </row>
        <row r="62">
          <cell r="A62" t="str">
            <v>MERA</v>
          </cell>
          <cell r="B62" t="str">
            <v>MERA.BA</v>
          </cell>
          <cell r="C62" t="str">
            <v>Materials</v>
          </cell>
          <cell r="E62">
            <v>894257075.82797396</v>
          </cell>
        </row>
        <row r="63">
          <cell r="A63" t="str">
            <v>COLO</v>
          </cell>
          <cell r="B63" t="str">
            <v>COLO.BA</v>
          </cell>
          <cell r="C63" t="str">
            <v>Materials</v>
          </cell>
          <cell r="D63" t="str">
            <v>COLORIN S.A.</v>
          </cell>
          <cell r="E63">
            <v>227647085.5</v>
          </cell>
        </row>
        <row r="64">
          <cell r="A64" t="str">
            <v>FIPL</v>
          </cell>
          <cell r="B64" t="str">
            <v>FIPL.BA</v>
          </cell>
          <cell r="C64" t="str">
            <v>Materials</v>
          </cell>
          <cell r="D64" t="str">
            <v>FIPLASTO S.A.</v>
          </cell>
          <cell r="E64">
            <v>248559400</v>
          </cell>
        </row>
        <row r="65">
          <cell r="A65" t="str">
            <v>IRSA</v>
          </cell>
          <cell r="B65" t="str">
            <v>IRSA.BA</v>
          </cell>
          <cell r="C65" t="str">
            <v>Real Estate</v>
          </cell>
          <cell r="D65" t="str">
            <v>IRSA INVERSIONES Y REPRESENTACIONES S.A.</v>
          </cell>
          <cell r="E65">
            <v>25056690718</v>
          </cell>
        </row>
        <row r="66">
          <cell r="A66" t="str">
            <v>IRCP</v>
          </cell>
          <cell r="B66" t="str">
            <v>IRCP.BA</v>
          </cell>
          <cell r="C66" t="str">
            <v>Real Estate</v>
          </cell>
          <cell r="D66" t="str">
            <v>IRSA PROPIEDADES COMERCIALES S.A.</v>
          </cell>
          <cell r="E66">
            <v>29122922400</v>
          </cell>
        </row>
        <row r="67">
          <cell r="A67" t="str">
            <v>CRES</v>
          </cell>
          <cell r="B67" t="str">
            <v>CRES.BA</v>
          </cell>
          <cell r="C67" t="str">
            <v>Real Estate</v>
          </cell>
          <cell r="D67" t="str">
            <v>CRESUD S.A.</v>
          </cell>
          <cell r="E67">
            <v>23200979685</v>
          </cell>
        </row>
        <row r="68">
          <cell r="A68" t="str">
            <v>CTIO</v>
          </cell>
          <cell r="B68" t="str">
            <v>CTIO.BA</v>
          </cell>
          <cell r="C68" t="str">
            <v>Real Estate</v>
          </cell>
          <cell r="D68" t="str">
            <v>CONSULTATIO S.A.</v>
          </cell>
          <cell r="E68">
            <v>21110196543.5</v>
          </cell>
        </row>
        <row r="69">
          <cell r="A69" t="str">
            <v>PAMP</v>
          </cell>
          <cell r="B69" t="str">
            <v>PAMP.BA</v>
          </cell>
          <cell r="C69" t="str">
            <v>Utilities</v>
          </cell>
          <cell r="D69" t="str">
            <v>PAMPA ENERGIA S.A</v>
          </cell>
          <cell r="E69">
            <v>114363737429</v>
          </cell>
        </row>
        <row r="70">
          <cell r="A70" t="str">
            <v>EDN</v>
          </cell>
          <cell r="B70" t="str">
            <v>EDN.BA</v>
          </cell>
          <cell r="C70" t="str">
            <v>Utilities</v>
          </cell>
          <cell r="D70" t="str">
            <v>EMPRESA DISTRIB. Y COMERCIALZADORA NORTE S.A. (EDENOR S.A.)</v>
          </cell>
          <cell r="E70">
            <v>38569664505</v>
          </cell>
        </row>
        <row r="71">
          <cell r="A71" t="str">
            <v>TRAN</v>
          </cell>
          <cell r="B71" t="str">
            <v>TRAN.BA</v>
          </cell>
          <cell r="C71" t="str">
            <v>Utilities</v>
          </cell>
          <cell r="D71" t="str">
            <v>TRANSENER CIA. DE TRANSP. DE ENERGIA ELECTR. EN ALTA TENSION</v>
          </cell>
          <cell r="E71">
            <v>19410011151.75</v>
          </cell>
        </row>
        <row r="72">
          <cell r="A72" t="str">
            <v>METR</v>
          </cell>
          <cell r="B72" t="str">
            <v>METR.BA</v>
          </cell>
          <cell r="C72" t="str">
            <v>Utilities</v>
          </cell>
          <cell r="D72" t="str">
            <v>METROGAS S.A.</v>
          </cell>
          <cell r="E72">
            <v>11439754502</v>
          </cell>
        </row>
        <row r="73">
          <cell r="A73" t="str">
            <v>GBAN</v>
          </cell>
          <cell r="B73" t="str">
            <v>GBAN.BA</v>
          </cell>
          <cell r="C73" t="str">
            <v>Utilities</v>
          </cell>
          <cell r="D73" t="str">
            <v>GAS NATURAL BAN S.A.</v>
          </cell>
          <cell r="E73" t="e">
            <v>#N/A</v>
          </cell>
        </row>
        <row r="74">
          <cell r="A74" t="str">
            <v>CAPX</v>
          </cell>
          <cell r="B74" t="str">
            <v>CAPX.BA</v>
          </cell>
          <cell r="C74" t="str">
            <v>Utilities</v>
          </cell>
          <cell r="D74" t="str">
            <v>CAPEX S.A.</v>
          </cell>
          <cell r="E74">
            <v>11830990155.6</v>
          </cell>
        </row>
        <row r="75">
          <cell r="A75" t="str">
            <v>CGPA2</v>
          </cell>
          <cell r="B75" t="str">
            <v>CGPA2.BA</v>
          </cell>
          <cell r="C75" t="str">
            <v>Utilities</v>
          </cell>
          <cell r="D75" t="str">
            <v>CAMUZZI GAS PAMPEANA S.A.</v>
          </cell>
          <cell r="E75">
            <v>9981767417.5499992</v>
          </cell>
        </row>
        <row r="76">
          <cell r="A76" t="str">
            <v>DGCU2</v>
          </cell>
          <cell r="B76" t="str">
            <v>DGCU2.BA</v>
          </cell>
          <cell r="C76" t="str">
            <v>Utilities</v>
          </cell>
          <cell r="D76" t="str">
            <v>DISTRIBUIDORA DE GAS CUYANA S.A.</v>
          </cell>
          <cell r="E76">
            <v>6434770958.3999996</v>
          </cell>
        </row>
        <row r="77">
          <cell r="A77" t="str">
            <v>CEPU</v>
          </cell>
          <cell r="B77" t="str">
            <v>CEPU.BA</v>
          </cell>
          <cell r="C77" t="str">
            <v>Utilities</v>
          </cell>
          <cell r="D77" t="str">
            <v>CENTRAL PUERTO S.A.</v>
          </cell>
          <cell r="E77">
            <v>7799931269.8999996</v>
          </cell>
        </row>
        <row r="78">
          <cell r="A78" t="str">
            <v>CECO2</v>
          </cell>
          <cell r="B78" t="str">
            <v>CECO2.BA</v>
          </cell>
          <cell r="C78" t="str">
            <v>Utilities</v>
          </cell>
          <cell r="D78" t="str">
            <v>ENEL GENERACION COSTANERA S.A.</v>
          </cell>
          <cell r="E78">
            <v>6949684942.1999998</v>
          </cell>
        </row>
        <row r="79">
          <cell r="A79" t="str">
            <v>MERVAL</v>
          </cell>
          <cell r="B79" t="str">
            <v>.MERV</v>
          </cell>
        </row>
        <row r="80">
          <cell r="A80" t="str">
            <v>BURCAP</v>
          </cell>
          <cell r="B80" t="str">
            <v>.BURC</v>
          </cell>
          <cell r="E80" t="e">
            <v>#N/A</v>
          </cell>
        </row>
        <row r="82">
          <cell r="A82" t="str">
            <v>EDLH</v>
          </cell>
          <cell r="B82" t="str">
            <v>EDLH.BA</v>
          </cell>
          <cell r="C82" t="str">
            <v>NULL</v>
          </cell>
          <cell r="E82" t="e">
            <v>#N/A</v>
          </cell>
        </row>
        <row r="83">
          <cell r="A83" t="str">
            <v>SUPV</v>
          </cell>
          <cell r="B83" t="str">
            <v>SUPV.BA</v>
          </cell>
          <cell r="C83" t="str">
            <v>Financials</v>
          </cell>
          <cell r="D83" t="str">
            <v>GRUPO SUPERVIELLE S.A.</v>
          </cell>
          <cell r="E83">
            <v>30942937315.5</v>
          </cell>
        </row>
      </sheetData>
      <sheetData sheetId="10">
        <row r="4">
          <cell r="F4" t="str">
            <v>TEF</v>
          </cell>
        </row>
      </sheetData>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rcado"/>
      <sheetName val="Datos"/>
      <sheetName val="Fundamentals"/>
      <sheetName val="Earnings"/>
      <sheetName val="Glosario (2)"/>
      <sheetName val="Disclaimer"/>
      <sheetName val="Glosario"/>
      <sheetName val="Mkt cap"/>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4">
          <cell r="G4" t="str">
            <v>AGRO</v>
          </cell>
          <cell r="H4" t="str">
            <v>AGROMETAL S.A.</v>
          </cell>
        </row>
        <row r="5">
          <cell r="G5" t="str">
            <v>ALUA</v>
          </cell>
          <cell r="H5" t="str">
            <v>ALUAR ALUMINIO ARGENTINO S.A.</v>
          </cell>
        </row>
        <row r="6">
          <cell r="G6" t="str">
            <v>APBR</v>
          </cell>
          <cell r="H6" t="str">
            <v>PETROLEO BRASILEIRO S.A. - PETROBRAS (Sociedad de Economía Mixta)</v>
          </cell>
        </row>
        <row r="7">
          <cell r="G7" t="str">
            <v>AUSO</v>
          </cell>
          <cell r="H7" t="str">
            <v>AUTOPISTAS DEL SOL S.A.</v>
          </cell>
        </row>
        <row r="8">
          <cell r="G8" t="str">
            <v>BHIP</v>
          </cell>
          <cell r="H8" t="str">
            <v>BANCO HIPOTECARIO S.A.</v>
          </cell>
        </row>
        <row r="9">
          <cell r="G9" t="str">
            <v>BMA</v>
          </cell>
          <cell r="H9" t="str">
            <v>BANCO MACRO S.A.</v>
          </cell>
        </row>
        <row r="10">
          <cell r="G10" t="str">
            <v>BOLT</v>
          </cell>
          <cell r="H10" t="str">
            <v>BOLDT S.A.</v>
          </cell>
        </row>
        <row r="11">
          <cell r="G11" t="str">
            <v>BPAT</v>
          </cell>
          <cell r="H11" t="str">
            <v>BANCO PATAGONIA S.A.</v>
          </cell>
        </row>
        <row r="12">
          <cell r="G12" t="str">
            <v>BRIO</v>
          </cell>
          <cell r="H12" t="str">
            <v>BANCO SANTANDER RIO S.A.</v>
          </cell>
        </row>
        <row r="13">
          <cell r="G13" t="str">
            <v>BYMA</v>
          </cell>
          <cell r="H13" t="str">
            <v>BOLSAS Y MERCADOS ARGENTINOS S.A. (BYMA)</v>
          </cell>
        </row>
        <row r="14">
          <cell r="G14" t="str">
            <v>CADO</v>
          </cell>
          <cell r="H14" t="str">
            <v>CARLOS CASADO S.A.</v>
          </cell>
        </row>
        <row r="15">
          <cell r="G15" t="str">
            <v>CAPU</v>
          </cell>
          <cell r="H15" t="str">
            <v>CAPUTO S.A.</v>
          </cell>
        </row>
        <row r="16">
          <cell r="G16" t="str">
            <v>CAPX</v>
          </cell>
          <cell r="H16" t="str">
            <v>CAPEX S.A.</v>
          </cell>
        </row>
        <row r="17">
          <cell r="G17" t="str">
            <v>CARC</v>
          </cell>
          <cell r="H17" t="str">
            <v>CARBOCLOR S. A.</v>
          </cell>
        </row>
        <row r="18">
          <cell r="G18" t="str">
            <v>CECO2</v>
          </cell>
          <cell r="H18" t="str">
            <v>ENEL GENERACION COSTANERA S.A.</v>
          </cell>
        </row>
        <row r="19">
          <cell r="G19" t="str">
            <v>CELU</v>
          </cell>
          <cell r="H19" t="str">
            <v>CELULOSA ARGENTINA S.A.</v>
          </cell>
        </row>
        <row r="20">
          <cell r="G20" t="str">
            <v>CEPU</v>
          </cell>
          <cell r="H20" t="str">
            <v>CENTRAL PUERTO S.A.</v>
          </cell>
        </row>
        <row r="21">
          <cell r="G21" t="str">
            <v>CGPA2</v>
          </cell>
          <cell r="H21" t="str">
            <v>CAMUZZI GAS PAMPEANA S.A.</v>
          </cell>
        </row>
        <row r="22">
          <cell r="G22" t="str">
            <v>COLO</v>
          </cell>
          <cell r="H22" t="str">
            <v>COLORIN S.A.</v>
          </cell>
        </row>
        <row r="23">
          <cell r="G23" t="str">
            <v>COME</v>
          </cell>
          <cell r="H23" t="str">
            <v>SOCIEDAD COMERCIAL DEL PLATA S.A.</v>
          </cell>
        </row>
        <row r="24">
          <cell r="G24" t="str">
            <v>CRES</v>
          </cell>
          <cell r="H24" t="str">
            <v>CRESUD S.A.</v>
          </cell>
        </row>
        <row r="25">
          <cell r="G25" t="str">
            <v>CTIO</v>
          </cell>
          <cell r="H25" t="str">
            <v>CONSULTATIO S.A.</v>
          </cell>
        </row>
        <row r="26">
          <cell r="G26" t="str">
            <v>CVH</v>
          </cell>
          <cell r="H26" t="str">
            <v>CABLEVISION HOLDING S.A.</v>
          </cell>
        </row>
        <row r="27">
          <cell r="G27" t="str">
            <v>DGCU2</v>
          </cell>
          <cell r="H27" t="str">
            <v>DISTRIBUIDORA DE GAS CUYANA S.A.</v>
          </cell>
        </row>
        <row r="28">
          <cell r="G28" t="str">
            <v>DOME</v>
          </cell>
          <cell r="H28" t="str">
            <v>DOMEC S.A.</v>
          </cell>
        </row>
        <row r="29">
          <cell r="G29" t="str">
            <v>DYCA</v>
          </cell>
          <cell r="H29" t="str">
            <v>DYCASA SOCIEDAD ANONIMA</v>
          </cell>
        </row>
        <row r="30">
          <cell r="G30" t="str">
            <v>EDN</v>
          </cell>
          <cell r="H30" t="str">
            <v>EMPRESA DISTRIB. Y COMERCIALZADORA NORTE S.A. (EDENOR S.A.)</v>
          </cell>
        </row>
        <row r="31">
          <cell r="G31" t="str">
            <v>ESME</v>
          </cell>
          <cell r="H31" t="str">
            <v>BODEGAS ESMERALDA S.A.</v>
          </cell>
        </row>
        <row r="32">
          <cell r="G32" t="str">
            <v>FERR</v>
          </cell>
          <cell r="H32" t="str">
            <v>FERRUM S.A.</v>
          </cell>
        </row>
        <row r="33">
          <cell r="G33" t="str">
            <v>FIPL</v>
          </cell>
          <cell r="H33" t="str">
            <v>FIPLASTO S.A.</v>
          </cell>
        </row>
        <row r="34">
          <cell r="G34" t="str">
            <v>FRAN</v>
          </cell>
          <cell r="H34" t="str">
            <v>BBVA BANCO FRANCES S. A.</v>
          </cell>
        </row>
        <row r="35">
          <cell r="G35" t="str">
            <v>GARO</v>
          </cell>
          <cell r="H35" t="str">
            <v>GAROVAGLIO Y ZORRAQUIN S. A.</v>
          </cell>
        </row>
        <row r="36">
          <cell r="G36" t="str">
            <v>GBAN</v>
          </cell>
          <cell r="H36" t="str">
            <v>GAS NATURAL BAN S.A.</v>
          </cell>
        </row>
        <row r="37">
          <cell r="G37" t="str">
            <v>GCLA</v>
          </cell>
          <cell r="H37" t="str">
            <v>GRUPO CLARIN S.A.</v>
          </cell>
        </row>
        <row r="38">
          <cell r="G38" t="str">
            <v>GGAL</v>
          </cell>
          <cell r="H38" t="str">
            <v>GRUPO FINANCIERO GALICIA S.A.</v>
          </cell>
        </row>
        <row r="39">
          <cell r="G39" t="str">
            <v>GRIM</v>
          </cell>
          <cell r="H39" t="str">
            <v>GRIMOLDI S.A.</v>
          </cell>
        </row>
        <row r="40">
          <cell r="G40" t="str">
            <v>HARG</v>
          </cell>
          <cell r="H40" t="str">
            <v>HOLCIM (Argentina) S.A.</v>
          </cell>
        </row>
        <row r="41">
          <cell r="G41" t="str">
            <v>HAVA</v>
          </cell>
          <cell r="H41" t="str">
            <v>HAVANNA HOLDING S.A.</v>
          </cell>
        </row>
        <row r="42">
          <cell r="G42" t="str">
            <v>INAG</v>
          </cell>
          <cell r="H42" t="str">
            <v>INSUMOS AGROQUIMICOS S.A.</v>
          </cell>
        </row>
        <row r="43">
          <cell r="G43" t="str">
            <v>INDU</v>
          </cell>
          <cell r="H43" t="str">
            <v>UNIPAR INDUPA SOCIEDAD ANONIMA INDUSTRIAL Y COMERCIAL</v>
          </cell>
        </row>
        <row r="44">
          <cell r="G44" t="str">
            <v>INTR</v>
          </cell>
          <cell r="H44" t="str">
            <v>COMPAÑIA INTRODUCTORA DE BUENOS AIRES S.A.</v>
          </cell>
        </row>
        <row r="45">
          <cell r="G45" t="str">
            <v>INVJ</v>
          </cell>
          <cell r="H45" t="str">
            <v>INVERSORA JURAMENTO S.A.</v>
          </cell>
        </row>
        <row r="46">
          <cell r="G46" t="str">
            <v>IRCP</v>
          </cell>
          <cell r="H46" t="str">
            <v>IRSA PROPIEDADES COMERCIALES S.A.</v>
          </cell>
        </row>
        <row r="47">
          <cell r="G47" t="str">
            <v>IRSA</v>
          </cell>
          <cell r="H47" t="str">
            <v>IRSA INVERSIONES Y REPRESENTACIONES S.A.</v>
          </cell>
        </row>
        <row r="48">
          <cell r="G48" t="str">
            <v>LEDE</v>
          </cell>
          <cell r="H48" t="str">
            <v>LEDESMA S.A.</v>
          </cell>
        </row>
        <row r="49">
          <cell r="G49" t="str">
            <v>LOMA</v>
          </cell>
          <cell r="H49" t="str">
            <v>LOMA NEGRA COMPAÑIA INDUSTRIAL ARGENTINA SOCIEDAD ANONIMA</v>
          </cell>
        </row>
        <row r="50">
          <cell r="G50" t="str">
            <v>LONG</v>
          </cell>
          <cell r="H50" t="str">
            <v>LONGVIE S.A.</v>
          </cell>
        </row>
        <row r="51">
          <cell r="G51" t="str">
            <v>METR</v>
          </cell>
          <cell r="H51" t="str">
            <v>METROGAS S.A.</v>
          </cell>
        </row>
        <row r="52">
          <cell r="G52" t="str">
            <v>MIRG</v>
          </cell>
          <cell r="H52" t="str">
            <v>MIRGOR S.A.</v>
          </cell>
        </row>
        <row r="53">
          <cell r="G53" t="str">
            <v>MOLA</v>
          </cell>
          <cell r="H53" t="str">
            <v>MOLINOS AGRO S.A.</v>
          </cell>
        </row>
        <row r="54">
          <cell r="G54" t="str">
            <v>MOLI</v>
          </cell>
          <cell r="H54" t="str">
            <v>MOLINOS RIO DE LA PLATA S.A.</v>
          </cell>
        </row>
        <row r="55">
          <cell r="G55" t="str">
            <v>MORI</v>
          </cell>
          <cell r="H55" t="str">
            <v>MORIXE HERMANOS S.A.</v>
          </cell>
        </row>
        <row r="56">
          <cell r="G56" t="str">
            <v>OEST</v>
          </cell>
          <cell r="H56" t="str">
            <v>GRUPO CONCESIONARIO DEL OESTE S.A.</v>
          </cell>
        </row>
        <row r="57">
          <cell r="G57" t="str">
            <v>OVOP</v>
          </cell>
          <cell r="H57" t="str">
            <v>OVOPROT INTERNATIONAL S.A</v>
          </cell>
        </row>
        <row r="58">
          <cell r="G58" t="str">
            <v>PAMP</v>
          </cell>
          <cell r="H58" t="str">
            <v>PAMPA ENERGIA S.A</v>
          </cell>
        </row>
        <row r="59">
          <cell r="G59" t="str">
            <v>PATA</v>
          </cell>
          <cell r="H59" t="str">
            <v>IMPORTADORA Y EXPORTADORA DE LA PATAGONIA S.A.</v>
          </cell>
        </row>
        <row r="60">
          <cell r="G60" t="str">
            <v>PATY</v>
          </cell>
          <cell r="H60" t="str">
            <v>QUICKFOOD S.A.</v>
          </cell>
        </row>
        <row r="61">
          <cell r="G61" t="str">
            <v>PESA</v>
          </cell>
          <cell r="H61" t="str">
            <v>PETROBRAS ARGENTINA S.A.</v>
          </cell>
        </row>
        <row r="62">
          <cell r="G62" t="str">
            <v>PETR</v>
          </cell>
          <cell r="H62" t="str">
            <v>PETROLERA PAMPA S.A.</v>
          </cell>
        </row>
        <row r="63">
          <cell r="G63" t="str">
            <v>PGR</v>
          </cell>
          <cell r="H63" t="str">
            <v>PHOENIX GLOBAL RESOURCES P.L.C.</v>
          </cell>
        </row>
        <row r="64">
          <cell r="G64" t="str">
            <v>POLL</v>
          </cell>
          <cell r="H64" t="str">
            <v>POLLEDO S.A.</v>
          </cell>
        </row>
        <row r="65">
          <cell r="G65" t="str">
            <v>PSUR</v>
          </cell>
          <cell r="H65" t="str">
            <v>PETROLERA DEL CONOSUR S.A.</v>
          </cell>
        </row>
        <row r="66">
          <cell r="G66" t="str">
            <v>RICH</v>
          </cell>
          <cell r="H66" t="str">
            <v>LABORATORIOS RICHMOND S.A.C.I.F.</v>
          </cell>
        </row>
        <row r="67">
          <cell r="G67" t="str">
            <v>RIGO</v>
          </cell>
          <cell r="H67" t="str">
            <v>RIGOLLEAU S.A.</v>
          </cell>
        </row>
        <row r="68">
          <cell r="G68" t="str">
            <v>ROSE</v>
          </cell>
          <cell r="H68" t="str">
            <v>INSTITUTO ROSENBUSCH S.A.</v>
          </cell>
        </row>
        <row r="69">
          <cell r="G69" t="str">
            <v>SAMI</v>
          </cell>
          <cell r="H69" t="str">
            <v>S.A. SAN MIGUEL</v>
          </cell>
        </row>
        <row r="70">
          <cell r="G70" t="str">
            <v>SEMI</v>
          </cell>
          <cell r="H70" t="str">
            <v>MOLINOS JUAN SEMINO S.A.</v>
          </cell>
        </row>
        <row r="71">
          <cell r="G71" t="str">
            <v>STD</v>
          </cell>
          <cell r="H71" t="str">
            <v>BANCO SANTANDER S.A.</v>
          </cell>
        </row>
        <row r="72">
          <cell r="G72" t="str">
            <v>SUPV</v>
          </cell>
          <cell r="H72" t="str">
            <v>GRUPO SUPERVIELLE S.A.</v>
          </cell>
        </row>
        <row r="73">
          <cell r="G73" t="str">
            <v>TECO2</v>
          </cell>
          <cell r="H73" t="str">
            <v>TELECOM ARGENTINA S. A.</v>
          </cell>
        </row>
        <row r="74">
          <cell r="G74" t="str">
            <v>TEF</v>
          </cell>
          <cell r="H74" t="str">
            <v>TELEFONICA S.A.</v>
          </cell>
        </row>
        <row r="75">
          <cell r="G75" t="str">
            <v>TGLT</v>
          </cell>
          <cell r="H75" t="str">
            <v>TGLT S.A.</v>
          </cell>
        </row>
        <row r="76">
          <cell r="G76" t="str">
            <v>TGNO4</v>
          </cell>
          <cell r="H76" t="str">
            <v>TRANSPORTADORA DE GAS DEL NORTE S.A.</v>
          </cell>
        </row>
        <row r="77">
          <cell r="G77" t="str">
            <v>TGSU2</v>
          </cell>
          <cell r="H77" t="str">
            <v>TRANSPORTADORA DE GAS DEL SUR S.A.</v>
          </cell>
        </row>
        <row r="78">
          <cell r="G78" t="str">
            <v>TRAN</v>
          </cell>
          <cell r="H78" t="str">
            <v>TRANSENER CIA. DE TRANSP. DE ENERGIA ELECTR. EN ALTA TENSION</v>
          </cell>
        </row>
        <row r="79">
          <cell r="G79" t="str">
            <v>TS</v>
          </cell>
          <cell r="H79" t="str">
            <v>TENARIS S.A.</v>
          </cell>
        </row>
        <row r="80">
          <cell r="G80" t="str">
            <v>TXAR</v>
          </cell>
          <cell r="H80" t="str">
            <v>TERNIUM ARGENTINA S.A.</v>
          </cell>
        </row>
        <row r="81">
          <cell r="G81" t="str">
            <v>VALO</v>
          </cell>
          <cell r="H81" t="str">
            <v>GRUPO FINANCIERO VALORES SOCIEDAD ANONIMA</v>
          </cell>
        </row>
        <row r="82">
          <cell r="G82" t="str">
            <v>YPFD</v>
          </cell>
          <cell r="H82" t="str">
            <v>YPF S.A.</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7" tint="-0.249977111117893"/>
  </sheetPr>
  <dimension ref="A1:AD107"/>
  <sheetViews>
    <sheetView tabSelected="1" zoomScale="80" zoomScaleNormal="80" zoomScaleSheetLayoutView="70" workbookViewId="0">
      <selection activeCell="AE10" sqref="AE10"/>
    </sheetView>
  </sheetViews>
  <sheetFormatPr baseColWidth="10" defaultRowHeight="15" x14ac:dyDescent="0.25"/>
  <cols>
    <col min="1" max="1" width="7.7109375" customWidth="1"/>
    <col min="2" max="2" width="10.28515625" bestFit="1" customWidth="1"/>
    <col min="3" max="3" width="10.7109375" bestFit="1" customWidth="1"/>
    <col min="4" max="4" width="10.28515625" bestFit="1" customWidth="1"/>
    <col min="5" max="5" width="10.7109375" bestFit="1" customWidth="1"/>
    <col min="6" max="7" width="10.28515625" bestFit="1" customWidth="1"/>
    <col min="8" max="8" width="10.7109375" bestFit="1" customWidth="1"/>
    <col min="9" max="11" width="11.140625" bestFit="1" customWidth="1"/>
    <col min="12" max="12" width="10" bestFit="1" customWidth="1"/>
    <col min="13" max="13" width="2.85546875" customWidth="1"/>
    <col min="14" max="14" width="10.5703125" customWidth="1"/>
    <col min="15" max="15" width="9.42578125" bestFit="1" customWidth="1"/>
    <col min="16" max="16" width="24.140625" customWidth="1"/>
    <col min="17" max="17" width="13" customWidth="1"/>
    <col min="19" max="19" width="12.7109375" hidden="1" customWidth="1"/>
    <col min="20" max="30" width="0" hidden="1" customWidth="1"/>
  </cols>
  <sheetData>
    <row r="1" spans="1:30" ht="35.25" customHeight="1" x14ac:dyDescent="0.6">
      <c r="A1" s="2" t="s">
        <v>0</v>
      </c>
    </row>
    <row r="2" spans="1:30" x14ac:dyDescent="0.25">
      <c r="A2" t="s">
        <v>384</v>
      </c>
    </row>
    <row r="4" spans="1:30" ht="28.5" x14ac:dyDescent="0.45">
      <c r="A4" s="3" t="s">
        <v>1</v>
      </c>
    </row>
    <row r="5" spans="1:30" ht="18.75" x14ac:dyDescent="0.25">
      <c r="A5" s="4" t="s">
        <v>2</v>
      </c>
    </row>
    <row r="6" spans="1:30" ht="15.75" thickBot="1" x14ac:dyDescent="0.3">
      <c r="A6" s="5"/>
    </row>
    <row r="7" spans="1:30" ht="27" thickBot="1" x14ac:dyDescent="0.45">
      <c r="A7" s="6"/>
      <c r="B7" s="7">
        <v>-0.2</v>
      </c>
      <c r="C7" s="8">
        <v>-0.15000000000000002</v>
      </c>
      <c r="D7" s="8">
        <v>-0.1</v>
      </c>
      <c r="E7" s="8">
        <v>-0.05</v>
      </c>
      <c r="F7" s="8">
        <v>0</v>
      </c>
      <c r="G7" s="8">
        <v>5.0000000000000017E-2</v>
      </c>
      <c r="H7" s="8">
        <v>0.10000000000000002</v>
      </c>
      <c r="I7" s="8">
        <v>0.15000000000000002</v>
      </c>
      <c r="J7" s="9">
        <v>0.2</v>
      </c>
    </row>
    <row r="8" spans="1:30" ht="11.25" customHeight="1" x14ac:dyDescent="0.25"/>
    <row r="9" spans="1:30" ht="12" customHeight="1" x14ac:dyDescent="0.25">
      <c r="B9" s="10" t="s">
        <v>3</v>
      </c>
      <c r="C9" s="11"/>
      <c r="D9" s="11"/>
      <c r="E9" s="11"/>
      <c r="F9" s="11"/>
      <c r="G9" s="11"/>
      <c r="H9" s="11"/>
      <c r="I9" s="11"/>
      <c r="J9" s="11"/>
      <c r="K9" s="11"/>
      <c r="L9" s="12"/>
    </row>
    <row r="10" spans="1:30" x14ac:dyDescent="0.25">
      <c r="A10" s="13" t="s">
        <v>4</v>
      </c>
      <c r="B10" s="14" t="s">
        <v>385</v>
      </c>
      <c r="C10" s="14" t="s">
        <v>386</v>
      </c>
      <c r="D10" s="14" t="s">
        <v>387</v>
      </c>
      <c r="E10" s="14" t="s">
        <v>388</v>
      </c>
      <c r="F10" s="14" t="s">
        <v>389</v>
      </c>
      <c r="G10" s="14" t="s">
        <v>390</v>
      </c>
      <c r="H10" s="14" t="s">
        <v>391</v>
      </c>
      <c r="I10" s="14" t="s">
        <v>392</v>
      </c>
      <c r="J10" s="14" t="s">
        <v>393</v>
      </c>
      <c r="K10" s="14" t="s">
        <v>394</v>
      </c>
      <c r="L10" s="15" t="s">
        <v>395</v>
      </c>
      <c r="N10" s="16" t="s">
        <v>396</v>
      </c>
      <c r="O10" s="17" t="s">
        <v>4</v>
      </c>
      <c r="P10" s="18" t="s">
        <v>5</v>
      </c>
      <c r="Q10" s="19" t="s">
        <v>6</v>
      </c>
    </row>
    <row r="11" spans="1:30" x14ac:dyDescent="0.25">
      <c r="A11" s="20"/>
      <c r="B11" s="21"/>
      <c r="C11" s="21"/>
      <c r="D11" s="21"/>
      <c r="E11" s="21"/>
      <c r="F11" s="21"/>
      <c r="G11" s="21"/>
      <c r="H11" s="21"/>
      <c r="I11" s="21"/>
      <c r="J11" s="21"/>
      <c r="K11" s="21"/>
      <c r="L11" s="22"/>
      <c r="N11" s="23"/>
      <c r="O11" s="24"/>
      <c r="P11" s="25"/>
      <c r="Q11" s="26"/>
      <c r="S11" s="1">
        <v>43343</v>
      </c>
      <c r="T11" s="1">
        <v>43373</v>
      </c>
      <c r="U11" s="1">
        <v>43404</v>
      </c>
      <c r="V11" s="1">
        <v>43434</v>
      </c>
      <c r="W11" s="1">
        <v>43465</v>
      </c>
      <c r="X11" s="1">
        <v>43496</v>
      </c>
      <c r="Y11" s="1">
        <v>43524</v>
      </c>
      <c r="Z11" s="1">
        <v>43555</v>
      </c>
      <c r="AA11" s="1">
        <v>43585</v>
      </c>
      <c r="AB11" s="1">
        <v>43616</v>
      </c>
      <c r="AC11" s="1">
        <v>43646</v>
      </c>
      <c r="AD11" s="1">
        <v>43663</v>
      </c>
    </row>
    <row r="12" spans="1:30" hidden="1" x14ac:dyDescent="0.25">
      <c r="A12" s="27" t="s">
        <v>7</v>
      </c>
      <c r="B12" s="28">
        <v>6.5934065934065922E-2</v>
      </c>
      <c r="C12" s="28">
        <v>0.63573883161512001</v>
      </c>
      <c r="D12" s="28">
        <v>-0.42226890756302515</v>
      </c>
      <c r="E12" s="28">
        <v>-4.7272727272727244E-2</v>
      </c>
      <c r="F12" s="28">
        <v>6.8702290076335659E-2</v>
      </c>
      <c r="G12" s="28">
        <v>0.32142857142857162</v>
      </c>
      <c r="H12" s="28">
        <v>0.17567567567567544</v>
      </c>
      <c r="I12" s="28">
        <v>-0.16091954022988497</v>
      </c>
      <c r="J12" s="28">
        <v>0</v>
      </c>
      <c r="K12" s="28">
        <v>0</v>
      </c>
      <c r="L12" s="28">
        <v>0</v>
      </c>
      <c r="M12" s="29"/>
      <c r="N12" s="28" t="s">
        <v>186</v>
      </c>
      <c r="O12" s="30" t="s">
        <v>7</v>
      </c>
      <c r="P12" s="31"/>
      <c r="Q12" s="28" t="s">
        <v>186</v>
      </c>
      <c r="S12" s="32">
        <v>2.73</v>
      </c>
      <c r="T12" s="32">
        <v>2.91</v>
      </c>
      <c r="U12" s="32">
        <v>4.76</v>
      </c>
      <c r="V12" s="32">
        <v>2.75</v>
      </c>
      <c r="W12" s="32">
        <v>2.62</v>
      </c>
      <c r="X12" s="32">
        <v>2.8</v>
      </c>
      <c r="Y12" s="32">
        <v>3.7</v>
      </c>
      <c r="Z12" s="32">
        <v>4.3499999999999996</v>
      </c>
      <c r="AA12" s="32">
        <v>3.65</v>
      </c>
      <c r="AB12" s="32">
        <v>3.65</v>
      </c>
      <c r="AC12" s="32">
        <v>3.65</v>
      </c>
      <c r="AD12" s="32">
        <v>3.65</v>
      </c>
    </row>
    <row r="13" spans="1:30" hidden="1" x14ac:dyDescent="0.25">
      <c r="A13" s="33" t="s">
        <v>8</v>
      </c>
      <c r="B13" s="28">
        <v>0.38536585365853648</v>
      </c>
      <c r="C13" s="28">
        <v>-0.22887323943661975</v>
      </c>
      <c r="D13" s="28">
        <v>-0.33789954337899542</v>
      </c>
      <c r="E13" s="28">
        <v>-4.8275862068965503E-2</v>
      </c>
      <c r="F13" s="28">
        <v>-1.449275362318847E-2</v>
      </c>
      <c r="G13" s="28">
        <v>-0.11764705882352944</v>
      </c>
      <c r="H13" s="28">
        <v>-0.12916666666666676</v>
      </c>
      <c r="I13" s="28">
        <v>-0.23062200956937806</v>
      </c>
      <c r="J13" s="28">
        <v>-0.16666666666666652</v>
      </c>
      <c r="K13" s="28">
        <v>0.26865671641791034</v>
      </c>
      <c r="L13" s="28">
        <v>-9.9999999999999978E-2</v>
      </c>
      <c r="M13" s="29"/>
      <c r="N13" s="28" t="s">
        <v>186</v>
      </c>
      <c r="O13" s="30" t="s">
        <v>8</v>
      </c>
      <c r="P13" s="31"/>
      <c r="Q13" s="28" t="s">
        <v>186</v>
      </c>
      <c r="S13" s="32">
        <v>20.5</v>
      </c>
      <c r="T13" s="32">
        <v>28.4</v>
      </c>
      <c r="U13" s="32">
        <v>21.9</v>
      </c>
      <c r="V13" s="32">
        <v>14.5</v>
      </c>
      <c r="W13" s="32">
        <v>13.8</v>
      </c>
      <c r="X13" s="32">
        <v>13.6</v>
      </c>
      <c r="Y13" s="32">
        <v>12</v>
      </c>
      <c r="Z13" s="32">
        <v>10.45</v>
      </c>
      <c r="AA13" s="32">
        <v>8.0399999999999991</v>
      </c>
      <c r="AB13" s="32">
        <v>6.7</v>
      </c>
      <c r="AC13" s="32">
        <v>8.5</v>
      </c>
      <c r="AD13" s="32">
        <v>7.65</v>
      </c>
    </row>
    <row r="14" spans="1:30" hidden="1" x14ac:dyDescent="0.25">
      <c r="A14" s="33" t="s">
        <v>9</v>
      </c>
      <c r="B14" s="28">
        <v>0.19999999999999996</v>
      </c>
      <c r="C14" s="28">
        <v>6.2091503267973858E-2</v>
      </c>
      <c r="D14" s="28">
        <v>-8.4461538461538477E-2</v>
      </c>
      <c r="E14" s="28">
        <v>0.10015123508654011</v>
      </c>
      <c r="F14" s="28">
        <v>-2.5507866198258844E-2</v>
      </c>
      <c r="G14" s="28">
        <v>4.7021943573667624E-2</v>
      </c>
      <c r="H14" s="28">
        <v>1.646706586826352E-2</v>
      </c>
      <c r="I14" s="28">
        <v>8.9837997054491803E-2</v>
      </c>
      <c r="J14" s="28">
        <v>-1.3513513513513487E-2</v>
      </c>
      <c r="K14" s="28">
        <v>-4.6575342465753455E-2</v>
      </c>
      <c r="L14" s="28">
        <v>5.7471264367816577E-3</v>
      </c>
      <c r="M14" s="29"/>
      <c r="N14" s="28" t="s">
        <v>186</v>
      </c>
      <c r="O14" s="34" t="s">
        <v>9</v>
      </c>
      <c r="P14" s="31"/>
      <c r="Q14" s="28" t="s">
        <v>186</v>
      </c>
      <c r="S14" s="32">
        <v>255</v>
      </c>
      <c r="T14" s="32">
        <v>306</v>
      </c>
      <c r="U14" s="32">
        <v>325</v>
      </c>
      <c r="V14" s="32">
        <v>297.55</v>
      </c>
      <c r="W14" s="32">
        <v>327.35000000000002</v>
      </c>
      <c r="X14" s="32">
        <v>319</v>
      </c>
      <c r="Y14" s="32">
        <v>334</v>
      </c>
      <c r="Z14" s="32">
        <v>339.5</v>
      </c>
      <c r="AA14" s="32">
        <v>370</v>
      </c>
      <c r="AB14" s="32">
        <v>365</v>
      </c>
      <c r="AC14" s="32">
        <v>348</v>
      </c>
      <c r="AD14" s="32">
        <v>350</v>
      </c>
    </row>
    <row r="15" spans="1:30" hidden="1" x14ac:dyDescent="0.25">
      <c r="A15" s="33" t="s">
        <v>10</v>
      </c>
      <c r="B15" s="28">
        <v>0</v>
      </c>
      <c r="C15" s="28">
        <v>0</v>
      </c>
      <c r="D15" s="28">
        <v>2.3255813953488413E-2</v>
      </c>
      <c r="E15" s="28">
        <v>-2.2727272727272707E-2</v>
      </c>
      <c r="F15" s="28">
        <v>6.9767441860465018E-2</v>
      </c>
      <c r="G15" s="28">
        <v>0</v>
      </c>
      <c r="H15" s="28">
        <v>-2.1739130434782594E-2</v>
      </c>
      <c r="I15" s="28">
        <v>4.4444444444444509E-2</v>
      </c>
      <c r="J15" s="28">
        <v>0</v>
      </c>
      <c r="K15" s="28">
        <v>0</v>
      </c>
      <c r="L15" s="28">
        <v>0</v>
      </c>
      <c r="M15" s="29"/>
      <c r="N15" s="28">
        <v>0</v>
      </c>
      <c r="O15" s="30" t="s">
        <v>10</v>
      </c>
      <c r="P15" s="31"/>
      <c r="Q15" s="28">
        <v>9.3023255813953432E-2</v>
      </c>
      <c r="S15" s="32">
        <v>43</v>
      </c>
      <c r="T15" s="32">
        <v>43</v>
      </c>
      <c r="U15" s="32">
        <v>43</v>
      </c>
      <c r="V15" s="32">
        <v>44</v>
      </c>
      <c r="W15" s="32">
        <v>43</v>
      </c>
      <c r="X15" s="32">
        <v>46</v>
      </c>
      <c r="Y15" s="32">
        <v>46</v>
      </c>
      <c r="Z15" s="32">
        <v>45</v>
      </c>
      <c r="AA15" s="32">
        <v>47</v>
      </c>
      <c r="AB15" s="32">
        <v>47</v>
      </c>
      <c r="AC15" s="32">
        <v>47</v>
      </c>
      <c r="AD15" s="32">
        <v>47</v>
      </c>
    </row>
    <row r="16" spans="1:30" x14ac:dyDescent="0.25">
      <c r="A16" s="33" t="s">
        <v>11</v>
      </c>
      <c r="B16" s="28">
        <v>-9.5454545456887696E-2</v>
      </c>
      <c r="C16" s="28">
        <v>0.2386934673567227</v>
      </c>
      <c r="D16" s="28">
        <v>-0.19066937120879723</v>
      </c>
      <c r="E16" s="28">
        <v>-3.2581453599256793E-2</v>
      </c>
      <c r="F16" s="28">
        <v>-9.3264248696085961E-2</v>
      </c>
      <c r="G16" s="28">
        <v>0.21381564969157396</v>
      </c>
      <c r="H16" s="28">
        <v>-6.9047619047619024E-2</v>
      </c>
      <c r="I16" s="28">
        <v>-6.9053708439897776E-2</v>
      </c>
      <c r="J16" s="28">
        <v>-0.25</v>
      </c>
      <c r="K16" s="28">
        <v>8.9799777879397968E-2</v>
      </c>
      <c r="L16" s="28">
        <v>0.30136986301369872</v>
      </c>
      <c r="M16" s="29"/>
      <c r="N16" s="28">
        <v>0.23947368421052628</v>
      </c>
      <c r="O16" s="30" t="s">
        <v>11</v>
      </c>
      <c r="P16" s="31"/>
      <c r="Q16" s="28">
        <v>0.10323041850966441</v>
      </c>
      <c r="S16" s="32">
        <v>21.346401989</v>
      </c>
      <c r="T16" s="32">
        <v>19.308790890000001</v>
      </c>
      <c r="U16" s="32">
        <v>23.917673138000001</v>
      </c>
      <c r="V16" s="32">
        <v>19.357305440000001</v>
      </c>
      <c r="W16" s="32">
        <v>18.726616290999999</v>
      </c>
      <c r="X16" s="32">
        <v>16.980092492000001</v>
      </c>
      <c r="Y16" s="32">
        <v>20.610702</v>
      </c>
      <c r="Z16" s="32">
        <v>19.1875821</v>
      </c>
      <c r="AA16" s="32">
        <v>17.862608399999999</v>
      </c>
      <c r="AB16" s="32">
        <v>13.396956299999999</v>
      </c>
      <c r="AC16" s="32">
        <v>14.6</v>
      </c>
      <c r="AD16" s="32">
        <v>19</v>
      </c>
    </row>
    <row r="17" spans="1:30" x14ac:dyDescent="0.25">
      <c r="A17" s="33" t="s">
        <v>12</v>
      </c>
      <c r="B17" s="28">
        <v>-0.18809523809523809</v>
      </c>
      <c r="C17" s="28">
        <v>0.18768328445747784</v>
      </c>
      <c r="D17" s="28">
        <v>-0.1728395061728395</v>
      </c>
      <c r="E17" s="28">
        <v>8.9552238805970186E-2</v>
      </c>
      <c r="F17" s="28">
        <v>-6.4383561643835518E-2</v>
      </c>
      <c r="G17" s="28">
        <v>0.15812591508052698</v>
      </c>
      <c r="H17" s="28">
        <v>5.1833122629582951E-2</v>
      </c>
      <c r="I17" s="28">
        <v>-5.8894230769230727E-2</v>
      </c>
      <c r="J17" s="28">
        <v>-0.15964240102171134</v>
      </c>
      <c r="K17" s="28">
        <v>0.27208604859932572</v>
      </c>
      <c r="L17" s="28">
        <v>0.10817941952506605</v>
      </c>
      <c r="M17" s="29"/>
      <c r="N17" s="28">
        <v>0.19047619047619047</v>
      </c>
      <c r="O17" s="30" t="s">
        <v>12</v>
      </c>
      <c r="P17" s="31"/>
      <c r="Q17" s="28">
        <v>0.31460079780493233</v>
      </c>
      <c r="S17" s="32">
        <v>38.03436</v>
      </c>
      <c r="T17" s="32">
        <v>30.880278000000001</v>
      </c>
      <c r="U17" s="32">
        <v>36.675989999999999</v>
      </c>
      <c r="V17" s="32">
        <v>30.336929999999999</v>
      </c>
      <c r="W17" s="32">
        <v>33.053669999999997</v>
      </c>
      <c r="X17" s="32">
        <v>30.925557000000001</v>
      </c>
      <c r="Y17" s="32">
        <v>35.815688999999999</v>
      </c>
      <c r="Z17" s="32">
        <v>37.672128000000001</v>
      </c>
      <c r="AA17" s="32">
        <v>35.453457</v>
      </c>
      <c r="AB17" s="32">
        <v>29.793582000000001</v>
      </c>
      <c r="AC17" s="32">
        <v>37.9</v>
      </c>
      <c r="AD17" s="32">
        <v>42</v>
      </c>
    </row>
    <row r="18" spans="1:30" x14ac:dyDescent="0.25">
      <c r="A18" s="33" t="s">
        <v>13</v>
      </c>
      <c r="B18" s="28">
        <v>0.19023154171384848</v>
      </c>
      <c r="C18" s="28">
        <v>4.2105263157894646E-2</v>
      </c>
      <c r="D18" s="28">
        <v>-0.2087542087542088</v>
      </c>
      <c r="E18" s="28">
        <v>2.1276595744680771E-2</v>
      </c>
      <c r="F18" s="28">
        <v>-0.11250000000000004</v>
      </c>
      <c r="G18" s="28">
        <v>0.15023474178403751</v>
      </c>
      <c r="H18" s="28">
        <v>-6.1224489795918324E-2</v>
      </c>
      <c r="I18" s="28">
        <v>-3.1521739130434767E-2</v>
      </c>
      <c r="J18" s="28">
        <v>-0.12457912457912457</v>
      </c>
      <c r="K18" s="28">
        <v>0.30769230769230771</v>
      </c>
      <c r="L18" s="28">
        <v>0.41960784313725497</v>
      </c>
      <c r="M18" s="29"/>
      <c r="N18" s="28">
        <v>3.8674033149171283E-2</v>
      </c>
      <c r="O18" s="30" t="s">
        <v>13</v>
      </c>
      <c r="P18" s="31"/>
      <c r="Q18" s="28">
        <v>0.57027038485756876</v>
      </c>
      <c r="S18" s="32">
        <v>239.449208</v>
      </c>
      <c r="T18" s="32">
        <v>285</v>
      </c>
      <c r="U18" s="32">
        <v>297</v>
      </c>
      <c r="V18" s="32">
        <v>235</v>
      </c>
      <c r="W18" s="32">
        <v>240</v>
      </c>
      <c r="X18" s="32">
        <v>213</v>
      </c>
      <c r="Y18" s="32">
        <v>245</v>
      </c>
      <c r="Z18" s="32">
        <v>230</v>
      </c>
      <c r="AA18" s="32">
        <v>222.75</v>
      </c>
      <c r="AB18" s="32">
        <v>195</v>
      </c>
      <c r="AC18" s="32">
        <v>255</v>
      </c>
      <c r="AD18" s="32">
        <v>362</v>
      </c>
    </row>
    <row r="19" spans="1:30" x14ac:dyDescent="0.25">
      <c r="A19" s="33" t="s">
        <v>14</v>
      </c>
      <c r="B19" s="28">
        <v>-9.5898892177788575E-2</v>
      </c>
      <c r="C19" s="28">
        <v>-0.10909090909090913</v>
      </c>
      <c r="D19" s="28">
        <v>-0.22448979591836737</v>
      </c>
      <c r="E19" s="28">
        <v>-1.9205899504810553E-3</v>
      </c>
      <c r="F19" s="28">
        <v>-1.8518518518518379E-2</v>
      </c>
      <c r="G19" s="28">
        <v>-0.16442048517520214</v>
      </c>
      <c r="H19" s="28">
        <v>1.0580645161290323</v>
      </c>
      <c r="I19" s="28">
        <v>-0.21630094043887149</v>
      </c>
      <c r="J19" s="28">
        <v>-0.16000000000000003</v>
      </c>
      <c r="K19" s="28">
        <v>0.28571428571428581</v>
      </c>
      <c r="L19" s="28">
        <v>-0.2592592592592593</v>
      </c>
      <c r="M19" s="29"/>
      <c r="N19" s="28">
        <v>0.14999999999999991</v>
      </c>
      <c r="O19" s="30" t="s">
        <v>14</v>
      </c>
      <c r="P19" s="31"/>
      <c r="Q19" s="28">
        <v>-0.24130182964891722</v>
      </c>
      <c r="S19" s="32">
        <v>30.315085627999999</v>
      </c>
      <c r="T19" s="32">
        <v>27.407902499999999</v>
      </c>
      <c r="U19" s="32">
        <v>24.417949499999999</v>
      </c>
      <c r="V19" s="32">
        <v>18.936368999999999</v>
      </c>
      <c r="W19" s="32">
        <v>18.899999999999999</v>
      </c>
      <c r="X19" s="32">
        <v>18.55</v>
      </c>
      <c r="Y19" s="32">
        <v>15.5</v>
      </c>
      <c r="Z19" s="32">
        <v>31.9</v>
      </c>
      <c r="AA19" s="32">
        <v>25</v>
      </c>
      <c r="AB19" s="32">
        <v>21</v>
      </c>
      <c r="AC19" s="32">
        <v>27</v>
      </c>
      <c r="AD19" s="32">
        <v>20</v>
      </c>
    </row>
    <row r="20" spans="1:30" x14ac:dyDescent="0.25">
      <c r="A20" s="33" t="s">
        <v>15</v>
      </c>
      <c r="B20" s="28">
        <v>-0.13793103448275867</v>
      </c>
      <c r="C20" s="28">
        <v>0.49199999999999999</v>
      </c>
      <c r="D20" s="28">
        <v>-8.8471849865951691E-2</v>
      </c>
      <c r="E20" s="28">
        <v>2.2058823529411686E-2</v>
      </c>
      <c r="F20" s="28">
        <v>-0.10935251798561152</v>
      </c>
      <c r="G20" s="28">
        <v>0.16316639741518579</v>
      </c>
      <c r="H20" s="28">
        <v>-0.12361111111111112</v>
      </c>
      <c r="I20" s="28">
        <v>-0.150554675118859</v>
      </c>
      <c r="J20" s="28">
        <v>-0.19776119402985082</v>
      </c>
      <c r="K20" s="28">
        <v>0.20930232558139528</v>
      </c>
      <c r="L20" s="28">
        <v>0.14615384615384608</v>
      </c>
      <c r="M20" s="29"/>
      <c r="N20" s="28">
        <v>0.10738255033557054</v>
      </c>
      <c r="O20" s="30" t="s">
        <v>15</v>
      </c>
      <c r="P20" s="31"/>
      <c r="Q20" s="28">
        <v>0.13793103448275845</v>
      </c>
      <c r="S20" s="32">
        <v>58</v>
      </c>
      <c r="T20" s="32">
        <v>50</v>
      </c>
      <c r="U20" s="32">
        <v>74.599999999999994</v>
      </c>
      <c r="V20" s="32">
        <v>68</v>
      </c>
      <c r="W20" s="32">
        <v>69.5</v>
      </c>
      <c r="X20" s="32">
        <v>61.9</v>
      </c>
      <c r="Y20" s="32">
        <v>72</v>
      </c>
      <c r="Z20" s="32">
        <v>63.1</v>
      </c>
      <c r="AA20" s="32">
        <v>53.6</v>
      </c>
      <c r="AB20" s="32">
        <v>43</v>
      </c>
      <c r="AC20" s="32">
        <v>52</v>
      </c>
      <c r="AD20" s="32">
        <v>59.6</v>
      </c>
    </row>
    <row r="21" spans="1:30" x14ac:dyDescent="0.25">
      <c r="A21" s="33" t="s">
        <v>16</v>
      </c>
      <c r="B21" s="28">
        <v>0</v>
      </c>
      <c r="C21" s="28">
        <v>0.34117647058823541</v>
      </c>
      <c r="D21" s="28">
        <v>-0.1520467836257311</v>
      </c>
      <c r="E21" s="28">
        <v>-0.13793103448275867</v>
      </c>
      <c r="F21" s="28">
        <v>-1.0000000000000009E-2</v>
      </c>
      <c r="G21" s="28">
        <v>-1.0101010101010055E-2</v>
      </c>
      <c r="H21" s="28">
        <v>-5.1020408163265252E-2</v>
      </c>
      <c r="I21" s="28">
        <v>-0.15268817204301077</v>
      </c>
      <c r="J21" s="28">
        <v>-0.17512690355329952</v>
      </c>
      <c r="K21" s="28">
        <v>0.13846153846153841</v>
      </c>
      <c r="L21" s="28">
        <v>5.4054054054053946E-2</v>
      </c>
      <c r="M21" s="29"/>
      <c r="N21" s="28">
        <v>0.10256410256410264</v>
      </c>
      <c r="O21" s="30" t="s">
        <v>16</v>
      </c>
      <c r="P21" s="31"/>
      <c r="Q21" s="28">
        <v>-0.15686274509803944</v>
      </c>
      <c r="S21" s="32">
        <v>51</v>
      </c>
      <c r="T21" s="32">
        <v>51</v>
      </c>
      <c r="U21" s="32">
        <v>68.400000000000006</v>
      </c>
      <c r="V21" s="32">
        <v>58</v>
      </c>
      <c r="W21" s="32">
        <v>50</v>
      </c>
      <c r="X21" s="32">
        <v>49.5</v>
      </c>
      <c r="Y21" s="32">
        <v>49</v>
      </c>
      <c r="Z21" s="32">
        <v>46.5</v>
      </c>
      <c r="AA21" s="32">
        <v>39.4</v>
      </c>
      <c r="AB21" s="32">
        <v>32.5</v>
      </c>
      <c r="AC21" s="32">
        <v>37</v>
      </c>
      <c r="AD21" s="32">
        <v>39</v>
      </c>
    </row>
    <row r="22" spans="1:30" x14ac:dyDescent="0.25">
      <c r="A22" s="33" t="s">
        <v>17</v>
      </c>
      <c r="B22" s="28">
        <v>-4.5215562565720235E-2</v>
      </c>
      <c r="C22" s="28">
        <v>0.12995594713656389</v>
      </c>
      <c r="D22" s="28">
        <v>-0.21052631578947367</v>
      </c>
      <c r="E22" s="28">
        <v>0.18888888888888888</v>
      </c>
      <c r="F22" s="28">
        <v>5.8151609553478867E-2</v>
      </c>
      <c r="G22" s="28">
        <v>5.0049067713444417E-2</v>
      </c>
      <c r="H22" s="28">
        <v>-6.074766355140182E-2</v>
      </c>
      <c r="I22" s="28">
        <v>-0.1422885572139303</v>
      </c>
      <c r="J22" s="28">
        <v>-9.9767981438515174E-2</v>
      </c>
      <c r="K22" s="28">
        <v>1.2886597938146505E-3</v>
      </c>
      <c r="L22" s="28">
        <v>6.4350064350064962E-3</v>
      </c>
      <c r="M22" s="29"/>
      <c r="N22" s="28">
        <v>9.7186700767263323E-2</v>
      </c>
      <c r="O22" s="30" t="s">
        <v>17</v>
      </c>
      <c r="P22" s="31"/>
      <c r="Q22" s="28">
        <v>-9.7791798107255246E-2</v>
      </c>
      <c r="S22" s="32">
        <v>47.55</v>
      </c>
      <c r="T22" s="32">
        <v>45.4</v>
      </c>
      <c r="U22" s="32">
        <v>51.3</v>
      </c>
      <c r="V22" s="32">
        <v>40.5</v>
      </c>
      <c r="W22" s="32">
        <v>48.15</v>
      </c>
      <c r="X22" s="32">
        <v>50.95</v>
      </c>
      <c r="Y22" s="32">
        <v>53.5</v>
      </c>
      <c r="Z22" s="32">
        <v>50.25</v>
      </c>
      <c r="AA22" s="32">
        <v>43.1</v>
      </c>
      <c r="AB22" s="32">
        <v>38.799999999999997</v>
      </c>
      <c r="AC22" s="32">
        <v>38.85</v>
      </c>
      <c r="AD22" s="32">
        <v>39.1</v>
      </c>
    </row>
    <row r="23" spans="1:30" x14ac:dyDescent="0.25">
      <c r="A23" s="33" t="s">
        <v>18</v>
      </c>
      <c r="B23" s="28">
        <v>0.16751269034427141</v>
      </c>
      <c r="C23" s="28">
        <v>-1.7391304312045941E-2</v>
      </c>
      <c r="D23" s="28">
        <v>-0.18362831861348017</v>
      </c>
      <c r="E23" s="28">
        <v>8.8510398375535981E-2</v>
      </c>
      <c r="F23" s="28">
        <v>-8.9473684210526261E-2</v>
      </c>
      <c r="G23" s="28">
        <v>0.10115606936416177</v>
      </c>
      <c r="H23" s="28">
        <v>-1.8372703412073532E-2</v>
      </c>
      <c r="I23" s="28">
        <v>-7.7540106951871524E-2</v>
      </c>
      <c r="J23" s="28">
        <v>-0.10724637681159421</v>
      </c>
      <c r="K23" s="28">
        <v>-3.5714285714285698E-2</v>
      </c>
      <c r="L23" s="28">
        <v>0.21212121212121215</v>
      </c>
      <c r="M23" s="29"/>
      <c r="N23" s="28">
        <v>5.845555024592608E-2</v>
      </c>
      <c r="O23" s="30" t="s">
        <v>18</v>
      </c>
      <c r="P23" s="31"/>
      <c r="Q23" s="28">
        <v>2.2243258635425311E-2</v>
      </c>
      <c r="S23" s="32">
        <v>17.901805509999999</v>
      </c>
      <c r="T23" s="32">
        <v>20.900585113000002</v>
      </c>
      <c r="U23" s="32">
        <v>20.537096677000001</v>
      </c>
      <c r="V23" s="32">
        <v>16.765904145</v>
      </c>
      <c r="W23" s="32">
        <v>18.249860999999999</v>
      </c>
      <c r="X23" s="32">
        <v>16.616978700000001</v>
      </c>
      <c r="Y23" s="32">
        <v>18.297886949999999</v>
      </c>
      <c r="Z23" s="32">
        <v>17.961705299999998</v>
      </c>
      <c r="AA23" s="32">
        <v>16.568952750000001</v>
      </c>
      <c r="AB23" s="32">
        <v>14.7919926</v>
      </c>
      <c r="AC23" s="32">
        <v>14.26370715</v>
      </c>
      <c r="AD23" s="32">
        <v>17.289342000000001</v>
      </c>
    </row>
    <row r="24" spans="1:30" x14ac:dyDescent="0.25">
      <c r="A24" s="33" t="s">
        <v>19</v>
      </c>
      <c r="B24" s="28">
        <v>0.10208234813617101</v>
      </c>
      <c r="C24" s="28">
        <v>0.2393441796498601</v>
      </c>
      <c r="D24" s="28">
        <v>-0.13411078717201164</v>
      </c>
      <c r="E24" s="28">
        <v>0.11063011063011063</v>
      </c>
      <c r="F24" s="28">
        <v>-5.0238198354266017E-2</v>
      </c>
      <c r="G24" s="28">
        <v>0.14774281805745559</v>
      </c>
      <c r="H24" s="28">
        <v>-9.0186730234406043E-2</v>
      </c>
      <c r="I24" s="28">
        <v>-3.4934497816594412E-3</v>
      </c>
      <c r="J24" s="28">
        <v>-0.1328193425673978</v>
      </c>
      <c r="K24" s="28">
        <v>0.28705752212389357</v>
      </c>
      <c r="L24" s="28">
        <v>6.1452513966480549E-2</v>
      </c>
      <c r="M24" s="29"/>
      <c r="N24" s="28">
        <v>8.7044534412955565E-2</v>
      </c>
      <c r="O24" s="30" t="s">
        <v>19</v>
      </c>
      <c r="P24" s="31"/>
      <c r="Q24" s="28">
        <v>0.67180224537083411</v>
      </c>
      <c r="S24" s="32">
        <v>80.302559930000001</v>
      </c>
      <c r="T24" s="32">
        <v>88.500033809000001</v>
      </c>
      <c r="U24" s="32">
        <v>109.68200179999999</v>
      </c>
      <c r="V24" s="32">
        <v>94.972462199999995</v>
      </c>
      <c r="W24" s="32">
        <v>105.4792762</v>
      </c>
      <c r="X24" s="32">
        <v>100.18018739999999</v>
      </c>
      <c r="Y24" s="32">
        <v>114.9810906</v>
      </c>
      <c r="Z24" s="32">
        <v>104.611322</v>
      </c>
      <c r="AA24" s="32">
        <v>104.2458676</v>
      </c>
      <c r="AB24" s="32">
        <v>90.4</v>
      </c>
      <c r="AC24" s="32">
        <v>116.35</v>
      </c>
      <c r="AD24" s="32">
        <v>123.5</v>
      </c>
    </row>
    <row r="25" spans="1:30" x14ac:dyDescent="0.25">
      <c r="A25" s="33" t="s">
        <v>20</v>
      </c>
      <c r="B25" s="28">
        <v>8.4709875361411724E-2</v>
      </c>
      <c r="C25" s="28">
        <v>0.5</v>
      </c>
      <c r="D25" s="28">
        <v>6.0606060606060552E-2</v>
      </c>
      <c r="E25" s="28">
        <v>0.1100000000000001</v>
      </c>
      <c r="F25" s="28">
        <v>0.28700128700128702</v>
      </c>
      <c r="G25" s="28">
        <v>0.10000000000000009</v>
      </c>
      <c r="H25" s="28">
        <v>0.18181818181818188</v>
      </c>
      <c r="I25" s="28">
        <v>-0.16923076923076918</v>
      </c>
      <c r="J25" s="28">
        <v>0.20370370370370372</v>
      </c>
      <c r="K25" s="28">
        <v>-7.5384615384615383E-2</v>
      </c>
      <c r="L25" s="28">
        <v>0.26455906821963393</v>
      </c>
      <c r="M25" s="29"/>
      <c r="N25" s="28" t="s">
        <v>186</v>
      </c>
      <c r="O25" s="30" t="s">
        <v>20</v>
      </c>
      <c r="P25" s="31"/>
      <c r="Q25" s="28" t="s">
        <v>186</v>
      </c>
      <c r="S25" s="32">
        <v>20.281921000000001</v>
      </c>
      <c r="T25" s="32">
        <v>22</v>
      </c>
      <c r="U25" s="32">
        <v>33</v>
      </c>
      <c r="V25" s="32">
        <v>35</v>
      </c>
      <c r="W25" s="32">
        <v>38.85</v>
      </c>
      <c r="X25" s="32">
        <v>50</v>
      </c>
      <c r="Y25" s="32">
        <v>55</v>
      </c>
      <c r="Z25" s="32">
        <v>65</v>
      </c>
      <c r="AA25" s="32">
        <v>54</v>
      </c>
      <c r="AB25" s="32">
        <v>65</v>
      </c>
      <c r="AC25" s="32">
        <v>60.1</v>
      </c>
      <c r="AD25" s="32">
        <v>76</v>
      </c>
    </row>
    <row r="26" spans="1:30" x14ac:dyDescent="0.25">
      <c r="A26" s="33" t="s">
        <v>21</v>
      </c>
      <c r="B26" s="28">
        <v>-6.230529595015577E-3</v>
      </c>
      <c r="C26" s="28">
        <v>8.1504702194357348E-2</v>
      </c>
      <c r="D26" s="28">
        <v>-0.23188405797101452</v>
      </c>
      <c r="E26" s="28">
        <v>-5.6603773584905648E-2</v>
      </c>
      <c r="F26" s="28">
        <v>-0.124</v>
      </c>
      <c r="G26" s="28">
        <v>9.5890410958904049E-2</v>
      </c>
      <c r="H26" s="28">
        <v>4.1666666666666741E-2</v>
      </c>
      <c r="I26" s="28">
        <v>-0.11599999999999999</v>
      </c>
      <c r="J26" s="28">
        <v>6.3348416289592757E-2</v>
      </c>
      <c r="K26" s="28">
        <v>5.9574468085106469E-2</v>
      </c>
      <c r="L26" s="28">
        <v>-4.4176706827309342E-2</v>
      </c>
      <c r="M26" s="29"/>
      <c r="N26" s="28">
        <v>5.0420168067226934E-2</v>
      </c>
      <c r="O26" s="30" t="s">
        <v>21</v>
      </c>
      <c r="P26" s="31"/>
      <c r="Q26" s="28">
        <v>-0.22118380062305298</v>
      </c>
      <c r="S26" s="32">
        <v>3.21</v>
      </c>
      <c r="T26" s="32">
        <v>3.19</v>
      </c>
      <c r="U26" s="32">
        <v>3.45</v>
      </c>
      <c r="V26" s="32">
        <v>2.65</v>
      </c>
      <c r="W26" s="32">
        <v>2.5</v>
      </c>
      <c r="X26" s="32">
        <v>2.19</v>
      </c>
      <c r="Y26" s="32">
        <v>2.4</v>
      </c>
      <c r="Z26" s="32">
        <v>2.5</v>
      </c>
      <c r="AA26" s="32">
        <v>2.21</v>
      </c>
      <c r="AB26" s="32">
        <v>2.35</v>
      </c>
      <c r="AC26" s="32">
        <v>2.4900000000000002</v>
      </c>
      <c r="AD26" s="32">
        <v>2.38</v>
      </c>
    </row>
    <row r="27" spans="1:30" x14ac:dyDescent="0.25">
      <c r="A27" s="33" t="s">
        <v>22</v>
      </c>
      <c r="B27" s="28">
        <v>-0.1633663366336634</v>
      </c>
      <c r="C27" s="28">
        <v>0.4023668639053255</v>
      </c>
      <c r="D27" s="28">
        <v>-0.27426160337552741</v>
      </c>
      <c r="E27" s="28">
        <v>-8.1395348837209225E-2</v>
      </c>
      <c r="F27" s="28">
        <v>-7.8481012658227822E-2</v>
      </c>
      <c r="G27" s="28">
        <v>-9.3406593406593519E-2</v>
      </c>
      <c r="H27" s="28">
        <v>-0.12878787878787878</v>
      </c>
      <c r="I27" s="28">
        <v>-0.20869565217391306</v>
      </c>
      <c r="J27" s="28">
        <v>-0.14285714285714279</v>
      </c>
      <c r="K27" s="28">
        <v>0.24615384615384617</v>
      </c>
      <c r="L27" s="28">
        <v>-4.7325102880658498E-2</v>
      </c>
      <c r="M27" s="29"/>
      <c r="N27" s="28">
        <v>3.6717062634989084E-2</v>
      </c>
      <c r="O27" s="30" t="s">
        <v>22</v>
      </c>
      <c r="P27" s="31"/>
      <c r="Q27" s="28">
        <v>-0.52475247524752477</v>
      </c>
      <c r="S27" s="32">
        <v>10.1</v>
      </c>
      <c r="T27" s="32">
        <v>8.4499999999999993</v>
      </c>
      <c r="U27" s="32">
        <v>11.85</v>
      </c>
      <c r="V27" s="32">
        <v>8.6</v>
      </c>
      <c r="W27" s="32">
        <v>7.9</v>
      </c>
      <c r="X27" s="32">
        <v>7.28</v>
      </c>
      <c r="Y27" s="32">
        <v>6.6</v>
      </c>
      <c r="Z27" s="32">
        <v>5.75</v>
      </c>
      <c r="AA27" s="32">
        <v>4.55</v>
      </c>
      <c r="AB27" s="32">
        <v>3.9</v>
      </c>
      <c r="AC27" s="32">
        <v>4.8600000000000003</v>
      </c>
      <c r="AD27" s="32">
        <v>4.63</v>
      </c>
    </row>
    <row r="28" spans="1:30" x14ac:dyDescent="0.25">
      <c r="A28" s="33" t="s">
        <v>23</v>
      </c>
      <c r="B28" s="28">
        <v>-2.3423423423423406E-2</v>
      </c>
      <c r="C28" s="28">
        <v>0.14944649446494451</v>
      </c>
      <c r="D28" s="28">
        <v>-0.15730337078651679</v>
      </c>
      <c r="E28" s="28">
        <v>-1.4285714285714346E-2</v>
      </c>
      <c r="F28" s="28">
        <v>-7.7294685990338063E-2</v>
      </c>
      <c r="G28" s="28">
        <v>2.6178010471204161E-2</v>
      </c>
      <c r="H28" s="28">
        <v>-3.0612244897959329E-2</v>
      </c>
      <c r="I28" s="28">
        <v>-0.10526315789473673</v>
      </c>
      <c r="J28" s="28">
        <v>-0.14117647058823524</v>
      </c>
      <c r="K28" s="28">
        <v>6.115499550550596E-2</v>
      </c>
      <c r="L28" s="28">
        <v>4.9286640726329489E-2</v>
      </c>
      <c r="M28" s="29"/>
      <c r="N28" s="28">
        <v>3.9555006180469476E-2</v>
      </c>
      <c r="O28" s="30" t="s">
        <v>23</v>
      </c>
      <c r="P28" s="31"/>
      <c r="Q28" s="28">
        <v>-0.23876224116252986</v>
      </c>
      <c r="S28" s="32">
        <v>110.47796700000001</v>
      </c>
      <c r="T28" s="32">
        <v>107.8901948</v>
      </c>
      <c r="U28" s="32">
        <v>124.0140062</v>
      </c>
      <c r="V28" s="32">
        <v>104.506185</v>
      </c>
      <c r="W28" s="32">
        <v>103.0132395</v>
      </c>
      <c r="X28" s="32">
        <v>95.050863500000006</v>
      </c>
      <c r="Y28" s="32">
        <v>97.539106000000004</v>
      </c>
      <c r="Z28" s="32">
        <v>94.553214999999994</v>
      </c>
      <c r="AA28" s="32">
        <v>84.600245000000001</v>
      </c>
      <c r="AB28" s="32">
        <v>72.656681000000006</v>
      </c>
      <c r="AC28" s="32">
        <v>77.099999999999994</v>
      </c>
      <c r="AD28" s="32">
        <v>80.900000000000006</v>
      </c>
    </row>
    <row r="29" spans="1:30" x14ac:dyDescent="0.25">
      <c r="A29" s="33" t="s">
        <v>24</v>
      </c>
      <c r="B29" s="28">
        <v>-0.25000000000000011</v>
      </c>
      <c r="C29" s="28">
        <v>-3.9548022598870025E-2</v>
      </c>
      <c r="D29" s="28">
        <v>-5.8823529411764719E-2</v>
      </c>
      <c r="E29" s="28">
        <v>0</v>
      </c>
      <c r="F29" s="28">
        <v>0.1875</v>
      </c>
      <c r="G29" s="28">
        <v>-5.2631578947368474E-2</v>
      </c>
      <c r="H29" s="28">
        <v>-0.15555555555555556</v>
      </c>
      <c r="I29" s="28">
        <v>-5.921052631578938E-2</v>
      </c>
      <c r="J29" s="28">
        <v>0.44055944055944063</v>
      </c>
      <c r="K29" s="28">
        <v>-0.22815533980582525</v>
      </c>
      <c r="L29" s="28">
        <v>-0.11949685534591192</v>
      </c>
      <c r="M29" s="29"/>
      <c r="N29" s="28">
        <v>7.1428571428571397E-2</v>
      </c>
      <c r="O29" s="30" t="s">
        <v>24</v>
      </c>
      <c r="P29" s="31"/>
      <c r="Q29" s="28">
        <v>-0.36440677966101687</v>
      </c>
      <c r="S29" s="32">
        <v>11.8</v>
      </c>
      <c r="T29" s="32">
        <v>8.85</v>
      </c>
      <c r="U29" s="32">
        <v>8.5</v>
      </c>
      <c r="V29" s="32">
        <v>8</v>
      </c>
      <c r="W29" s="32">
        <v>8</v>
      </c>
      <c r="X29" s="32">
        <v>9.5</v>
      </c>
      <c r="Y29" s="32">
        <v>9</v>
      </c>
      <c r="Z29" s="32">
        <v>7.6</v>
      </c>
      <c r="AA29" s="32">
        <v>7.15</v>
      </c>
      <c r="AB29" s="32">
        <v>10.3</v>
      </c>
      <c r="AC29" s="32">
        <v>7.95</v>
      </c>
      <c r="AD29" s="32">
        <v>7</v>
      </c>
    </row>
    <row r="30" spans="1:30" x14ac:dyDescent="0.25">
      <c r="A30" s="33" t="s">
        <v>25</v>
      </c>
      <c r="B30" s="28">
        <v>-0.19999999999999996</v>
      </c>
      <c r="C30" s="28">
        <v>0.24374999999999991</v>
      </c>
      <c r="D30" s="28">
        <v>-3.5175879396984966E-2</v>
      </c>
      <c r="E30" s="28">
        <v>-8.854166666666663E-2</v>
      </c>
      <c r="F30" s="28">
        <v>-5.8285714285714274E-2</v>
      </c>
      <c r="G30" s="28">
        <v>9.2233009708737823E-2</v>
      </c>
      <c r="H30" s="28">
        <v>5.555555555555558E-2</v>
      </c>
      <c r="I30" s="28">
        <v>-0.18631578947368421</v>
      </c>
      <c r="J30" s="28">
        <v>0.27037516170763243</v>
      </c>
      <c r="K30" s="28">
        <v>0.20578167772511313</v>
      </c>
      <c r="L30" s="28">
        <v>4.0358744394618729E-2</v>
      </c>
      <c r="M30" s="29"/>
      <c r="N30" s="28">
        <v>6.0344827586206851E-2</v>
      </c>
      <c r="O30" s="30" t="s">
        <v>25</v>
      </c>
      <c r="P30" s="31"/>
      <c r="Q30" s="28">
        <v>0.30620220381798635</v>
      </c>
      <c r="S30" s="32">
        <v>7.53329</v>
      </c>
      <c r="T30" s="32">
        <v>6.0266320000000002</v>
      </c>
      <c r="U30" s="32">
        <v>7.4956235500000004</v>
      </c>
      <c r="V30" s="32">
        <v>7.2319583999999999</v>
      </c>
      <c r="W30" s="32">
        <v>6.5916287499999999</v>
      </c>
      <c r="X30" s="32">
        <v>6.2074309599999999</v>
      </c>
      <c r="Y30" s="32">
        <v>6.7799610000000001</v>
      </c>
      <c r="Z30" s="32">
        <v>7.1566254999999996</v>
      </c>
      <c r="AA30" s="32">
        <v>5.82323317</v>
      </c>
      <c r="AB30" s="32">
        <v>7.3976907799999996</v>
      </c>
      <c r="AC30" s="32">
        <v>8.92</v>
      </c>
      <c r="AD30" s="32">
        <v>9.2799999999999994</v>
      </c>
    </row>
    <row r="31" spans="1:30" x14ac:dyDescent="0.25">
      <c r="A31" s="33" t="s">
        <v>26</v>
      </c>
      <c r="B31" s="28">
        <v>-0.18699186991869921</v>
      </c>
      <c r="C31" s="28">
        <v>0.25499999999999989</v>
      </c>
      <c r="D31" s="28">
        <v>-0.20053120849933592</v>
      </c>
      <c r="E31" s="28">
        <v>-6.8106312292358862E-2</v>
      </c>
      <c r="F31" s="28">
        <v>-5.5258467023172941E-2</v>
      </c>
      <c r="G31" s="28">
        <v>0.15660377358490551</v>
      </c>
      <c r="H31" s="28">
        <v>-0.12234910277324629</v>
      </c>
      <c r="I31" s="28">
        <v>-0.15241635687732336</v>
      </c>
      <c r="J31" s="28">
        <v>-0.28070175438596501</v>
      </c>
      <c r="K31" s="28">
        <v>8.2317073170731891E-2</v>
      </c>
      <c r="L31" s="28">
        <v>0.16619718309859155</v>
      </c>
      <c r="M31" s="29"/>
      <c r="N31" s="28">
        <v>1.6908212560386549E-2</v>
      </c>
      <c r="O31" s="30" t="s">
        <v>26</v>
      </c>
      <c r="P31" s="31"/>
      <c r="Q31" s="28">
        <v>-0.42953929539295399</v>
      </c>
      <c r="S31" s="32">
        <v>36.9</v>
      </c>
      <c r="T31" s="32">
        <v>30</v>
      </c>
      <c r="U31" s="32">
        <v>37.65</v>
      </c>
      <c r="V31" s="32">
        <v>30.1</v>
      </c>
      <c r="W31" s="32">
        <v>28.05</v>
      </c>
      <c r="X31" s="32">
        <v>26.5</v>
      </c>
      <c r="Y31" s="32">
        <v>30.65</v>
      </c>
      <c r="Z31" s="32">
        <v>26.9</v>
      </c>
      <c r="AA31" s="32">
        <v>22.8</v>
      </c>
      <c r="AB31" s="32">
        <v>16.399999999999999</v>
      </c>
      <c r="AC31" s="32">
        <v>17.75</v>
      </c>
      <c r="AD31" s="32">
        <v>20.7</v>
      </c>
    </row>
    <row r="32" spans="1:30" x14ac:dyDescent="0.25">
      <c r="A32" s="33" t="s">
        <v>27</v>
      </c>
      <c r="B32" s="28">
        <v>0.16972477064220182</v>
      </c>
      <c r="C32" s="28">
        <v>-5.8823529411764719E-2</v>
      </c>
      <c r="D32" s="28">
        <v>-8.7500000000000022E-2</v>
      </c>
      <c r="E32" s="28">
        <v>-9.5397111403247026E-2</v>
      </c>
      <c r="F32" s="28">
        <v>-2.4704065877509063E-2</v>
      </c>
      <c r="G32" s="28">
        <v>2.9023746701847042E-2</v>
      </c>
      <c r="H32" s="28">
        <v>0.10846153846153839</v>
      </c>
      <c r="I32" s="28">
        <v>-2.8452463566967401E-2</v>
      </c>
      <c r="J32" s="28">
        <v>-5.4761904761904789E-2</v>
      </c>
      <c r="K32" s="28">
        <v>-4.2821158690176331E-2</v>
      </c>
      <c r="L32" s="28">
        <v>3.1578947368421151E-2</v>
      </c>
      <c r="M32" s="29"/>
      <c r="N32" s="28">
        <v>7.1428571428571397E-2</v>
      </c>
      <c r="O32" s="30" t="s">
        <v>27</v>
      </c>
      <c r="P32" s="31"/>
      <c r="Q32" s="28">
        <v>-1.7817740310673624E-2</v>
      </c>
      <c r="S32" s="32">
        <v>213.80960400000001</v>
      </c>
      <c r="T32" s="32">
        <v>250.09838999999999</v>
      </c>
      <c r="U32" s="32">
        <v>235.38672</v>
      </c>
      <c r="V32" s="32">
        <v>214.79038199999999</v>
      </c>
      <c r="W32" s="32">
        <v>194.3</v>
      </c>
      <c r="X32" s="32">
        <v>189.5</v>
      </c>
      <c r="Y32" s="32">
        <v>195</v>
      </c>
      <c r="Z32" s="32">
        <v>216.15</v>
      </c>
      <c r="AA32" s="32">
        <v>210</v>
      </c>
      <c r="AB32" s="32">
        <v>198.5</v>
      </c>
      <c r="AC32" s="32">
        <v>190</v>
      </c>
      <c r="AD32" s="32">
        <v>196</v>
      </c>
    </row>
    <row r="33" spans="1:30" x14ac:dyDescent="0.25">
      <c r="A33" s="33" t="s">
        <v>28</v>
      </c>
      <c r="B33" s="28">
        <v>-9.0249798549556726E-2</v>
      </c>
      <c r="C33" s="28">
        <v>0.28343666961913194</v>
      </c>
      <c r="D33" s="28">
        <v>-0.11663216011042099</v>
      </c>
      <c r="E33" s="28">
        <v>0.21875</v>
      </c>
      <c r="F33" s="28">
        <v>3.2051282051282159E-2</v>
      </c>
      <c r="G33" s="28">
        <v>0.16521739130434776</v>
      </c>
      <c r="H33" s="28">
        <v>-6.6098081023454158E-2</v>
      </c>
      <c r="I33" s="28">
        <v>0.10730593607305949</v>
      </c>
      <c r="J33" s="28">
        <v>-9.2783505154639179E-2</v>
      </c>
      <c r="K33" s="28">
        <v>1.647727272727284E-2</v>
      </c>
      <c r="L33" s="28">
        <v>0.10899944102850756</v>
      </c>
      <c r="M33" s="29"/>
      <c r="N33" s="28">
        <v>6.754032258064524E-2</v>
      </c>
      <c r="O33" s="30" t="s">
        <v>28</v>
      </c>
      <c r="P33" s="31"/>
      <c r="Q33" s="28">
        <v>0.70668815471394075</v>
      </c>
      <c r="S33" s="32">
        <v>62.05</v>
      </c>
      <c r="T33" s="32">
        <v>56.45</v>
      </c>
      <c r="U33" s="32">
        <v>72.45</v>
      </c>
      <c r="V33" s="32">
        <v>64</v>
      </c>
      <c r="W33" s="32">
        <v>78</v>
      </c>
      <c r="X33" s="32">
        <v>80.5</v>
      </c>
      <c r="Y33" s="32">
        <v>93.8</v>
      </c>
      <c r="Z33" s="32">
        <v>87.6</v>
      </c>
      <c r="AA33" s="32">
        <v>97</v>
      </c>
      <c r="AB33" s="32">
        <v>88</v>
      </c>
      <c r="AC33" s="32">
        <v>89.45</v>
      </c>
      <c r="AD33" s="32">
        <v>99.2</v>
      </c>
    </row>
    <row r="34" spans="1:30" x14ac:dyDescent="0.25">
      <c r="A34" s="33" t="s">
        <v>29</v>
      </c>
      <c r="B34" s="28">
        <v>-0.23465703971119134</v>
      </c>
      <c r="C34" s="28">
        <v>0.179245283018868</v>
      </c>
      <c r="D34" s="28">
        <v>-0.12</v>
      </c>
      <c r="E34" s="28">
        <v>0.13636363636363624</v>
      </c>
      <c r="F34" s="28">
        <v>-5.9999999999999942E-2</v>
      </c>
      <c r="G34" s="28">
        <v>0.15319148936170213</v>
      </c>
      <c r="H34" s="28">
        <v>2.2140221402213944E-2</v>
      </c>
      <c r="I34" s="28">
        <v>-7.2202166064981976E-2</v>
      </c>
      <c r="J34" s="28">
        <v>-5.2594273600304886E-2</v>
      </c>
      <c r="K34" s="28">
        <v>0.16666666666666674</v>
      </c>
      <c r="L34" s="28">
        <v>0.22499999999999987</v>
      </c>
      <c r="M34" s="29"/>
      <c r="N34" s="28">
        <v>6.4139941690962265E-2</v>
      </c>
      <c r="O34" s="30" t="s">
        <v>29</v>
      </c>
      <c r="P34" s="31"/>
      <c r="Q34" s="28">
        <v>0.33681399165047221</v>
      </c>
      <c r="S34" s="32">
        <v>13.6518619</v>
      </c>
      <c r="T34" s="32">
        <v>10.4483564</v>
      </c>
      <c r="U34" s="32">
        <v>12.321175</v>
      </c>
      <c r="V34" s="32">
        <v>10.842634</v>
      </c>
      <c r="W34" s="32">
        <v>12.321175</v>
      </c>
      <c r="X34" s="32">
        <v>11.5819045</v>
      </c>
      <c r="Y34" s="32">
        <v>13.3561537</v>
      </c>
      <c r="Z34" s="32">
        <v>13.6518619</v>
      </c>
      <c r="AA34" s="32">
        <v>12.6661679</v>
      </c>
      <c r="AB34" s="32">
        <v>12</v>
      </c>
      <c r="AC34" s="32">
        <v>14</v>
      </c>
      <c r="AD34" s="32">
        <v>17.149999999999999</v>
      </c>
    </row>
    <row r="35" spans="1:30" x14ac:dyDescent="0.25">
      <c r="A35" s="33" t="s">
        <v>30</v>
      </c>
      <c r="B35" s="28">
        <v>6.4516129032258007E-2</v>
      </c>
      <c r="C35" s="28">
        <v>0.14015151515151536</v>
      </c>
      <c r="D35" s="28">
        <v>-0.16279069767441867</v>
      </c>
      <c r="E35" s="28">
        <v>1.1904761904761862E-2</v>
      </c>
      <c r="F35" s="28">
        <v>-4.3137254901960853E-2</v>
      </c>
      <c r="G35" s="28">
        <v>0.10245901639344268</v>
      </c>
      <c r="H35" s="28">
        <v>-3.7174721189591087E-2</v>
      </c>
      <c r="I35" s="28">
        <v>-5.791505791505791E-2</v>
      </c>
      <c r="J35" s="28">
        <v>-4.5081967213114638E-2</v>
      </c>
      <c r="K35" s="28">
        <v>-4.2918454935623185E-3</v>
      </c>
      <c r="L35" s="28">
        <v>4.31034482758621E-2</v>
      </c>
      <c r="M35" s="29"/>
      <c r="N35" s="28">
        <v>8.2644628099173501E-2</v>
      </c>
      <c r="O35" s="30" t="s">
        <v>30</v>
      </c>
      <c r="P35" s="31"/>
      <c r="Q35" s="28">
        <v>5.6451612903225756E-2</v>
      </c>
      <c r="S35" s="32">
        <v>12.4</v>
      </c>
      <c r="T35" s="32">
        <v>13.2</v>
      </c>
      <c r="U35" s="32">
        <v>15.05</v>
      </c>
      <c r="V35" s="32">
        <v>12.6</v>
      </c>
      <c r="W35" s="32">
        <v>12.75</v>
      </c>
      <c r="X35" s="32">
        <v>12.2</v>
      </c>
      <c r="Y35" s="32">
        <v>13.45</v>
      </c>
      <c r="Z35" s="32">
        <v>12.95</v>
      </c>
      <c r="AA35" s="32">
        <v>12.2</v>
      </c>
      <c r="AB35" s="32">
        <v>11.65</v>
      </c>
      <c r="AC35" s="32">
        <v>11.6</v>
      </c>
      <c r="AD35" s="32">
        <v>12.1</v>
      </c>
    </row>
    <row r="36" spans="1:30" x14ac:dyDescent="0.25">
      <c r="A36" s="33" t="s">
        <v>31</v>
      </c>
      <c r="B36" s="28">
        <v>-6.4000000000000057E-2</v>
      </c>
      <c r="C36" s="28">
        <v>8.5470085470085388E-2</v>
      </c>
      <c r="D36" s="28">
        <v>-0.15354330708661412</v>
      </c>
      <c r="E36" s="28">
        <v>-5.6976744186046591E-2</v>
      </c>
      <c r="F36" s="28">
        <v>-5.6720098643649797E-2</v>
      </c>
      <c r="G36" s="28">
        <v>0.1869281045751634</v>
      </c>
      <c r="H36" s="28">
        <v>-0.12334801762114544</v>
      </c>
      <c r="I36" s="28">
        <v>-0.13567839195979892</v>
      </c>
      <c r="J36" s="28">
        <v>-0.33284883720930236</v>
      </c>
      <c r="K36" s="28">
        <v>0.11546840958605675</v>
      </c>
      <c r="L36" s="28">
        <v>0.18359375</v>
      </c>
      <c r="M36" s="29"/>
      <c r="N36" s="28">
        <v>5.6105610561056007E-2</v>
      </c>
      <c r="O36" s="30" t="s">
        <v>31</v>
      </c>
      <c r="P36" s="31"/>
      <c r="Q36" s="28">
        <v>-0.3600000000000001</v>
      </c>
      <c r="S36" s="32">
        <v>50</v>
      </c>
      <c r="T36" s="32">
        <v>46.8</v>
      </c>
      <c r="U36" s="32">
        <v>50.8</v>
      </c>
      <c r="V36" s="32">
        <v>43</v>
      </c>
      <c r="W36" s="32">
        <v>40.549999999999997</v>
      </c>
      <c r="X36" s="32">
        <v>38.25</v>
      </c>
      <c r="Y36" s="32">
        <v>45.4</v>
      </c>
      <c r="Z36" s="32">
        <v>39.799999999999997</v>
      </c>
      <c r="AA36" s="32">
        <v>34.4</v>
      </c>
      <c r="AB36" s="32">
        <v>22.95</v>
      </c>
      <c r="AC36" s="32">
        <v>25.6</v>
      </c>
      <c r="AD36" s="32">
        <v>30.3</v>
      </c>
    </row>
    <row r="37" spans="1:30" x14ac:dyDescent="0.25">
      <c r="A37" s="33" t="s">
        <v>32</v>
      </c>
      <c r="B37" s="28">
        <v>0.1245136186770428</v>
      </c>
      <c r="C37" s="28">
        <v>0.16782006920415204</v>
      </c>
      <c r="D37" s="28">
        <v>-0.28814814814814815</v>
      </c>
      <c r="E37" s="28">
        <v>0.10880207627002014</v>
      </c>
      <c r="F37" s="28">
        <v>-4.757185332011904E-2</v>
      </c>
      <c r="G37" s="28">
        <v>0.15504682622268473</v>
      </c>
      <c r="H37" s="28">
        <v>-5.1351351351351382E-2</v>
      </c>
      <c r="I37" s="28">
        <v>-6.9325735992402659E-2</v>
      </c>
      <c r="J37" s="28">
        <v>-0.15510204081632661</v>
      </c>
      <c r="K37" s="28">
        <v>1.6908212560386549E-2</v>
      </c>
      <c r="L37" s="28">
        <v>-1.5439429928741033E-2</v>
      </c>
      <c r="M37" s="29"/>
      <c r="N37" s="28">
        <v>4.4632086851628339E-2</v>
      </c>
      <c r="O37" s="30" t="s">
        <v>32</v>
      </c>
      <c r="P37" s="31"/>
      <c r="Q37" s="28">
        <v>-0.11036670285919603</v>
      </c>
      <c r="S37" s="32">
        <v>48.6717394</v>
      </c>
      <c r="T37" s="32">
        <v>54.732033800000004</v>
      </c>
      <c r="U37" s="32">
        <v>63.917167499999998</v>
      </c>
      <c r="V37" s="32">
        <v>45.49955405</v>
      </c>
      <c r="W37" s="32">
        <v>50.45</v>
      </c>
      <c r="X37" s="32">
        <v>48.05</v>
      </c>
      <c r="Y37" s="32">
        <v>55.5</v>
      </c>
      <c r="Z37" s="32">
        <v>52.65</v>
      </c>
      <c r="AA37" s="32">
        <v>49</v>
      </c>
      <c r="AB37" s="32">
        <v>41.4</v>
      </c>
      <c r="AC37" s="32">
        <v>42.1</v>
      </c>
      <c r="AD37" s="32">
        <v>41.45</v>
      </c>
    </row>
    <row r="38" spans="1:30" x14ac:dyDescent="0.25">
      <c r="A38" s="33" t="s">
        <v>33</v>
      </c>
      <c r="B38" s="28">
        <v>0.27838598686253557</v>
      </c>
      <c r="C38" s="28">
        <v>0.21874235380371254</v>
      </c>
      <c r="D38" s="28">
        <v>0.16803854647579586</v>
      </c>
      <c r="E38" s="28">
        <v>-7.2929222359169543E-2</v>
      </c>
      <c r="F38" s="28">
        <v>-6.8971544207352187E-2</v>
      </c>
      <c r="G38" s="28">
        <v>0.2094932906068494</v>
      </c>
      <c r="H38" s="28">
        <v>2.4672959099188541E-2</v>
      </c>
      <c r="I38" s="28">
        <v>0.11958629605688431</v>
      </c>
      <c r="J38" s="28">
        <v>-2.4826789838337193E-2</v>
      </c>
      <c r="K38" s="28">
        <v>-3.8253474440997359E-2</v>
      </c>
      <c r="L38" s="28">
        <v>2.1621621621621623E-2</v>
      </c>
      <c r="M38" s="29"/>
      <c r="N38" s="28">
        <v>3.3106575963718798E-2</v>
      </c>
      <c r="O38" s="30" t="s">
        <v>33</v>
      </c>
      <c r="P38" s="31"/>
      <c r="Q38" s="28">
        <v>1.1574007726333226</v>
      </c>
      <c r="S38" s="32">
        <v>158.385036445</v>
      </c>
      <c r="T38" s="32">
        <v>202.47721111999999</v>
      </c>
      <c r="U38" s="32">
        <v>246.76755287200001</v>
      </c>
      <c r="V38" s="32">
        <v>288.234013774</v>
      </c>
      <c r="W38" s="32">
        <v>267.21333129200002</v>
      </c>
      <c r="X38" s="32">
        <v>248.7832152</v>
      </c>
      <c r="Y38" s="32">
        <v>300.90162959999998</v>
      </c>
      <c r="Z38" s="32">
        <v>308.32576319999998</v>
      </c>
      <c r="AA38" s="32">
        <v>345.19729919999997</v>
      </c>
      <c r="AB38" s="32">
        <v>336.62715839999998</v>
      </c>
      <c r="AC38" s="32">
        <v>323.75</v>
      </c>
      <c r="AD38" s="32">
        <v>330.75</v>
      </c>
    </row>
    <row r="39" spans="1:30" x14ac:dyDescent="0.25">
      <c r="A39" s="33" t="s">
        <v>34</v>
      </c>
      <c r="B39" s="28">
        <v>8.2114500414626868E-2</v>
      </c>
      <c r="C39" s="28">
        <v>8.8375053545631577E-2</v>
      </c>
      <c r="D39" s="28">
        <v>3.5256094932929027E-2</v>
      </c>
      <c r="E39" s="28">
        <v>2.2986393057836452E-2</v>
      </c>
      <c r="F39" s="28">
        <v>-1.0326086956521818E-2</v>
      </c>
      <c r="G39" s="28">
        <v>3.2399780340472306E-2</v>
      </c>
      <c r="H39" s="28">
        <v>-4.2553191489361653E-2</v>
      </c>
      <c r="I39" s="28">
        <v>-0.11111111111111116</v>
      </c>
      <c r="J39" s="28">
        <v>-6.8749999999999978E-2</v>
      </c>
      <c r="K39" s="28">
        <v>-6.0402684563758413E-2</v>
      </c>
      <c r="L39" s="28">
        <v>7.1428571428571397E-2</v>
      </c>
      <c r="M39" s="29"/>
      <c r="N39" s="28">
        <v>3.3333333333333437E-2</v>
      </c>
      <c r="O39" s="30" t="s">
        <v>34</v>
      </c>
      <c r="P39" s="31"/>
      <c r="Q39" s="28">
        <v>5.0711108492090373E-2</v>
      </c>
      <c r="S39" s="32">
        <v>36.879785210999998</v>
      </c>
      <c r="T39" s="32">
        <v>39.908150349000003</v>
      </c>
      <c r="U39" s="32">
        <v>43.435035272999997</v>
      </c>
      <c r="V39" s="32">
        <v>44.966385000000002</v>
      </c>
      <c r="W39" s="32">
        <v>46</v>
      </c>
      <c r="X39" s="32">
        <v>45.524999999999999</v>
      </c>
      <c r="Y39" s="32">
        <v>47</v>
      </c>
      <c r="Z39" s="32">
        <v>45</v>
      </c>
      <c r="AA39" s="32">
        <v>40</v>
      </c>
      <c r="AB39" s="32">
        <v>37.25</v>
      </c>
      <c r="AC39" s="32">
        <v>35</v>
      </c>
      <c r="AD39" s="32">
        <v>37.5</v>
      </c>
    </row>
    <row r="40" spans="1:30" x14ac:dyDescent="0.25">
      <c r="A40" s="33" t="s">
        <v>35</v>
      </c>
      <c r="B40" s="28">
        <v>0.2703583061889252</v>
      </c>
      <c r="C40" s="28">
        <v>0.14871794871794863</v>
      </c>
      <c r="D40" s="28">
        <v>-0.32812499999999989</v>
      </c>
      <c r="E40" s="28">
        <v>0.13289036544850497</v>
      </c>
      <c r="F40" s="28">
        <v>-4.3988269794721369E-2</v>
      </c>
      <c r="G40" s="28">
        <v>0.1042944785276072</v>
      </c>
      <c r="H40" s="28">
        <v>-1.388888888888884E-2</v>
      </c>
      <c r="I40" s="28">
        <v>4.2253521126760507E-2</v>
      </c>
      <c r="J40" s="28">
        <v>0.16216216216216206</v>
      </c>
      <c r="K40" s="28">
        <v>-0.21395348837209305</v>
      </c>
      <c r="L40" s="28">
        <v>-4.7337278106508673E-2</v>
      </c>
      <c r="M40" s="29"/>
      <c r="N40" s="28">
        <v>-3.1055900621118626E-3</v>
      </c>
      <c r="O40" s="30" t="s">
        <v>35</v>
      </c>
      <c r="P40" s="31"/>
      <c r="Q40" s="28">
        <v>4.5602605863192203E-2</v>
      </c>
      <c r="S40" s="32">
        <v>15.35</v>
      </c>
      <c r="T40" s="32">
        <v>19.5</v>
      </c>
      <c r="U40" s="32">
        <v>22.4</v>
      </c>
      <c r="V40" s="32">
        <v>15.05</v>
      </c>
      <c r="W40" s="32">
        <v>17.05</v>
      </c>
      <c r="X40" s="32">
        <v>16.3</v>
      </c>
      <c r="Y40" s="32">
        <v>18</v>
      </c>
      <c r="Z40" s="32">
        <v>17.75</v>
      </c>
      <c r="AA40" s="32">
        <v>18.5</v>
      </c>
      <c r="AB40" s="32">
        <v>21.5</v>
      </c>
      <c r="AC40" s="32">
        <v>16.899999999999999</v>
      </c>
      <c r="AD40" s="32">
        <v>16.100000000000001</v>
      </c>
    </row>
    <row r="41" spans="1:30" x14ac:dyDescent="0.25">
      <c r="A41" s="33" t="s">
        <v>36</v>
      </c>
      <c r="B41" s="28">
        <v>-0.13385826771653542</v>
      </c>
      <c r="C41" s="28">
        <v>0.45454545454545481</v>
      </c>
      <c r="D41" s="28">
        <v>-0.17500000000000016</v>
      </c>
      <c r="E41" s="28">
        <v>0.13560606060606073</v>
      </c>
      <c r="F41" s="28">
        <v>-6.1040693795863965E-2</v>
      </c>
      <c r="G41" s="28">
        <v>0.19360568383658983</v>
      </c>
      <c r="H41" s="28">
        <v>-0.13988095238095244</v>
      </c>
      <c r="I41" s="28">
        <v>-4.5328719723183197E-2</v>
      </c>
      <c r="J41" s="28">
        <v>-0.13374411018484966</v>
      </c>
      <c r="K41" s="28">
        <v>0.16027384933717936</v>
      </c>
      <c r="L41" s="28">
        <v>0.20513775130305278</v>
      </c>
      <c r="M41" s="29"/>
      <c r="N41" s="28">
        <v>1.2357120790855713E-2</v>
      </c>
      <c r="O41" s="30" t="s">
        <v>36</v>
      </c>
      <c r="P41" s="31"/>
      <c r="Q41" s="28">
        <v>0.33197207981664434</v>
      </c>
      <c r="S41" s="32">
        <v>123.01308899999999</v>
      </c>
      <c r="T41" s="32">
        <v>106.54677</v>
      </c>
      <c r="U41" s="32">
        <v>154.97712000000001</v>
      </c>
      <c r="V41" s="32">
        <v>127.85612399999999</v>
      </c>
      <c r="W41" s="32">
        <v>145.19418930000001</v>
      </c>
      <c r="X41" s="32">
        <v>136.33143525</v>
      </c>
      <c r="Y41" s="32">
        <v>162.725976</v>
      </c>
      <c r="Z41" s="32">
        <v>139.96371149999999</v>
      </c>
      <c r="AA41" s="32">
        <v>133.61933565000001</v>
      </c>
      <c r="AB41" s="32">
        <v>115.7485365</v>
      </c>
      <c r="AC41" s="32">
        <v>134.30000000000001</v>
      </c>
      <c r="AD41" s="32">
        <v>161.85</v>
      </c>
    </row>
    <row r="42" spans="1:30" x14ac:dyDescent="0.25">
      <c r="A42" s="33" t="s">
        <v>37</v>
      </c>
      <c r="B42" s="28">
        <v>0.1829924650161463</v>
      </c>
      <c r="C42" s="28">
        <v>4.9135577797998264E-2</v>
      </c>
      <c r="D42" s="28">
        <v>-0.27146574154379877</v>
      </c>
      <c r="E42" s="28">
        <v>8.7643019469852756E-2</v>
      </c>
      <c r="F42" s="28">
        <v>2.5114155251141579E-2</v>
      </c>
      <c r="G42" s="28">
        <v>0.11358574610244987</v>
      </c>
      <c r="H42" s="28">
        <v>-3.5000000000000031E-2</v>
      </c>
      <c r="I42" s="28">
        <v>5.5958549222798082E-2</v>
      </c>
      <c r="J42" s="28">
        <v>-0.126594700686948</v>
      </c>
      <c r="K42" s="28">
        <v>4.4943820224718767E-3</v>
      </c>
      <c r="L42" s="28">
        <v>3.3557046979866278E-3</v>
      </c>
      <c r="M42" s="29"/>
      <c r="N42" s="28">
        <v>3.4559643255295258E-2</v>
      </c>
      <c r="O42" s="30" t="s">
        <v>37</v>
      </c>
      <c r="P42" s="31"/>
      <c r="Q42" s="28">
        <v>4.1822707355997135E-2</v>
      </c>
      <c r="S42" s="32">
        <v>44.537328350000003</v>
      </c>
      <c r="T42" s="32">
        <v>52.687323849999999</v>
      </c>
      <c r="U42" s="32">
        <v>55.27614595</v>
      </c>
      <c r="V42" s="32">
        <v>40.270566000000002</v>
      </c>
      <c r="W42" s="32">
        <v>43.8</v>
      </c>
      <c r="X42" s="32">
        <v>44.9</v>
      </c>
      <c r="Y42" s="32">
        <v>50</v>
      </c>
      <c r="Z42" s="32">
        <v>48.25</v>
      </c>
      <c r="AA42" s="32">
        <v>50.95</v>
      </c>
      <c r="AB42" s="32">
        <v>44.5</v>
      </c>
      <c r="AC42" s="32">
        <v>44.7</v>
      </c>
      <c r="AD42" s="32">
        <v>44.85</v>
      </c>
    </row>
    <row r="43" spans="1:30" x14ac:dyDescent="0.25">
      <c r="A43" s="33" t="s">
        <v>38</v>
      </c>
      <c r="B43" s="28">
        <v>-0.1655614302286107</v>
      </c>
      <c r="C43" s="28">
        <v>0.28243243243243255</v>
      </c>
      <c r="D43" s="28">
        <v>-0.20021074815595363</v>
      </c>
      <c r="E43" s="28">
        <v>-0.10408432147562585</v>
      </c>
      <c r="F43" s="28">
        <v>-0.10735294117647054</v>
      </c>
      <c r="G43" s="28">
        <v>0.21911037891268537</v>
      </c>
      <c r="H43" s="28">
        <v>-0.12432432432432439</v>
      </c>
      <c r="I43" s="28">
        <v>-0.1728395061728395</v>
      </c>
      <c r="J43" s="28">
        <v>-0.25373134328358216</v>
      </c>
      <c r="K43" s="28">
        <v>0.11999999999999988</v>
      </c>
      <c r="L43" s="28">
        <v>0.29910714285714302</v>
      </c>
      <c r="M43" s="29"/>
      <c r="N43" s="28">
        <v>6.5292096219931262E-2</v>
      </c>
      <c r="O43" s="30" t="s">
        <v>38</v>
      </c>
      <c r="P43" s="31"/>
      <c r="Q43" s="28">
        <v>-0.30087579289424138</v>
      </c>
      <c r="S43" s="32">
        <v>44.341191000000002</v>
      </c>
      <c r="T43" s="32">
        <v>37</v>
      </c>
      <c r="U43" s="32">
        <v>47.45</v>
      </c>
      <c r="V43" s="32">
        <v>37.950000000000003</v>
      </c>
      <c r="W43" s="32">
        <v>34</v>
      </c>
      <c r="X43" s="32">
        <v>30.35</v>
      </c>
      <c r="Y43" s="32">
        <v>37</v>
      </c>
      <c r="Z43" s="32">
        <v>32.4</v>
      </c>
      <c r="AA43" s="32">
        <v>26.8</v>
      </c>
      <c r="AB43" s="32">
        <v>20</v>
      </c>
      <c r="AC43" s="32">
        <v>22.4</v>
      </c>
      <c r="AD43" s="32">
        <v>29.1</v>
      </c>
    </row>
    <row r="44" spans="1:30" x14ac:dyDescent="0.25">
      <c r="A44" s="33" t="s">
        <v>39</v>
      </c>
      <c r="B44" s="28">
        <v>0</v>
      </c>
      <c r="C44" s="28">
        <v>0.19892473118279574</v>
      </c>
      <c r="D44" s="28">
        <v>4.4843049327352169E-3</v>
      </c>
      <c r="E44" s="28">
        <v>3.5714285714285809E-2</v>
      </c>
      <c r="F44" s="28">
        <v>0.10775862068965525</v>
      </c>
      <c r="G44" s="28">
        <v>3.8910505836575737E-3</v>
      </c>
      <c r="H44" s="28">
        <v>-3.8759689922480689E-2</v>
      </c>
      <c r="I44" s="28">
        <v>0</v>
      </c>
      <c r="J44" s="28">
        <v>-3.6290322580645129E-2</v>
      </c>
      <c r="K44" s="28">
        <v>0</v>
      </c>
      <c r="L44" s="28">
        <v>2.4310782993448354E-2</v>
      </c>
      <c r="M44" s="29"/>
      <c r="N44" s="28">
        <v>2.0833333333333259E-2</v>
      </c>
      <c r="O44" s="30" t="s">
        <v>39</v>
      </c>
      <c r="P44" s="31"/>
      <c r="Q44" s="28">
        <v>0.34360479162592639</v>
      </c>
      <c r="S44" s="32">
        <v>9.1172643000000004</v>
      </c>
      <c r="T44" s="32">
        <v>9.1172643000000004</v>
      </c>
      <c r="U44" s="32">
        <v>10.930913650000001</v>
      </c>
      <c r="V44" s="32">
        <v>10.979931199999999</v>
      </c>
      <c r="W44" s="32">
        <v>11.3720716</v>
      </c>
      <c r="X44" s="32">
        <v>12.59751035</v>
      </c>
      <c r="Y44" s="32">
        <v>12.646527900000001</v>
      </c>
      <c r="Z44" s="32">
        <v>12.156352399999999</v>
      </c>
      <c r="AA44" s="32">
        <v>12.156352399999999</v>
      </c>
      <c r="AB44" s="32">
        <v>11.71519445</v>
      </c>
      <c r="AC44" s="32">
        <v>11.71519445</v>
      </c>
      <c r="AD44" s="32">
        <v>12</v>
      </c>
    </row>
    <row r="45" spans="1:30" x14ac:dyDescent="0.25">
      <c r="A45" s="33" t="s">
        <v>40</v>
      </c>
      <c r="B45" s="28">
        <v>-0.14350636503244829</v>
      </c>
      <c r="C45" s="28">
        <v>1.9900000000000002</v>
      </c>
      <c r="D45" s="28">
        <v>-0.35785953177257535</v>
      </c>
      <c r="E45" s="28">
        <v>-7.291666666666663E-2</v>
      </c>
      <c r="F45" s="28">
        <v>-0.1292134831460674</v>
      </c>
      <c r="G45" s="28">
        <v>-1.9354838709677469E-2</v>
      </c>
      <c r="H45" s="28">
        <v>8.5526315789473673E-2</v>
      </c>
      <c r="I45" s="28">
        <v>-0.16969696969696957</v>
      </c>
      <c r="J45" s="28">
        <v>1.4598540145985162E-2</v>
      </c>
      <c r="K45" s="28">
        <v>7.9136690647482189E-2</v>
      </c>
      <c r="L45" s="28">
        <v>0.19333333333333336</v>
      </c>
      <c r="M45" s="29"/>
      <c r="N45" s="28">
        <v>5.5865921787709993E-3</v>
      </c>
      <c r="O45" s="30" t="s">
        <v>40</v>
      </c>
      <c r="P45" s="31"/>
      <c r="Q45" s="28">
        <v>0.54168854294159341</v>
      </c>
      <c r="S45" s="32">
        <v>1.167551</v>
      </c>
      <c r="T45" s="32">
        <v>1</v>
      </c>
      <c r="U45" s="32">
        <v>2.99</v>
      </c>
      <c r="V45" s="32">
        <v>1.92</v>
      </c>
      <c r="W45" s="32">
        <v>1.78</v>
      </c>
      <c r="X45" s="32">
        <v>1.55</v>
      </c>
      <c r="Y45" s="32">
        <v>1.52</v>
      </c>
      <c r="Z45" s="32">
        <v>1.65</v>
      </c>
      <c r="AA45" s="32">
        <v>1.37</v>
      </c>
      <c r="AB45" s="32">
        <v>1.39</v>
      </c>
      <c r="AC45" s="32">
        <v>1.5</v>
      </c>
      <c r="AD45" s="32">
        <v>1.79</v>
      </c>
    </row>
    <row r="46" spans="1:30" x14ac:dyDescent="0.25">
      <c r="A46" s="33" t="s">
        <v>41</v>
      </c>
      <c r="B46" s="28">
        <v>-4.7945205479451913E-2</v>
      </c>
      <c r="C46" s="28">
        <v>0.18705035971223016</v>
      </c>
      <c r="D46" s="28">
        <v>-0.19696969696969702</v>
      </c>
      <c r="E46" s="28">
        <v>3.7735849056603765E-3</v>
      </c>
      <c r="F46" s="28">
        <v>-9.7744360902255578E-2</v>
      </c>
      <c r="G46" s="28">
        <v>5.4166666666666696E-2</v>
      </c>
      <c r="H46" s="28">
        <v>2.3715415019762709E-2</v>
      </c>
      <c r="I46" s="28">
        <v>-5.4054054054054057E-2</v>
      </c>
      <c r="J46" s="28">
        <v>7.7551020408163307E-2</v>
      </c>
      <c r="K46" s="28">
        <v>8.0808080808080662E-2</v>
      </c>
      <c r="L46" s="28">
        <v>7.4766355140186924E-2</v>
      </c>
      <c r="M46" s="29"/>
      <c r="N46" s="28">
        <v>-8.6956521739129933E-3</v>
      </c>
      <c r="O46" s="30" t="s">
        <v>41</v>
      </c>
      <c r="P46" s="31"/>
      <c r="Q46" s="28">
        <v>4.1095890410959068E-2</v>
      </c>
      <c r="S46" s="32">
        <v>10.95</v>
      </c>
      <c r="T46" s="32">
        <v>10.425000000000001</v>
      </c>
      <c r="U46" s="32">
        <v>12.375</v>
      </c>
      <c r="V46" s="32">
        <v>9.9375</v>
      </c>
      <c r="W46" s="32">
        <v>9.9749999999999996</v>
      </c>
      <c r="X46" s="32">
        <v>9</v>
      </c>
      <c r="Y46" s="32">
        <v>9.4875000000000007</v>
      </c>
      <c r="Z46" s="32">
        <v>9.7125000000000004</v>
      </c>
      <c r="AA46" s="32">
        <v>9.1875</v>
      </c>
      <c r="AB46" s="32">
        <v>9.9</v>
      </c>
      <c r="AC46" s="32">
        <v>10.7</v>
      </c>
      <c r="AD46" s="32">
        <v>11.5</v>
      </c>
    </row>
    <row r="47" spans="1:30" x14ac:dyDescent="0.25">
      <c r="A47" s="33" t="s">
        <v>42</v>
      </c>
      <c r="B47" s="28">
        <v>-0.12389492296075921</v>
      </c>
      <c r="C47" s="28">
        <v>6.8473403487811169E-2</v>
      </c>
      <c r="D47" s="28">
        <v>-0.14577225327907051</v>
      </c>
      <c r="E47" s="28">
        <v>-3.0379746834817256E-2</v>
      </c>
      <c r="F47" s="28">
        <v>0.16024804177715968</v>
      </c>
      <c r="G47" s="28">
        <v>8.1575246131411872E-2</v>
      </c>
      <c r="H47" s="28">
        <v>-3.3810143043146668E-2</v>
      </c>
      <c r="I47" s="28">
        <v>-0.16150740242314443</v>
      </c>
      <c r="J47" s="28">
        <v>-3.3707865168430939E-2</v>
      </c>
      <c r="K47" s="28">
        <v>2.0451944404147104E-2</v>
      </c>
      <c r="L47" s="28">
        <v>0.11780038783582691</v>
      </c>
      <c r="M47" s="29"/>
      <c r="N47" s="28">
        <v>2.8174894328778288E-2</v>
      </c>
      <c r="O47" s="30" t="s">
        <v>42</v>
      </c>
      <c r="P47" s="31"/>
      <c r="Q47" s="28">
        <v>-0.10670108023714231</v>
      </c>
      <c r="S47" s="32">
        <v>394.60475346099997</v>
      </c>
      <c r="T47" s="32">
        <v>345.71522793100002</v>
      </c>
      <c r="U47" s="32">
        <v>369.38752622499999</v>
      </c>
      <c r="V47" s="32">
        <v>315.54107419399998</v>
      </c>
      <c r="W47" s="32">
        <v>305.95501624399998</v>
      </c>
      <c r="X47" s="32">
        <v>354.98370846900002</v>
      </c>
      <c r="Y47" s="32">
        <v>383.94159186000002</v>
      </c>
      <c r="Z47" s="32">
        <v>370.960471719</v>
      </c>
      <c r="AA47" s="32">
        <v>311.04760952999999</v>
      </c>
      <c r="AB47" s="32">
        <v>300.56285864699998</v>
      </c>
      <c r="AC47" s="32">
        <v>306.70995352199998</v>
      </c>
      <c r="AD47" s="32">
        <v>342.84050500000001</v>
      </c>
    </row>
    <row r="48" spans="1:30" x14ac:dyDescent="0.25">
      <c r="A48" s="33" t="s">
        <v>43</v>
      </c>
      <c r="B48" s="28">
        <v>-0.11601642710472271</v>
      </c>
      <c r="C48" s="28">
        <v>0.22706155632984903</v>
      </c>
      <c r="D48" s="28">
        <v>-0.21202082347373408</v>
      </c>
      <c r="E48" s="28">
        <v>0.22402402402402388</v>
      </c>
      <c r="F48" s="28">
        <v>1.3738959764475034E-2</v>
      </c>
      <c r="G48" s="28">
        <v>0.31026137463697978</v>
      </c>
      <c r="H48" s="28">
        <v>-0.10749907646841528</v>
      </c>
      <c r="I48" s="28">
        <v>-8.3609271523178763E-2</v>
      </c>
      <c r="J48" s="28">
        <v>-0.12420957542908773</v>
      </c>
      <c r="K48" s="28">
        <v>0.19846152376187876</v>
      </c>
      <c r="L48" s="28">
        <v>0.32170880557977322</v>
      </c>
      <c r="M48" s="29"/>
      <c r="N48" s="28">
        <v>8.5751978891821512E-3</v>
      </c>
      <c r="O48" s="30" t="s">
        <v>43</v>
      </c>
      <c r="P48" s="31"/>
      <c r="Q48" s="28">
        <v>0.59021929889600333</v>
      </c>
      <c r="S48" s="32">
        <v>96.150260599999996</v>
      </c>
      <c r="T48" s="32">
        <v>84.995250900000002</v>
      </c>
      <c r="U48" s="32">
        <v>104.29440485000001</v>
      </c>
      <c r="V48" s="32">
        <v>82.181819250000004</v>
      </c>
      <c r="W48" s="32">
        <v>100.5925211</v>
      </c>
      <c r="X48" s="32">
        <v>101.97455770000001</v>
      </c>
      <c r="Y48" s="32">
        <v>133.61332415000001</v>
      </c>
      <c r="Z48" s="32">
        <v>119.25001520000001</v>
      </c>
      <c r="AA48" s="32">
        <v>109.27960830000001</v>
      </c>
      <c r="AB48" s="32">
        <v>95.706034549999998</v>
      </c>
      <c r="AC48" s="32">
        <v>114.7</v>
      </c>
      <c r="AD48" s="32">
        <v>151.6</v>
      </c>
    </row>
    <row r="49" spans="1:30" x14ac:dyDescent="0.25">
      <c r="A49" s="33" t="s">
        <v>44</v>
      </c>
      <c r="B49" s="28">
        <v>-5.084745764900811E-2</v>
      </c>
      <c r="C49" s="28">
        <v>4.7619047659543501E-2</v>
      </c>
      <c r="D49" s="28">
        <v>2.2727272664545772E-2</v>
      </c>
      <c r="E49" s="28">
        <v>4.4457445796832751E-3</v>
      </c>
      <c r="F49" s="28">
        <v>-4.49438202247191E-2</v>
      </c>
      <c r="G49" s="28">
        <v>4.705882352941182E-2</v>
      </c>
      <c r="H49" s="28">
        <v>5.6179775280898792E-2</v>
      </c>
      <c r="I49" s="28">
        <v>-4.233487376761591E-2</v>
      </c>
      <c r="J49" s="28">
        <v>-0.140625</v>
      </c>
      <c r="K49" s="28">
        <v>3.6363636363636376E-2</v>
      </c>
      <c r="L49" s="28">
        <v>1.754385964912264E-2</v>
      </c>
      <c r="M49" s="29"/>
      <c r="N49" s="28">
        <v>1.551724137931032E-2</v>
      </c>
      <c r="O49" s="30" t="s">
        <v>44</v>
      </c>
      <c r="P49" s="31"/>
      <c r="Q49" s="28">
        <v>-4.9148792477954895E-2</v>
      </c>
      <c r="S49" s="32">
        <v>6.194449724</v>
      </c>
      <c r="T49" s="32">
        <v>5.8794777040000001</v>
      </c>
      <c r="U49" s="32">
        <v>6.1594528329999996</v>
      </c>
      <c r="V49" s="32">
        <v>6.2994403969999997</v>
      </c>
      <c r="W49" s="32">
        <v>6.3274461000000004</v>
      </c>
      <c r="X49" s="32">
        <v>6.0430665000000001</v>
      </c>
      <c r="Y49" s="32">
        <v>6.3274461000000004</v>
      </c>
      <c r="Z49" s="32">
        <v>6.6829206000000001</v>
      </c>
      <c r="AA49" s="32">
        <v>6.4</v>
      </c>
      <c r="AB49" s="32">
        <v>5.5</v>
      </c>
      <c r="AC49" s="32">
        <v>5.7</v>
      </c>
      <c r="AD49" s="32">
        <v>5.8</v>
      </c>
    </row>
    <row r="50" spans="1:30" x14ac:dyDescent="0.25">
      <c r="A50" s="33" t="s">
        <v>45</v>
      </c>
      <c r="B50" s="28">
        <v>-6.7567567567567544E-2</v>
      </c>
      <c r="C50" s="28">
        <v>0.22101449275362328</v>
      </c>
      <c r="D50" s="28">
        <v>-7.4183976261127604E-2</v>
      </c>
      <c r="E50" s="28">
        <v>-4.8076923076923128E-2</v>
      </c>
      <c r="F50" s="28">
        <v>-0.11111111111111105</v>
      </c>
      <c r="G50" s="28">
        <v>0.14772727272727271</v>
      </c>
      <c r="H50" s="28">
        <v>-3.6303630363036299E-2</v>
      </c>
      <c r="I50" s="28">
        <v>6.8493150684931559E-2</v>
      </c>
      <c r="J50" s="28">
        <v>-0.2241017456138773</v>
      </c>
      <c r="K50" s="28">
        <v>6.9264069264069139E-2</v>
      </c>
      <c r="L50" s="28">
        <v>0.1174089068825912</v>
      </c>
      <c r="M50" s="29"/>
      <c r="N50" s="28">
        <v>0</v>
      </c>
      <c r="O50" s="30" t="s">
        <v>45</v>
      </c>
      <c r="P50" s="31"/>
      <c r="Q50" s="28">
        <v>-2.2842072047241424E-2</v>
      </c>
      <c r="S50" s="32">
        <v>14.1225892</v>
      </c>
      <c r="T50" s="32">
        <v>13.1683602</v>
      </c>
      <c r="U50" s="32">
        <v>16.078758650000001</v>
      </c>
      <c r="V50" s="32">
        <v>14.8859724</v>
      </c>
      <c r="W50" s="32">
        <v>14.17030065</v>
      </c>
      <c r="X50" s="32">
        <v>12.595822800000001</v>
      </c>
      <c r="Y50" s="32">
        <v>14.456569350000001</v>
      </c>
      <c r="Z50" s="32">
        <v>13.9317434</v>
      </c>
      <c r="AA50" s="32">
        <v>14.8859724</v>
      </c>
      <c r="AB50" s="32">
        <v>11.55</v>
      </c>
      <c r="AC50" s="32">
        <v>12.35</v>
      </c>
      <c r="AD50" s="32">
        <v>13.8</v>
      </c>
    </row>
    <row r="51" spans="1:30" x14ac:dyDescent="0.25">
      <c r="A51" s="33" t="s">
        <v>46</v>
      </c>
      <c r="B51" s="28">
        <v>-4.7356828193832579E-2</v>
      </c>
      <c r="C51" s="28">
        <v>0.17687861271676297</v>
      </c>
      <c r="D51" s="28">
        <v>-0.15520628683693516</v>
      </c>
      <c r="E51" s="28">
        <v>-2.3255813953488413E-2</v>
      </c>
      <c r="F51" s="28">
        <v>-0.11904761904761907</v>
      </c>
      <c r="G51" s="28">
        <v>0.17567567567567566</v>
      </c>
      <c r="H51" s="28">
        <v>-8.2758620689655227E-2</v>
      </c>
      <c r="I51" s="28">
        <v>-2.2556390977443552E-2</v>
      </c>
      <c r="J51" s="28">
        <v>-6.7948717948717929E-2</v>
      </c>
      <c r="K51" s="28">
        <v>0.27372764786795045</v>
      </c>
      <c r="L51" s="28">
        <v>-4.643628509719222E-2</v>
      </c>
      <c r="M51" s="29"/>
      <c r="N51" s="28">
        <v>-1.3590033975084959E-2</v>
      </c>
      <c r="O51" s="30" t="s">
        <v>46</v>
      </c>
      <c r="P51" s="31"/>
      <c r="Q51" s="28">
        <v>-4.0748898678414247E-2</v>
      </c>
      <c r="S51" s="32">
        <v>45.4</v>
      </c>
      <c r="T51" s="32">
        <v>43.25</v>
      </c>
      <c r="U51" s="32">
        <v>50.9</v>
      </c>
      <c r="V51" s="32">
        <v>43</v>
      </c>
      <c r="W51" s="32">
        <v>42</v>
      </c>
      <c r="X51" s="32">
        <v>37</v>
      </c>
      <c r="Y51" s="32">
        <v>43.5</v>
      </c>
      <c r="Z51" s="32">
        <v>39.9</v>
      </c>
      <c r="AA51" s="32">
        <v>39</v>
      </c>
      <c r="AB51" s="32">
        <v>36.35</v>
      </c>
      <c r="AC51" s="32">
        <v>46.3</v>
      </c>
      <c r="AD51" s="32">
        <v>44.15</v>
      </c>
    </row>
    <row r="52" spans="1:30" x14ac:dyDescent="0.25">
      <c r="A52" s="33" t="s">
        <v>47</v>
      </c>
      <c r="B52" s="28">
        <v>-0.22809457579972192</v>
      </c>
      <c r="C52" s="28">
        <v>0.25045045045045056</v>
      </c>
      <c r="D52" s="28">
        <v>-0.17146974063400577</v>
      </c>
      <c r="E52" s="28">
        <v>-0.10608695652173916</v>
      </c>
      <c r="F52" s="28">
        <v>-7.9766536964980372E-2</v>
      </c>
      <c r="G52" s="28">
        <v>2.5369978858350795E-2</v>
      </c>
      <c r="H52" s="28">
        <v>3.0927835051546504E-2</v>
      </c>
      <c r="I52" s="28">
        <v>-0.1359999999999999</v>
      </c>
      <c r="J52" s="28">
        <v>6.9444444444441977E-3</v>
      </c>
      <c r="K52" s="28">
        <v>-2.0689655172413723E-2</v>
      </c>
      <c r="L52" s="28">
        <v>2.1126760563380254E-2</v>
      </c>
      <c r="M52" s="29"/>
      <c r="N52" s="28">
        <v>-1.1494252873563204E-2</v>
      </c>
      <c r="O52" s="30" t="s">
        <v>47</v>
      </c>
      <c r="P52" s="31"/>
      <c r="Q52" s="28">
        <v>-0.40194714881780236</v>
      </c>
      <c r="S52" s="32">
        <v>7.19</v>
      </c>
      <c r="T52" s="32">
        <v>5.55</v>
      </c>
      <c r="U52" s="32">
        <v>6.94</v>
      </c>
      <c r="V52" s="32">
        <v>5.75</v>
      </c>
      <c r="W52" s="32">
        <v>5.14</v>
      </c>
      <c r="X52" s="32">
        <v>4.7300000000000004</v>
      </c>
      <c r="Y52" s="32">
        <v>4.8499999999999996</v>
      </c>
      <c r="Z52" s="32">
        <v>5</v>
      </c>
      <c r="AA52" s="32">
        <v>4.32</v>
      </c>
      <c r="AB52" s="32">
        <v>4.3499999999999996</v>
      </c>
      <c r="AC52" s="32">
        <v>4.26</v>
      </c>
      <c r="AD52" s="32">
        <v>4.3499999999999996</v>
      </c>
    </row>
    <row r="53" spans="1:30" x14ac:dyDescent="0.25">
      <c r="A53" s="33" t="s">
        <v>48</v>
      </c>
      <c r="B53" s="28">
        <v>-1.0989010989011061E-2</v>
      </c>
      <c r="C53" s="28">
        <v>-3.703703703703709E-2</v>
      </c>
      <c r="D53" s="28">
        <v>3.8461538461538547E-2</v>
      </c>
      <c r="E53" s="28">
        <v>-3.703703703703709E-2</v>
      </c>
      <c r="F53" s="28">
        <v>-6.9230769230769207E-2</v>
      </c>
      <c r="G53" s="28">
        <v>1.2396694214876103E-2</v>
      </c>
      <c r="H53" s="28">
        <v>-4.0816326530612734E-3</v>
      </c>
      <c r="I53" s="28">
        <v>-3.688524590163933E-2</v>
      </c>
      <c r="J53" s="28">
        <v>-6.3829787234042534E-2</v>
      </c>
      <c r="K53" s="28">
        <v>-4.5454545454545414E-2</v>
      </c>
      <c r="L53" s="28">
        <v>8.5714285714285854E-2</v>
      </c>
      <c r="M53" s="29"/>
      <c r="N53" s="28">
        <v>8.7719298245614308E-3</v>
      </c>
      <c r="O53" s="30" t="s">
        <v>48</v>
      </c>
      <c r="P53" s="31"/>
      <c r="Q53" s="28">
        <v>-0.15750915750915762</v>
      </c>
      <c r="S53" s="32">
        <v>27.3</v>
      </c>
      <c r="T53" s="32">
        <v>27</v>
      </c>
      <c r="U53" s="32">
        <v>26</v>
      </c>
      <c r="V53" s="32">
        <v>27</v>
      </c>
      <c r="W53" s="32">
        <v>26</v>
      </c>
      <c r="X53" s="32">
        <v>24.2</v>
      </c>
      <c r="Y53" s="32">
        <v>24.5</v>
      </c>
      <c r="Z53" s="32">
        <v>24.4</v>
      </c>
      <c r="AA53" s="32">
        <v>23.5</v>
      </c>
      <c r="AB53" s="32">
        <v>22</v>
      </c>
      <c r="AC53" s="32">
        <v>21</v>
      </c>
      <c r="AD53" s="32">
        <v>22.8</v>
      </c>
    </row>
    <row r="54" spans="1:30" x14ac:dyDescent="0.25">
      <c r="A54" s="33" t="s">
        <v>49</v>
      </c>
      <c r="B54" s="28">
        <v>9.7087378640776656E-3</v>
      </c>
      <c r="C54" s="28">
        <v>0.1134615384615385</v>
      </c>
      <c r="D54" s="28">
        <v>-0.29879101899827287</v>
      </c>
      <c r="E54" s="28">
        <v>-1.4778325123152691E-2</v>
      </c>
      <c r="F54" s="28">
        <v>-0.12749999999999995</v>
      </c>
      <c r="G54" s="28">
        <v>3.1753392756688426E-2</v>
      </c>
      <c r="H54" s="28">
        <v>4.2857142857142927E-2</v>
      </c>
      <c r="I54" s="28">
        <v>-6.8493150684931559E-2</v>
      </c>
      <c r="J54" s="28">
        <v>0</v>
      </c>
      <c r="K54" s="28">
        <v>0</v>
      </c>
      <c r="L54" s="28">
        <v>4.4117647058823595E-2</v>
      </c>
      <c r="M54" s="29"/>
      <c r="N54" s="28" t="s">
        <v>186</v>
      </c>
      <c r="O54" s="30" t="s">
        <v>49</v>
      </c>
      <c r="P54" s="31"/>
      <c r="Q54" s="28" t="s">
        <v>186</v>
      </c>
      <c r="S54" s="32">
        <v>5.0058051499999996</v>
      </c>
      <c r="T54" s="32">
        <v>5.0544051999999997</v>
      </c>
      <c r="U54" s="32">
        <v>5.6278857899999997</v>
      </c>
      <c r="V54" s="32">
        <v>3.9463240599999998</v>
      </c>
      <c r="W54" s="32">
        <v>3.888004</v>
      </c>
      <c r="X54" s="32">
        <v>3.3922834900000001</v>
      </c>
      <c r="Y54" s="32">
        <v>3.5</v>
      </c>
      <c r="Z54" s="32">
        <v>3.65</v>
      </c>
      <c r="AA54" s="32">
        <v>3.4</v>
      </c>
      <c r="AB54" s="32">
        <v>3.4</v>
      </c>
      <c r="AC54" s="32">
        <v>3.4</v>
      </c>
      <c r="AD54" s="32">
        <v>3.55</v>
      </c>
    </row>
    <row r="55" spans="1:30" x14ac:dyDescent="0.25">
      <c r="A55" s="33" t="s">
        <v>50</v>
      </c>
      <c r="B55" s="28">
        <v>0.23717567835214903</v>
      </c>
      <c r="C55" s="28">
        <v>0.11358360681981927</v>
      </c>
      <c r="D55" s="28">
        <v>-0.24166187464059807</v>
      </c>
      <c r="E55" s="28">
        <v>-0.11981042654028429</v>
      </c>
      <c r="F55" s="28">
        <v>-0.11565797975446912</v>
      </c>
      <c r="G55" s="28">
        <v>0.13395031660983925</v>
      </c>
      <c r="H55" s="28">
        <v>0.11941580756013748</v>
      </c>
      <c r="I55" s="28">
        <v>0.18016116653875658</v>
      </c>
      <c r="J55" s="28">
        <v>-1.6257519102591544E-4</v>
      </c>
      <c r="K55" s="28">
        <v>-0.14552845528455283</v>
      </c>
      <c r="L55" s="28">
        <v>6.1941008563273003E-2</v>
      </c>
      <c r="M55" s="29"/>
      <c r="N55" s="28">
        <v>-1.7561150434548756E-2</v>
      </c>
      <c r="O55" s="30" t="s">
        <v>50</v>
      </c>
      <c r="P55" s="31"/>
      <c r="Q55" s="28">
        <v>8.5858585858585856E-2</v>
      </c>
      <c r="S55" s="32">
        <v>504.9</v>
      </c>
      <c r="T55" s="32">
        <v>624.65</v>
      </c>
      <c r="U55" s="32">
        <v>695.6</v>
      </c>
      <c r="V55" s="32">
        <v>527.5</v>
      </c>
      <c r="W55" s="32">
        <v>464.3</v>
      </c>
      <c r="X55" s="32">
        <v>410.6</v>
      </c>
      <c r="Y55" s="32">
        <v>465.6</v>
      </c>
      <c r="Z55" s="32">
        <v>521.20000000000005</v>
      </c>
      <c r="AA55" s="32">
        <v>615.1</v>
      </c>
      <c r="AB55" s="32">
        <v>615</v>
      </c>
      <c r="AC55" s="32">
        <v>525.5</v>
      </c>
      <c r="AD55" s="32">
        <v>558.04999999999995</v>
      </c>
    </row>
    <row r="56" spans="1:30" x14ac:dyDescent="0.25">
      <c r="A56" s="33" t="s">
        <v>51</v>
      </c>
      <c r="B56" s="28">
        <v>-0.20244328104570308</v>
      </c>
      <c r="C56" s="28">
        <v>0.21444201312118749</v>
      </c>
      <c r="D56" s="28">
        <v>-0.12792792790377749</v>
      </c>
      <c r="E56" s="28">
        <v>-0.11157024797387294</v>
      </c>
      <c r="F56" s="28">
        <v>-5.348837194848477E-2</v>
      </c>
      <c r="G56" s="28">
        <v>5.4054054017462327E-2</v>
      </c>
      <c r="H56" s="28">
        <v>5.3070538067549577E-2</v>
      </c>
      <c r="I56" s="28">
        <v>-5.1569506726457326E-2</v>
      </c>
      <c r="J56" s="28">
        <v>-0.16406606010399749</v>
      </c>
      <c r="K56" s="28">
        <v>9.9999999999999867E-2</v>
      </c>
      <c r="L56" s="28">
        <v>0.41258741258741272</v>
      </c>
      <c r="M56" s="29"/>
      <c r="N56" s="28">
        <v>4.4554455445544594E-2</v>
      </c>
      <c r="O56" s="30" t="s">
        <v>51</v>
      </c>
      <c r="P56" s="31"/>
      <c r="Q56" s="28">
        <v>1.4557587016740259E-2</v>
      </c>
      <c r="S56" s="32">
        <v>4.1594484669999998</v>
      </c>
      <c r="T56" s="32">
        <v>3.3173960720000002</v>
      </c>
      <c r="U56" s="32">
        <v>4.0287851640000003</v>
      </c>
      <c r="V56" s="32">
        <v>3.5133910259999999</v>
      </c>
      <c r="W56" s="32">
        <v>3.1214011180000001</v>
      </c>
      <c r="X56" s="32">
        <v>2.9544424540000001</v>
      </c>
      <c r="Y56" s="32">
        <v>3.114142046</v>
      </c>
      <c r="Z56" s="32">
        <v>3.2794112399999999</v>
      </c>
      <c r="AA56" s="32">
        <v>3.1102936200000002</v>
      </c>
      <c r="AB56" s="32">
        <v>2.6</v>
      </c>
      <c r="AC56" s="32">
        <v>2.86</v>
      </c>
      <c r="AD56" s="32">
        <v>4.04</v>
      </c>
    </row>
    <row r="57" spans="1:30" x14ac:dyDescent="0.25">
      <c r="A57" s="33" t="s">
        <v>52</v>
      </c>
      <c r="B57" s="28">
        <v>2.560903416656557E-2</v>
      </c>
      <c r="C57" s="28">
        <v>3.2110091743119185E-2</v>
      </c>
      <c r="D57" s="28">
        <v>-0.11555555555555552</v>
      </c>
      <c r="E57" s="28">
        <v>-2.010050251256279E-2</v>
      </c>
      <c r="F57" s="28">
        <v>-4.1025641025640991E-2</v>
      </c>
      <c r="G57" s="28">
        <v>1.6042780748662944E-2</v>
      </c>
      <c r="H57" s="28">
        <v>-3.1578947368420929E-2</v>
      </c>
      <c r="I57" s="28">
        <v>-4.8913043478260865E-2</v>
      </c>
      <c r="J57" s="28">
        <v>-2.2857142857142909E-2</v>
      </c>
      <c r="K57" s="28">
        <v>0.50877192982456143</v>
      </c>
      <c r="L57" s="28">
        <v>0.193798449612403</v>
      </c>
      <c r="M57" s="29"/>
      <c r="N57" s="28">
        <v>1.9480519480519431E-2</v>
      </c>
      <c r="O57" s="30" t="s">
        <v>52</v>
      </c>
      <c r="P57" s="31"/>
      <c r="Q57" s="28">
        <v>0.4772533794876217</v>
      </c>
      <c r="S57" s="32">
        <v>2.1255663</v>
      </c>
      <c r="T57" s="32">
        <v>2.1800000000000002</v>
      </c>
      <c r="U57" s="32">
        <v>2.25</v>
      </c>
      <c r="V57" s="32">
        <v>1.99</v>
      </c>
      <c r="W57" s="32">
        <v>1.95</v>
      </c>
      <c r="X57" s="32">
        <v>1.87</v>
      </c>
      <c r="Y57" s="32">
        <v>1.9</v>
      </c>
      <c r="Z57" s="32">
        <v>1.84</v>
      </c>
      <c r="AA57" s="32">
        <v>1.75</v>
      </c>
      <c r="AB57" s="32">
        <v>1.71</v>
      </c>
      <c r="AC57" s="32">
        <v>2.58</v>
      </c>
      <c r="AD57" s="32">
        <v>3.08</v>
      </c>
    </row>
    <row r="58" spans="1:30" x14ac:dyDescent="0.25">
      <c r="A58" s="33" t="s">
        <v>53</v>
      </c>
      <c r="B58" s="28">
        <v>-0.21141479099678462</v>
      </c>
      <c r="C58" s="28">
        <v>0.32925586136595331</v>
      </c>
      <c r="D58" s="28">
        <v>-0.22852760736196331</v>
      </c>
      <c r="E58" s="28">
        <v>2.1868787276341894E-2</v>
      </c>
      <c r="F58" s="28">
        <v>0.10019455252918275</v>
      </c>
      <c r="G58" s="28">
        <v>0.17948717948717952</v>
      </c>
      <c r="H58" s="28">
        <v>6.1469265367316339E-2</v>
      </c>
      <c r="I58" s="28">
        <v>-8.4745762711864403E-2</v>
      </c>
      <c r="J58" s="28">
        <v>-0.17746913580246915</v>
      </c>
      <c r="K58" s="28">
        <v>0.29455909943714831</v>
      </c>
      <c r="L58" s="28">
        <v>-7.2463768115942351E-3</v>
      </c>
      <c r="M58" s="29"/>
      <c r="N58" s="28">
        <v>1.3138686131386912E-2</v>
      </c>
      <c r="O58" s="30" t="s">
        <v>53</v>
      </c>
      <c r="P58" s="31"/>
      <c r="Q58" s="28">
        <v>0.11575562700964626</v>
      </c>
      <c r="S58" s="32">
        <v>62.2</v>
      </c>
      <c r="T58" s="32">
        <v>49.05</v>
      </c>
      <c r="U58" s="32">
        <v>65.2</v>
      </c>
      <c r="V58" s="32">
        <v>50.3</v>
      </c>
      <c r="W58" s="32">
        <v>51.4</v>
      </c>
      <c r="X58" s="32">
        <v>56.55</v>
      </c>
      <c r="Y58" s="32">
        <v>66.7</v>
      </c>
      <c r="Z58" s="32">
        <v>70.8</v>
      </c>
      <c r="AA58" s="32">
        <v>64.8</v>
      </c>
      <c r="AB58" s="32">
        <v>53.3</v>
      </c>
      <c r="AC58" s="32">
        <v>69</v>
      </c>
      <c r="AD58" s="32">
        <v>68.5</v>
      </c>
    </row>
    <row r="59" spans="1:30" x14ac:dyDescent="0.25">
      <c r="A59" s="33" t="s">
        <v>54</v>
      </c>
      <c r="B59" s="28">
        <v>-0.15648854962577463</v>
      </c>
      <c r="C59" s="28">
        <v>9.5022624452461013E-2</v>
      </c>
      <c r="D59" s="28">
        <v>-0.16425619835770122</v>
      </c>
      <c r="E59" s="28">
        <v>8.899876390457151E-2</v>
      </c>
      <c r="F59" s="28">
        <v>9.9677823579743974E-2</v>
      </c>
      <c r="G59" s="28">
        <v>0.26748057713651496</v>
      </c>
      <c r="H59" s="28">
        <v>-3.6777583187390661E-2</v>
      </c>
      <c r="I59" s="28">
        <v>-0.16090909090909089</v>
      </c>
      <c r="J59" s="28">
        <v>-0.14951245937161439</v>
      </c>
      <c r="K59" s="28">
        <v>0.17147453150717884</v>
      </c>
      <c r="L59" s="28">
        <v>0.12289780077619672</v>
      </c>
      <c r="M59" s="29"/>
      <c r="N59" s="28">
        <v>0</v>
      </c>
      <c r="O59" s="30" t="s">
        <v>54</v>
      </c>
      <c r="P59" s="31"/>
      <c r="Q59" s="28">
        <v>5.9492876452261312E-2</v>
      </c>
      <c r="S59" s="32">
        <v>40.962993677999997</v>
      </c>
      <c r="T59" s="32">
        <v>34.552754209</v>
      </c>
      <c r="U59" s="32">
        <v>37.836047596</v>
      </c>
      <c r="V59" s="32">
        <v>31.621242256999999</v>
      </c>
      <c r="W59" s="32">
        <v>34.435493731000001</v>
      </c>
      <c r="X59" s="32">
        <v>37.867948800000001</v>
      </c>
      <c r="Y59" s="32">
        <v>47.996889600000003</v>
      </c>
      <c r="Z59" s="32">
        <v>46.231679999999997</v>
      </c>
      <c r="AA59" s="32">
        <v>38.792582400000001</v>
      </c>
      <c r="AB59" s="32">
        <v>32.992607999999997</v>
      </c>
      <c r="AC59" s="32">
        <v>38.65</v>
      </c>
      <c r="AD59" s="32">
        <v>43.4</v>
      </c>
    </row>
    <row r="60" spans="1:30" x14ac:dyDescent="0.25">
      <c r="A60" s="33" t="s">
        <v>55</v>
      </c>
      <c r="B60" s="28">
        <v>-0.2376681614349776</v>
      </c>
      <c r="C60" s="28">
        <v>0.20000000000000018</v>
      </c>
      <c r="D60" s="28">
        <v>1.4316466820967211E-3</v>
      </c>
      <c r="E60" s="28">
        <v>0.30588235294117649</v>
      </c>
      <c r="F60" s="28">
        <v>-0.19999999999999996</v>
      </c>
      <c r="G60" s="28">
        <v>2.2522522522521182E-3</v>
      </c>
      <c r="H60" s="28">
        <v>-3.3707865168539408E-2</v>
      </c>
      <c r="I60" s="28">
        <v>2.3255813953488413E-2</v>
      </c>
      <c r="J60" s="28">
        <v>6.1363636363636287E-2</v>
      </c>
      <c r="K60" s="28">
        <v>-7.4946466809421741E-2</v>
      </c>
      <c r="L60" s="28">
        <v>3.009259259259256E-2</v>
      </c>
      <c r="M60" s="29"/>
      <c r="N60" s="28">
        <v>0</v>
      </c>
      <c r="O60" s="30" t="s">
        <v>55</v>
      </c>
      <c r="P60" s="31"/>
      <c r="Q60" s="28">
        <v>-4.0781167124233741E-2</v>
      </c>
      <c r="S60" s="32">
        <v>4.6391916499999999</v>
      </c>
      <c r="T60" s="32">
        <v>3.5366035</v>
      </c>
      <c r="U60" s="32">
        <v>4.2439242000000004</v>
      </c>
      <c r="V60" s="32">
        <v>4.25</v>
      </c>
      <c r="W60" s="32">
        <v>5.55</v>
      </c>
      <c r="X60" s="32">
        <v>4.4400000000000004</v>
      </c>
      <c r="Y60" s="32">
        <v>4.45</v>
      </c>
      <c r="Z60" s="32">
        <v>4.3</v>
      </c>
      <c r="AA60" s="32">
        <v>4.4000000000000004</v>
      </c>
      <c r="AB60" s="32">
        <v>4.67</v>
      </c>
      <c r="AC60" s="32">
        <v>4.32</v>
      </c>
      <c r="AD60" s="32">
        <v>4.45</v>
      </c>
    </row>
    <row r="61" spans="1:30" x14ac:dyDescent="0.25">
      <c r="A61" s="33" t="s">
        <v>56</v>
      </c>
      <c r="B61" s="28">
        <v>9.7087378640776656E-3</v>
      </c>
      <c r="C61" s="28">
        <v>0.72596153846153832</v>
      </c>
      <c r="D61" s="28">
        <v>-0.17827298050139273</v>
      </c>
      <c r="E61" s="28">
        <v>0.21355932203389827</v>
      </c>
      <c r="F61" s="28">
        <v>1.6759776536312998E-2</v>
      </c>
      <c r="G61" s="28">
        <v>1.6483516483516425E-2</v>
      </c>
      <c r="H61" s="28">
        <v>2.4324324324324298E-2</v>
      </c>
      <c r="I61" s="28">
        <v>-7.9155672823217893E-3</v>
      </c>
      <c r="J61" s="28">
        <v>0.11702127659574457</v>
      </c>
      <c r="K61" s="28">
        <v>0.23809523809523814</v>
      </c>
      <c r="L61" s="28">
        <v>0.1134615384615385</v>
      </c>
      <c r="M61" s="29"/>
      <c r="N61" s="28">
        <v>1.7271157167531026E-3</v>
      </c>
      <c r="O61" s="30" t="s">
        <v>56</v>
      </c>
      <c r="P61" s="31"/>
      <c r="Q61" s="28">
        <v>1.8155339805825248</v>
      </c>
      <c r="S61" s="32">
        <v>10.3</v>
      </c>
      <c r="T61" s="32">
        <v>10.4</v>
      </c>
      <c r="U61" s="32">
        <v>17.95</v>
      </c>
      <c r="V61" s="32">
        <v>14.75</v>
      </c>
      <c r="W61" s="32">
        <v>17.899999999999999</v>
      </c>
      <c r="X61" s="32">
        <v>18.2</v>
      </c>
      <c r="Y61" s="32">
        <v>18.5</v>
      </c>
      <c r="Z61" s="32">
        <v>18.95</v>
      </c>
      <c r="AA61" s="32">
        <v>18.8</v>
      </c>
      <c r="AB61" s="32">
        <v>21</v>
      </c>
      <c r="AC61" s="32">
        <v>26</v>
      </c>
      <c r="AD61" s="32">
        <v>28.95</v>
      </c>
    </row>
    <row r="62" spans="1:30" x14ac:dyDescent="0.25">
      <c r="A62" s="33" t="s">
        <v>57</v>
      </c>
      <c r="B62" s="28">
        <v>0.25626246952006371</v>
      </c>
      <c r="C62" s="28">
        <v>0.13649197105941768</v>
      </c>
      <c r="D62" s="28">
        <v>-0.15868333203860374</v>
      </c>
      <c r="E62" s="28">
        <v>4.669188889914655E-2</v>
      </c>
      <c r="F62" s="28">
        <v>-0.10912030946762052</v>
      </c>
      <c r="G62" s="28">
        <v>0.20740814497660054</v>
      </c>
      <c r="H62" s="28">
        <v>-8.5931057232393249E-2</v>
      </c>
      <c r="I62" s="28">
        <v>0.10068567304222298</v>
      </c>
      <c r="J62" s="28">
        <v>-1.6393442622950838E-2</v>
      </c>
      <c r="K62" s="28">
        <v>0.10525000000000007</v>
      </c>
      <c r="L62" s="28">
        <v>0.17612908090175683</v>
      </c>
      <c r="M62" s="29"/>
      <c r="N62" s="28">
        <v>-1.0643858404682627E-2</v>
      </c>
      <c r="O62" s="30" t="s">
        <v>57</v>
      </c>
      <c r="P62" s="31"/>
      <c r="Q62" s="28">
        <v>0.72119516393405214</v>
      </c>
      <c r="S62" s="32">
        <v>444.923397443</v>
      </c>
      <c r="T62" s="32">
        <v>558.94056601900002</v>
      </c>
      <c r="U62" s="32">
        <v>635.23146557999996</v>
      </c>
      <c r="V62" s="32">
        <v>534.43082000599998</v>
      </c>
      <c r="W62" s="32">
        <v>559.38440447799996</v>
      </c>
      <c r="X62" s="32">
        <v>498.34420514999999</v>
      </c>
      <c r="Y62" s="32">
        <v>601.70485229999997</v>
      </c>
      <c r="Z62" s="32">
        <v>549.99971819999996</v>
      </c>
      <c r="AA62" s="32">
        <v>605.37680999999998</v>
      </c>
      <c r="AB62" s="32">
        <v>595.45259999999996</v>
      </c>
      <c r="AC62" s="32">
        <v>658.12398614999995</v>
      </c>
      <c r="AD62" s="32">
        <v>774.03875894999999</v>
      </c>
    </row>
    <row r="63" spans="1:30" x14ac:dyDescent="0.25">
      <c r="A63" s="33" t="s">
        <v>58</v>
      </c>
      <c r="B63" s="28">
        <v>0.137876386687797</v>
      </c>
      <c r="C63" s="28">
        <v>0.14623955431754876</v>
      </c>
      <c r="D63" s="28">
        <v>-0.172539489671932</v>
      </c>
      <c r="E63" s="28">
        <v>3.6710719530102853E-2</v>
      </c>
      <c r="F63" s="28">
        <v>-5.6657223796033995E-2</v>
      </c>
      <c r="G63" s="28">
        <v>0.15465465465465478</v>
      </c>
      <c r="H63" s="28">
        <v>3.5110533159947943E-2</v>
      </c>
      <c r="I63" s="28">
        <v>1.2562814070353756E-3</v>
      </c>
      <c r="J63" s="28">
        <v>-0.11166875784190722</v>
      </c>
      <c r="K63" s="28">
        <v>1.4124293785310771E-2</v>
      </c>
      <c r="L63" s="28">
        <v>9.1922005571030807E-2</v>
      </c>
      <c r="M63" s="29"/>
      <c r="N63" s="28">
        <v>1.5306122448979442E-2</v>
      </c>
      <c r="O63" s="30" t="s">
        <v>58</v>
      </c>
      <c r="P63" s="31"/>
      <c r="Q63" s="28">
        <v>0.26148969889064966</v>
      </c>
      <c r="S63" s="32">
        <v>31.55</v>
      </c>
      <c r="T63" s="32">
        <v>35.9</v>
      </c>
      <c r="U63" s="32">
        <v>41.15</v>
      </c>
      <c r="V63" s="32">
        <v>34.049999999999997</v>
      </c>
      <c r="W63" s="32">
        <v>35.299999999999997</v>
      </c>
      <c r="X63" s="32">
        <v>33.299999999999997</v>
      </c>
      <c r="Y63" s="32">
        <v>38.450000000000003</v>
      </c>
      <c r="Z63" s="32">
        <v>39.799999999999997</v>
      </c>
      <c r="AA63" s="32">
        <v>39.85</v>
      </c>
      <c r="AB63" s="32">
        <v>35.4</v>
      </c>
      <c r="AC63" s="32">
        <v>35.9</v>
      </c>
      <c r="AD63" s="32">
        <v>39.200000000000003</v>
      </c>
    </row>
    <row r="64" spans="1:30" x14ac:dyDescent="0.25">
      <c r="A64" s="33" t="s">
        <v>59</v>
      </c>
      <c r="B64" s="28">
        <v>0.12827461607949431</v>
      </c>
      <c r="C64" s="28">
        <v>0.15212169735788628</v>
      </c>
      <c r="D64" s="28">
        <v>-9.7289784572619942E-2</v>
      </c>
      <c r="E64" s="28">
        <v>0</v>
      </c>
      <c r="F64" s="28">
        <v>-8.391070053887606E-2</v>
      </c>
      <c r="G64" s="28">
        <v>4.0336134453781591E-2</v>
      </c>
      <c r="H64" s="28">
        <v>-5.5331179321486346E-2</v>
      </c>
      <c r="I64" s="28">
        <v>8.4224027362120646E-2</v>
      </c>
      <c r="J64" s="28">
        <v>-6.466876971608837E-2</v>
      </c>
      <c r="K64" s="28">
        <v>0.14574216161367159</v>
      </c>
      <c r="L64" s="28">
        <v>0.14630467571644057</v>
      </c>
      <c r="M64" s="29"/>
      <c r="N64" s="28">
        <v>-1.9736842105263497E-3</v>
      </c>
      <c r="O64" s="34" t="s">
        <v>59</v>
      </c>
      <c r="P64" s="31"/>
      <c r="Q64" s="28">
        <v>0.40431980157340774</v>
      </c>
      <c r="S64" s="32">
        <v>108.0238275</v>
      </c>
      <c r="T64" s="32">
        <v>121.8805425</v>
      </c>
      <c r="U64" s="32">
        <v>140.42121750000001</v>
      </c>
      <c r="V64" s="32">
        <v>126.75966750000001</v>
      </c>
      <c r="W64" s="32">
        <v>126.75966750000001</v>
      </c>
      <c r="X64" s="32">
        <v>116.123175</v>
      </c>
      <c r="Y64" s="32">
        <v>120.807135</v>
      </c>
      <c r="Z64" s="32">
        <v>114.12273374999999</v>
      </c>
      <c r="AA64" s="32">
        <v>123.73461</v>
      </c>
      <c r="AB64" s="32">
        <v>115.732845</v>
      </c>
      <c r="AC64" s="32">
        <v>132.6</v>
      </c>
      <c r="AD64" s="32">
        <v>152</v>
      </c>
    </row>
    <row r="65" spans="1:30" x14ac:dyDescent="0.25">
      <c r="A65" s="33" t="s">
        <v>60</v>
      </c>
      <c r="B65" s="28">
        <v>-2.1528525296017342E-3</v>
      </c>
      <c r="C65" s="28">
        <v>9.9244875943905075E-2</v>
      </c>
      <c r="D65" s="28">
        <v>-6.3788027477919562E-2</v>
      </c>
      <c r="E65" s="28">
        <v>0.12683438155136262</v>
      </c>
      <c r="F65" s="28">
        <v>-0.13023255813953494</v>
      </c>
      <c r="G65" s="28">
        <v>0.1390374331550801</v>
      </c>
      <c r="H65" s="28">
        <v>-4.6948356807511749E-2</v>
      </c>
      <c r="I65" s="28">
        <v>-5.2216748768472931E-2</v>
      </c>
      <c r="J65" s="28">
        <v>-0.2214137214137214</v>
      </c>
      <c r="K65" s="28">
        <v>0.21361815754339109</v>
      </c>
      <c r="L65" s="28">
        <v>0.30803080308030806</v>
      </c>
      <c r="M65" s="29"/>
      <c r="N65" s="28">
        <v>-1.7661900756938631E-2</v>
      </c>
      <c r="O65" s="30" t="s">
        <v>60</v>
      </c>
      <c r="P65" s="31"/>
      <c r="Q65" s="28">
        <v>0.25726587728740524</v>
      </c>
      <c r="S65" s="32">
        <v>46.45</v>
      </c>
      <c r="T65" s="32">
        <v>46.35</v>
      </c>
      <c r="U65" s="32">
        <v>50.95</v>
      </c>
      <c r="V65" s="32">
        <v>47.7</v>
      </c>
      <c r="W65" s="32">
        <v>53.75</v>
      </c>
      <c r="X65" s="32">
        <v>46.75</v>
      </c>
      <c r="Y65" s="32">
        <v>53.25</v>
      </c>
      <c r="Z65" s="32">
        <v>50.75</v>
      </c>
      <c r="AA65" s="32">
        <v>48.1</v>
      </c>
      <c r="AB65" s="32">
        <v>37.450000000000003</v>
      </c>
      <c r="AC65" s="32">
        <v>45.45</v>
      </c>
      <c r="AD65" s="32">
        <v>59.45</v>
      </c>
    </row>
    <row r="66" spans="1:30" x14ac:dyDescent="0.25">
      <c r="A66" s="33" t="s">
        <v>61</v>
      </c>
      <c r="B66" s="28">
        <v>3.8961038961038863E-2</v>
      </c>
      <c r="C66" s="28">
        <v>0.16666666666666674</v>
      </c>
      <c r="D66" s="28">
        <v>7.4999999999999956E-2</v>
      </c>
      <c r="E66" s="28">
        <v>-9.966777408637939E-3</v>
      </c>
      <c r="F66" s="28">
        <v>0</v>
      </c>
      <c r="G66" s="28">
        <v>-0.29194630872483218</v>
      </c>
      <c r="H66" s="28">
        <v>5.2132701421800931E-2</v>
      </c>
      <c r="I66" s="28">
        <v>-9.0090090090090058E-2</v>
      </c>
      <c r="J66" s="28">
        <v>-9.9009900990099098E-3</v>
      </c>
      <c r="K66" s="28">
        <v>0.26</v>
      </c>
      <c r="L66" s="28">
        <v>3.9682539682539542E-3</v>
      </c>
      <c r="M66" s="29"/>
      <c r="N66" s="28">
        <v>-7.905138339920903E-3</v>
      </c>
      <c r="O66" s="30" t="s">
        <v>61</v>
      </c>
      <c r="P66" s="31"/>
      <c r="Q66" s="28">
        <v>8.6580086580086535E-2</v>
      </c>
      <c r="S66" s="32">
        <v>11.55</v>
      </c>
      <c r="T66" s="32">
        <v>12</v>
      </c>
      <c r="U66" s="32">
        <v>14</v>
      </c>
      <c r="V66" s="32">
        <v>15.05</v>
      </c>
      <c r="W66" s="32">
        <v>14.9</v>
      </c>
      <c r="X66" s="32">
        <v>14.9</v>
      </c>
      <c r="Y66" s="32">
        <v>10.55</v>
      </c>
      <c r="Z66" s="32">
        <v>11.1</v>
      </c>
      <c r="AA66" s="32">
        <v>10.1</v>
      </c>
      <c r="AB66" s="32">
        <v>10</v>
      </c>
      <c r="AC66" s="32">
        <v>12.6</v>
      </c>
      <c r="AD66" s="32">
        <v>12.65</v>
      </c>
    </row>
    <row r="67" spans="1:30" x14ac:dyDescent="0.25">
      <c r="A67" s="33" t="s">
        <v>62</v>
      </c>
      <c r="B67" s="28">
        <v>-7.4782608695652231E-2</v>
      </c>
      <c r="C67" s="28">
        <v>0.13157894736842124</v>
      </c>
      <c r="D67" s="28">
        <v>-0.15946843853820603</v>
      </c>
      <c r="E67" s="28">
        <v>0.11660079051383399</v>
      </c>
      <c r="F67" s="28">
        <v>-6.7256637168141453E-2</v>
      </c>
      <c r="G67" s="28">
        <v>0.1688804554079697</v>
      </c>
      <c r="H67" s="28">
        <v>0.1217532467532465</v>
      </c>
      <c r="I67" s="28">
        <v>-0.10130246020260492</v>
      </c>
      <c r="J67" s="28">
        <v>4.4417235154767809E-3</v>
      </c>
      <c r="K67" s="28">
        <v>7.2953736654804313E-2</v>
      </c>
      <c r="L67" s="28">
        <v>0.35655058043117727</v>
      </c>
      <c r="M67" s="29"/>
      <c r="N67" s="28">
        <v>-2.5672371638141844E-2</v>
      </c>
      <c r="O67" s="30" t="s">
        <v>62</v>
      </c>
      <c r="P67" s="31"/>
      <c r="Q67" s="28">
        <v>0.53840437354658666</v>
      </c>
      <c r="S67" s="32">
        <v>5.1806925000000001</v>
      </c>
      <c r="T67" s="32">
        <v>4.7932667999999996</v>
      </c>
      <c r="U67" s="32">
        <v>5.4239598000000004</v>
      </c>
      <c r="V67" s="32">
        <v>4.5590093999999999</v>
      </c>
      <c r="W67" s="32">
        <v>5.0905934999999998</v>
      </c>
      <c r="X67" s="32">
        <v>4.7482173000000003</v>
      </c>
      <c r="Y67" s="32">
        <v>5.5500984000000004</v>
      </c>
      <c r="Z67" s="32">
        <v>6.2258408999999997</v>
      </c>
      <c r="AA67" s="32">
        <v>5.5951478999999997</v>
      </c>
      <c r="AB67" s="32">
        <v>5.62</v>
      </c>
      <c r="AC67" s="32">
        <v>6.03</v>
      </c>
      <c r="AD67" s="32">
        <v>8.18</v>
      </c>
    </row>
    <row r="68" spans="1:30" x14ac:dyDescent="0.25">
      <c r="A68" s="33" t="s">
        <v>63</v>
      </c>
      <c r="B68" s="28">
        <v>8.3333333338994953E-2</v>
      </c>
      <c r="C68" s="28">
        <v>0.21153846154650169</v>
      </c>
      <c r="D68" s="28">
        <v>-0.23809523810427613</v>
      </c>
      <c r="E68" s="28">
        <v>0.13750000001953255</v>
      </c>
      <c r="F68" s="28">
        <v>-1.0989010988573411E-2</v>
      </c>
      <c r="G68" s="28">
        <v>0.29629629629107734</v>
      </c>
      <c r="H68" s="28">
        <v>5.71428571459629E-2</v>
      </c>
      <c r="I68" s="28">
        <v>0.28378378377266733</v>
      </c>
      <c r="J68" s="28">
        <v>-0.12105263157334656</v>
      </c>
      <c r="K68" s="28">
        <v>4.7969049851031231E-2</v>
      </c>
      <c r="L68" s="28">
        <v>6.2111801242235032E-3</v>
      </c>
      <c r="M68" s="29"/>
      <c r="N68" s="28">
        <v>-3.0864197530864224E-2</v>
      </c>
      <c r="O68" s="30" t="s">
        <v>63</v>
      </c>
      <c r="P68" s="31"/>
      <c r="Q68" s="28">
        <v>0.77773683478490008</v>
      </c>
      <c r="S68" s="32">
        <v>44.157266960999998</v>
      </c>
      <c r="T68" s="32">
        <v>47.837039208</v>
      </c>
      <c r="U68" s="32">
        <v>57.956412886999999</v>
      </c>
      <c r="V68" s="32">
        <v>44.157266960999998</v>
      </c>
      <c r="W68" s="32">
        <v>50.228891169000001</v>
      </c>
      <c r="X68" s="32">
        <v>49.676925332000003</v>
      </c>
      <c r="Y68" s="32">
        <v>64.396014319000003</v>
      </c>
      <c r="Z68" s="32">
        <v>68.075786566000005</v>
      </c>
      <c r="AA68" s="32">
        <v>87.394590860999998</v>
      </c>
      <c r="AB68" s="32">
        <v>76.815245652000002</v>
      </c>
      <c r="AC68" s="32">
        <v>80.5</v>
      </c>
      <c r="AD68" s="32">
        <v>81</v>
      </c>
    </row>
    <row r="69" spans="1:30" x14ac:dyDescent="0.25">
      <c r="A69" s="33" t="s">
        <v>64</v>
      </c>
      <c r="B69" s="28">
        <v>-0.15492957746478864</v>
      </c>
      <c r="C69" s="28">
        <v>0.60416666666666674</v>
      </c>
      <c r="D69" s="28">
        <v>-1.2987012987012991E-2</v>
      </c>
      <c r="E69" s="28">
        <v>3.289473684210531E-2</v>
      </c>
      <c r="F69" s="28">
        <v>-3.1847133757961776E-2</v>
      </c>
      <c r="G69" s="28">
        <v>0.18421052631578938</v>
      </c>
      <c r="H69" s="28">
        <v>-4.4444444444444398E-2</v>
      </c>
      <c r="I69" s="28">
        <v>-0.14186046511627914</v>
      </c>
      <c r="J69" s="28">
        <v>-5.962059620596194E-2</v>
      </c>
      <c r="K69" s="28">
        <v>5.187319884726227E-2</v>
      </c>
      <c r="L69" s="28">
        <v>0.15068493150684925</v>
      </c>
      <c r="M69" s="29"/>
      <c r="N69" s="28">
        <v>-1.0714285714285787E-2</v>
      </c>
      <c r="O69" s="30" t="s">
        <v>64</v>
      </c>
      <c r="P69" s="31"/>
      <c r="Q69" s="28">
        <v>0.46302816901408494</v>
      </c>
      <c r="S69" s="32">
        <v>28.4</v>
      </c>
      <c r="T69" s="32">
        <v>24</v>
      </c>
      <c r="U69" s="32">
        <v>38.5</v>
      </c>
      <c r="V69" s="32">
        <v>38</v>
      </c>
      <c r="W69" s="32">
        <v>39.25</v>
      </c>
      <c r="X69" s="32">
        <v>38</v>
      </c>
      <c r="Y69" s="32">
        <v>45</v>
      </c>
      <c r="Z69" s="32">
        <v>43</v>
      </c>
      <c r="AA69" s="32">
        <v>36.9</v>
      </c>
      <c r="AB69" s="32">
        <v>34.700000000000003</v>
      </c>
      <c r="AC69" s="32">
        <v>36.5</v>
      </c>
      <c r="AD69" s="32">
        <v>42</v>
      </c>
    </row>
    <row r="70" spans="1:30" x14ac:dyDescent="0.25">
      <c r="A70" s="33" t="s">
        <v>65</v>
      </c>
      <c r="B70" s="28">
        <v>8.0701754385964941E-2</v>
      </c>
      <c r="C70" s="28">
        <v>7.7922077922077948E-2</v>
      </c>
      <c r="D70" s="28">
        <v>0.12951807228915646</v>
      </c>
      <c r="E70" s="28">
        <v>0</v>
      </c>
      <c r="F70" s="28">
        <v>-3.2000000000000028E-2</v>
      </c>
      <c r="G70" s="28">
        <v>0.12947658402203865</v>
      </c>
      <c r="H70" s="28">
        <v>-4.2682926829268331E-2</v>
      </c>
      <c r="I70" s="28">
        <v>-6.3694267515923553E-3</v>
      </c>
      <c r="J70" s="28">
        <v>3.589743589743577E-2</v>
      </c>
      <c r="K70" s="28">
        <v>6.4356435643564414E-2</v>
      </c>
      <c r="L70" s="28">
        <v>3.488372093023262E-2</v>
      </c>
      <c r="M70" s="29"/>
      <c r="N70" s="28">
        <v>-2.2471910112359605E-2</v>
      </c>
      <c r="O70" s="30" t="s">
        <v>65</v>
      </c>
      <c r="P70" s="31"/>
      <c r="Q70" s="28">
        <v>0.52631578947368385</v>
      </c>
      <c r="S70" s="32">
        <v>28.5</v>
      </c>
      <c r="T70" s="32">
        <v>30.8</v>
      </c>
      <c r="U70" s="32">
        <v>33.200000000000003</v>
      </c>
      <c r="V70" s="32">
        <v>37.5</v>
      </c>
      <c r="W70" s="32">
        <v>37.5</v>
      </c>
      <c r="X70" s="32">
        <v>36.299999999999997</v>
      </c>
      <c r="Y70" s="32">
        <v>41</v>
      </c>
      <c r="Z70" s="32">
        <v>39.25</v>
      </c>
      <c r="AA70" s="32">
        <v>39</v>
      </c>
      <c r="AB70" s="32">
        <v>40.4</v>
      </c>
      <c r="AC70" s="32">
        <v>43</v>
      </c>
      <c r="AD70" s="32">
        <v>44.5</v>
      </c>
    </row>
    <row r="71" spans="1:30" x14ac:dyDescent="0.25">
      <c r="A71" s="33" t="s">
        <v>66</v>
      </c>
      <c r="B71" s="28">
        <v>-0.13592233009708743</v>
      </c>
      <c r="C71" s="28">
        <v>0.24719101123595522</v>
      </c>
      <c r="D71" s="28">
        <v>-0.18918918918918926</v>
      </c>
      <c r="E71" s="28">
        <v>1.1111111111111072E-2</v>
      </c>
      <c r="F71" s="28">
        <v>-4.3394659398027113E-2</v>
      </c>
      <c r="G71" s="28">
        <v>0.10149253731343277</v>
      </c>
      <c r="H71" s="28">
        <v>2.4390243902439046E-2</v>
      </c>
      <c r="I71" s="28">
        <v>-0.14021164021164012</v>
      </c>
      <c r="J71" s="28">
        <v>-6.1538461538461542E-2</v>
      </c>
      <c r="K71" s="28">
        <v>0.14426229508196742</v>
      </c>
      <c r="L71" s="28">
        <v>-1.4326647564469996E-2</v>
      </c>
      <c r="M71" s="29"/>
      <c r="N71" s="28">
        <v>-2.0348837209302251E-2</v>
      </c>
      <c r="O71" s="30" t="s">
        <v>66</v>
      </c>
      <c r="P71" s="31"/>
      <c r="Q71" s="28">
        <v>-0.1497981167876915</v>
      </c>
      <c r="S71" s="32">
        <v>3.9637644500000002</v>
      </c>
      <c r="T71" s="32">
        <v>3.4250003499999999</v>
      </c>
      <c r="U71" s="32">
        <v>4.2716296500000004</v>
      </c>
      <c r="V71" s="32">
        <v>3.4634835000000002</v>
      </c>
      <c r="W71" s="32">
        <v>3.50196665</v>
      </c>
      <c r="X71" s="32">
        <v>3.35</v>
      </c>
      <c r="Y71" s="32">
        <v>3.69</v>
      </c>
      <c r="Z71" s="32">
        <v>3.78</v>
      </c>
      <c r="AA71" s="32">
        <v>3.25</v>
      </c>
      <c r="AB71" s="32">
        <v>3.05</v>
      </c>
      <c r="AC71" s="32">
        <v>3.49</v>
      </c>
      <c r="AD71" s="32">
        <v>3.44</v>
      </c>
    </row>
    <row r="72" spans="1:30" x14ac:dyDescent="0.25">
      <c r="A72" s="33" t="s">
        <v>67</v>
      </c>
      <c r="B72" s="28">
        <v>-0.13508260447168285</v>
      </c>
      <c r="C72" s="28">
        <v>0.21573033708566491</v>
      </c>
      <c r="D72" s="28">
        <v>-5.4528650647579946E-2</v>
      </c>
      <c r="E72" s="28">
        <v>0.33919843596903587</v>
      </c>
      <c r="F72" s="28">
        <v>-6.467239233765687E-3</v>
      </c>
      <c r="G72" s="28">
        <v>6.8001668752607269E-2</v>
      </c>
      <c r="H72" s="28">
        <v>-6.25E-2</v>
      </c>
      <c r="I72" s="28">
        <v>-6.25E-2</v>
      </c>
      <c r="J72" s="28">
        <v>-6.2222222222222179E-2</v>
      </c>
      <c r="K72" s="28">
        <v>8.3007202841840488E-3</v>
      </c>
      <c r="L72" s="28">
        <v>0.10885045778229907</v>
      </c>
      <c r="M72" s="29"/>
      <c r="N72" s="28">
        <v>-2.752293577981646E-2</v>
      </c>
      <c r="O72" s="30" t="s">
        <v>67</v>
      </c>
      <c r="P72" s="31"/>
      <c r="Q72" s="28">
        <v>0.26603068138043184</v>
      </c>
      <c r="S72" s="32">
        <v>83.726248944000005</v>
      </c>
      <c r="T72" s="32">
        <v>72.416289173999999</v>
      </c>
      <c r="U72" s="32">
        <v>88.038679647999999</v>
      </c>
      <c r="V72" s="32">
        <v>83.238049242000002</v>
      </c>
      <c r="W72" s="32">
        <v>111.472265358</v>
      </c>
      <c r="X72" s="32">
        <v>110.75134755000001</v>
      </c>
      <c r="Y72" s="32">
        <v>118.282624</v>
      </c>
      <c r="Z72" s="32">
        <v>110.88996</v>
      </c>
      <c r="AA72" s="32">
        <v>103.9593375</v>
      </c>
      <c r="AB72" s="32">
        <v>97.490756500000003</v>
      </c>
      <c r="AC72" s="32">
        <v>98.3</v>
      </c>
      <c r="AD72" s="32">
        <v>109</v>
      </c>
    </row>
    <row r="73" spans="1:30" x14ac:dyDescent="0.25">
      <c r="A73" s="33" t="s">
        <v>68</v>
      </c>
      <c r="B73" s="28">
        <v>4.2857142857142927E-2</v>
      </c>
      <c r="C73" s="28">
        <v>9.5890410958904049E-2</v>
      </c>
      <c r="D73" s="28">
        <v>-0.17500000000000004</v>
      </c>
      <c r="E73" s="28">
        <v>-9.0909090909090828E-2</v>
      </c>
      <c r="F73" s="28">
        <v>5.0000000000000044E-2</v>
      </c>
      <c r="G73" s="28">
        <v>-9.5238095238095233E-2</v>
      </c>
      <c r="H73" s="28">
        <v>3.5087719298245723E-2</v>
      </c>
      <c r="I73" s="28">
        <v>-5.0847457627118731E-2</v>
      </c>
      <c r="J73" s="28">
        <v>-0.12499999999999989</v>
      </c>
      <c r="K73" s="28">
        <v>0.21428571428571419</v>
      </c>
      <c r="L73" s="28">
        <v>8.4033613445377853E-3</v>
      </c>
      <c r="M73" s="29"/>
      <c r="N73" s="28">
        <v>-2.1666666666666612E-2</v>
      </c>
      <c r="O73" s="30" t="s">
        <v>68</v>
      </c>
      <c r="P73" s="31"/>
      <c r="Q73" s="28">
        <v>-0.16142857142857125</v>
      </c>
      <c r="S73" s="32">
        <v>7</v>
      </c>
      <c r="T73" s="32">
        <v>7.3</v>
      </c>
      <c r="U73" s="32">
        <v>8</v>
      </c>
      <c r="V73" s="32">
        <v>6.6</v>
      </c>
      <c r="W73" s="32">
        <v>6</v>
      </c>
      <c r="X73" s="32">
        <v>6.3</v>
      </c>
      <c r="Y73" s="32">
        <v>5.7</v>
      </c>
      <c r="Z73" s="32">
        <v>5.9</v>
      </c>
      <c r="AA73" s="32">
        <v>5.6</v>
      </c>
      <c r="AB73" s="32">
        <v>4.9000000000000004</v>
      </c>
      <c r="AC73" s="32">
        <v>5.95</v>
      </c>
      <c r="AD73" s="32">
        <v>6</v>
      </c>
    </row>
    <row r="74" spans="1:30" x14ac:dyDescent="0.25">
      <c r="A74" s="33" t="s">
        <v>69</v>
      </c>
      <c r="B74" s="28">
        <v>3.9408866995073843E-2</v>
      </c>
      <c r="C74" s="28">
        <v>6.3981042654028375E-2</v>
      </c>
      <c r="D74" s="28">
        <v>-0.20712694877505566</v>
      </c>
      <c r="E74" s="28">
        <v>-2.8089887640449396E-2</v>
      </c>
      <c r="F74" s="28">
        <v>-3.4682080924855474E-2</v>
      </c>
      <c r="G74" s="28">
        <v>3.8922155688622784E-2</v>
      </c>
      <c r="H74" s="28">
        <v>-5.187319884726227E-2</v>
      </c>
      <c r="I74" s="28">
        <v>9.1185410334346795E-3</v>
      </c>
      <c r="J74" s="28">
        <v>-0.1506024096385542</v>
      </c>
      <c r="K74" s="28">
        <v>7.0561492564514161E-2</v>
      </c>
      <c r="L74" s="28">
        <v>7.1917808219178037E-2</v>
      </c>
      <c r="M74" s="29"/>
      <c r="N74" s="28">
        <v>-3.1948881789137462E-2</v>
      </c>
      <c r="O74" s="30" t="s">
        <v>69</v>
      </c>
      <c r="P74" s="31"/>
      <c r="Q74" s="28">
        <v>-0.22839600096440837</v>
      </c>
      <c r="S74" s="32">
        <v>3.92688478</v>
      </c>
      <c r="T74" s="32">
        <v>4.08163886</v>
      </c>
      <c r="U74" s="32">
        <v>4.3427863699999998</v>
      </c>
      <c r="V74" s="32">
        <v>3.4432782799999999</v>
      </c>
      <c r="W74" s="32">
        <v>3.3465569799999999</v>
      </c>
      <c r="X74" s="32">
        <v>3.2304914199999999</v>
      </c>
      <c r="Y74" s="32">
        <v>3.3562291100000001</v>
      </c>
      <c r="Z74" s="32">
        <v>3.1821307700000001</v>
      </c>
      <c r="AA74" s="32">
        <v>3.2111471599999999</v>
      </c>
      <c r="AB74" s="32">
        <v>2.7275406599999998</v>
      </c>
      <c r="AC74" s="32">
        <v>2.92</v>
      </c>
      <c r="AD74" s="32">
        <v>3.13</v>
      </c>
    </row>
    <row r="75" spans="1:30" x14ac:dyDescent="0.25">
      <c r="A75" s="33" t="s">
        <v>70</v>
      </c>
      <c r="B75" s="28">
        <v>-0.16072463768115941</v>
      </c>
      <c r="C75" s="28">
        <v>0.16646520462787073</v>
      </c>
      <c r="D75" s="28">
        <v>-0.14537379718726873</v>
      </c>
      <c r="E75" s="28">
        <v>-7.9681274900398447E-2</v>
      </c>
      <c r="F75" s="28">
        <v>-0.10239036325992845</v>
      </c>
      <c r="G75" s="28">
        <v>0.14908785908995603</v>
      </c>
      <c r="H75" s="28">
        <v>-5.6569343065693389E-2</v>
      </c>
      <c r="I75" s="28">
        <v>-0.13442940038684714</v>
      </c>
      <c r="J75" s="28">
        <v>-0.1608938547486034</v>
      </c>
      <c r="K75" s="28">
        <v>0.16644474034620504</v>
      </c>
      <c r="L75" s="28">
        <v>0.19634703196347036</v>
      </c>
      <c r="M75" s="29"/>
      <c r="N75" s="28">
        <v>-2.6717557251908386E-2</v>
      </c>
      <c r="O75" s="34" t="s">
        <v>70</v>
      </c>
      <c r="P75" s="31"/>
      <c r="Q75" s="28">
        <v>-0.26086956521739135</v>
      </c>
      <c r="S75" s="32">
        <v>345</v>
      </c>
      <c r="T75" s="32">
        <v>289.55</v>
      </c>
      <c r="U75" s="32">
        <v>337.75</v>
      </c>
      <c r="V75" s="32">
        <v>288.64999999999998</v>
      </c>
      <c r="W75" s="32">
        <v>265.64999999999998</v>
      </c>
      <c r="X75" s="32">
        <v>238.45</v>
      </c>
      <c r="Y75" s="32">
        <v>274</v>
      </c>
      <c r="Z75" s="32">
        <v>258.5</v>
      </c>
      <c r="AA75" s="32">
        <v>223.75</v>
      </c>
      <c r="AB75" s="32">
        <v>187.75</v>
      </c>
      <c r="AC75" s="32">
        <v>219</v>
      </c>
      <c r="AD75" s="32">
        <v>262</v>
      </c>
    </row>
    <row r="76" spans="1:30" x14ac:dyDescent="0.25">
      <c r="A76" s="33" t="s">
        <v>71</v>
      </c>
      <c r="B76" s="28">
        <v>-1.9718309878218765E-2</v>
      </c>
      <c r="C76" s="28">
        <v>0.15660919543138418</v>
      </c>
      <c r="D76" s="28">
        <v>-0.10310559005762931</v>
      </c>
      <c r="E76" s="28">
        <v>0.24441440516075486</v>
      </c>
      <c r="F76" s="28">
        <v>-6.417112299465233E-2</v>
      </c>
      <c r="G76" s="28">
        <v>8.0000000000000071E-2</v>
      </c>
      <c r="H76" s="28">
        <v>3.9682539682539764E-2</v>
      </c>
      <c r="I76" s="28">
        <v>2.5445292620864812E-3</v>
      </c>
      <c r="J76" s="28">
        <v>-2.0304568527918621E-2</v>
      </c>
      <c r="K76" s="28">
        <v>7.5878139934981714E-2</v>
      </c>
      <c r="L76" s="28">
        <v>6.6666666666666652E-2</v>
      </c>
      <c r="M76" s="29"/>
      <c r="N76" s="28">
        <v>-3.6989795918367374E-2</v>
      </c>
      <c r="O76" s="30" t="s">
        <v>71</v>
      </c>
      <c r="P76" s="31"/>
      <c r="Q76" s="28">
        <v>0.44338529722643005</v>
      </c>
      <c r="S76" s="32">
        <v>26.153792803999998</v>
      </c>
      <c r="T76" s="32">
        <v>25.638084212999999</v>
      </c>
      <c r="U76" s="32">
        <v>29.653243954000001</v>
      </c>
      <c r="V76" s="32">
        <v>26.595828739000002</v>
      </c>
      <c r="W76" s="32">
        <v>33.096232399999998</v>
      </c>
      <c r="X76" s="32">
        <v>30.97241</v>
      </c>
      <c r="Y76" s="32">
        <v>33.4502028</v>
      </c>
      <c r="Z76" s="32">
        <v>34.777591800000003</v>
      </c>
      <c r="AA76" s="32">
        <v>34.866084399999998</v>
      </c>
      <c r="AB76" s="32">
        <v>34.158143600000002</v>
      </c>
      <c r="AC76" s="32">
        <v>36.75</v>
      </c>
      <c r="AD76" s="32">
        <v>39.200000000000003</v>
      </c>
    </row>
    <row r="77" spans="1:30" x14ac:dyDescent="0.25">
      <c r="A77" s="33" t="s">
        <v>72</v>
      </c>
      <c r="B77" s="28">
        <v>-0.12763684913217621</v>
      </c>
      <c r="C77" s="28">
        <v>5.3259871441689643E-2</v>
      </c>
      <c r="D77" s="28">
        <v>-7.3815751235105975E-2</v>
      </c>
      <c r="E77" s="28">
        <v>6.5892689049262598E-2</v>
      </c>
      <c r="F77" s="28">
        <v>-3.473653223432438E-2</v>
      </c>
      <c r="G77" s="28">
        <v>0.30832570905763945</v>
      </c>
      <c r="H77" s="28">
        <v>-8.2983682983682971E-2</v>
      </c>
      <c r="I77" s="28">
        <v>1.0421962379257854E-2</v>
      </c>
      <c r="J77" s="28">
        <v>-9.1823899371069162E-2</v>
      </c>
      <c r="K77" s="28">
        <v>0.30025215743329969</v>
      </c>
      <c r="L77" s="28">
        <v>0.39647085101630575</v>
      </c>
      <c r="M77" s="29"/>
      <c r="N77" s="28">
        <v>-7.3256557901471675E-2</v>
      </c>
      <c r="O77" s="30" t="s">
        <v>72</v>
      </c>
      <c r="P77" s="31"/>
      <c r="Q77" s="28">
        <v>0.62208780559223342</v>
      </c>
      <c r="S77" s="32">
        <v>178.59699025</v>
      </c>
      <c r="T77" s="32">
        <v>155.80143315000001</v>
      </c>
      <c r="U77" s="32">
        <v>164.09939745</v>
      </c>
      <c r="V77" s="32">
        <v>151.98627715000001</v>
      </c>
      <c r="W77" s="32">
        <v>162.00106165</v>
      </c>
      <c r="X77" s="32">
        <v>156.37370655000001</v>
      </c>
      <c r="Y77" s="32">
        <v>204.5877405</v>
      </c>
      <c r="Z77" s="32">
        <v>187.61029629999999</v>
      </c>
      <c r="AA77" s="32">
        <v>189.56556375</v>
      </c>
      <c r="AB77" s="32">
        <v>172.15891450000001</v>
      </c>
      <c r="AC77" s="32">
        <v>223.85</v>
      </c>
      <c r="AD77" s="32">
        <v>312.60000000000002</v>
      </c>
    </row>
    <row r="78" spans="1:30" x14ac:dyDescent="0.25">
      <c r="A78" s="33" t="s">
        <v>73</v>
      </c>
      <c r="B78" s="28">
        <v>0.3647342995169085</v>
      </c>
      <c r="C78" s="28">
        <v>6.1946902654867131E-2</v>
      </c>
      <c r="D78" s="28">
        <v>-0.29166666666666663</v>
      </c>
      <c r="E78" s="28">
        <v>-7.0588235294117618E-2</v>
      </c>
      <c r="F78" s="28">
        <v>0.39873417721519</v>
      </c>
      <c r="G78" s="28">
        <v>6.3348416289592757E-2</v>
      </c>
      <c r="H78" s="28">
        <v>3.8297872340425476E-2</v>
      </c>
      <c r="I78" s="28">
        <v>-0.12295081967213117</v>
      </c>
      <c r="J78" s="28">
        <v>-0.14672897196261669</v>
      </c>
      <c r="K78" s="28">
        <v>0.32530120481927693</v>
      </c>
      <c r="L78" s="28">
        <v>0</v>
      </c>
      <c r="M78" s="29"/>
      <c r="N78" s="28">
        <v>-8.2644628099173612E-2</v>
      </c>
      <c r="O78" s="30" t="s">
        <v>73</v>
      </c>
      <c r="P78" s="31"/>
      <c r="Q78" s="28">
        <v>0.34057971014492749</v>
      </c>
      <c r="S78" s="32">
        <v>8.2799999999999994</v>
      </c>
      <c r="T78" s="32">
        <v>11.3</v>
      </c>
      <c r="U78" s="32">
        <v>12</v>
      </c>
      <c r="V78" s="32">
        <v>8.5</v>
      </c>
      <c r="W78" s="32">
        <v>7.9</v>
      </c>
      <c r="X78" s="32">
        <v>11.05</v>
      </c>
      <c r="Y78" s="32">
        <v>11.75</v>
      </c>
      <c r="Z78" s="32">
        <v>12.2</v>
      </c>
      <c r="AA78" s="32">
        <v>10.7</v>
      </c>
      <c r="AB78" s="32">
        <v>9.1300000000000008</v>
      </c>
      <c r="AC78" s="32">
        <v>12.1</v>
      </c>
      <c r="AD78" s="32">
        <v>12.1</v>
      </c>
    </row>
    <row r="79" spans="1:30" x14ac:dyDescent="0.25">
      <c r="A79" s="33" t="s">
        <v>74</v>
      </c>
      <c r="B79" s="28">
        <v>5.0000000000000044E-2</v>
      </c>
      <c r="C79" s="28">
        <v>0.17142857142857149</v>
      </c>
      <c r="D79" s="28">
        <v>-2.4390243902439046E-2</v>
      </c>
      <c r="E79" s="28">
        <v>0</v>
      </c>
      <c r="F79" s="28">
        <v>5.8333333333333348E-2</v>
      </c>
      <c r="G79" s="28">
        <v>6.1023622047243986E-2</v>
      </c>
      <c r="H79" s="28">
        <v>2.4118738404452778E-2</v>
      </c>
      <c r="I79" s="28">
        <v>-9.4202898550724612E-2</v>
      </c>
      <c r="J79" s="28">
        <v>3.2000000000000028E-2</v>
      </c>
      <c r="K79" s="28">
        <v>6.2015503875969102E-2</v>
      </c>
      <c r="L79" s="28">
        <v>7.2992700729928028E-3</v>
      </c>
      <c r="M79" s="29"/>
      <c r="N79" s="28">
        <v>-0.10144927536231885</v>
      </c>
      <c r="O79" s="30" t="s">
        <v>74</v>
      </c>
      <c r="P79" s="31"/>
      <c r="Q79" s="28">
        <v>0.24000000000000066</v>
      </c>
      <c r="S79" s="32">
        <v>100</v>
      </c>
      <c r="T79" s="32">
        <v>105</v>
      </c>
      <c r="U79" s="32">
        <v>123</v>
      </c>
      <c r="V79" s="32">
        <v>120</v>
      </c>
      <c r="W79" s="32">
        <v>120</v>
      </c>
      <c r="X79" s="32">
        <v>127</v>
      </c>
      <c r="Y79" s="32">
        <v>134.75</v>
      </c>
      <c r="Z79" s="32">
        <v>138</v>
      </c>
      <c r="AA79" s="32">
        <v>125</v>
      </c>
      <c r="AB79" s="32">
        <v>129</v>
      </c>
      <c r="AC79" s="32">
        <v>137</v>
      </c>
      <c r="AD79" s="32">
        <v>138</v>
      </c>
    </row>
    <row r="80" spans="1:30" x14ac:dyDescent="0.25">
      <c r="A80" s="33" t="s">
        <v>75</v>
      </c>
      <c r="B80" s="28">
        <v>2.9032257818906837E-2</v>
      </c>
      <c r="C80" s="28">
        <v>0.17241379337859986</v>
      </c>
      <c r="D80" s="28">
        <v>-5.0176422536083898E-2</v>
      </c>
      <c r="E80" s="28">
        <v>-7.999999999999996E-2</v>
      </c>
      <c r="F80" s="28">
        <v>-8.0745341614906874E-2</v>
      </c>
      <c r="G80" s="28">
        <v>5.7432432432432456E-2</v>
      </c>
      <c r="H80" s="28">
        <v>-5.7507987220447254E-2</v>
      </c>
      <c r="I80" s="28">
        <v>8.5052973588739533E-4</v>
      </c>
      <c r="J80" s="28">
        <v>-0.14285714285714268</v>
      </c>
      <c r="K80" s="28">
        <v>0.24324324324324298</v>
      </c>
      <c r="L80" s="28">
        <v>0.12318840579710155</v>
      </c>
      <c r="M80" s="29"/>
      <c r="N80" s="28">
        <v>-7.4193548387096797E-2</v>
      </c>
      <c r="O80" s="30" t="s">
        <v>75</v>
      </c>
      <c r="P80" s="31"/>
      <c r="Q80" s="28">
        <v>7.1169459588505957E-2</v>
      </c>
      <c r="S80" s="32">
        <v>2.679314626</v>
      </c>
      <c r="T80" s="32">
        <v>2.7571011790000002</v>
      </c>
      <c r="U80" s="32">
        <v>3.2324634520000002</v>
      </c>
      <c r="V80" s="32">
        <v>3.0702699999999998</v>
      </c>
      <c r="W80" s="32">
        <v>2.8246484000000001</v>
      </c>
      <c r="X80" s="32">
        <v>2.5965712000000001</v>
      </c>
      <c r="Y80" s="32">
        <v>2.7456985999999999</v>
      </c>
      <c r="Z80" s="32">
        <v>2.587799</v>
      </c>
      <c r="AA80" s="32">
        <v>2.59</v>
      </c>
      <c r="AB80" s="32">
        <v>2.2200000000000002</v>
      </c>
      <c r="AC80" s="32">
        <v>2.76</v>
      </c>
      <c r="AD80" s="32">
        <v>3.1</v>
      </c>
    </row>
    <row r="81" spans="1:30" x14ac:dyDescent="0.25">
      <c r="A81" s="33" t="s">
        <v>76</v>
      </c>
      <c r="B81" s="28">
        <v>-3.1395348837209291E-2</v>
      </c>
      <c r="C81" s="28">
        <v>0.10444177671068422</v>
      </c>
      <c r="D81" s="28">
        <v>-0.18478260869565211</v>
      </c>
      <c r="E81" s="28">
        <v>4.5333333333333226E-2</v>
      </c>
      <c r="F81" s="28">
        <v>-4.84693877551019E-2</v>
      </c>
      <c r="G81" s="28">
        <v>0.13941018766756041</v>
      </c>
      <c r="H81" s="28">
        <v>8.2352941176470518E-2</v>
      </c>
      <c r="I81" s="28">
        <v>2.1739130434782483E-2</v>
      </c>
      <c r="J81" s="28">
        <v>-9.9999999999999978E-2</v>
      </c>
      <c r="K81" s="28">
        <v>0.14321251863436424</v>
      </c>
      <c r="L81" s="28">
        <v>0.17234042553191498</v>
      </c>
      <c r="M81" s="29"/>
      <c r="N81" s="28">
        <v>-8.5299455535390201E-2</v>
      </c>
      <c r="O81" s="30" t="s">
        <v>76</v>
      </c>
      <c r="P81" s="31"/>
      <c r="Q81" s="28">
        <v>0.20595627547104089</v>
      </c>
      <c r="S81" s="32">
        <v>41.792560000000002</v>
      </c>
      <c r="T81" s="32">
        <v>40.480468000000002</v>
      </c>
      <c r="U81" s="32">
        <v>44.708320000000001</v>
      </c>
      <c r="V81" s="32">
        <v>36.447000000000003</v>
      </c>
      <c r="W81" s="32">
        <v>38.099263999999998</v>
      </c>
      <c r="X81" s="32">
        <v>36.252616000000003</v>
      </c>
      <c r="Y81" s="32">
        <v>41.306600000000003</v>
      </c>
      <c r="Z81" s="32">
        <v>44.708320000000001</v>
      </c>
      <c r="AA81" s="32">
        <v>45.680239999999998</v>
      </c>
      <c r="AB81" s="32">
        <v>41.112215999999997</v>
      </c>
      <c r="AC81" s="32">
        <v>47</v>
      </c>
      <c r="AD81" s="32">
        <v>55.1</v>
      </c>
    </row>
    <row r="82" spans="1:30" x14ac:dyDescent="0.25">
      <c r="A82" s="33" t="s">
        <v>77</v>
      </c>
      <c r="B82" s="28">
        <v>-0.16666666666666663</v>
      </c>
      <c r="C82" s="28">
        <v>0.16315789473684217</v>
      </c>
      <c r="D82" s="28">
        <v>-0.19999999999999996</v>
      </c>
      <c r="E82" s="28">
        <v>0.24434389140271495</v>
      </c>
      <c r="F82" s="28">
        <v>6.3636363636363713E-2</v>
      </c>
      <c r="G82" s="28">
        <v>0.22222222222222232</v>
      </c>
      <c r="H82" s="28">
        <v>6.9930069930070893E-3</v>
      </c>
      <c r="I82" s="28">
        <v>0</v>
      </c>
      <c r="J82" s="28">
        <v>0.13888888888888884</v>
      </c>
      <c r="K82" s="28">
        <v>8.5365853658536661E-2</v>
      </c>
      <c r="L82" s="28">
        <v>0.11235955056179781</v>
      </c>
      <c r="M82" s="29"/>
      <c r="N82" s="28">
        <v>-6.1616161616161569E-2</v>
      </c>
      <c r="O82" s="30" t="s">
        <v>77</v>
      </c>
      <c r="P82" s="31"/>
      <c r="Q82" s="28">
        <v>0.62982456140350984</v>
      </c>
      <c r="S82" s="32">
        <v>57</v>
      </c>
      <c r="T82" s="32">
        <v>47.5</v>
      </c>
      <c r="U82" s="32">
        <v>55.25</v>
      </c>
      <c r="V82" s="32">
        <v>44.2</v>
      </c>
      <c r="W82" s="32">
        <v>55</v>
      </c>
      <c r="X82" s="32">
        <v>58.5</v>
      </c>
      <c r="Y82" s="32">
        <v>71.5</v>
      </c>
      <c r="Z82" s="32">
        <v>72</v>
      </c>
      <c r="AA82" s="32">
        <v>72</v>
      </c>
      <c r="AB82" s="32">
        <v>82</v>
      </c>
      <c r="AC82" s="32">
        <v>89</v>
      </c>
      <c r="AD82" s="32">
        <v>99</v>
      </c>
    </row>
    <row r="83" spans="1:30" x14ac:dyDescent="0.25">
      <c r="A83" s="33" t="s">
        <v>78</v>
      </c>
      <c r="B83" s="28">
        <v>-0.125</v>
      </c>
      <c r="C83" s="28">
        <v>0.14285714285714279</v>
      </c>
      <c r="D83" s="28">
        <v>-0.125</v>
      </c>
      <c r="E83" s="28">
        <v>-9.5238095238095233E-2</v>
      </c>
      <c r="F83" s="28">
        <v>1.3157894736842035E-2</v>
      </c>
      <c r="G83" s="28">
        <v>1.298701298701288E-2</v>
      </c>
      <c r="H83" s="28">
        <v>-8.2051282051282093E-2</v>
      </c>
      <c r="I83" s="28">
        <v>6.1452513966480549E-2</v>
      </c>
      <c r="J83" s="28">
        <v>-0.11052631578947381</v>
      </c>
      <c r="K83" s="28">
        <v>3.5502958579881838E-2</v>
      </c>
      <c r="L83" s="28">
        <v>8.285714285714274E-2</v>
      </c>
      <c r="M83" s="29"/>
      <c r="N83" s="28">
        <v>-7.6517150395778333E-2</v>
      </c>
      <c r="O83" s="30" t="s">
        <v>78</v>
      </c>
      <c r="P83" s="31"/>
      <c r="Q83" s="28">
        <v>-0.27083333333333348</v>
      </c>
      <c r="S83" s="32">
        <v>48</v>
      </c>
      <c r="T83" s="32">
        <v>42</v>
      </c>
      <c r="U83" s="32">
        <v>48</v>
      </c>
      <c r="V83" s="32">
        <v>42</v>
      </c>
      <c r="W83" s="32">
        <v>38</v>
      </c>
      <c r="X83" s="32">
        <v>38.5</v>
      </c>
      <c r="Y83" s="32">
        <v>39</v>
      </c>
      <c r="Z83" s="32">
        <v>35.799999999999997</v>
      </c>
      <c r="AA83" s="32">
        <v>38</v>
      </c>
      <c r="AB83" s="32">
        <v>33.799999999999997</v>
      </c>
      <c r="AC83" s="32">
        <v>35</v>
      </c>
      <c r="AD83" s="32">
        <v>37.9</v>
      </c>
    </row>
    <row r="84" spans="1:30" x14ac:dyDescent="0.25">
      <c r="A84" s="33" t="s">
        <v>79</v>
      </c>
      <c r="B84" s="28">
        <v>2.4390243902439046E-2</v>
      </c>
      <c r="C84" s="28">
        <v>-5.2380952380952417E-2</v>
      </c>
      <c r="D84" s="28">
        <v>-0.12060301507537685</v>
      </c>
      <c r="E84" s="28">
        <v>5.7142857142857828E-3</v>
      </c>
      <c r="F84" s="28">
        <v>-1.1363636363636576E-2</v>
      </c>
      <c r="G84" s="28">
        <v>6.7816091954022939E-2</v>
      </c>
      <c r="H84" s="28">
        <v>-4.1980624327233484E-2</v>
      </c>
      <c r="I84" s="28">
        <v>-5.6179775280898903E-2</v>
      </c>
      <c r="J84" s="28">
        <v>1.1904761904761862E-2</v>
      </c>
      <c r="K84" s="28">
        <v>1.1764705882352899E-2</v>
      </c>
      <c r="L84" s="28">
        <v>0.2441860465116279</v>
      </c>
      <c r="M84" s="29"/>
      <c r="N84" s="28">
        <v>-0.11214953271028028</v>
      </c>
      <c r="O84" s="30" t="s">
        <v>79</v>
      </c>
      <c r="P84" s="31"/>
      <c r="Q84" s="28">
        <v>-7.317073170731736E-2</v>
      </c>
      <c r="S84" s="32">
        <v>10.25</v>
      </c>
      <c r="T84" s="32">
        <v>10.5</v>
      </c>
      <c r="U84" s="32">
        <v>9.9499999999999993</v>
      </c>
      <c r="V84" s="32">
        <v>8.75</v>
      </c>
      <c r="W84" s="32">
        <v>8.8000000000000007</v>
      </c>
      <c r="X84" s="32">
        <v>8.6999999999999993</v>
      </c>
      <c r="Y84" s="32">
        <v>9.2899999999999991</v>
      </c>
      <c r="Z84" s="32">
        <v>8.9</v>
      </c>
      <c r="AA84" s="32">
        <v>8.4</v>
      </c>
      <c r="AB84" s="32">
        <v>8.5</v>
      </c>
      <c r="AC84" s="32">
        <v>8.6</v>
      </c>
      <c r="AD84" s="32">
        <v>10.7</v>
      </c>
    </row>
    <row r="85" spans="1:30" x14ac:dyDescent="0.25">
      <c r="A85" s="33" t="s">
        <v>80</v>
      </c>
      <c r="B85" s="28">
        <v>-3.9927404718693382E-2</v>
      </c>
      <c r="C85" s="28">
        <v>-2.8220361868754984E-2</v>
      </c>
      <c r="D85" s="28">
        <v>-6.5443934972905349E-2</v>
      </c>
      <c r="E85" s="28">
        <v>7.0918822479928645E-2</v>
      </c>
      <c r="F85" s="28">
        <v>5.0673330556712637E-2</v>
      </c>
      <c r="G85" s="28">
        <v>1.0835095137420758E-2</v>
      </c>
      <c r="H85" s="28">
        <v>-6.9281045751633963E-2</v>
      </c>
      <c r="I85" s="28">
        <v>-9.550561797752799E-2</v>
      </c>
      <c r="J85" s="28">
        <v>-8.8800183753470874E-2</v>
      </c>
      <c r="K85" s="28">
        <v>-8.1455805892547639E-2</v>
      </c>
      <c r="L85" s="28">
        <v>0.39999999999999991</v>
      </c>
      <c r="M85" s="29"/>
      <c r="N85" s="28">
        <v>-0.1253369272237197</v>
      </c>
      <c r="O85" s="30" t="s">
        <v>80</v>
      </c>
      <c r="P85" s="31"/>
      <c r="Q85" s="28">
        <v>-0.14436460840935539</v>
      </c>
      <c r="S85" s="32">
        <v>379.2503246</v>
      </c>
      <c r="T85" s="32">
        <v>364.10784339999998</v>
      </c>
      <c r="U85" s="32">
        <v>353.8325883</v>
      </c>
      <c r="V85" s="32">
        <v>330.6763914</v>
      </c>
      <c r="W85" s="32">
        <v>354.12757169999998</v>
      </c>
      <c r="X85" s="32">
        <v>372.07239520000002</v>
      </c>
      <c r="Y85" s="32">
        <v>376.103835</v>
      </c>
      <c r="Z85" s="32">
        <v>350.04696799999999</v>
      </c>
      <c r="AA85" s="32">
        <v>316.61551600000001</v>
      </c>
      <c r="AB85" s="32">
        <v>288.5</v>
      </c>
      <c r="AC85" s="32">
        <v>265</v>
      </c>
      <c r="AD85" s="32">
        <v>371</v>
      </c>
    </row>
    <row r="86" spans="1:30" hidden="1" x14ac:dyDescent="0.25">
      <c r="A86" s="35" t="s">
        <v>81</v>
      </c>
      <c r="B86" s="28">
        <v>0</v>
      </c>
      <c r="C86" s="28">
        <v>7.3684210526315796E-2</v>
      </c>
      <c r="D86" s="28">
        <v>-0.16666666666666663</v>
      </c>
      <c r="E86" s="28">
        <v>-5.8823529411764719E-2</v>
      </c>
      <c r="F86" s="28">
        <v>0</v>
      </c>
      <c r="G86" s="28">
        <v>0</v>
      </c>
      <c r="H86" s="28">
        <v>0</v>
      </c>
      <c r="I86" s="28">
        <v>0</v>
      </c>
      <c r="J86" s="28">
        <v>-0.12500000000000011</v>
      </c>
      <c r="K86" s="28">
        <v>0</v>
      </c>
      <c r="L86" s="36">
        <v>928.48162345119329</v>
      </c>
      <c r="M86" s="29"/>
      <c r="N86" s="28">
        <v>-0.99902500000000005</v>
      </c>
      <c r="O86" s="37" t="s">
        <v>81</v>
      </c>
      <c r="P86" s="38"/>
      <c r="Q86" s="28">
        <v>-0.33224083367852053</v>
      </c>
      <c r="S86" s="32">
        <v>2.9202145000000002</v>
      </c>
      <c r="T86" s="32">
        <v>2.9202145000000002</v>
      </c>
      <c r="U86" s="32">
        <v>3.1353882</v>
      </c>
      <c r="V86" s="32">
        <v>2.6128235000000002</v>
      </c>
      <c r="W86" s="32">
        <v>2.4591280000000002</v>
      </c>
      <c r="X86" s="32">
        <v>2.4591280000000002</v>
      </c>
      <c r="Y86" s="32">
        <v>2.4591280000000002</v>
      </c>
      <c r="Z86" s="32">
        <v>2.4591280000000002</v>
      </c>
      <c r="AA86" s="32">
        <v>2.4591280000000002</v>
      </c>
      <c r="AB86" s="32">
        <v>2.1517369999999998</v>
      </c>
      <c r="AC86" s="32">
        <v>2.1517369999999998</v>
      </c>
      <c r="AD86" s="32">
        <v>2000</v>
      </c>
    </row>
    <row r="87" spans="1:30" x14ac:dyDescent="0.25">
      <c r="A87" s="39"/>
      <c r="N87" s="40"/>
      <c r="O87" s="30"/>
    </row>
    <row r="88" spans="1:30" x14ac:dyDescent="0.25">
      <c r="A88" s="39"/>
      <c r="N88" s="31"/>
      <c r="O88" s="30"/>
    </row>
    <row r="89" spans="1:30" x14ac:dyDescent="0.25">
      <c r="N89" s="31"/>
      <c r="O89" s="30"/>
    </row>
    <row r="90" spans="1:30" x14ac:dyDescent="0.25">
      <c r="L90" s="41"/>
    </row>
    <row r="91" spans="1:30" x14ac:dyDescent="0.25">
      <c r="L91" s="41"/>
    </row>
    <row r="92" spans="1:30" x14ac:dyDescent="0.25">
      <c r="L92" s="41"/>
    </row>
    <row r="93" spans="1:30" x14ac:dyDescent="0.25">
      <c r="L93" s="41"/>
    </row>
    <row r="94" spans="1:30" x14ac:dyDescent="0.25">
      <c r="L94" s="41"/>
    </row>
    <row r="95" spans="1:30" x14ac:dyDescent="0.25">
      <c r="L95" s="41"/>
    </row>
    <row r="96" spans="1:30" x14ac:dyDescent="0.25">
      <c r="L96" s="41"/>
    </row>
    <row r="97" spans="4:12" x14ac:dyDescent="0.25">
      <c r="L97" s="41"/>
    </row>
    <row r="98" spans="4:12" x14ac:dyDescent="0.25">
      <c r="L98" s="41"/>
    </row>
    <row r="99" spans="4:12" x14ac:dyDescent="0.25">
      <c r="D99" s="41"/>
    </row>
    <row r="100" spans="4:12" x14ac:dyDescent="0.25">
      <c r="D100" s="41"/>
    </row>
    <row r="101" spans="4:12" x14ac:dyDescent="0.25">
      <c r="D101" s="41"/>
    </row>
    <row r="102" spans="4:12" x14ac:dyDescent="0.25">
      <c r="D102" s="41"/>
    </row>
    <row r="103" spans="4:12" x14ac:dyDescent="0.25">
      <c r="D103" s="41"/>
    </row>
    <row r="104" spans="4:12" x14ac:dyDescent="0.25">
      <c r="D104" s="41"/>
    </row>
    <row r="105" spans="4:12" x14ac:dyDescent="0.25">
      <c r="D105" s="41"/>
    </row>
    <row r="106" spans="4:12" x14ac:dyDescent="0.25">
      <c r="D106" s="41"/>
    </row>
    <row r="107" spans="4:12" x14ac:dyDescent="0.25">
      <c r="D107" s="41"/>
    </row>
  </sheetData>
  <mergeCells count="17">
    <mergeCell ref="Q10:Q11"/>
    <mergeCell ref="J10:J11"/>
    <mergeCell ref="K10:K11"/>
    <mergeCell ref="L10:L11"/>
    <mergeCell ref="N10:N11"/>
    <mergeCell ref="O10:O11"/>
    <mergeCell ref="P10:P11"/>
    <mergeCell ref="B9:L9"/>
    <mergeCell ref="A10:A11"/>
    <mergeCell ref="B10:B11"/>
    <mergeCell ref="C10:C11"/>
    <mergeCell ref="D10:D11"/>
    <mergeCell ref="E10:E11"/>
    <mergeCell ref="F10:F11"/>
    <mergeCell ref="G10:G11"/>
    <mergeCell ref="H10:H11"/>
    <mergeCell ref="I10:I11"/>
  </mergeCells>
  <conditionalFormatting sqref="B7:J7">
    <cfRule type="expression" dxfId="35" priority="28">
      <formula>B7&lt;-0.175</formula>
    </cfRule>
    <cfRule type="expression" dxfId="34" priority="29">
      <formula>AND(B7&lt;-0.125,B7&gt;=-0.175)</formula>
    </cfRule>
    <cfRule type="expression" dxfId="33" priority="30">
      <formula>AND(B7&lt;-0.075,B7&gt;=-0.125)</formula>
    </cfRule>
    <cfRule type="expression" dxfId="32" priority="31">
      <formula>AND(B7&lt;-0.025,B7&gt;=-0.075)</formula>
    </cfRule>
    <cfRule type="expression" dxfId="31" priority="32">
      <formula>B7&gt;0.175</formula>
    </cfRule>
    <cfRule type="expression" dxfId="30" priority="33">
      <formula>AND(B7&lt;0.175,B7&gt;=0.125)</formula>
    </cfRule>
    <cfRule type="expression" dxfId="29" priority="34">
      <formula>AND(B7&lt;0.125,B7&gt;=0.075)</formula>
    </cfRule>
    <cfRule type="expression" dxfId="28" priority="35">
      <formula>AND(B7&lt;0.075,B7&gt;=0.025)</formula>
    </cfRule>
    <cfRule type="expression" dxfId="27" priority="36">
      <formula>AND(B7&lt;0.025,B7&gt;-0.025)</formula>
    </cfRule>
  </conditionalFormatting>
  <conditionalFormatting sqref="B12:L86">
    <cfRule type="expression" dxfId="26" priority="19">
      <formula>B12&lt;-0.175</formula>
    </cfRule>
    <cfRule type="expression" dxfId="25" priority="20">
      <formula>AND(B12&lt;-0.125,B12&gt;=-0.175)</formula>
    </cfRule>
    <cfRule type="expression" dxfId="24" priority="21">
      <formula>AND(B12&lt;-0.075,B12&gt;=-0.125)</formula>
    </cfRule>
    <cfRule type="expression" dxfId="23" priority="22">
      <formula>AND(B12&lt;-0.025,B12&gt;=-0.075)</formula>
    </cfRule>
    <cfRule type="expression" dxfId="22" priority="23">
      <formula>B12&gt;0.175</formula>
    </cfRule>
    <cfRule type="expression" dxfId="21" priority="24">
      <formula>AND(B12&lt;0.175,B12&gt;=0.125)</formula>
    </cfRule>
    <cfRule type="expression" dxfId="20" priority="25">
      <formula>AND(B12&lt;0.125,B12&gt;=0.075)</formula>
    </cfRule>
    <cfRule type="expression" dxfId="19" priority="26">
      <formula>AND(B12&lt;0.075,B12&gt;=0.025)</formula>
    </cfRule>
    <cfRule type="expression" dxfId="18" priority="27">
      <formula>AND(B12&lt;0.025,B12&gt;-0.025)</formula>
    </cfRule>
  </conditionalFormatting>
  <conditionalFormatting sqref="Q12:Q86">
    <cfRule type="expression" dxfId="17" priority="1">
      <formula>Q12&lt;-0.175</formula>
    </cfRule>
    <cfRule type="expression" dxfId="16" priority="2">
      <formula>AND(Q12&lt;-0.125,Q12&gt;=-0.175)</formula>
    </cfRule>
    <cfRule type="expression" dxfId="15" priority="3">
      <formula>AND(Q12&lt;-0.075,Q12&gt;=-0.125)</formula>
    </cfRule>
    <cfRule type="expression" dxfId="14" priority="4">
      <formula>AND(Q12&lt;-0.025,Q12&gt;=-0.075)</formula>
    </cfRule>
    <cfRule type="expression" dxfId="13" priority="5">
      <formula>Q12&gt;0.175</formula>
    </cfRule>
    <cfRule type="expression" dxfId="12" priority="6">
      <formula>AND(Q12&lt;0.175,Q12&gt;=0.125)</formula>
    </cfRule>
    <cfRule type="expression" dxfId="11" priority="7">
      <formula>AND(Q12&lt;0.125,Q12&gt;=0.075)</formula>
    </cfRule>
    <cfRule type="expression" dxfId="10" priority="8">
      <formula>AND(Q12&lt;0.075,Q12&gt;=0.025)</formula>
    </cfRule>
    <cfRule type="expression" dxfId="9" priority="9">
      <formula>AND(Q12&lt;0.025,Q12&gt;-0.025)</formula>
    </cfRule>
  </conditionalFormatting>
  <conditionalFormatting sqref="N12:N86">
    <cfRule type="expression" dxfId="8" priority="10">
      <formula>N12&lt;-0.175</formula>
    </cfRule>
    <cfRule type="expression" dxfId="7" priority="11">
      <formula>AND(N12&lt;-0.125,N12&gt;=-0.175)</formula>
    </cfRule>
    <cfRule type="expression" dxfId="6" priority="12">
      <formula>AND(N12&lt;-0.075,N12&gt;=-0.125)</formula>
    </cfRule>
    <cfRule type="expression" dxfId="5" priority="13">
      <formula>AND(N12&lt;-0.025,N12&gt;=-0.075)</formula>
    </cfRule>
    <cfRule type="expression" dxfId="4" priority="14">
      <formula>N12&gt;=0.175</formula>
    </cfRule>
    <cfRule type="expression" dxfId="3" priority="15">
      <formula>AND(N12&lt;0.175,N12&gt;=0.125)</formula>
    </cfRule>
    <cfRule type="expression" dxfId="2" priority="16">
      <formula>AND(N12&lt;0.125,N12&gt;=0.075)</formula>
    </cfRule>
    <cfRule type="expression" dxfId="1" priority="17">
      <formula>AND(N12&lt;0.075,N12&gt;=0.025)</formula>
    </cfRule>
    <cfRule type="expression" dxfId="0" priority="18">
      <formula>AND(N12&lt;0.025,N12&gt;-0.025)</formula>
    </cfRule>
  </conditionalFormatting>
  <printOptions verticalCentered="1"/>
  <pageMargins left="0" right="0" top="0.34" bottom="0" header="0.25" footer="0.5"/>
  <pageSetup paperSize="9" scale="55" orientation="portrait" r:id="rId1"/>
  <headerFooter differentFirst="1">
    <oddHeader>&amp;LReporte de Ratios Argentina&amp;R&amp;G</oddHeader>
    <oddFooter>&amp;Cwww.invertironline.com&amp;R&amp;P</oddFooter>
    <firstHeader>&amp;R&amp;G</firstHeader>
    <firstFooter>&amp;Cwww.invertironline.com</firstFooter>
  </headerFooter>
  <legacyDrawingHF r:id="rId2"/>
  <extLst>
    <ext xmlns:x14="http://schemas.microsoft.com/office/spreadsheetml/2009/9/main" uri="{05C60535-1F16-4fd2-B633-F4F36F0B64E0}">
      <x14:sparklineGroups xmlns:xm="http://schemas.microsoft.com/office/excel/2006/main">
        <x14:sparklineGroup lineWeight="1.5" displayEmptyCellsAs="gap">
          <x14:colorSeries theme="1"/>
          <x14:colorNegative theme="9"/>
          <x14:colorAxis rgb="FF000000"/>
          <x14:colorMarkers theme="8"/>
          <x14:colorFirst theme="4"/>
          <x14:colorLast theme="5"/>
          <x14:colorHigh theme="6"/>
          <x14:colorLow theme="7"/>
          <x14:sparklines>
            <x14:sparkline>
              <xm:f>Heatmap!S12:AD12</xm:f>
              <xm:sqref>P12</xm:sqref>
            </x14:sparkline>
            <x14:sparkline>
              <xm:f>Heatmap!S13:AD13</xm:f>
              <xm:sqref>P13</xm:sqref>
            </x14:sparkline>
            <x14:sparkline>
              <xm:f>Heatmap!S14:AD14</xm:f>
              <xm:sqref>P14</xm:sqref>
            </x14:sparkline>
            <x14:sparkline>
              <xm:f>Heatmap!S15:AD15</xm:f>
              <xm:sqref>P15</xm:sqref>
            </x14:sparkline>
            <x14:sparkline>
              <xm:f>Heatmap!S16:AD16</xm:f>
              <xm:sqref>P16</xm:sqref>
            </x14:sparkline>
            <x14:sparkline>
              <xm:f>Heatmap!S17:AD17</xm:f>
              <xm:sqref>P17</xm:sqref>
            </x14:sparkline>
            <x14:sparkline>
              <xm:f>Heatmap!S18:AD18</xm:f>
              <xm:sqref>P18</xm:sqref>
            </x14:sparkline>
            <x14:sparkline>
              <xm:f>Heatmap!S19:AD19</xm:f>
              <xm:sqref>P19</xm:sqref>
            </x14:sparkline>
            <x14:sparkline>
              <xm:f>Heatmap!S20:AD20</xm:f>
              <xm:sqref>P20</xm:sqref>
            </x14:sparkline>
            <x14:sparkline>
              <xm:f>Heatmap!S21:AD21</xm:f>
              <xm:sqref>P21</xm:sqref>
            </x14:sparkline>
            <x14:sparkline>
              <xm:f>Heatmap!S22:AD22</xm:f>
              <xm:sqref>P22</xm:sqref>
            </x14:sparkline>
            <x14:sparkline>
              <xm:f>Heatmap!S23:AD23</xm:f>
              <xm:sqref>P23</xm:sqref>
            </x14:sparkline>
            <x14:sparkline>
              <xm:f>Heatmap!S24:AD24</xm:f>
              <xm:sqref>P24</xm:sqref>
            </x14:sparkline>
            <x14:sparkline>
              <xm:f>Heatmap!S25:AD25</xm:f>
              <xm:sqref>P25</xm:sqref>
            </x14:sparkline>
            <x14:sparkline>
              <xm:f>Heatmap!S26:AD26</xm:f>
              <xm:sqref>P26</xm:sqref>
            </x14:sparkline>
            <x14:sparkline>
              <xm:f>Heatmap!S27:AD27</xm:f>
              <xm:sqref>P27</xm:sqref>
            </x14:sparkline>
            <x14:sparkline>
              <xm:f>Heatmap!S28:AD28</xm:f>
              <xm:sqref>P28</xm:sqref>
            </x14:sparkline>
            <x14:sparkline>
              <xm:f>Heatmap!S29:AD29</xm:f>
              <xm:sqref>P29</xm:sqref>
            </x14:sparkline>
            <x14:sparkline>
              <xm:f>Heatmap!S30:AD30</xm:f>
              <xm:sqref>P30</xm:sqref>
            </x14:sparkline>
            <x14:sparkline>
              <xm:f>Heatmap!S31:AD31</xm:f>
              <xm:sqref>P31</xm:sqref>
            </x14:sparkline>
            <x14:sparkline>
              <xm:f>Heatmap!S32:AD32</xm:f>
              <xm:sqref>P32</xm:sqref>
            </x14:sparkline>
            <x14:sparkline>
              <xm:f>Heatmap!S33:AD33</xm:f>
              <xm:sqref>P33</xm:sqref>
            </x14:sparkline>
            <x14:sparkline>
              <xm:f>Heatmap!S34:AD34</xm:f>
              <xm:sqref>P34</xm:sqref>
            </x14:sparkline>
            <x14:sparkline>
              <xm:f>Heatmap!S35:AD35</xm:f>
              <xm:sqref>P35</xm:sqref>
            </x14:sparkline>
            <x14:sparkline>
              <xm:f>Heatmap!S36:AD36</xm:f>
              <xm:sqref>P36</xm:sqref>
            </x14:sparkline>
            <x14:sparkline>
              <xm:f>Heatmap!S37:AD37</xm:f>
              <xm:sqref>P37</xm:sqref>
            </x14:sparkline>
            <x14:sparkline>
              <xm:f>Heatmap!S38:AD38</xm:f>
              <xm:sqref>P38</xm:sqref>
            </x14:sparkline>
            <x14:sparkline>
              <xm:f>Heatmap!S39:AD39</xm:f>
              <xm:sqref>P39</xm:sqref>
            </x14:sparkline>
            <x14:sparkline>
              <xm:f>Heatmap!S40:AD40</xm:f>
              <xm:sqref>P40</xm:sqref>
            </x14:sparkline>
            <x14:sparkline>
              <xm:f>Heatmap!S41:AD41</xm:f>
              <xm:sqref>P41</xm:sqref>
            </x14:sparkline>
            <x14:sparkline>
              <xm:f>Heatmap!S42:AD42</xm:f>
              <xm:sqref>P42</xm:sqref>
            </x14:sparkline>
            <x14:sparkline>
              <xm:f>Heatmap!S43:AD43</xm:f>
              <xm:sqref>P43</xm:sqref>
            </x14:sparkline>
            <x14:sparkline>
              <xm:f>Heatmap!S44:AD44</xm:f>
              <xm:sqref>P44</xm:sqref>
            </x14:sparkline>
            <x14:sparkline>
              <xm:f>Heatmap!S45:AD45</xm:f>
              <xm:sqref>P45</xm:sqref>
            </x14:sparkline>
            <x14:sparkline>
              <xm:f>Heatmap!S46:AD46</xm:f>
              <xm:sqref>P46</xm:sqref>
            </x14:sparkline>
            <x14:sparkline>
              <xm:f>Heatmap!S47:AD47</xm:f>
              <xm:sqref>P47</xm:sqref>
            </x14:sparkline>
            <x14:sparkline>
              <xm:f>Heatmap!S48:AD48</xm:f>
              <xm:sqref>P48</xm:sqref>
            </x14:sparkline>
            <x14:sparkline>
              <xm:f>Heatmap!S49:AD49</xm:f>
              <xm:sqref>P49</xm:sqref>
            </x14:sparkline>
            <x14:sparkline>
              <xm:f>Heatmap!S50:AD50</xm:f>
              <xm:sqref>P50</xm:sqref>
            </x14:sparkline>
            <x14:sparkline>
              <xm:f>Heatmap!S51:AD51</xm:f>
              <xm:sqref>P51</xm:sqref>
            </x14:sparkline>
            <x14:sparkline>
              <xm:f>Heatmap!S52:AD52</xm:f>
              <xm:sqref>P52</xm:sqref>
            </x14:sparkline>
            <x14:sparkline>
              <xm:f>Heatmap!S53:AD53</xm:f>
              <xm:sqref>P53</xm:sqref>
            </x14:sparkline>
            <x14:sparkline>
              <xm:f>Heatmap!S54:AD54</xm:f>
              <xm:sqref>P54</xm:sqref>
            </x14:sparkline>
            <x14:sparkline>
              <xm:f>Heatmap!S55:AD55</xm:f>
              <xm:sqref>P55</xm:sqref>
            </x14:sparkline>
            <x14:sparkline>
              <xm:f>Heatmap!S56:AD56</xm:f>
              <xm:sqref>P56</xm:sqref>
            </x14:sparkline>
            <x14:sparkline>
              <xm:f>Heatmap!S57:AD57</xm:f>
              <xm:sqref>P57</xm:sqref>
            </x14:sparkline>
            <x14:sparkline>
              <xm:f>Heatmap!S58:AD58</xm:f>
              <xm:sqref>P58</xm:sqref>
            </x14:sparkline>
            <x14:sparkline>
              <xm:f>Heatmap!S59:AD59</xm:f>
              <xm:sqref>P59</xm:sqref>
            </x14:sparkline>
            <x14:sparkline>
              <xm:f>Heatmap!S60:AD60</xm:f>
              <xm:sqref>P60</xm:sqref>
            </x14:sparkline>
            <x14:sparkline>
              <xm:f>Heatmap!S61:AD61</xm:f>
              <xm:sqref>P61</xm:sqref>
            </x14:sparkline>
            <x14:sparkline>
              <xm:f>Heatmap!S62:AD62</xm:f>
              <xm:sqref>P62</xm:sqref>
            </x14:sparkline>
            <x14:sparkline>
              <xm:f>Heatmap!S63:AD63</xm:f>
              <xm:sqref>P63</xm:sqref>
            </x14:sparkline>
            <x14:sparkline>
              <xm:f>Heatmap!S64:AD64</xm:f>
              <xm:sqref>P64</xm:sqref>
            </x14:sparkline>
            <x14:sparkline>
              <xm:f>Heatmap!S65:AD65</xm:f>
              <xm:sqref>P65</xm:sqref>
            </x14:sparkline>
            <x14:sparkline>
              <xm:f>Heatmap!S66:AD66</xm:f>
              <xm:sqref>P66</xm:sqref>
            </x14:sparkline>
            <x14:sparkline>
              <xm:f>Heatmap!S67:AD67</xm:f>
              <xm:sqref>P67</xm:sqref>
            </x14:sparkline>
            <x14:sparkline>
              <xm:f>Heatmap!S68:AD68</xm:f>
              <xm:sqref>P68</xm:sqref>
            </x14:sparkline>
            <x14:sparkline>
              <xm:f>Heatmap!S69:AD69</xm:f>
              <xm:sqref>P69</xm:sqref>
            </x14:sparkline>
            <x14:sparkline>
              <xm:f>Heatmap!S70:AD70</xm:f>
              <xm:sqref>P70</xm:sqref>
            </x14:sparkline>
            <x14:sparkline>
              <xm:f>Heatmap!S71:AD71</xm:f>
              <xm:sqref>P71</xm:sqref>
            </x14:sparkline>
            <x14:sparkline>
              <xm:f>Heatmap!S72:AD72</xm:f>
              <xm:sqref>P72</xm:sqref>
            </x14:sparkline>
            <x14:sparkline>
              <xm:f>Heatmap!S73:AD73</xm:f>
              <xm:sqref>P73</xm:sqref>
            </x14:sparkline>
            <x14:sparkline>
              <xm:f>Heatmap!S74:AD74</xm:f>
              <xm:sqref>P74</xm:sqref>
            </x14:sparkline>
            <x14:sparkline>
              <xm:f>Heatmap!S75:AD75</xm:f>
              <xm:sqref>P75</xm:sqref>
            </x14:sparkline>
            <x14:sparkline>
              <xm:f>Heatmap!S76:AD76</xm:f>
              <xm:sqref>P76</xm:sqref>
            </x14:sparkline>
            <x14:sparkline>
              <xm:f>Heatmap!S77:AD77</xm:f>
              <xm:sqref>P77</xm:sqref>
            </x14:sparkline>
            <x14:sparkline>
              <xm:f>Heatmap!S78:AD78</xm:f>
              <xm:sqref>P78</xm:sqref>
            </x14:sparkline>
            <x14:sparkline>
              <xm:f>Heatmap!S79:AD79</xm:f>
              <xm:sqref>P79</xm:sqref>
            </x14:sparkline>
            <x14:sparkline>
              <xm:f>Heatmap!S80:AD80</xm:f>
              <xm:sqref>P80</xm:sqref>
            </x14:sparkline>
            <x14:sparkline>
              <xm:f>Heatmap!S81:AD81</xm:f>
              <xm:sqref>P81</xm:sqref>
            </x14:sparkline>
            <x14:sparkline>
              <xm:f>Heatmap!S82:AD82</xm:f>
              <xm:sqref>P82</xm:sqref>
            </x14:sparkline>
            <x14:sparkline>
              <xm:f>Heatmap!S83:AD83</xm:f>
              <xm:sqref>P83</xm:sqref>
            </x14:sparkline>
            <x14:sparkline>
              <xm:f>Heatmap!S84:AD84</xm:f>
              <xm:sqref>P84</xm:sqref>
            </x14:sparkline>
            <x14:sparkline>
              <xm:f>Heatmap!S85:AD85</xm:f>
              <xm:sqref>P85</xm:sqref>
            </x14:sparkline>
            <x14:sparkline>
              <xm:f>Heatmap!S86:AD86</xm:f>
              <xm:sqref>P86</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rgb="FF564585"/>
  </sheetPr>
  <dimension ref="A1:AC124"/>
  <sheetViews>
    <sheetView zoomScaleNormal="100" zoomScaleSheetLayoutView="90" workbookViewId="0">
      <selection sqref="A1:A1048576"/>
    </sheetView>
  </sheetViews>
  <sheetFormatPr baseColWidth="10" defaultRowHeight="15" x14ac:dyDescent="0.25"/>
  <cols>
    <col min="1" max="1" width="7" customWidth="1"/>
    <col min="2" max="2" width="9" bestFit="1" customWidth="1"/>
    <col min="3" max="3" width="9.7109375" customWidth="1"/>
    <col min="4" max="4" width="10.140625" customWidth="1"/>
    <col min="5" max="6" width="8.42578125" bestFit="1" customWidth="1"/>
    <col min="7" max="7" width="6.85546875" bestFit="1" customWidth="1"/>
    <col min="8" max="9" width="6.42578125" bestFit="1" customWidth="1"/>
    <col min="10" max="10" width="12.85546875" bestFit="1" customWidth="1"/>
    <col min="11" max="11" width="11.42578125" bestFit="1" customWidth="1"/>
    <col min="12" max="12" width="6.7109375" bestFit="1" customWidth="1"/>
    <col min="13" max="13" width="8.42578125" bestFit="1" customWidth="1"/>
    <col min="14" max="14" width="6.85546875" bestFit="1" customWidth="1"/>
    <col min="15" max="15" width="15.28515625" bestFit="1" customWidth="1"/>
    <col min="16" max="16" width="9" bestFit="1" customWidth="1"/>
    <col min="17" max="17" width="7" bestFit="1" customWidth="1"/>
    <col min="18" max="18" width="8.140625" bestFit="1" customWidth="1"/>
    <col min="19" max="19" width="6" bestFit="1" customWidth="1"/>
    <col min="20" max="20" width="9.140625" customWidth="1"/>
    <col min="21" max="22" width="7" bestFit="1" customWidth="1"/>
    <col min="23" max="23" width="8.85546875" bestFit="1" customWidth="1"/>
    <col min="24" max="24" width="8.85546875" style="68" customWidth="1"/>
    <col min="26" max="26" width="13" bestFit="1" customWidth="1"/>
    <col min="27" max="27" width="13.28515625" bestFit="1" customWidth="1"/>
    <col min="28" max="28" width="12.85546875" bestFit="1" customWidth="1"/>
  </cols>
  <sheetData>
    <row r="1" spans="1:24" ht="10.5" customHeight="1" x14ac:dyDescent="0.5">
      <c r="A1" s="42"/>
      <c r="X1"/>
    </row>
    <row r="2" spans="1:24" ht="10.5" customHeight="1" x14ac:dyDescent="0.25">
      <c r="X2"/>
    </row>
    <row r="3" spans="1:24" ht="9.75" customHeight="1" x14ac:dyDescent="0.25">
      <c r="X3"/>
    </row>
    <row r="4" spans="1:24" ht="26.25" x14ac:dyDescent="0.4">
      <c r="A4" s="6" t="s">
        <v>82</v>
      </c>
      <c r="X4"/>
    </row>
    <row r="5" spans="1:24" ht="26.25" customHeight="1" x14ac:dyDescent="0.25">
      <c r="X5"/>
    </row>
    <row r="6" spans="1:24" ht="20.25" customHeight="1" x14ac:dyDescent="0.25">
      <c r="A6" s="43" t="s">
        <v>4</v>
      </c>
      <c r="B6" s="43" t="s">
        <v>83</v>
      </c>
      <c r="C6" s="44" t="s">
        <v>84</v>
      </c>
      <c r="D6" s="44"/>
      <c r="E6" s="45" t="s">
        <v>85</v>
      </c>
      <c r="F6" s="46"/>
      <c r="G6" s="47"/>
      <c r="H6" s="44" t="s">
        <v>86</v>
      </c>
      <c r="I6" s="44"/>
      <c r="J6" s="48" t="s">
        <v>87</v>
      </c>
      <c r="K6" s="48" t="s">
        <v>88</v>
      </c>
      <c r="L6" s="49" t="s">
        <v>89</v>
      </c>
      <c r="M6" s="44" t="s">
        <v>90</v>
      </c>
      <c r="N6" s="44"/>
      <c r="O6" s="44" t="s">
        <v>91</v>
      </c>
      <c r="P6" s="44"/>
      <c r="Q6" s="44"/>
      <c r="R6" s="49" t="s">
        <v>92</v>
      </c>
      <c r="S6" s="44" t="s">
        <v>93</v>
      </c>
      <c r="T6" s="44"/>
      <c r="U6" s="44"/>
      <c r="V6" s="44"/>
      <c r="W6" s="44"/>
      <c r="X6" s="50" t="s">
        <v>4</v>
      </c>
    </row>
    <row r="7" spans="1:24" ht="30.75" customHeight="1" x14ac:dyDescent="0.25">
      <c r="A7" s="51"/>
      <c r="B7" s="51"/>
      <c r="C7" s="52" t="s">
        <v>94</v>
      </c>
      <c r="D7" s="52" t="s">
        <v>95</v>
      </c>
      <c r="E7" s="53" t="s">
        <v>96</v>
      </c>
      <c r="F7" s="53" t="s">
        <v>97</v>
      </c>
      <c r="G7" s="53">
        <v>2019</v>
      </c>
      <c r="H7" s="53" t="s">
        <v>98</v>
      </c>
      <c r="I7" s="53" t="s">
        <v>99</v>
      </c>
      <c r="J7" s="54"/>
      <c r="K7" s="54"/>
      <c r="L7" s="49"/>
      <c r="M7" s="53" t="s">
        <v>97</v>
      </c>
      <c r="N7" s="53">
        <v>2019</v>
      </c>
      <c r="O7" s="55" t="s">
        <v>100</v>
      </c>
      <c r="P7" s="53" t="s">
        <v>101</v>
      </c>
      <c r="Q7" s="53" t="s">
        <v>102</v>
      </c>
      <c r="R7" s="49"/>
      <c r="S7" s="56" t="s">
        <v>103</v>
      </c>
      <c r="T7" s="53" t="s">
        <v>104</v>
      </c>
      <c r="U7" s="53" t="s">
        <v>105</v>
      </c>
      <c r="V7" s="53" t="s">
        <v>106</v>
      </c>
      <c r="W7" s="53" t="s">
        <v>107</v>
      </c>
      <c r="X7" s="57"/>
    </row>
    <row r="8" spans="1:24" x14ac:dyDescent="0.25">
      <c r="A8" s="58" t="s">
        <v>108</v>
      </c>
      <c r="B8" s="59"/>
      <c r="C8" s="59"/>
      <c r="D8" s="59"/>
      <c r="E8" s="59"/>
      <c r="F8" s="59"/>
      <c r="G8" s="59"/>
      <c r="H8" s="59"/>
      <c r="I8" s="59"/>
      <c r="J8" s="59"/>
      <c r="K8" s="59"/>
      <c r="L8" s="59"/>
      <c r="M8" s="59"/>
      <c r="N8" s="59"/>
      <c r="O8" s="59"/>
      <c r="P8" s="59"/>
      <c r="Q8" s="59"/>
      <c r="R8" s="59"/>
      <c r="S8" s="59"/>
      <c r="T8" s="59"/>
      <c r="U8" s="59"/>
      <c r="V8" s="59"/>
      <c r="W8" s="59"/>
      <c r="X8" s="59"/>
    </row>
    <row r="9" spans="1:24" x14ac:dyDescent="0.25">
      <c r="A9" t="s">
        <v>48</v>
      </c>
      <c r="B9" s="60">
        <v>23</v>
      </c>
      <c r="C9" s="61">
        <v>27.5</v>
      </c>
      <c r="D9" s="61">
        <v>20.8</v>
      </c>
      <c r="E9" s="62">
        <v>-2.1691973969631961E-3</v>
      </c>
      <c r="F9" s="62" t="s">
        <v>186</v>
      </c>
      <c r="G9" s="62">
        <v>-4.9586776859504078E-2</v>
      </c>
      <c r="H9" s="63">
        <v>0.27072696460248197</v>
      </c>
      <c r="I9" s="63">
        <v>0.25357991121123097</v>
      </c>
      <c r="J9" s="64">
        <v>1.591326148690422E-2</v>
      </c>
      <c r="K9" s="64">
        <v>-6.1054241075138016E-3</v>
      </c>
      <c r="L9" s="65">
        <v>8.6125435020999994E-2</v>
      </c>
      <c r="M9" s="62" t="s">
        <v>186</v>
      </c>
      <c r="N9" s="66">
        <v>-0.41795330157817323</v>
      </c>
      <c r="O9" s="65">
        <v>11.525</v>
      </c>
      <c r="P9" s="65">
        <v>14.617304000000001</v>
      </c>
      <c r="Q9" s="67">
        <v>16.5333170458041</v>
      </c>
      <c r="R9" s="62">
        <v>0</v>
      </c>
      <c r="S9" s="67">
        <v>0.21436421819048901</v>
      </c>
      <c r="T9" s="67">
        <v>852.48332097850198</v>
      </c>
      <c r="U9" s="67" t="s">
        <v>186</v>
      </c>
      <c r="V9" s="67">
        <v>1.15170094712881</v>
      </c>
      <c r="W9" s="67">
        <v>6.6961491319752904</v>
      </c>
      <c r="X9" s="68" t="s">
        <v>48</v>
      </c>
    </row>
    <row r="10" spans="1:24" x14ac:dyDescent="0.25">
      <c r="A10" t="s">
        <v>13</v>
      </c>
      <c r="B10" s="60">
        <v>376</v>
      </c>
      <c r="C10" s="61">
        <v>395</v>
      </c>
      <c r="D10" s="61">
        <v>159.35600299999999</v>
      </c>
      <c r="E10" s="62">
        <v>-0.11943793911007028</v>
      </c>
      <c r="F10" s="62">
        <v>0.16671257080727386</v>
      </c>
      <c r="G10" s="62">
        <v>0.98286361799170496</v>
      </c>
      <c r="H10" s="63">
        <v>0.68290062816611596</v>
      </c>
      <c r="I10" s="63">
        <v>0.77690800230331503</v>
      </c>
      <c r="J10" s="63">
        <v>6.3515849437704485E-3</v>
      </c>
      <c r="K10" s="63">
        <v>-2.7833994322974398E-3</v>
      </c>
      <c r="L10" s="65">
        <v>0.53060070042610596</v>
      </c>
      <c r="M10" s="62">
        <v>0.17496807439658169</v>
      </c>
      <c r="N10" s="66">
        <v>0.61449709327303581</v>
      </c>
      <c r="O10" s="65">
        <v>20.958024248000001</v>
      </c>
      <c r="P10" s="65">
        <v>17.409005392374901</v>
      </c>
      <c r="Q10" s="67">
        <v>10.3865716164749</v>
      </c>
      <c r="R10" s="62">
        <v>0.111492695645433</v>
      </c>
      <c r="S10" s="67">
        <v>0.26208760467617698</v>
      </c>
      <c r="T10" s="67">
        <v>11.8488004822714</v>
      </c>
      <c r="U10" s="67">
        <v>13.4700315457413</v>
      </c>
      <c r="V10" s="67">
        <v>4.5290895039808303</v>
      </c>
      <c r="W10" s="67">
        <v>4.42650558828658</v>
      </c>
      <c r="X10" s="68" t="s">
        <v>13</v>
      </c>
    </row>
    <row r="11" spans="1:24" x14ac:dyDescent="0.25">
      <c r="A11" t="s">
        <v>46</v>
      </c>
      <c r="B11" s="60">
        <v>43.55</v>
      </c>
      <c r="C11" s="61">
        <v>54</v>
      </c>
      <c r="D11" s="61">
        <v>34.049999999999997</v>
      </c>
      <c r="E11" s="62">
        <v>-2.5727069351230591E-2</v>
      </c>
      <c r="F11" s="62">
        <v>-1.3590033975084959E-2</v>
      </c>
      <c r="G11" s="62">
        <v>0.17702702702702688</v>
      </c>
      <c r="H11" s="63">
        <v>0.30399996065912999</v>
      </c>
      <c r="I11" s="63">
        <v>0.35180375116284401</v>
      </c>
      <c r="J11" s="64">
        <v>4.7813434003060448E-3</v>
      </c>
      <c r="K11" s="64">
        <v>-2.0853667577406254E-3</v>
      </c>
      <c r="L11" s="65">
        <v>0.31454373601584001</v>
      </c>
      <c r="M11" s="62">
        <v>-5.3345303857771365E-3</v>
      </c>
      <c r="N11" s="66">
        <v>-0.19133949769164227</v>
      </c>
      <c r="O11" s="65">
        <v>9.003256176899999</v>
      </c>
      <c r="P11" s="65">
        <v>14.331993045299999</v>
      </c>
      <c r="Q11" s="67">
        <v>16.287096055843399</v>
      </c>
      <c r="R11" s="62" t="s">
        <v>186</v>
      </c>
      <c r="S11" s="67">
        <v>0.36381423108266397</v>
      </c>
      <c r="T11" s="67" t="s">
        <v>186</v>
      </c>
      <c r="U11" s="67">
        <v>9.7173913043478297</v>
      </c>
      <c r="V11" s="67">
        <v>1.24964154790807</v>
      </c>
      <c r="W11" s="67">
        <v>8.5253070832924305</v>
      </c>
      <c r="X11" s="68" t="s">
        <v>46</v>
      </c>
    </row>
    <row r="12" spans="1:24" x14ac:dyDescent="0.25">
      <c r="A12" t="s">
        <v>74</v>
      </c>
      <c r="B12" s="60">
        <v>124</v>
      </c>
      <c r="C12" s="61">
        <v>140</v>
      </c>
      <c r="D12" s="61">
        <v>97.298614000000001</v>
      </c>
      <c r="E12" s="62">
        <v>-4.6153846153846101E-2</v>
      </c>
      <c r="F12" s="62" t="s">
        <v>186</v>
      </c>
      <c r="G12" s="62">
        <v>-2.3622047244094446E-2</v>
      </c>
      <c r="H12" s="63">
        <v>0.21449131814873801</v>
      </c>
      <c r="I12" s="63">
        <v>0.278985750495091</v>
      </c>
      <c r="J12" s="63">
        <v>2.1194598938930172E-2</v>
      </c>
      <c r="K12" s="63">
        <v>-6.789933558394412E-3</v>
      </c>
      <c r="L12" s="65" t="s">
        <v>186</v>
      </c>
      <c r="M12" s="62" t="s">
        <v>186</v>
      </c>
      <c r="N12" s="66">
        <v>-0.3919885719627636</v>
      </c>
      <c r="O12" s="65">
        <v>7.6617975200000004</v>
      </c>
      <c r="P12" s="65">
        <v>5.9304621960000095</v>
      </c>
      <c r="Q12" s="67">
        <v>6.4861363035699604</v>
      </c>
      <c r="R12" s="62">
        <v>5.6152619392307703E-3</v>
      </c>
      <c r="S12" s="67">
        <v>1.2135733607803301</v>
      </c>
      <c r="T12" s="67">
        <v>1561.7128463476099</v>
      </c>
      <c r="U12" s="67" t="s">
        <v>186</v>
      </c>
      <c r="V12" s="67">
        <v>194.748080902114</v>
      </c>
      <c r="W12" s="67">
        <v>13.223563685169299</v>
      </c>
      <c r="X12" s="68" t="s">
        <v>74</v>
      </c>
    </row>
    <row r="13" spans="1:24" x14ac:dyDescent="0.25">
      <c r="A13" t="s">
        <v>23</v>
      </c>
      <c r="B13" s="60">
        <v>84.1</v>
      </c>
      <c r="C13" s="61">
        <v>130.38390699999999</v>
      </c>
      <c r="D13" s="61">
        <v>69.670789999999997</v>
      </c>
      <c r="E13" s="62">
        <v>-2.9988465974625234E-2</v>
      </c>
      <c r="F13" s="62">
        <v>3.9555006180469476E-2</v>
      </c>
      <c r="G13" s="62">
        <v>-0.11521056768089988</v>
      </c>
      <c r="H13" s="63">
        <v>0.33726038924838198</v>
      </c>
      <c r="I13" s="63">
        <v>0.33145116132249697</v>
      </c>
      <c r="J13" s="63">
        <v>4.3875733288578798E-3</v>
      </c>
      <c r="K13" s="63">
        <v>-1.8550010097323488E-3</v>
      </c>
      <c r="L13" s="65">
        <v>0.41157220865518201</v>
      </c>
      <c r="M13" s="62">
        <v>4.7810509769777298E-2</v>
      </c>
      <c r="N13" s="66">
        <v>-0.48357709239956903</v>
      </c>
      <c r="O13" s="65">
        <v>6.1687906595999999</v>
      </c>
      <c r="P13" s="65">
        <v>13.890483873000001</v>
      </c>
      <c r="Q13" s="67">
        <v>14.144519442181601</v>
      </c>
      <c r="R13" s="62">
        <v>4.1499219838523598E-3</v>
      </c>
      <c r="S13" s="67">
        <v>0.327546300533753</v>
      </c>
      <c r="T13" s="67" t="s">
        <v>186</v>
      </c>
      <c r="U13" s="67">
        <v>35.532786885245898</v>
      </c>
      <c r="V13" s="67">
        <v>4.7613530678258602</v>
      </c>
      <c r="W13" s="67" t="s">
        <v>186</v>
      </c>
      <c r="X13" s="68" t="s">
        <v>23</v>
      </c>
    </row>
    <row r="14" spans="1:24" x14ac:dyDescent="0.25">
      <c r="A14" t="s">
        <v>30</v>
      </c>
      <c r="B14" s="60">
        <v>13.1</v>
      </c>
      <c r="C14" s="61">
        <v>16</v>
      </c>
      <c r="D14" s="61">
        <v>10.5</v>
      </c>
      <c r="E14" s="62">
        <v>2.7450980392156765E-2</v>
      </c>
      <c r="F14" s="62">
        <v>8.2644628099173501E-2</v>
      </c>
      <c r="G14" s="62">
        <v>7.3770491803278659E-2</v>
      </c>
      <c r="H14" s="63">
        <v>0.49452790014042497</v>
      </c>
      <c r="I14" s="63">
        <v>0.34042228292319499</v>
      </c>
      <c r="J14" s="63">
        <v>0.40666306382022449</v>
      </c>
      <c r="K14" s="63">
        <v>-9.8317346326189825E-2</v>
      </c>
      <c r="L14" s="65">
        <v>0.23083927608405699</v>
      </c>
      <c r="M14" s="62">
        <v>9.0900131688481323E-2</v>
      </c>
      <c r="N14" s="66">
        <v>-0.29459603291539049</v>
      </c>
      <c r="O14" s="65">
        <v>5.61</v>
      </c>
      <c r="P14" s="65">
        <v>14.382490000000001</v>
      </c>
      <c r="Q14" s="67">
        <v>10.805655834081501</v>
      </c>
      <c r="R14" s="62" t="s">
        <v>186</v>
      </c>
      <c r="S14" s="67">
        <v>0.39861582659741301</v>
      </c>
      <c r="T14" s="67" t="s">
        <v>186</v>
      </c>
      <c r="U14" s="67" t="s">
        <v>186</v>
      </c>
      <c r="V14" s="67">
        <v>1.13630196253965</v>
      </c>
      <c r="W14" s="67" t="s">
        <v>186</v>
      </c>
      <c r="X14" s="68" t="s">
        <v>30</v>
      </c>
    </row>
    <row r="15" spans="1:24" x14ac:dyDescent="0.25">
      <c r="A15" t="s">
        <v>79</v>
      </c>
      <c r="B15" s="60">
        <v>9.5</v>
      </c>
      <c r="C15" s="61">
        <v>11.1</v>
      </c>
      <c r="D15" s="61">
        <v>8.1</v>
      </c>
      <c r="E15" s="62">
        <v>-2.0618556701030855E-2</v>
      </c>
      <c r="F15" s="62">
        <v>-0.11214953271028028</v>
      </c>
      <c r="G15" s="62">
        <v>9.1954022988505857E-2</v>
      </c>
      <c r="H15" s="63">
        <v>0.54836583409381101</v>
      </c>
      <c r="I15" s="63">
        <v>0.36752152102251301</v>
      </c>
      <c r="J15" s="63">
        <v>0.49187536075413357</v>
      </c>
      <c r="K15" s="63">
        <v>-2.1881299585704284E-3</v>
      </c>
      <c r="L15" s="65">
        <v>0.28900632609806598</v>
      </c>
      <c r="M15" s="62">
        <v>-0.10389402912097245</v>
      </c>
      <c r="N15" s="66">
        <v>-0.2764125017301633</v>
      </c>
      <c r="O15" s="65">
        <v>5.3051690468000006</v>
      </c>
      <c r="P15" s="65">
        <v>5.4444842539999998</v>
      </c>
      <c r="Q15" s="67">
        <v>6.9841853495394401</v>
      </c>
      <c r="R15" s="62" t="s">
        <v>186</v>
      </c>
      <c r="S15" s="67">
        <v>1.0892149578647199</v>
      </c>
      <c r="T15" s="67" t="s">
        <v>186</v>
      </c>
      <c r="U15" s="67" t="s">
        <v>186</v>
      </c>
      <c r="V15" s="67">
        <v>0.61033484959958195</v>
      </c>
      <c r="W15" s="67" t="s">
        <v>186</v>
      </c>
      <c r="X15" s="68" t="s">
        <v>79</v>
      </c>
    </row>
    <row r="16" spans="1:24" x14ac:dyDescent="0.25">
      <c r="A16" t="s">
        <v>55</v>
      </c>
      <c r="B16" s="60">
        <v>4.45</v>
      </c>
      <c r="C16" s="61">
        <v>7.4</v>
      </c>
      <c r="D16" s="61">
        <v>3.2453538000000002</v>
      </c>
      <c r="E16" s="62">
        <v>0</v>
      </c>
      <c r="F16" s="62">
        <v>0</v>
      </c>
      <c r="G16" s="62">
        <v>2.2522522522521182E-3</v>
      </c>
      <c r="H16" s="63">
        <v>0.30628082275246998</v>
      </c>
      <c r="I16" s="63">
        <v>0.34303763488867406</v>
      </c>
      <c r="J16" s="63">
        <v>2.4072850672808213</v>
      </c>
      <c r="K16" s="63">
        <v>-0.17161285793012093</v>
      </c>
      <c r="L16" s="65">
        <v>0.30950159938028399</v>
      </c>
      <c r="M16" s="62">
        <v>8.2555035893078221E-3</v>
      </c>
      <c r="N16" s="66">
        <v>-0.36611427246641703</v>
      </c>
      <c r="O16" s="65">
        <v>2.5957482434000001</v>
      </c>
      <c r="P16" s="65">
        <v>2.78691560925001</v>
      </c>
      <c r="Q16" s="67">
        <v>3.5540003918190601</v>
      </c>
      <c r="R16" s="62" t="s">
        <v>186</v>
      </c>
      <c r="S16" s="67">
        <v>0.24283248178470401</v>
      </c>
      <c r="T16" s="67" t="s">
        <v>186</v>
      </c>
      <c r="U16" s="67" t="s">
        <v>186</v>
      </c>
      <c r="V16" s="67">
        <v>0.95183228288549404</v>
      </c>
      <c r="W16" s="67">
        <v>3.29756085598313</v>
      </c>
      <c r="X16" s="68" t="s">
        <v>55</v>
      </c>
    </row>
    <row r="17" spans="1:24" x14ac:dyDescent="0.25">
      <c r="A17" t="s">
        <v>44</v>
      </c>
      <c r="B17" s="60">
        <v>5.89</v>
      </c>
      <c r="C17" s="61">
        <v>6.8819863200000002</v>
      </c>
      <c r="D17" s="61">
        <v>5</v>
      </c>
      <c r="E17" s="62">
        <v>0</v>
      </c>
      <c r="F17" s="62">
        <v>1.551724137931032E-2</v>
      </c>
      <c r="G17" s="62">
        <v>-2.5329356765364408E-2</v>
      </c>
      <c r="H17" s="63">
        <v>0.25771609876040702</v>
      </c>
      <c r="I17" s="63">
        <v>0.38044722891172805</v>
      </c>
      <c r="J17" s="63">
        <v>7.6240479699594731E-3</v>
      </c>
      <c r="K17" s="63">
        <v>-2.3947733082922973E-3</v>
      </c>
      <c r="L17" s="65">
        <v>-7.5812668871081998E-2</v>
      </c>
      <c r="M17" s="62">
        <v>2.3772744968618142E-2</v>
      </c>
      <c r="N17" s="66">
        <v>-0.39369588148403356</v>
      </c>
      <c r="O17" s="65">
        <v>0.50704540323000002</v>
      </c>
      <c r="P17" s="65">
        <v>0.67782441322999998</v>
      </c>
      <c r="Q17" s="67">
        <v>2.68535178398316</v>
      </c>
      <c r="R17" s="62">
        <v>1.68256885059423E-2</v>
      </c>
      <c r="S17" s="67">
        <v>0.39132178928992101</v>
      </c>
      <c r="T17" s="67">
        <v>8.7733670961495491</v>
      </c>
      <c r="U17" s="67" t="s">
        <v>186</v>
      </c>
      <c r="V17" s="67">
        <v>0.67896078548604999</v>
      </c>
      <c r="W17" s="67">
        <v>5.7827002840855002</v>
      </c>
      <c r="X17" s="68" t="s">
        <v>44</v>
      </c>
    </row>
    <row r="18" spans="1:24" x14ac:dyDescent="0.25">
      <c r="A18" t="s">
        <v>75</v>
      </c>
      <c r="B18" s="60">
        <v>2.87</v>
      </c>
      <c r="C18" s="61">
        <v>3.4</v>
      </c>
      <c r="D18" s="61">
        <v>2.16</v>
      </c>
      <c r="E18" s="62">
        <v>-1.7123287671232834E-2</v>
      </c>
      <c r="F18" s="62">
        <v>-7.4193548387096797E-2</v>
      </c>
      <c r="G18" s="62">
        <v>0.10530387961661747</v>
      </c>
      <c r="H18" s="63">
        <v>0.49476413411913001</v>
      </c>
      <c r="I18" s="63">
        <v>0.53473930031600603</v>
      </c>
      <c r="J18" s="63">
        <v>4.7813434003060396E-3</v>
      </c>
      <c r="K18" s="63">
        <v>-2.0853667577406254E-3</v>
      </c>
      <c r="L18" s="65">
        <v>0.36305374907541099</v>
      </c>
      <c r="M18" s="62">
        <v>-6.5938044797788975E-2</v>
      </c>
      <c r="N18" s="66">
        <v>-0.26306264510205168</v>
      </c>
      <c r="O18" s="65">
        <v>0.49026799999999998</v>
      </c>
      <c r="P18" s="65">
        <v>0.85421095000000002</v>
      </c>
      <c r="Q18" s="67">
        <v>5.1219259993713697</v>
      </c>
      <c r="R18" s="62">
        <v>1.5137716883561601E-2</v>
      </c>
      <c r="S18" s="67">
        <v>0.32502632017483601</v>
      </c>
      <c r="T18" s="67">
        <v>11.774842044801799</v>
      </c>
      <c r="U18" s="67" t="s">
        <v>186</v>
      </c>
      <c r="V18" s="67">
        <v>0.92050549014642302</v>
      </c>
      <c r="W18" s="67" t="s">
        <v>186</v>
      </c>
      <c r="X18" s="68" t="s">
        <v>75</v>
      </c>
    </row>
    <row r="19" spans="1:24" x14ac:dyDescent="0.25">
      <c r="A19" t="s">
        <v>52</v>
      </c>
      <c r="B19" s="60">
        <v>3.14</v>
      </c>
      <c r="C19" s="61">
        <v>3.75</v>
      </c>
      <c r="D19" s="61">
        <v>1.6</v>
      </c>
      <c r="E19" s="62">
        <v>1.2903225806451646E-2</v>
      </c>
      <c r="F19" s="62">
        <v>1.9480519480519431E-2</v>
      </c>
      <c r="G19" s="62">
        <v>0.67914438502673802</v>
      </c>
      <c r="H19" s="63">
        <v>0.63043275968879198</v>
      </c>
      <c r="I19" s="63">
        <v>0.61804337539958298</v>
      </c>
      <c r="J19" s="63">
        <v>0.56221188083805085</v>
      </c>
      <c r="K19" s="63">
        <v>-9.2547945283176114E-2</v>
      </c>
      <c r="L19" s="65">
        <v>0.39303444179524699</v>
      </c>
      <c r="M19" s="62">
        <v>2.7736023069827254E-2</v>
      </c>
      <c r="N19" s="66">
        <v>0.31077786030806887</v>
      </c>
      <c r="O19" s="65">
        <v>0.68789625579999991</v>
      </c>
      <c r="P19" s="65">
        <v>0.94271700652000001</v>
      </c>
      <c r="Q19" s="67">
        <v>12.3142093578988</v>
      </c>
      <c r="R19" s="62" t="s">
        <v>186</v>
      </c>
      <c r="S19" s="67">
        <v>0.55713412749047997</v>
      </c>
      <c r="T19" s="69" t="s">
        <v>186</v>
      </c>
      <c r="U19" s="67" t="s">
        <v>186</v>
      </c>
      <c r="V19" s="67">
        <v>1.8625322409135501</v>
      </c>
      <c r="W19" s="67" t="s">
        <v>186</v>
      </c>
      <c r="X19" s="68" t="s">
        <v>52</v>
      </c>
    </row>
    <row r="20" spans="1:24" x14ac:dyDescent="0.25">
      <c r="A20" s="70" t="s">
        <v>109</v>
      </c>
      <c r="B20" s="71"/>
      <c r="C20" s="71"/>
      <c r="D20" s="71"/>
      <c r="E20" s="72">
        <v>-2.0078559650944607E-2</v>
      </c>
      <c r="F20" s="72">
        <v>1.3775205652698285E-2</v>
      </c>
      <c r="G20" s="72">
        <v>0.17259699346875099</v>
      </c>
      <c r="H20" s="73">
        <v>0.41286061912544381</v>
      </c>
      <c r="I20" s="73">
        <v>0.41608544726878877</v>
      </c>
      <c r="J20" s="73">
        <v>0.35755173874202401</v>
      </c>
      <c r="K20" s="73">
        <v>-3.5342322220888074E-2</v>
      </c>
      <c r="L20" s="74">
        <v>0.28524648036801109</v>
      </c>
      <c r="M20" s="72">
        <v>2.2030709242006105E-2</v>
      </c>
      <c r="N20" s="72">
        <v>-0.19576953124991814</v>
      </c>
      <c r="O20" s="74">
        <v>6.410272323066363</v>
      </c>
      <c r="P20" s="74">
        <v>8.2970809763340831</v>
      </c>
      <c r="Q20" s="75">
        <v>9.5729971982333932</v>
      </c>
      <c r="R20" s="73">
        <v>2.5536880826336674E-2</v>
      </c>
      <c r="S20" s="75">
        <v>0.48959374713322606</v>
      </c>
      <c r="T20" s="67">
        <v>489.31863538986698</v>
      </c>
      <c r="U20" s="76">
        <v>19.573403245111674</v>
      </c>
      <c r="V20" s="77">
        <v>19.327303052775303</v>
      </c>
      <c r="W20" s="78">
        <v>6.9919644381320394</v>
      </c>
      <c r="X20" s="79" t="s">
        <v>110</v>
      </c>
    </row>
    <row r="21" spans="1:24" ht="9.75" customHeight="1" x14ac:dyDescent="0.25">
      <c r="H21" s="41"/>
      <c r="I21" s="41"/>
      <c r="J21" s="41"/>
      <c r="K21" s="41"/>
      <c r="L21" s="32"/>
      <c r="M21" s="80"/>
      <c r="N21" s="80"/>
      <c r="P21" s="32"/>
      <c r="Q21" s="81"/>
      <c r="R21" s="82"/>
      <c r="S21" s="81"/>
      <c r="T21" s="81"/>
      <c r="U21" s="81"/>
      <c r="V21" s="81"/>
      <c r="W21" s="81"/>
    </row>
    <row r="22" spans="1:24" x14ac:dyDescent="0.25">
      <c r="A22" s="58" t="s">
        <v>111</v>
      </c>
      <c r="B22" s="83"/>
      <c r="C22" s="83"/>
      <c r="D22" s="83"/>
      <c r="E22" s="83"/>
      <c r="F22" s="83"/>
      <c r="G22" s="83"/>
      <c r="H22" s="84"/>
      <c r="I22" s="84"/>
      <c r="J22" s="84"/>
      <c r="K22" s="84"/>
      <c r="L22" s="85"/>
      <c r="M22" s="86"/>
      <c r="N22" s="86"/>
      <c r="O22" s="83"/>
      <c r="P22" s="85"/>
      <c r="Q22" s="87"/>
      <c r="R22" s="88"/>
      <c r="S22" s="87"/>
      <c r="T22" s="87"/>
      <c r="U22" s="87"/>
      <c r="V22" s="87"/>
      <c r="W22" s="87"/>
      <c r="X22" s="89"/>
    </row>
    <row r="23" spans="1:24" x14ac:dyDescent="0.25">
      <c r="A23" t="s">
        <v>42</v>
      </c>
      <c r="B23" s="60">
        <v>352.5</v>
      </c>
      <c r="C23" s="61">
        <v>428.59319016953702</v>
      </c>
      <c r="D23" s="61">
        <v>232.661614833161</v>
      </c>
      <c r="E23" s="62">
        <v>1.0028653295129031E-2</v>
      </c>
      <c r="F23" s="62">
        <v>2.8174894328778288E-2</v>
      </c>
      <c r="G23" s="62">
        <v>-6.9966816617961225E-3</v>
      </c>
      <c r="H23" s="63">
        <v>0.31645981938900897</v>
      </c>
      <c r="I23" s="63">
        <v>0.38774132913384596</v>
      </c>
      <c r="J23" s="63">
        <v>4.3055899408545898E-3</v>
      </c>
      <c r="K23" s="63">
        <v>-1.7991366732583725E-3</v>
      </c>
      <c r="L23" s="65">
        <v>0.73821822541195703</v>
      </c>
      <c r="M23" s="62">
        <v>3.643039791808611E-2</v>
      </c>
      <c r="N23" s="66">
        <v>-0.37536320638046528</v>
      </c>
      <c r="O23" s="65">
        <v>6.282</v>
      </c>
      <c r="P23" s="65">
        <v>5.9121850000000098</v>
      </c>
      <c r="Q23" s="67">
        <v>0.95871959156450703</v>
      </c>
      <c r="R23" s="62">
        <v>2.5204287128939799E-3</v>
      </c>
      <c r="S23" s="67">
        <v>0.18820236075464999</v>
      </c>
      <c r="T23" s="67" t="s">
        <v>186</v>
      </c>
      <c r="U23" s="67" t="s">
        <v>186</v>
      </c>
      <c r="V23" s="67">
        <v>14.340169152973999</v>
      </c>
      <c r="W23" s="67">
        <v>38.090264020458903</v>
      </c>
      <c r="X23" s="68" t="s">
        <v>42</v>
      </c>
    </row>
    <row r="24" spans="1:24" x14ac:dyDescent="0.25">
      <c r="A24" t="s">
        <v>63</v>
      </c>
      <c r="B24" s="60">
        <v>78.5</v>
      </c>
      <c r="C24" s="61">
        <v>91.442340332582404</v>
      </c>
      <c r="D24" s="61">
        <v>38.637608591232002</v>
      </c>
      <c r="E24" s="62">
        <v>-1.8750000000000044E-2</v>
      </c>
      <c r="F24" s="62">
        <v>-3.0864197530864224E-2</v>
      </c>
      <c r="G24" s="62">
        <v>0.5802105303418037</v>
      </c>
      <c r="H24" s="63">
        <v>0.43031259070013905</v>
      </c>
      <c r="I24" s="63">
        <v>0.43817200215039398</v>
      </c>
      <c r="J24" s="63">
        <v>1.4852114133689382E-2</v>
      </c>
      <c r="K24" s="63">
        <v>-5.7503285809676896E-3</v>
      </c>
      <c r="L24" s="65">
        <v>0.429811431299844</v>
      </c>
      <c r="M24" s="62">
        <v>-2.2608693941556401E-2</v>
      </c>
      <c r="N24" s="66">
        <v>0.21184400562313455</v>
      </c>
      <c r="O24" s="65">
        <v>3.7580908000000002</v>
      </c>
      <c r="P24" s="65">
        <v>1.1322883905000001</v>
      </c>
      <c r="Q24" s="67">
        <v>2.5968612230977102</v>
      </c>
      <c r="R24" s="62">
        <v>2.4032724010000003E-2</v>
      </c>
      <c r="S24" s="67">
        <v>0.43242499967720299</v>
      </c>
      <c r="T24" s="67">
        <v>27.166765874389199</v>
      </c>
      <c r="U24" s="67" t="s">
        <v>186</v>
      </c>
      <c r="V24" s="67">
        <v>0.737412723171047</v>
      </c>
      <c r="W24" s="67">
        <v>4.2590389105608804</v>
      </c>
      <c r="X24" s="68" t="s">
        <v>63</v>
      </c>
    </row>
    <row r="25" spans="1:24" x14ac:dyDescent="0.25">
      <c r="A25" t="s">
        <v>14</v>
      </c>
      <c r="B25" s="60">
        <v>23</v>
      </c>
      <c r="C25" s="61">
        <v>33.700000000000003</v>
      </c>
      <c r="D25" s="61">
        <v>14.5</v>
      </c>
      <c r="E25" s="62">
        <v>-2.1276595744680882E-2</v>
      </c>
      <c r="F25" s="62">
        <v>0.14999999999999991</v>
      </c>
      <c r="G25" s="62" t="s">
        <v>186</v>
      </c>
      <c r="H25" s="63">
        <v>1.0005582733871501</v>
      </c>
      <c r="I25" s="63">
        <v>0.97509059980349211</v>
      </c>
      <c r="J25" s="63">
        <v>5.9850710220393957</v>
      </c>
      <c r="K25" s="63">
        <v>0.18232197214732682</v>
      </c>
      <c r="L25" s="65">
        <v>0.25572789499217002</v>
      </c>
      <c r="M25" s="62">
        <v>0.15825550358930773</v>
      </c>
      <c r="N25" s="66" t="s">
        <v>186</v>
      </c>
      <c r="O25" s="65">
        <v>1.0412265789999999</v>
      </c>
      <c r="P25" s="65">
        <v>1.151129962</v>
      </c>
      <c r="Q25" s="67">
        <v>2.2387471160666199</v>
      </c>
      <c r="R25" s="62">
        <v>3.1213187493616998E-2</v>
      </c>
      <c r="S25" s="67">
        <v>0.18472180574671199</v>
      </c>
      <c r="T25" s="67" t="s">
        <v>186</v>
      </c>
      <c r="U25" s="67" t="s">
        <v>186</v>
      </c>
      <c r="V25" s="67">
        <v>1.03832194166311</v>
      </c>
      <c r="W25" s="67">
        <v>1.7098189293563499</v>
      </c>
      <c r="X25" s="68" t="s">
        <v>14</v>
      </c>
    </row>
    <row r="26" spans="1:24" x14ac:dyDescent="0.25">
      <c r="A26" t="s">
        <v>22</v>
      </c>
      <c r="B26" s="60">
        <v>4.8</v>
      </c>
      <c r="C26" s="61">
        <v>14.7</v>
      </c>
      <c r="D26" s="61">
        <v>3.79</v>
      </c>
      <c r="E26" s="62">
        <v>-3.6144578313253128E-2</v>
      </c>
      <c r="F26" s="62">
        <v>3.6717062634989084E-2</v>
      </c>
      <c r="G26" s="62">
        <v>-0.34065934065934067</v>
      </c>
      <c r="H26" s="63">
        <v>0.45434998011653904</v>
      </c>
      <c r="I26" s="63">
        <v>0.52782954369327595</v>
      </c>
      <c r="J26" s="63">
        <v>6.5704595590043704</v>
      </c>
      <c r="K26" s="63">
        <v>2.6418772048180106E-3</v>
      </c>
      <c r="L26" s="65">
        <v>0.60895135126419397</v>
      </c>
      <c r="M26" s="62">
        <v>4.4972566224296906E-2</v>
      </c>
      <c r="N26" s="66">
        <v>-0.70902586537800982</v>
      </c>
      <c r="O26" s="65">
        <v>0.35532043530000001</v>
      </c>
      <c r="P26" s="65">
        <v>0.85100403520000101</v>
      </c>
      <c r="Q26" s="67" t="s">
        <v>186</v>
      </c>
      <c r="R26" s="62" t="s">
        <v>186</v>
      </c>
      <c r="S26" s="67">
        <v>6.4036307825345001E-2</v>
      </c>
      <c r="T26" s="67" t="s">
        <v>186</v>
      </c>
      <c r="U26" s="67" t="s">
        <v>186</v>
      </c>
      <c r="V26" s="67">
        <v>-0.174343618148985</v>
      </c>
      <c r="W26" s="67">
        <v>0.184340244294393</v>
      </c>
      <c r="X26" s="68" t="s">
        <v>22</v>
      </c>
    </row>
    <row r="27" spans="1:24" x14ac:dyDescent="0.25">
      <c r="A27" t="s">
        <v>21</v>
      </c>
      <c r="B27" s="60">
        <v>2.5</v>
      </c>
      <c r="C27" s="61">
        <v>3.77</v>
      </c>
      <c r="D27" s="61">
        <v>2</v>
      </c>
      <c r="E27" s="62">
        <v>-2.34375E-2</v>
      </c>
      <c r="F27" s="62">
        <v>5.0420168067226934E-2</v>
      </c>
      <c r="G27" s="62">
        <v>0.14155251141552516</v>
      </c>
      <c r="H27" s="63">
        <v>0.31412830467184899</v>
      </c>
      <c r="I27" s="63">
        <v>0.42682921144636304</v>
      </c>
      <c r="J27" s="63">
        <v>0.46768333562984177</v>
      </c>
      <c r="K27" s="63">
        <v>-1.5042994081920669E-2</v>
      </c>
      <c r="L27" s="65">
        <v>0.34163747139398698</v>
      </c>
      <c r="M27" s="62">
        <v>5.8675671656534756E-2</v>
      </c>
      <c r="N27" s="66">
        <v>-0.22681401330314399</v>
      </c>
      <c r="O27" s="65">
        <v>0.39332227327999997</v>
      </c>
      <c r="P27" s="65">
        <v>0.61235716250000005</v>
      </c>
      <c r="Q27" s="67" t="s">
        <v>186</v>
      </c>
      <c r="R27" s="62" t="s">
        <v>186</v>
      </c>
      <c r="S27" s="67">
        <v>0.22765845843218299</v>
      </c>
      <c r="T27" s="67" t="s">
        <v>186</v>
      </c>
      <c r="U27" s="67" t="s">
        <v>186</v>
      </c>
      <c r="V27" s="67">
        <v>0.78700295929151798</v>
      </c>
      <c r="W27" s="67" t="s">
        <v>186</v>
      </c>
      <c r="X27" s="68" t="s">
        <v>21</v>
      </c>
    </row>
    <row r="28" spans="1:24" x14ac:dyDescent="0.25">
      <c r="A28" t="s">
        <v>7</v>
      </c>
      <c r="B28" s="60" t="s">
        <v>186</v>
      </c>
      <c r="C28" s="61">
        <v>5.5</v>
      </c>
      <c r="D28" s="61">
        <v>2.42</v>
      </c>
      <c r="E28" s="62" t="s">
        <v>186</v>
      </c>
      <c r="F28" s="62" t="s">
        <v>186</v>
      </c>
      <c r="G28" s="62" t="s">
        <v>186</v>
      </c>
      <c r="H28" s="63">
        <v>0</v>
      </c>
      <c r="I28" s="63">
        <v>0.15646465884451299</v>
      </c>
      <c r="J28" s="63">
        <v>0.83980502791608758</v>
      </c>
      <c r="K28" s="63">
        <v>-0.11363742215178285</v>
      </c>
      <c r="L28" s="65" t="s">
        <v>186</v>
      </c>
      <c r="M28" s="62" t="s">
        <v>186</v>
      </c>
      <c r="N28" s="66" t="s">
        <v>186</v>
      </c>
      <c r="O28" s="65">
        <v>0.36634667844999996</v>
      </c>
      <c r="P28" s="65">
        <v>0.36480671845000001</v>
      </c>
      <c r="Q28" s="67" t="s">
        <v>186</v>
      </c>
      <c r="R28" s="62" t="s">
        <v>186</v>
      </c>
      <c r="S28" s="67" t="s">
        <v>186</v>
      </c>
      <c r="T28" s="67" t="s">
        <v>186</v>
      </c>
      <c r="U28" s="67" t="s">
        <v>186</v>
      </c>
      <c r="V28" s="67" t="s">
        <v>186</v>
      </c>
      <c r="W28" s="67" t="s">
        <v>186</v>
      </c>
      <c r="X28" s="68" t="s">
        <v>7</v>
      </c>
    </row>
    <row r="29" spans="1:24" x14ac:dyDescent="0.25">
      <c r="A29" s="39" t="s">
        <v>81</v>
      </c>
      <c r="B29" s="60">
        <v>1.95</v>
      </c>
      <c r="C29" s="61">
        <v>3.4427791999999999</v>
      </c>
      <c r="D29" s="61">
        <v>1.7</v>
      </c>
      <c r="E29" s="62">
        <v>0</v>
      </c>
      <c r="F29" s="62" t="s">
        <v>186</v>
      </c>
      <c r="G29" s="62" t="s">
        <v>186</v>
      </c>
      <c r="H29" s="63">
        <v>28.210391604591301</v>
      </c>
      <c r="I29" s="63">
        <v>16.288774176044999</v>
      </c>
      <c r="J29" s="63">
        <v>4.7813434003060318E-3</v>
      </c>
      <c r="K29" s="63">
        <v>-2.0853667577406254E-3</v>
      </c>
      <c r="L29" s="65" t="s">
        <v>186</v>
      </c>
      <c r="M29" s="62" t="s">
        <v>186</v>
      </c>
      <c r="N29" s="66" t="s">
        <v>186</v>
      </c>
      <c r="O29" s="65">
        <v>0.19500000000000001</v>
      </c>
      <c r="P29" s="65">
        <v>0.18948904</v>
      </c>
      <c r="Q29" s="67">
        <v>4.5337935499646997</v>
      </c>
      <c r="R29" s="62" t="s">
        <v>186</v>
      </c>
      <c r="S29" s="67">
        <v>0.44884768369966199</v>
      </c>
      <c r="T29" s="69" t="s">
        <v>186</v>
      </c>
      <c r="U29" s="67" t="s">
        <v>186</v>
      </c>
      <c r="V29" s="67">
        <v>0.37344302982948002</v>
      </c>
      <c r="W29" s="67">
        <v>11.7319696172069</v>
      </c>
      <c r="X29" s="68" t="s">
        <v>81</v>
      </c>
    </row>
    <row r="30" spans="1:24" x14ac:dyDescent="0.25">
      <c r="A30" s="70" t="s">
        <v>109</v>
      </c>
      <c r="B30" s="71"/>
      <c r="C30" s="71"/>
      <c r="D30" s="71"/>
      <c r="E30" s="72">
        <v>-1.4930003460467503E-2</v>
      </c>
      <c r="F30" s="72">
        <v>4.6889585500025997E-2</v>
      </c>
      <c r="G30" s="72">
        <v>9.3526754859048017E-2</v>
      </c>
      <c r="H30" s="73">
        <v>4.3894572246937127</v>
      </c>
      <c r="I30" s="73">
        <v>2.7429859315881262</v>
      </c>
      <c r="J30" s="73">
        <v>1.9838511417235065</v>
      </c>
      <c r="K30" s="73">
        <v>6.6640858723535168E-3</v>
      </c>
      <c r="L30" s="74">
        <v>0.47486927487243041</v>
      </c>
      <c r="M30" s="72">
        <v>5.5145089089333819E-2</v>
      </c>
      <c r="N30" s="72">
        <v>-0.27483976985962111</v>
      </c>
      <c r="O30" s="74">
        <v>1.7701866808614286</v>
      </c>
      <c r="P30" s="74">
        <v>1.4590371869500014</v>
      </c>
      <c r="Q30" s="75">
        <v>2.582030370173384</v>
      </c>
      <c r="R30" s="73">
        <v>1.9255446738836994E-2</v>
      </c>
      <c r="S30" s="75">
        <v>0.25764860268929252</v>
      </c>
      <c r="T30" s="67">
        <v>27.166765874389199</v>
      </c>
      <c r="U30" s="73" t="s">
        <v>186</v>
      </c>
      <c r="V30" s="77">
        <v>2.8503343647966948</v>
      </c>
      <c r="W30" s="76">
        <v>11.195086344375486</v>
      </c>
      <c r="X30" s="79" t="s">
        <v>110</v>
      </c>
    </row>
    <row r="31" spans="1:24" ht="9" customHeight="1" x14ac:dyDescent="0.25">
      <c r="H31" s="41"/>
      <c r="I31" s="41"/>
      <c r="J31" s="41"/>
      <c r="K31" s="41"/>
      <c r="L31" s="32"/>
      <c r="M31" s="80"/>
      <c r="N31" s="80"/>
      <c r="P31" s="32"/>
      <c r="Q31" s="81"/>
      <c r="R31" s="82"/>
      <c r="S31" s="81"/>
      <c r="T31" s="81"/>
      <c r="U31" s="81"/>
      <c r="V31" s="81"/>
      <c r="W31" s="81"/>
    </row>
    <row r="32" spans="1:24" x14ac:dyDescent="0.25">
      <c r="A32" s="58" t="s">
        <v>112</v>
      </c>
      <c r="B32" s="83"/>
      <c r="C32" s="83"/>
      <c r="D32" s="83"/>
      <c r="E32" s="83"/>
      <c r="F32" s="83"/>
      <c r="G32" s="83"/>
      <c r="H32" s="84"/>
      <c r="I32" s="84"/>
      <c r="J32" s="84"/>
      <c r="K32" s="84"/>
      <c r="L32" s="85"/>
      <c r="M32" s="86"/>
      <c r="N32" s="86"/>
      <c r="O32" s="83"/>
      <c r="P32" s="85"/>
      <c r="Q32" s="87"/>
      <c r="R32" s="88"/>
      <c r="S32" s="87"/>
      <c r="T32" s="87"/>
      <c r="U32" s="87"/>
      <c r="V32" s="87"/>
      <c r="W32" s="87"/>
      <c r="X32" s="89"/>
    </row>
    <row r="33" spans="1:29" x14ac:dyDescent="0.25">
      <c r="A33" t="s">
        <v>33</v>
      </c>
      <c r="B33" s="60">
        <v>341.7</v>
      </c>
      <c r="C33" s="61">
        <v>373.69799999999998</v>
      </c>
      <c r="D33" s="61">
        <v>144.66196634932601</v>
      </c>
      <c r="E33" s="62">
        <v>-9.1344062635929646E-3</v>
      </c>
      <c r="F33" s="62">
        <v>3.3106575963718798E-2</v>
      </c>
      <c r="G33" s="62">
        <v>0.37348494350794526</v>
      </c>
      <c r="H33" s="63">
        <v>0.306111966369775</v>
      </c>
      <c r="I33" s="63">
        <v>0.40647161136917298</v>
      </c>
      <c r="J33" s="63">
        <v>0.48531851503634565</v>
      </c>
      <c r="K33" s="63">
        <v>-7.1188161743725109E-2</v>
      </c>
      <c r="L33" s="65">
        <v>0.419013439305293</v>
      </c>
      <c r="M33" s="62">
        <v>4.1362079553026621E-2</v>
      </c>
      <c r="N33" s="66">
        <v>5.1184187892761024E-3</v>
      </c>
      <c r="O33" s="65">
        <v>3913.5190910721499</v>
      </c>
      <c r="P33" s="65">
        <v>762.24794753523997</v>
      </c>
      <c r="Q33" s="67">
        <v>5.6989222487364</v>
      </c>
      <c r="R33" s="62">
        <v>9.6886137257266407E-3</v>
      </c>
      <c r="S33" s="67">
        <v>1.0215388564214001</v>
      </c>
      <c r="T33" s="67">
        <v>15.888058551178</v>
      </c>
      <c r="U33" s="67">
        <v>12.1236384376773</v>
      </c>
      <c r="V33" s="67">
        <v>1.2843041299467099</v>
      </c>
      <c r="W33" s="67">
        <v>3.9728635166606501</v>
      </c>
      <c r="X33" s="68" t="s">
        <v>33</v>
      </c>
      <c r="Z33" t="s">
        <v>113</v>
      </c>
    </row>
    <row r="34" spans="1:29" x14ac:dyDescent="0.25">
      <c r="A34" t="s">
        <v>50</v>
      </c>
      <c r="B34" s="60">
        <v>548.25</v>
      </c>
      <c r="C34" s="61">
        <v>708.95</v>
      </c>
      <c r="D34" s="61">
        <v>395</v>
      </c>
      <c r="E34" s="62">
        <v>-2.4986661924239706E-2</v>
      </c>
      <c r="F34" s="62">
        <v>-1.7561150434548756E-2</v>
      </c>
      <c r="G34" s="62">
        <v>0.33524111056989758</v>
      </c>
      <c r="H34" s="63">
        <v>0.38709698544979704</v>
      </c>
      <c r="I34" s="63">
        <v>0.35880747657812001</v>
      </c>
      <c r="J34" s="63">
        <v>0.34126867303122643</v>
      </c>
      <c r="K34" s="63">
        <v>3.4545015533773427E-3</v>
      </c>
      <c r="L34" s="65">
        <v>0.30718529168151398</v>
      </c>
      <c r="M34" s="62">
        <v>-9.3056468452409336E-3</v>
      </c>
      <c r="N34" s="66">
        <v>-3.312541414877157E-2</v>
      </c>
      <c r="O34" s="65">
        <v>663.81585950900001</v>
      </c>
      <c r="P34" s="65">
        <v>15.0804056214384</v>
      </c>
      <c r="Q34" s="67">
        <v>9.34838061108643</v>
      </c>
      <c r="R34" s="62">
        <v>3.2917392850791399E-2</v>
      </c>
      <c r="S34" s="67">
        <v>1.9950539111952399</v>
      </c>
      <c r="T34" s="67">
        <v>17.297474623853301</v>
      </c>
      <c r="U34" s="67">
        <v>16.866171003405299</v>
      </c>
      <c r="V34" s="67">
        <v>1.27364835484302</v>
      </c>
      <c r="W34" s="67">
        <v>12.870799396825999</v>
      </c>
      <c r="X34" s="68" t="s">
        <v>50</v>
      </c>
      <c r="Z34" t="s">
        <v>114</v>
      </c>
      <c r="AA34" t="s">
        <v>115</v>
      </c>
      <c r="AB34" t="s">
        <v>116</v>
      </c>
      <c r="AC34" t="s">
        <v>117</v>
      </c>
    </row>
    <row r="35" spans="1:29" x14ac:dyDescent="0.25">
      <c r="A35" t="s">
        <v>57</v>
      </c>
      <c r="B35" s="60">
        <v>765.8</v>
      </c>
      <c r="C35" s="61">
        <v>785.997432</v>
      </c>
      <c r="D35" s="61">
        <v>414.24922838880002</v>
      </c>
      <c r="E35" s="62">
        <v>-8.5447954427757544E-3</v>
      </c>
      <c r="F35" s="62">
        <v>-1.0643858468591283E-2</v>
      </c>
      <c r="G35" s="62">
        <v>0.53668888353984157</v>
      </c>
      <c r="H35" s="63">
        <v>0.204640595431335</v>
      </c>
      <c r="I35" s="63">
        <v>0.34904891041745001</v>
      </c>
      <c r="J35" s="63">
        <v>0.8193409938428079</v>
      </c>
      <c r="K35" s="63">
        <v>-4.3150494042243359E-2</v>
      </c>
      <c r="L35" s="65">
        <v>0.76424446173879101</v>
      </c>
      <c r="M35" s="62">
        <v>-2.3883548792834608E-3</v>
      </c>
      <c r="N35" s="66">
        <v>0.16832235882117241</v>
      </c>
      <c r="O35" s="65">
        <v>303.79480131320003</v>
      </c>
      <c r="P35" s="65">
        <v>646.61826078140007</v>
      </c>
      <c r="Q35" s="67">
        <v>4.6994996895292704</v>
      </c>
      <c r="R35" s="62">
        <v>9.2167918177110293E-3</v>
      </c>
      <c r="S35" s="67">
        <v>0.61347893026212896</v>
      </c>
      <c r="T35" s="67">
        <v>10.377776543081101</v>
      </c>
      <c r="U35" s="67">
        <v>14.5561587118817</v>
      </c>
      <c r="V35" s="67">
        <v>0.83838535287906679</v>
      </c>
      <c r="W35" s="67">
        <v>2.05889890602029</v>
      </c>
      <c r="X35" s="68" t="s">
        <v>57</v>
      </c>
      <c r="Z35">
        <v>303794801313.20001</v>
      </c>
      <c r="AA35">
        <v>393312793</v>
      </c>
      <c r="AB35">
        <v>362357</v>
      </c>
      <c r="AC35" s="90">
        <v>0.83838535287906679</v>
      </c>
    </row>
    <row r="36" spans="1:29" x14ac:dyDescent="0.25">
      <c r="A36" t="s">
        <v>19</v>
      </c>
      <c r="B36" s="60">
        <v>134.25</v>
      </c>
      <c r="C36" s="61">
        <v>139.6</v>
      </c>
      <c r="D36" s="61">
        <v>64.144925551164704</v>
      </c>
      <c r="E36" s="62">
        <v>5.6179775280897903E-3</v>
      </c>
      <c r="F36" s="62">
        <v>8.7044534412955565E-2</v>
      </c>
      <c r="G36" s="62">
        <v>0.3400853404276436</v>
      </c>
      <c r="H36" s="63">
        <v>0.29633338081821003</v>
      </c>
      <c r="I36" s="63">
        <v>0.41153696291448705</v>
      </c>
      <c r="J36" s="63">
        <v>47.747664431987765</v>
      </c>
      <c r="K36" s="63">
        <v>0.30725271806090104</v>
      </c>
      <c r="L36" s="65">
        <v>0.88976066849340796</v>
      </c>
      <c r="M36" s="62">
        <v>9.5300038002263388E-2</v>
      </c>
      <c r="N36" s="66">
        <v>-2.8281184291025552E-2</v>
      </c>
      <c r="O36" s="65">
        <v>106.0651202805</v>
      </c>
      <c r="P36" s="65">
        <v>57.012131998250098</v>
      </c>
      <c r="Q36" s="67">
        <v>3.11810918707135</v>
      </c>
      <c r="R36" s="62">
        <v>9.9304207619475698E-2</v>
      </c>
      <c r="S36" s="67">
        <v>2.7852386269457399</v>
      </c>
      <c r="T36" s="67">
        <v>8.7284884208555304</v>
      </c>
      <c r="U36" s="67">
        <v>9.4346289752650208</v>
      </c>
      <c r="V36" s="67">
        <v>2.8581795210905998</v>
      </c>
      <c r="W36" s="67">
        <v>14.8560796530777</v>
      </c>
      <c r="X36" s="68" t="s">
        <v>19</v>
      </c>
      <c r="Z36">
        <v>134.25</v>
      </c>
      <c r="AB36">
        <v>921.29472127289796</v>
      </c>
      <c r="AC36">
        <v>0.14571884208184194</v>
      </c>
    </row>
    <row r="37" spans="1:29" x14ac:dyDescent="0.25">
      <c r="A37" t="s">
        <v>53</v>
      </c>
      <c r="B37" s="60">
        <v>69.400000000000006</v>
      </c>
      <c r="C37" s="61">
        <v>76</v>
      </c>
      <c r="D37" s="61">
        <v>42</v>
      </c>
      <c r="E37" s="62">
        <v>7.2568940493469292E-3</v>
      </c>
      <c r="F37" s="62">
        <v>1.3138686131386912E-2</v>
      </c>
      <c r="G37" s="62">
        <v>0.22723253757736539</v>
      </c>
      <c r="H37" s="63">
        <v>0.21990509245901202</v>
      </c>
      <c r="I37" s="63">
        <v>0.38200963637045399</v>
      </c>
      <c r="J37" s="63">
        <v>27.464165836197687</v>
      </c>
      <c r="K37" s="63">
        <v>-3.2360785023334282E-3</v>
      </c>
      <c r="L37" s="65">
        <v>0.63666986301079898</v>
      </c>
      <c r="M37" s="62">
        <v>2.1394189720694734E-2</v>
      </c>
      <c r="N37" s="66">
        <v>-0.14113398714130376</v>
      </c>
      <c r="O37" s="65">
        <v>30.272864397099998</v>
      </c>
      <c r="P37" s="65">
        <v>8.5090019276</v>
      </c>
      <c r="Q37" s="67">
        <v>0.970319776410276</v>
      </c>
      <c r="R37" s="62">
        <v>1.21451378809869E-2</v>
      </c>
      <c r="S37" s="67" t="s">
        <v>186</v>
      </c>
      <c r="T37" s="67" t="s">
        <v>186</v>
      </c>
      <c r="U37" s="67">
        <v>9.12582781456954</v>
      </c>
      <c r="V37" s="67" t="s">
        <v>186</v>
      </c>
      <c r="W37" s="67" t="s">
        <v>186</v>
      </c>
      <c r="X37" s="68" t="s">
        <v>53</v>
      </c>
      <c r="Z37" t="s">
        <v>69</v>
      </c>
    </row>
    <row r="38" spans="1:29" x14ac:dyDescent="0.25">
      <c r="A38" t="s">
        <v>73</v>
      </c>
      <c r="B38" s="60">
        <v>11.1</v>
      </c>
      <c r="C38" s="61">
        <v>12.8</v>
      </c>
      <c r="D38" s="61">
        <v>7.2</v>
      </c>
      <c r="E38" s="62">
        <v>-2.6315789473684292E-2</v>
      </c>
      <c r="F38" s="62">
        <v>-8.2644628099173612E-2</v>
      </c>
      <c r="G38" s="62">
        <v>4.5248868778280382E-3</v>
      </c>
      <c r="H38" s="63">
        <v>0.23016713463891597</v>
      </c>
      <c r="I38" s="63">
        <v>0.39244502859615599</v>
      </c>
      <c r="J38" s="63">
        <v>9.167919826120469E-3</v>
      </c>
      <c r="K38" s="63">
        <v>-3.8184570645519722E-3</v>
      </c>
      <c r="L38" s="65">
        <v>0.36829985054370701</v>
      </c>
      <c r="M38" s="62">
        <v>-7.4389124509865789E-2</v>
      </c>
      <c r="N38" s="66">
        <v>-0.36384163784084111</v>
      </c>
      <c r="O38" s="65">
        <v>6.9031260408000001</v>
      </c>
      <c r="P38" s="65">
        <v>0.94282261260635603</v>
      </c>
      <c r="Q38" s="67">
        <v>31.623486033620299</v>
      </c>
      <c r="R38" s="62" t="s">
        <v>186</v>
      </c>
      <c r="S38" s="67">
        <v>4.2935131693508399</v>
      </c>
      <c r="T38" s="67" t="s">
        <v>186</v>
      </c>
      <c r="U38" s="67" t="s">
        <v>186</v>
      </c>
      <c r="V38" s="67">
        <v>2.2294684338491799</v>
      </c>
      <c r="W38" s="67">
        <v>37.667638935472702</v>
      </c>
      <c r="X38" s="68" t="s">
        <v>73</v>
      </c>
      <c r="Z38" t="s">
        <v>114</v>
      </c>
      <c r="AA38" t="s">
        <v>115</v>
      </c>
      <c r="AB38" t="s">
        <v>118</v>
      </c>
      <c r="AC38" t="s">
        <v>117</v>
      </c>
    </row>
    <row r="39" spans="1:29" x14ac:dyDescent="0.25">
      <c r="A39" t="s">
        <v>69</v>
      </c>
      <c r="B39" s="60">
        <v>3.03</v>
      </c>
      <c r="C39" s="61">
        <v>4.6136060099999998</v>
      </c>
      <c r="D39" s="61">
        <v>2.46639315</v>
      </c>
      <c r="E39" s="62">
        <v>-9.8039215686275272E-3</v>
      </c>
      <c r="F39" s="62">
        <v>-3.1948881789137462E-2</v>
      </c>
      <c r="G39" s="62">
        <v>-6.206208282270409E-2</v>
      </c>
      <c r="H39" s="63">
        <v>0.25125996334522299</v>
      </c>
      <c r="I39" s="63">
        <v>0.32555598897267801</v>
      </c>
      <c r="J39" s="63">
        <v>4.7770441478620458E-3</v>
      </c>
      <c r="K39" s="63">
        <v>-2.0830824356908861E-3</v>
      </c>
      <c r="L39" s="65">
        <v>0.58796847763443805</v>
      </c>
      <c r="M39" s="62">
        <v>-2.369337819982964E-2</v>
      </c>
      <c r="N39" s="66">
        <v>-0.43042860754137324</v>
      </c>
      <c r="O39" s="65">
        <v>4.6207968803999995</v>
      </c>
      <c r="P39" s="65">
        <v>6.1372749648870899</v>
      </c>
      <c r="Q39" s="67" t="s">
        <v>186</v>
      </c>
      <c r="R39" s="62">
        <v>3.2679738562091498E-2</v>
      </c>
      <c r="S39" s="67">
        <v>0.57712948518403995</v>
      </c>
      <c r="T39" s="67">
        <v>2.7780579266336001</v>
      </c>
      <c r="U39" s="67">
        <v>5.5636363636363599</v>
      </c>
      <c r="V39" s="67">
        <v>0.41506245122173041</v>
      </c>
      <c r="W39" s="67" t="s">
        <v>186</v>
      </c>
      <c r="X39" s="68" t="s">
        <v>69</v>
      </c>
      <c r="Z39">
        <v>4620796880.3999996</v>
      </c>
      <c r="AA39" s="91">
        <v>151006434</v>
      </c>
      <c r="AB39">
        <v>11132775</v>
      </c>
      <c r="AC39" s="92">
        <v>0.41506245122173041</v>
      </c>
    </row>
    <row r="40" spans="1:29" x14ac:dyDescent="0.25">
      <c r="A40" t="s">
        <v>40</v>
      </c>
      <c r="B40" s="60">
        <v>1.8</v>
      </c>
      <c r="C40" s="61">
        <v>3.02</v>
      </c>
      <c r="D40" s="61">
        <v>0.85</v>
      </c>
      <c r="E40" s="62">
        <v>-1.6393442622950838E-2</v>
      </c>
      <c r="F40" s="62">
        <v>5.5865921787709993E-3</v>
      </c>
      <c r="G40" s="62">
        <v>0.16129032258064524</v>
      </c>
      <c r="H40" s="63">
        <v>0.53048857402703498</v>
      </c>
      <c r="I40" s="63">
        <v>0.50066374836634997</v>
      </c>
      <c r="J40" s="63">
        <v>3.9268697305799979E-3</v>
      </c>
      <c r="K40" s="63">
        <v>-9.8874468850407293E-4</v>
      </c>
      <c r="L40" s="65">
        <v>0.37132025617560699</v>
      </c>
      <c r="M40" s="62">
        <v>1.3842095768078821E-2</v>
      </c>
      <c r="N40" s="66">
        <v>-0.20707620213802391</v>
      </c>
      <c r="O40" s="65">
        <v>0.83841899630999994</v>
      </c>
      <c r="P40" s="65">
        <v>1.031488256</v>
      </c>
      <c r="Q40" s="67">
        <v>10.423923049451099</v>
      </c>
      <c r="R40" s="62" t="s">
        <v>186</v>
      </c>
      <c r="S40" s="67">
        <v>3.3293668461281398</v>
      </c>
      <c r="T40" s="69">
        <v>17.776022121272</v>
      </c>
      <c r="U40" s="67" t="s">
        <v>186</v>
      </c>
      <c r="V40" s="67">
        <v>2.0606041429398498</v>
      </c>
      <c r="W40" s="67" t="s">
        <v>186</v>
      </c>
      <c r="X40" s="68" t="s">
        <v>40</v>
      </c>
      <c r="Z40" t="s">
        <v>119</v>
      </c>
    </row>
    <row r="41" spans="1:29" x14ac:dyDescent="0.25">
      <c r="A41" s="70" t="s">
        <v>109</v>
      </c>
      <c r="B41" s="71"/>
      <c r="C41" s="71"/>
      <c r="D41" s="71"/>
      <c r="E41" s="72">
        <v>-1.0288018214804295E-2</v>
      </c>
      <c r="F41" s="72">
        <v>-4.9026626307735466E-4</v>
      </c>
      <c r="G41" s="72">
        <v>0.23956074278230782</v>
      </c>
      <c r="H41" s="73">
        <v>0.30325046156741292</v>
      </c>
      <c r="I41" s="73">
        <v>0.39081742044810852</v>
      </c>
      <c r="J41" s="73">
        <v>9.6094537854750488</v>
      </c>
      <c r="K41" s="73">
        <v>2.3280275142153695E-2</v>
      </c>
      <c r="L41" s="74">
        <v>0.54305778857294462</v>
      </c>
      <c r="M41" s="72">
        <v>7.7652373262304675E-3</v>
      </c>
      <c r="N41" s="72">
        <v>-0.12880578193636133</v>
      </c>
      <c r="O41" s="74">
        <v>628.72875981118261</v>
      </c>
      <c r="P41" s="74">
        <v>187.19741671217776</v>
      </c>
      <c r="Q41" s="75">
        <v>9.4118057994150188</v>
      </c>
      <c r="R41" s="73">
        <v>3.2658647076130524E-2</v>
      </c>
      <c r="S41" s="75">
        <v>2.0879028322125039</v>
      </c>
      <c r="T41" s="67">
        <v>12.140979697812256</v>
      </c>
      <c r="U41" s="75">
        <v>11.278343551072536</v>
      </c>
      <c r="V41" s="77">
        <v>1.5656646266814511</v>
      </c>
      <c r="W41" s="75">
        <v>14.28525608161147</v>
      </c>
      <c r="X41" s="79" t="s">
        <v>110</v>
      </c>
      <c r="Z41">
        <v>3.03</v>
      </c>
      <c r="AB41">
        <v>7.3723845435618989</v>
      </c>
      <c r="AC41">
        <v>0.4109932115038703</v>
      </c>
    </row>
    <row r="42" spans="1:29" ht="8.25" customHeight="1" x14ac:dyDescent="0.25">
      <c r="E42" s="82"/>
      <c r="F42" s="82"/>
      <c r="G42" s="82"/>
      <c r="H42" s="41"/>
      <c r="I42" s="41"/>
      <c r="J42" s="41"/>
      <c r="K42" s="41"/>
      <c r="L42" s="32"/>
      <c r="M42" s="80"/>
      <c r="N42" s="80"/>
      <c r="P42" s="32"/>
      <c r="Q42" s="81"/>
      <c r="R42" s="82"/>
      <c r="S42" s="81"/>
      <c r="T42" s="81"/>
      <c r="U42" s="81"/>
      <c r="V42" s="81"/>
      <c r="W42" s="81"/>
    </row>
    <row r="43" spans="1:29" ht="26.25" customHeight="1" x14ac:dyDescent="0.25">
      <c r="E43" s="82"/>
      <c r="F43" s="82"/>
      <c r="G43" s="82"/>
      <c r="H43" s="41"/>
      <c r="I43" s="41"/>
      <c r="J43" s="41"/>
      <c r="K43" s="41"/>
      <c r="L43" s="32"/>
      <c r="M43" s="80"/>
      <c r="N43" s="80"/>
      <c r="P43" s="32"/>
      <c r="Q43" s="32"/>
      <c r="R43" s="82"/>
      <c r="S43" s="81"/>
      <c r="T43" s="81"/>
      <c r="U43" s="81"/>
      <c r="V43" s="81"/>
      <c r="W43" s="81"/>
    </row>
    <row r="44" spans="1:29" x14ac:dyDescent="0.25">
      <c r="A44" s="43" t="s">
        <v>4</v>
      </c>
      <c r="B44" s="43" t="s">
        <v>83</v>
      </c>
      <c r="C44" s="44" t="s">
        <v>84</v>
      </c>
      <c r="D44" s="44"/>
      <c r="E44" s="45" t="s">
        <v>85</v>
      </c>
      <c r="F44" s="46"/>
      <c r="G44" s="47"/>
      <c r="H44" s="44" t="s">
        <v>86</v>
      </c>
      <c r="I44" s="44"/>
      <c r="J44" s="48" t="s">
        <v>87</v>
      </c>
      <c r="K44" s="48" t="s">
        <v>88</v>
      </c>
      <c r="L44" s="49" t="s">
        <v>89</v>
      </c>
      <c r="M44" s="44" t="s">
        <v>90</v>
      </c>
      <c r="N44" s="44"/>
      <c r="O44" s="44" t="s">
        <v>91</v>
      </c>
      <c r="P44" s="44"/>
      <c r="Q44" s="44"/>
      <c r="R44" s="49" t="s">
        <v>92</v>
      </c>
      <c r="S44" s="44" t="s">
        <v>93</v>
      </c>
      <c r="T44" s="44"/>
      <c r="U44" s="44"/>
      <c r="V44" s="44"/>
      <c r="W44" s="44"/>
      <c r="X44" s="93" t="s">
        <v>4</v>
      </c>
    </row>
    <row r="45" spans="1:29" ht="33" customHeight="1" x14ac:dyDescent="0.25">
      <c r="A45" s="51"/>
      <c r="B45" s="51"/>
      <c r="C45" s="52" t="s">
        <v>94</v>
      </c>
      <c r="D45" s="52" t="s">
        <v>95</v>
      </c>
      <c r="E45" s="53" t="s">
        <v>96</v>
      </c>
      <c r="F45" s="53" t="s">
        <v>97</v>
      </c>
      <c r="G45" s="53">
        <v>2019</v>
      </c>
      <c r="H45" s="53" t="s">
        <v>98</v>
      </c>
      <c r="I45" s="53" t="s">
        <v>99</v>
      </c>
      <c r="J45" s="54"/>
      <c r="K45" s="54"/>
      <c r="L45" s="49"/>
      <c r="M45" s="53" t="s">
        <v>97</v>
      </c>
      <c r="N45" s="53">
        <v>2019</v>
      </c>
      <c r="O45" s="55" t="s">
        <v>100</v>
      </c>
      <c r="P45" s="53" t="s">
        <v>101</v>
      </c>
      <c r="Q45" s="53" t="s">
        <v>102</v>
      </c>
      <c r="R45" s="49"/>
      <c r="S45" s="56" t="s">
        <v>103</v>
      </c>
      <c r="T45" s="53" t="s">
        <v>104</v>
      </c>
      <c r="U45" s="53" t="s">
        <v>105</v>
      </c>
      <c r="V45" s="53" t="s">
        <v>106</v>
      </c>
      <c r="W45" s="53" t="s">
        <v>107</v>
      </c>
      <c r="X45" s="94"/>
    </row>
    <row r="46" spans="1:29" x14ac:dyDescent="0.25">
      <c r="A46" s="58" t="s">
        <v>120</v>
      </c>
      <c r="B46" s="83"/>
      <c r="C46" s="83"/>
      <c r="D46" s="83"/>
      <c r="E46" s="88"/>
      <c r="F46" s="88"/>
      <c r="G46" s="88"/>
      <c r="H46" s="84"/>
      <c r="I46" s="84"/>
      <c r="J46" s="84"/>
      <c r="K46" s="84"/>
      <c r="L46" s="85"/>
      <c r="M46" s="86"/>
      <c r="N46" s="86"/>
      <c r="O46" s="83"/>
      <c r="P46" s="85"/>
      <c r="Q46" s="85"/>
      <c r="R46" s="88"/>
      <c r="S46" s="87"/>
      <c r="T46" s="87"/>
      <c r="U46" s="87"/>
      <c r="V46" s="87"/>
      <c r="W46" s="87"/>
      <c r="X46" s="89"/>
    </row>
    <row r="47" spans="1:29" x14ac:dyDescent="0.25">
      <c r="A47" t="s">
        <v>43</v>
      </c>
      <c r="B47" s="60">
        <v>152.9</v>
      </c>
      <c r="C47" s="61">
        <v>162.5</v>
      </c>
      <c r="D47" s="61">
        <v>68.756320849999994</v>
      </c>
      <c r="E47" s="62">
        <v>-8.430609597924632E-3</v>
      </c>
      <c r="F47" s="62">
        <v>8.5751978891821512E-3</v>
      </c>
      <c r="G47" s="62">
        <v>0.49939360364768626</v>
      </c>
      <c r="H47" s="63">
        <v>0.47343764751651202</v>
      </c>
      <c r="I47" s="63">
        <v>0.49914559323608798</v>
      </c>
      <c r="J47" s="63">
        <v>0.48335494826248326</v>
      </c>
      <c r="K47" s="63">
        <v>0.26741721625352621</v>
      </c>
      <c r="L47" s="65">
        <v>1.40156583004449</v>
      </c>
      <c r="M47" s="62">
        <v>1.6830701478489973E-2</v>
      </c>
      <c r="N47" s="66">
        <v>0.1310270789290171</v>
      </c>
      <c r="O47" s="65">
        <v>220.00710085739999</v>
      </c>
      <c r="P47" s="65">
        <v>79.102405596300201</v>
      </c>
      <c r="Q47" s="67">
        <v>1.7652072520430699</v>
      </c>
      <c r="R47" s="62">
        <v>9.0906156763942911E-3</v>
      </c>
      <c r="S47" s="67">
        <v>2.28630513874193</v>
      </c>
      <c r="T47" s="67">
        <v>10.6627874297661</v>
      </c>
      <c r="U47" s="67">
        <v>9.5987211664873904</v>
      </c>
      <c r="V47" s="67">
        <v>3.4241900709074802</v>
      </c>
      <c r="W47" s="67">
        <v>1.2903656837388899</v>
      </c>
      <c r="X47" s="68" t="s">
        <v>43</v>
      </c>
    </row>
    <row r="48" spans="1:29" x14ac:dyDescent="0.25">
      <c r="A48" t="s">
        <v>72</v>
      </c>
      <c r="B48" s="60">
        <v>289.7</v>
      </c>
      <c r="C48" s="61">
        <v>317</v>
      </c>
      <c r="D48" s="61">
        <v>119.27131445000001</v>
      </c>
      <c r="E48" s="62">
        <v>-2.3428282487780172E-2</v>
      </c>
      <c r="F48" s="62">
        <v>-7.3256557901471675E-2</v>
      </c>
      <c r="G48" s="62">
        <v>0.85261324015296247</v>
      </c>
      <c r="H48" s="63">
        <v>0.47710365272854199</v>
      </c>
      <c r="I48" s="63">
        <v>0.57988636634616997</v>
      </c>
      <c r="J48" s="63">
        <v>5.8407550660518805E-3</v>
      </c>
      <c r="K48" s="63">
        <v>1.4397361449747237E-4</v>
      </c>
      <c r="L48" s="65">
        <v>1.41591219176931</v>
      </c>
      <c r="M48" s="62">
        <v>-6.5001054312163853E-2</v>
      </c>
      <c r="N48" s="66">
        <v>0.48424671543429332</v>
      </c>
      <c r="O48" s="65">
        <v>198.65553517965</v>
      </c>
      <c r="P48" s="65">
        <v>155.4124171837</v>
      </c>
      <c r="Q48" s="67">
        <v>4.8038066719265196</v>
      </c>
      <c r="R48" s="62">
        <v>3.3709758975223297E-2</v>
      </c>
      <c r="S48" s="67">
        <v>2.46710212215311</v>
      </c>
      <c r="T48" s="67">
        <v>9.4517958412098295</v>
      </c>
      <c r="U48" s="67">
        <v>8.4169829833090404</v>
      </c>
      <c r="V48" s="67">
        <v>3.1247537464942798</v>
      </c>
      <c r="W48" s="67">
        <v>1.8161953273848099</v>
      </c>
      <c r="X48" s="68" t="s">
        <v>72</v>
      </c>
    </row>
    <row r="49" spans="1:24" x14ac:dyDescent="0.25">
      <c r="A49" t="s">
        <v>36</v>
      </c>
      <c r="B49" s="60">
        <v>163.85</v>
      </c>
      <c r="C49" s="61">
        <v>175.85</v>
      </c>
      <c r="D49" s="61">
        <v>85.431137399999997</v>
      </c>
      <c r="E49" s="62">
        <v>-2.295766249254616E-2</v>
      </c>
      <c r="F49" s="62">
        <v>1.2357120790855713E-2</v>
      </c>
      <c r="G49" s="62">
        <v>0.20185047564415348</v>
      </c>
      <c r="H49" s="63">
        <v>0.39454766021584198</v>
      </c>
      <c r="I49" s="63">
        <v>0.49037584373616899</v>
      </c>
      <c r="J49" s="63">
        <v>3.8788773082971224E-3</v>
      </c>
      <c r="K49" s="63">
        <v>-1.0987095344382469E-3</v>
      </c>
      <c r="L49" s="65">
        <v>1.1798868321531699</v>
      </c>
      <c r="M49" s="62">
        <v>2.0612624380163536E-2</v>
      </c>
      <c r="N49" s="66">
        <v>-0.16651604907451567</v>
      </c>
      <c r="O49" s="65">
        <v>102.74302129260001</v>
      </c>
      <c r="P49" s="65">
        <v>11.428748686300199</v>
      </c>
      <c r="Q49" s="67">
        <v>0.47332991652081402</v>
      </c>
      <c r="R49" s="62">
        <v>2.3427381932021499E-2</v>
      </c>
      <c r="S49" s="67">
        <v>1.7327818096516701</v>
      </c>
      <c r="T49" s="67">
        <v>7.1315872514988898</v>
      </c>
      <c r="U49" s="67">
        <v>6.8182455763735001</v>
      </c>
      <c r="V49" s="67">
        <v>2.2621675448300702</v>
      </c>
      <c r="W49" s="67">
        <v>3.2689088668611199</v>
      </c>
      <c r="X49" s="68" t="s">
        <v>36</v>
      </c>
    </row>
    <row r="50" spans="1:24" x14ac:dyDescent="0.25">
      <c r="A50" t="s">
        <v>11</v>
      </c>
      <c r="B50" s="60">
        <v>23.55</v>
      </c>
      <c r="C50" s="61">
        <v>26.197856986931999</v>
      </c>
      <c r="D50" s="61">
        <v>11.9738364</v>
      </c>
      <c r="E50" s="62">
        <v>1.5086206896551824E-2</v>
      </c>
      <c r="F50" s="62">
        <v>0.23947368421052628</v>
      </c>
      <c r="G50" s="62">
        <v>0.38691828053699595</v>
      </c>
      <c r="H50" s="63">
        <v>0.49058654840243698</v>
      </c>
      <c r="I50" s="63">
        <v>0.435180584720817</v>
      </c>
      <c r="J50" s="63">
        <v>4.4108048843691039E-3</v>
      </c>
      <c r="K50" s="63">
        <v>-1.8701615674752148E-3</v>
      </c>
      <c r="L50" s="65">
        <v>0.62817062587353401</v>
      </c>
      <c r="M50" s="62">
        <v>0.24772918779983411</v>
      </c>
      <c r="N50" s="66">
        <v>1.8551755818326798E-2</v>
      </c>
      <c r="O50" s="65">
        <v>49.650077506449996</v>
      </c>
      <c r="P50" s="65">
        <v>-123.1974830485</v>
      </c>
      <c r="Q50" s="67">
        <v>-2.9329683073801198</v>
      </c>
      <c r="R50" s="62">
        <v>1.19856649568965E-2</v>
      </c>
      <c r="S50" s="67">
        <v>1.35591788214082</v>
      </c>
      <c r="T50" s="67">
        <v>6.9888356688805402</v>
      </c>
      <c r="U50" s="67" t="s">
        <v>186</v>
      </c>
      <c r="V50" s="67">
        <v>2.0542326249233001</v>
      </c>
      <c r="W50" s="67">
        <v>0.78712192477499099</v>
      </c>
      <c r="X50" s="68" t="s">
        <v>11</v>
      </c>
    </row>
    <row r="51" spans="1:24" x14ac:dyDescent="0.25">
      <c r="A51" t="s">
        <v>12</v>
      </c>
      <c r="B51" s="60">
        <v>50</v>
      </c>
      <c r="C51" s="61">
        <v>53</v>
      </c>
      <c r="D51" s="61">
        <v>26.26182</v>
      </c>
      <c r="E51" s="62">
        <v>-5.9642147117295874E-3</v>
      </c>
      <c r="F51" s="62">
        <v>0.19047619047619047</v>
      </c>
      <c r="G51" s="62">
        <v>0.61678575425496773</v>
      </c>
      <c r="H51" s="63">
        <v>0.41258663675096602</v>
      </c>
      <c r="I51" s="63">
        <v>0.39570609454622002</v>
      </c>
      <c r="J51" s="63">
        <v>4.2132647008163498E-3</v>
      </c>
      <c r="K51" s="63">
        <v>-6.866514552935632E-4</v>
      </c>
      <c r="L51" s="65">
        <v>0.644663110484198</v>
      </c>
      <c r="M51" s="62">
        <v>0.19873169406549829</v>
      </c>
      <c r="N51" s="66">
        <v>0.24841922953629858</v>
      </c>
      <c r="O51" s="65">
        <v>36.173005421100001</v>
      </c>
      <c r="P51" s="65">
        <v>16.56947795</v>
      </c>
      <c r="Q51" s="67">
        <v>1.17808306479611</v>
      </c>
      <c r="R51" s="62">
        <v>8.6187408667992085E-2</v>
      </c>
      <c r="S51" s="67">
        <v>1.1246565556221499</v>
      </c>
      <c r="T51" s="67">
        <v>5.0192387420984597</v>
      </c>
      <c r="U51" s="67" t="s">
        <v>186</v>
      </c>
      <c r="V51" s="67">
        <v>1.4892268638398301</v>
      </c>
      <c r="W51" s="67">
        <v>0.78002567968058001</v>
      </c>
      <c r="X51" s="68" t="s">
        <v>12</v>
      </c>
    </row>
    <row r="52" spans="1:24" x14ac:dyDescent="0.25">
      <c r="A52" t="s">
        <v>80</v>
      </c>
      <c r="B52" s="60">
        <v>324.5</v>
      </c>
      <c r="C52" s="61">
        <v>392.81956100000002</v>
      </c>
      <c r="D52" s="61">
        <v>246</v>
      </c>
      <c r="E52" s="62">
        <v>-2.259036144578308E-2</v>
      </c>
      <c r="F52" s="62">
        <v>-0.1253369272237197</v>
      </c>
      <c r="G52" s="62">
        <v>-0.12785789980468709</v>
      </c>
      <c r="H52" s="63">
        <v>0.55903127023096899</v>
      </c>
      <c r="I52" s="63">
        <v>0.43344327360023099</v>
      </c>
      <c r="J52" s="63">
        <v>0.25936804045298184</v>
      </c>
      <c r="K52" s="63">
        <v>-4.457341488513844E-3</v>
      </c>
      <c r="L52" s="65">
        <v>0.65773307362422395</v>
      </c>
      <c r="M52" s="62">
        <v>-0.11708142363441187</v>
      </c>
      <c r="N52" s="66">
        <v>-0.49622442452335624</v>
      </c>
      <c r="O52" s="65">
        <v>25.315000000000001</v>
      </c>
      <c r="P52" s="65">
        <v>5.1266255399999903</v>
      </c>
      <c r="Q52" s="67">
        <v>4.4405764595877502</v>
      </c>
      <c r="R52" s="62">
        <v>1.5060240963855401E-2</v>
      </c>
      <c r="S52" s="67">
        <v>12.629582599176301</v>
      </c>
      <c r="T52" s="67">
        <v>16.242924066707602</v>
      </c>
      <c r="U52" s="67" t="s">
        <v>186</v>
      </c>
      <c r="V52" s="67">
        <v>2.3550136458667499</v>
      </c>
      <c r="W52" s="67">
        <v>5.7461178340210903</v>
      </c>
      <c r="X52" s="68" t="s">
        <v>80</v>
      </c>
    </row>
    <row r="53" spans="1:24" x14ac:dyDescent="0.25">
      <c r="A53" t="s">
        <v>29</v>
      </c>
      <c r="B53" s="60">
        <v>18.25</v>
      </c>
      <c r="C53" s="61">
        <v>19</v>
      </c>
      <c r="D53" s="61">
        <v>8.2798295999999993</v>
      </c>
      <c r="E53" s="62">
        <v>5.5096418732782926E-3</v>
      </c>
      <c r="F53" s="62">
        <v>6.4139941690962265E-2</v>
      </c>
      <c r="G53" s="62">
        <v>0.57573387106870588</v>
      </c>
      <c r="H53" s="63">
        <v>0.31942439271549</v>
      </c>
      <c r="I53" s="63">
        <v>0.37708703246131797</v>
      </c>
      <c r="J53" s="63">
        <v>6.6645250842120489E-3</v>
      </c>
      <c r="K53" s="63">
        <v>-2.9059129745552248E-3</v>
      </c>
      <c r="L53" s="65">
        <v>0.62753374249990601</v>
      </c>
      <c r="M53" s="62">
        <v>7.2395445280270088E-2</v>
      </c>
      <c r="N53" s="66">
        <v>0.20736734635003673</v>
      </c>
      <c r="O53" s="65">
        <v>27.225000000000001</v>
      </c>
      <c r="P53" s="65">
        <v>7.1299445849999907</v>
      </c>
      <c r="Q53" s="67">
        <v>2.4205562790498698</v>
      </c>
      <c r="R53" s="62">
        <v>9.1827366391184599E-3</v>
      </c>
      <c r="S53" s="67">
        <v>1.71912826865111</v>
      </c>
      <c r="T53" s="67">
        <v>17.177440608410802</v>
      </c>
      <c r="U53" s="67" t="s">
        <v>186</v>
      </c>
      <c r="V53" s="67">
        <v>2.6960919166261501</v>
      </c>
      <c r="W53" s="67">
        <v>4.5164978818795296</v>
      </c>
      <c r="X53" s="68" t="s">
        <v>29</v>
      </c>
    </row>
    <row r="54" spans="1:24" x14ac:dyDescent="0.25">
      <c r="A54" t="s">
        <v>62</v>
      </c>
      <c r="B54" s="60">
        <v>7.97</v>
      </c>
      <c r="C54" s="61">
        <v>9.0500000000000007</v>
      </c>
      <c r="D54" s="61">
        <v>3.9373263000000001</v>
      </c>
      <c r="E54" s="62">
        <v>-1.3613861386138626E-2</v>
      </c>
      <c r="F54" s="62">
        <v>-2.5672371638141844E-2</v>
      </c>
      <c r="G54" s="62">
        <v>0.67852480204674714</v>
      </c>
      <c r="H54" s="63">
        <v>0.39653129704604601</v>
      </c>
      <c r="I54" s="63">
        <v>0.364317447125035</v>
      </c>
      <c r="J54" s="63">
        <v>0.68662656377250975</v>
      </c>
      <c r="K54" s="63">
        <v>4.384945668095086E-2</v>
      </c>
      <c r="L54" s="65">
        <v>0.63948312224091597</v>
      </c>
      <c r="M54" s="62">
        <v>-1.7416868048834022E-2</v>
      </c>
      <c r="N54" s="66">
        <v>0.31015827732807799</v>
      </c>
      <c r="O54" s="65">
        <v>6.9363002399999996</v>
      </c>
      <c r="P54" s="65">
        <v>10.907120409999999</v>
      </c>
      <c r="Q54" s="67">
        <v>6.2755074366646504</v>
      </c>
      <c r="R54" s="62">
        <v>0.10602310231435601</v>
      </c>
      <c r="S54" s="67">
        <v>2.49512908536988</v>
      </c>
      <c r="T54" s="67">
        <v>5.6437964267758103</v>
      </c>
      <c r="U54" s="67">
        <v>5.0186335403726696</v>
      </c>
      <c r="V54" s="67">
        <v>2.7523794775485801</v>
      </c>
      <c r="W54" s="67">
        <v>0.62408042033278199</v>
      </c>
      <c r="X54" s="68" t="s">
        <v>62</v>
      </c>
    </row>
    <row r="55" spans="1:24" x14ac:dyDescent="0.25">
      <c r="A55" s="70" t="s">
        <v>109</v>
      </c>
      <c r="B55" s="71"/>
      <c r="C55" s="71"/>
      <c r="D55" s="71"/>
      <c r="E55" s="72">
        <v>-9.5486429190090177E-3</v>
      </c>
      <c r="F55" s="72">
        <v>3.6344534786797958E-2</v>
      </c>
      <c r="G55" s="72">
        <v>0.46049526594344142</v>
      </c>
      <c r="H55" s="73">
        <v>0.44040613820085051</v>
      </c>
      <c r="I55" s="73">
        <v>0.44689277947150596</v>
      </c>
      <c r="J55" s="73">
        <v>0.18179472244146516</v>
      </c>
      <c r="K55" s="73">
        <v>3.7548983691087306E-2</v>
      </c>
      <c r="L55" s="95">
        <v>0.89936856608621862</v>
      </c>
      <c r="M55" s="72">
        <v>4.460003837610578E-2</v>
      </c>
      <c r="N55" s="72">
        <v>9.2128741224772326E-2</v>
      </c>
      <c r="O55" s="74">
        <v>83.338130062150015</v>
      </c>
      <c r="P55" s="74">
        <v>20.309907112850048</v>
      </c>
      <c r="Q55" s="75">
        <v>2.3030123466510828</v>
      </c>
      <c r="R55" s="72">
        <v>3.6833363765732194E-2</v>
      </c>
      <c r="S55" s="75">
        <v>3.226325432688371</v>
      </c>
      <c r="T55" s="75">
        <v>9.7898007544185024</v>
      </c>
      <c r="U55" s="75">
        <v>7.4631458166356497</v>
      </c>
      <c r="V55" s="77">
        <v>2.519756986379555</v>
      </c>
      <c r="W55" s="75">
        <v>2.3536642023342238</v>
      </c>
      <c r="X55" s="79" t="s">
        <v>110</v>
      </c>
    </row>
    <row r="56" spans="1:24" ht="9" customHeight="1" x14ac:dyDescent="0.25">
      <c r="E56" s="82"/>
      <c r="F56" s="82"/>
      <c r="G56" s="82"/>
      <c r="H56" s="41"/>
      <c r="I56" s="41"/>
      <c r="J56" s="41"/>
      <c r="K56" s="41"/>
      <c r="L56" s="32"/>
      <c r="M56" s="80"/>
      <c r="N56" s="80"/>
      <c r="O56" s="32"/>
      <c r="P56" s="32"/>
      <c r="Q56" s="81"/>
      <c r="R56" s="82"/>
      <c r="S56" s="81"/>
      <c r="T56" s="81"/>
      <c r="U56" s="81"/>
      <c r="V56" s="81"/>
      <c r="W56" s="81"/>
    </row>
    <row r="57" spans="1:24" x14ac:dyDescent="0.25">
      <c r="A57" s="58" t="s">
        <v>121</v>
      </c>
      <c r="B57" s="83"/>
      <c r="C57" s="83"/>
      <c r="D57" s="83"/>
      <c r="E57" s="88"/>
      <c r="F57" s="88"/>
      <c r="G57" s="88"/>
      <c r="H57" s="84"/>
      <c r="I57" s="84"/>
      <c r="J57" s="84"/>
      <c r="K57" s="84"/>
      <c r="L57" s="85"/>
      <c r="M57" s="86"/>
      <c r="N57" s="86"/>
      <c r="O57" s="85"/>
      <c r="P57" s="85"/>
      <c r="Q57" s="87"/>
      <c r="R57" s="88"/>
      <c r="S57" s="87"/>
      <c r="T57" s="87"/>
      <c r="U57" s="87"/>
      <c r="V57" s="87"/>
      <c r="W57" s="87"/>
      <c r="X57" s="89"/>
    </row>
    <row r="58" spans="1:24" x14ac:dyDescent="0.25">
      <c r="A58" t="s">
        <v>67</v>
      </c>
      <c r="B58" s="60">
        <v>106</v>
      </c>
      <c r="C58" s="61">
        <v>118.7446655</v>
      </c>
      <c r="D58" s="61">
        <v>56.956631934720001</v>
      </c>
      <c r="E58" s="62">
        <v>-7.0257611241217877E-3</v>
      </c>
      <c r="F58" s="62">
        <v>-2.752293577981646E-2</v>
      </c>
      <c r="G58" s="62">
        <v>-4.2901039904272742E-2</v>
      </c>
      <c r="H58" s="63">
        <v>0.27659050612963898</v>
      </c>
      <c r="I58" s="63">
        <v>0.24918241512428999</v>
      </c>
      <c r="J58" s="63">
        <v>5.2548654735111349E-3</v>
      </c>
      <c r="K58" s="63">
        <v>-2.3186420809119257E-3</v>
      </c>
      <c r="L58" s="65">
        <v>0.341508504910226</v>
      </c>
      <c r="M58" s="62">
        <v>-1.9267432190508638E-2</v>
      </c>
      <c r="N58" s="66">
        <v>-0.41126756462294189</v>
      </c>
      <c r="O58" s="65">
        <v>9.8529033049999999</v>
      </c>
      <c r="P58" s="65">
        <v>1.8722052199999999</v>
      </c>
      <c r="Q58" s="67">
        <v>1.06270806424304</v>
      </c>
      <c r="R58" s="62">
        <v>0.172730481574707</v>
      </c>
      <c r="S58" s="67">
        <v>0.83909772669805105</v>
      </c>
      <c r="T58" s="67" t="s">
        <v>186</v>
      </c>
      <c r="U58" s="67" t="s">
        <v>186</v>
      </c>
      <c r="V58" s="67">
        <v>0.85815299991377403</v>
      </c>
      <c r="W58" s="67">
        <v>1.4156686178009401</v>
      </c>
      <c r="X58" s="68" t="s">
        <v>67</v>
      </c>
    </row>
    <row r="59" spans="1:24" x14ac:dyDescent="0.25">
      <c r="A59" t="s">
        <v>71</v>
      </c>
      <c r="B59" s="60">
        <v>37.75</v>
      </c>
      <c r="C59" s="61">
        <v>40.4</v>
      </c>
      <c r="D59" s="61">
        <v>20.259980340984999</v>
      </c>
      <c r="E59" s="62">
        <v>6.6666666666665986E-3</v>
      </c>
      <c r="F59" s="62">
        <v>-3.6989795918367374E-2</v>
      </c>
      <c r="G59" s="62">
        <v>0.21882669123907372</v>
      </c>
      <c r="H59" s="63">
        <v>0.222999586062544</v>
      </c>
      <c r="I59" s="63">
        <v>0.23664819971325401</v>
      </c>
      <c r="J59" s="63">
        <v>7.2332592422601731</v>
      </c>
      <c r="K59" s="63">
        <v>0.273439358850734</v>
      </c>
      <c r="L59" s="65">
        <v>0.432450491230572</v>
      </c>
      <c r="M59" s="62">
        <v>-2.8734292329059552E-2</v>
      </c>
      <c r="N59" s="66">
        <v>-0.14953983347959543</v>
      </c>
      <c r="O59" s="65">
        <v>6</v>
      </c>
      <c r="P59" s="65">
        <v>5.36945376999999</v>
      </c>
      <c r="Q59" s="67">
        <v>5.7089228196429103</v>
      </c>
      <c r="R59" s="62">
        <v>0.32939074066666696</v>
      </c>
      <c r="S59" s="67">
        <v>2.11213337783781</v>
      </c>
      <c r="T59" s="67">
        <v>0.96398574782183899</v>
      </c>
      <c r="U59" s="67" t="s">
        <v>186</v>
      </c>
      <c r="V59" s="67">
        <v>1.0443209518013099</v>
      </c>
      <c r="W59" s="67">
        <v>3.7510518082792998</v>
      </c>
      <c r="X59" s="68" t="s">
        <v>71</v>
      </c>
    </row>
    <row r="60" spans="1:24" x14ac:dyDescent="0.25">
      <c r="A60" t="s">
        <v>8</v>
      </c>
      <c r="B60" s="60" t="s">
        <v>186</v>
      </c>
      <c r="C60" s="61">
        <v>31</v>
      </c>
      <c r="D60" s="61">
        <v>5.9</v>
      </c>
      <c r="E60" s="62" t="s">
        <v>186</v>
      </c>
      <c r="F60" s="62" t="s">
        <v>186</v>
      </c>
      <c r="G60" s="62" t="s">
        <v>186</v>
      </c>
      <c r="H60" s="63">
        <v>0.28051904498374403</v>
      </c>
      <c r="I60" s="63">
        <v>0.55525240659353903</v>
      </c>
      <c r="J60" s="63">
        <v>0</v>
      </c>
      <c r="K60" s="63">
        <v>0</v>
      </c>
      <c r="L60" s="65">
        <v>0.196028851773244</v>
      </c>
      <c r="M60" s="62" t="s">
        <v>186</v>
      </c>
      <c r="N60" s="66" t="s">
        <v>186</v>
      </c>
      <c r="O60" s="65">
        <v>1.2848869620000001</v>
      </c>
      <c r="P60" s="65">
        <v>1.2802299619999999</v>
      </c>
      <c r="Q60" s="67">
        <v>12.2601555419356</v>
      </c>
      <c r="R60" s="62" t="s">
        <v>186</v>
      </c>
      <c r="S60" s="67">
        <v>0.47138512544533301</v>
      </c>
      <c r="T60" s="67">
        <v>4.4845941002673202</v>
      </c>
      <c r="U60" s="67" t="s">
        <v>186</v>
      </c>
      <c r="V60" s="67">
        <v>1.63659019488292</v>
      </c>
      <c r="W60" s="67" t="s">
        <v>186</v>
      </c>
      <c r="X60" s="68" t="s">
        <v>8</v>
      </c>
    </row>
    <row r="61" spans="1:24" x14ac:dyDescent="0.25">
      <c r="A61" t="s">
        <v>39</v>
      </c>
      <c r="B61" s="60">
        <v>12.25</v>
      </c>
      <c r="C61" s="61">
        <v>13.4308087</v>
      </c>
      <c r="D61" s="61">
        <v>7.9898606499999998</v>
      </c>
      <c r="E61" s="62">
        <v>-4.0650406504065817E-3</v>
      </c>
      <c r="F61" s="62">
        <v>2.0833333333333259E-2</v>
      </c>
      <c r="G61" s="62">
        <v>-2.7585610172168873E-2</v>
      </c>
      <c r="H61" s="63">
        <v>0.224609648725028</v>
      </c>
      <c r="I61" s="63">
        <v>0.17474125219956602</v>
      </c>
      <c r="J61" s="63">
        <v>4.7813434003060613E-3</v>
      </c>
      <c r="K61" s="63">
        <v>-2.0853667577406254E-3</v>
      </c>
      <c r="L61" s="65">
        <v>0.122674661298155</v>
      </c>
      <c r="M61" s="62">
        <v>2.9088836922641081E-2</v>
      </c>
      <c r="N61" s="66">
        <v>-0.39595213489083803</v>
      </c>
      <c r="O61" s="65">
        <v>1.51536</v>
      </c>
      <c r="P61" s="65">
        <v>1.4961110399999999</v>
      </c>
      <c r="Q61" s="67">
        <v>3.8195929759834901</v>
      </c>
      <c r="R61" s="62">
        <v>1.94092145528455E-2</v>
      </c>
      <c r="S61" s="67">
        <v>2.8783706636889201</v>
      </c>
      <c r="T61" s="67">
        <v>9.8805462127261503</v>
      </c>
      <c r="U61" s="67" t="s">
        <v>186</v>
      </c>
      <c r="V61" s="67">
        <v>0.80894663243635001</v>
      </c>
      <c r="W61" s="67">
        <v>5.5200990750249597</v>
      </c>
      <c r="X61" s="68" t="s">
        <v>39</v>
      </c>
    </row>
    <row r="62" spans="1:24" x14ac:dyDescent="0.25">
      <c r="A62" t="s">
        <v>66</v>
      </c>
      <c r="B62" s="60">
        <v>3.37</v>
      </c>
      <c r="C62" s="61">
        <v>4.5794948499999997</v>
      </c>
      <c r="D62" s="61">
        <v>2.93</v>
      </c>
      <c r="E62" s="62">
        <v>0</v>
      </c>
      <c r="F62" s="62">
        <v>-2.0348837209302251E-2</v>
      </c>
      <c r="G62" s="62">
        <v>5.9701492537314049E-3</v>
      </c>
      <c r="H62" s="63">
        <v>0.26955889496157903</v>
      </c>
      <c r="I62" s="63">
        <v>0.35176970893422299</v>
      </c>
      <c r="J62" s="63" t="s">
        <v>186</v>
      </c>
      <c r="K62" s="63" t="s">
        <v>186</v>
      </c>
      <c r="L62" s="65">
        <v>0.31508584267224299</v>
      </c>
      <c r="M62" s="62">
        <v>-1.2093333619994429E-2</v>
      </c>
      <c r="N62" s="66">
        <v>-0.36239637546493775</v>
      </c>
      <c r="O62" s="65">
        <v>1.38507</v>
      </c>
      <c r="P62" s="65">
        <v>1.9582466466300001</v>
      </c>
      <c r="Q62" s="67">
        <v>8.4403741409078794</v>
      </c>
      <c r="R62" s="62" t="s">
        <v>186</v>
      </c>
      <c r="S62" s="67">
        <v>0.47512844112021002</v>
      </c>
      <c r="T62" s="67" t="s">
        <v>186</v>
      </c>
      <c r="U62" s="67" t="s">
        <v>186</v>
      </c>
      <c r="V62" s="67">
        <v>7.3624080200383997</v>
      </c>
      <c r="W62" s="67">
        <v>31.098317061027799</v>
      </c>
      <c r="X62" s="68" t="s">
        <v>66</v>
      </c>
    </row>
    <row r="63" spans="1:24" x14ac:dyDescent="0.25">
      <c r="A63" t="s">
        <v>64</v>
      </c>
      <c r="B63" s="60">
        <v>41.55</v>
      </c>
      <c r="C63" s="61">
        <v>45.8</v>
      </c>
      <c r="D63" s="61">
        <v>19.8</v>
      </c>
      <c r="E63" s="62">
        <v>3.6231884057971175E-3</v>
      </c>
      <c r="F63" s="62">
        <v>-1.0714285714285787E-2</v>
      </c>
      <c r="G63" s="62">
        <v>9.3421052631578849E-2</v>
      </c>
      <c r="H63" s="63">
        <v>0.38767460329956599</v>
      </c>
      <c r="I63" s="63">
        <v>0.34374057421965298</v>
      </c>
      <c r="J63" s="63">
        <v>4.6935344532458489E-3</v>
      </c>
      <c r="K63" s="63">
        <v>-3.8312580058108558E-4</v>
      </c>
      <c r="L63" s="65">
        <v>0.172559079979313</v>
      </c>
      <c r="M63" s="62">
        <v>-2.4587821249779651E-3</v>
      </c>
      <c r="N63" s="66">
        <v>-0.2749454720870903</v>
      </c>
      <c r="O63" s="65">
        <v>1.242</v>
      </c>
      <c r="P63" s="65">
        <v>1.1246714600000001</v>
      </c>
      <c r="Q63" s="67">
        <v>6.0009502946286801</v>
      </c>
      <c r="R63" s="62" t="s">
        <v>186</v>
      </c>
      <c r="S63" s="67">
        <v>0.29081167664337698</v>
      </c>
      <c r="T63" s="67" t="s">
        <v>186</v>
      </c>
      <c r="U63" s="67" t="s">
        <v>186</v>
      </c>
      <c r="V63" s="67">
        <v>1.8036281184165099</v>
      </c>
      <c r="W63" s="67" t="s">
        <v>186</v>
      </c>
      <c r="X63" s="68" t="s">
        <v>64</v>
      </c>
    </row>
    <row r="64" spans="1:24" x14ac:dyDescent="0.25">
      <c r="A64" t="s">
        <v>41</v>
      </c>
      <c r="B64" s="60">
        <v>11.4</v>
      </c>
      <c r="C64" s="61">
        <v>13.425000000000001</v>
      </c>
      <c r="D64" s="61">
        <v>7.35</v>
      </c>
      <c r="E64" s="62">
        <v>-2.9787234042553123E-2</v>
      </c>
      <c r="F64" s="62">
        <v>-8.6956521739129933E-3</v>
      </c>
      <c r="G64" s="62">
        <v>0.26666666666666661</v>
      </c>
      <c r="H64" s="63">
        <v>0.53192248360977501</v>
      </c>
      <c r="I64" s="63">
        <v>0.47760996530829303</v>
      </c>
      <c r="J64" s="63">
        <v>9.0221703427116329E-3</v>
      </c>
      <c r="K64" s="63">
        <v>-3.7673094404874208E-3</v>
      </c>
      <c r="L64" s="65">
        <v>0.37018734653055602</v>
      </c>
      <c r="M64" s="62">
        <v>-4.4014858460517114E-4</v>
      </c>
      <c r="N64" s="66">
        <v>-0.10169985805200255</v>
      </c>
      <c r="O64" s="65">
        <v>0.88124999999999998</v>
      </c>
      <c r="P64" s="65">
        <v>1.41802253</v>
      </c>
      <c r="Q64" s="67">
        <v>8.8092402989627292</v>
      </c>
      <c r="R64" s="62" t="s">
        <v>186</v>
      </c>
      <c r="S64" s="67">
        <v>1.1417989727895701</v>
      </c>
      <c r="T64" s="67" t="s">
        <v>186</v>
      </c>
      <c r="U64" s="67" t="s">
        <v>186</v>
      </c>
      <c r="V64" s="67">
        <v>2.3989236660805999</v>
      </c>
      <c r="W64" s="67">
        <v>2.8262195527834901</v>
      </c>
      <c r="X64" s="68" t="s">
        <v>41</v>
      </c>
    </row>
    <row r="65" spans="1:24" x14ac:dyDescent="0.25">
      <c r="A65" t="s">
        <v>47</v>
      </c>
      <c r="B65" s="60">
        <v>4.3</v>
      </c>
      <c r="C65" s="61">
        <v>7.6</v>
      </c>
      <c r="D65" s="61">
        <v>4.09</v>
      </c>
      <c r="E65" s="62">
        <v>-2.2727272727272818E-2</v>
      </c>
      <c r="F65" s="62">
        <v>-1.1494252873563204E-2</v>
      </c>
      <c r="G65" s="62">
        <v>-9.090909090909105E-2</v>
      </c>
      <c r="H65" s="63">
        <v>0.26395669834737301</v>
      </c>
      <c r="I65" s="63">
        <v>0.291923153691174</v>
      </c>
      <c r="J65" s="63">
        <v>0.96992645116963505</v>
      </c>
      <c r="K65" s="63">
        <v>1.5014807093938654E-2</v>
      </c>
      <c r="L65" s="65">
        <v>0.274722493360952</v>
      </c>
      <c r="M65" s="62">
        <v>-3.2387492842553822E-3</v>
      </c>
      <c r="N65" s="66">
        <v>-0.4592756156277602</v>
      </c>
      <c r="O65" s="65">
        <v>0.19359999999999999</v>
      </c>
      <c r="P65" s="65">
        <v>0.31680003000000001</v>
      </c>
      <c r="Q65" s="67">
        <v>2.4483896815841701</v>
      </c>
      <c r="R65" s="62" t="s">
        <v>186</v>
      </c>
      <c r="S65" s="67">
        <v>0.150735200183477</v>
      </c>
      <c r="T65" s="67" t="s">
        <v>186</v>
      </c>
      <c r="U65" s="67" t="s">
        <v>186</v>
      </c>
      <c r="V65" s="67">
        <v>1.0501798932647599</v>
      </c>
      <c r="W65" s="67">
        <v>3.82676486269358</v>
      </c>
      <c r="X65" s="68" t="s">
        <v>47</v>
      </c>
    </row>
    <row r="66" spans="1:24" x14ac:dyDescent="0.25">
      <c r="A66" t="s">
        <v>20</v>
      </c>
      <c r="B66" s="60" t="s">
        <v>186</v>
      </c>
      <c r="C66" s="61">
        <v>82</v>
      </c>
      <c r="D66" s="61">
        <v>20.281921000000001</v>
      </c>
      <c r="E66" s="62" t="s">
        <v>186</v>
      </c>
      <c r="F66" s="62" t="s">
        <v>186</v>
      </c>
      <c r="G66" s="62" t="s">
        <v>186</v>
      </c>
      <c r="H66" s="63">
        <v>0.57490024509422899</v>
      </c>
      <c r="I66" s="63">
        <v>0.54179086887190797</v>
      </c>
      <c r="J66" s="63">
        <v>0</v>
      </c>
      <c r="K66" s="63">
        <v>0</v>
      </c>
      <c r="L66" s="65" t="s">
        <v>186</v>
      </c>
      <c r="M66" s="62" t="s">
        <v>186</v>
      </c>
      <c r="N66" s="66" t="s">
        <v>186</v>
      </c>
      <c r="O66" s="65">
        <v>0.1804</v>
      </c>
      <c r="P66" s="65">
        <v>0.18662877999999999</v>
      </c>
      <c r="Q66" s="67">
        <v>2.2320842167304198</v>
      </c>
      <c r="R66" s="62">
        <v>3.0487804878048803E-3</v>
      </c>
      <c r="S66" s="67" t="s">
        <v>186</v>
      </c>
      <c r="T66" s="67" t="s">
        <v>186</v>
      </c>
      <c r="U66" s="67" t="s">
        <v>186</v>
      </c>
      <c r="V66" s="67" t="s">
        <v>186</v>
      </c>
      <c r="W66" s="67" t="s">
        <v>186</v>
      </c>
      <c r="X66" s="68" t="s">
        <v>20</v>
      </c>
    </row>
    <row r="67" spans="1:24" x14ac:dyDescent="0.25">
      <c r="A67" t="s">
        <v>24</v>
      </c>
      <c r="B67" s="60">
        <v>7.5</v>
      </c>
      <c r="C67" s="61">
        <v>12</v>
      </c>
      <c r="D67" s="61">
        <v>7</v>
      </c>
      <c r="E67" s="62">
        <v>0</v>
      </c>
      <c r="F67" s="62">
        <v>7.1428571428571397E-2</v>
      </c>
      <c r="G67" s="62" t="s">
        <v>186</v>
      </c>
      <c r="H67" s="63">
        <v>0.41409140922723603</v>
      </c>
      <c r="I67" s="63">
        <v>0.73169684973941207</v>
      </c>
      <c r="J67" s="63">
        <v>0.64721636914146596</v>
      </c>
      <c r="K67" s="63">
        <v>-0.19874476571879196</v>
      </c>
      <c r="L67" s="65" t="s">
        <v>186</v>
      </c>
      <c r="M67" s="62">
        <v>7.9684075017879219E-2</v>
      </c>
      <c r="N67" s="66" t="s">
        <v>186</v>
      </c>
      <c r="O67" s="65">
        <v>4.8152954999999997E-2</v>
      </c>
      <c r="P67" s="65">
        <v>4.7826665000000095E-2</v>
      </c>
      <c r="Q67" s="67" t="s">
        <v>186</v>
      </c>
      <c r="R67" s="62" t="s">
        <v>186</v>
      </c>
      <c r="S67" s="67" t="s">
        <v>186</v>
      </c>
      <c r="T67" s="67">
        <v>5.8237952508891002</v>
      </c>
      <c r="U67" s="67" t="s">
        <v>186</v>
      </c>
      <c r="V67" s="67">
        <v>-0.71445660752277595</v>
      </c>
      <c r="W67" s="67" t="s">
        <v>186</v>
      </c>
      <c r="X67" s="68" t="s">
        <v>24</v>
      </c>
    </row>
    <row r="68" spans="1:24" x14ac:dyDescent="0.25">
      <c r="A68" s="70" t="s">
        <v>109</v>
      </c>
      <c r="B68" s="71"/>
      <c r="C68" s="71"/>
      <c r="D68" s="71"/>
      <c r="E68" s="72">
        <v>-6.6644316839863244E-3</v>
      </c>
      <c r="F68" s="72">
        <v>-2.9379818634179267E-3</v>
      </c>
      <c r="G68" s="72">
        <v>6.0498402686502563E-2</v>
      </c>
      <c r="H68" s="73">
        <v>0.34468231204407129</v>
      </c>
      <c r="I68" s="73">
        <v>0.39543553943953125</v>
      </c>
      <c r="J68" s="73">
        <v>0.98601710847122759</v>
      </c>
      <c r="K68" s="73">
        <v>9.0172173495732932E-3</v>
      </c>
      <c r="L68" s="74">
        <v>0.27815215896940765</v>
      </c>
      <c r="M68" s="72">
        <v>5.3175217258898955E-3</v>
      </c>
      <c r="N68" s="72">
        <v>-0.30786812203216662</v>
      </c>
      <c r="O68" s="74">
        <v>2.2583623222</v>
      </c>
      <c r="P68" s="74">
        <v>1.5070196103629991</v>
      </c>
      <c r="Q68" s="75">
        <v>5.6424908927354345</v>
      </c>
      <c r="R68" s="72">
        <v>0.1311448043205061</v>
      </c>
      <c r="S68" s="75">
        <v>1.0449326480508436</v>
      </c>
      <c r="T68" s="75">
        <v>5.2882303279261027</v>
      </c>
      <c r="U68" s="75" t="s">
        <v>186</v>
      </c>
      <c r="V68" s="77">
        <v>1.8054104299235385</v>
      </c>
      <c r="W68" s="75">
        <v>8.0730201629350109</v>
      </c>
      <c r="X68" s="79" t="s">
        <v>110</v>
      </c>
    </row>
    <row r="69" spans="1:24" ht="7.5" customHeight="1" x14ac:dyDescent="0.25">
      <c r="E69" s="82"/>
      <c r="F69" s="82"/>
      <c r="G69" s="82"/>
      <c r="H69" s="41"/>
      <c r="I69" s="41"/>
      <c r="J69" s="41"/>
      <c r="K69" s="41"/>
      <c r="L69" s="32"/>
      <c r="M69" s="80"/>
      <c r="N69" s="80"/>
      <c r="O69" s="32"/>
      <c r="P69" s="32"/>
      <c r="Q69" s="81"/>
      <c r="R69" s="82"/>
      <c r="S69" s="81"/>
      <c r="T69" s="81"/>
      <c r="U69" s="81"/>
      <c r="V69" s="81"/>
      <c r="W69" s="81"/>
    </row>
    <row r="70" spans="1:24" x14ac:dyDescent="0.25">
      <c r="A70" s="58" t="s">
        <v>122</v>
      </c>
      <c r="B70" s="83"/>
      <c r="C70" s="83"/>
      <c r="D70" s="83"/>
      <c r="E70" s="88"/>
      <c r="F70" s="88"/>
      <c r="G70" s="88"/>
      <c r="H70" s="84"/>
      <c r="I70" s="84"/>
      <c r="J70" s="84"/>
      <c r="K70" s="84"/>
      <c r="L70" s="85"/>
      <c r="M70" s="86"/>
      <c r="N70" s="86"/>
      <c r="O70" s="85"/>
      <c r="P70" s="85"/>
      <c r="Q70" s="87"/>
      <c r="R70" s="88"/>
      <c r="S70" s="87"/>
      <c r="T70" s="87"/>
      <c r="U70" s="87"/>
      <c r="V70" s="87"/>
      <c r="W70" s="87"/>
      <c r="X70" s="89"/>
    </row>
    <row r="71" spans="1:24" x14ac:dyDescent="0.25">
      <c r="A71" t="s">
        <v>32</v>
      </c>
      <c r="B71" s="60">
        <v>43.3</v>
      </c>
      <c r="C71" s="61">
        <v>66.095085800000007</v>
      </c>
      <c r="D71" s="61">
        <v>37.6</v>
      </c>
      <c r="E71" s="62">
        <v>0</v>
      </c>
      <c r="F71" s="62">
        <v>4.4632086851628339E-2</v>
      </c>
      <c r="G71" s="62">
        <v>-9.8855359001040588E-2</v>
      </c>
      <c r="H71" s="63">
        <v>0.35849865848506002</v>
      </c>
      <c r="I71" s="63">
        <v>0.42065276834105703</v>
      </c>
      <c r="J71" s="63">
        <v>0.4109522243991402</v>
      </c>
      <c r="K71" s="63">
        <v>0.11492091180602682</v>
      </c>
      <c r="L71" s="65">
        <v>0.54606227852379596</v>
      </c>
      <c r="M71" s="62">
        <v>5.2887590440936161E-2</v>
      </c>
      <c r="N71" s="66">
        <v>-0.46722188371970974</v>
      </c>
      <c r="O71" s="65">
        <v>25.056690717999999</v>
      </c>
      <c r="P71" s="65">
        <v>292.46769071799997</v>
      </c>
      <c r="Q71" s="67">
        <v>24.468141112524101</v>
      </c>
      <c r="R71" s="62">
        <v>5.5873300099307202E-2</v>
      </c>
      <c r="S71" s="67">
        <v>0.59748410038867905</v>
      </c>
      <c r="T71" s="67" t="s">
        <v>186</v>
      </c>
      <c r="U71" s="67" t="s">
        <v>186</v>
      </c>
      <c r="V71" s="67">
        <v>0.548403355362582</v>
      </c>
      <c r="W71" s="67">
        <v>1.4647039643420801</v>
      </c>
      <c r="X71" s="68" t="s">
        <v>32</v>
      </c>
    </row>
    <row r="72" spans="1:24" x14ac:dyDescent="0.25">
      <c r="A72" t="s">
        <v>27</v>
      </c>
      <c r="B72" s="60">
        <v>210</v>
      </c>
      <c r="C72" s="61">
        <v>264.76102109999999</v>
      </c>
      <c r="D72" s="61">
        <v>160</v>
      </c>
      <c r="E72" s="62">
        <v>9.6153846153845812E-3</v>
      </c>
      <c r="F72" s="62">
        <v>7.1428571428571397E-2</v>
      </c>
      <c r="G72" s="62">
        <v>0.10817941952506605</v>
      </c>
      <c r="H72" s="63">
        <v>0.32683481340743198</v>
      </c>
      <c r="I72" s="63">
        <v>0.37667386310219103</v>
      </c>
      <c r="J72" s="63">
        <v>0.41153408064951524</v>
      </c>
      <c r="K72" s="63">
        <v>0.21848477419836776</v>
      </c>
      <c r="L72" s="65">
        <v>0.236767302856453</v>
      </c>
      <c r="M72" s="62">
        <v>7.9684075017879219E-2</v>
      </c>
      <c r="N72" s="66">
        <v>-0.26018710519360311</v>
      </c>
      <c r="O72" s="65">
        <v>29.1229224</v>
      </c>
      <c r="P72" s="65">
        <v>42.928492499999997</v>
      </c>
      <c r="Q72" s="67">
        <v>9.3961317789736896</v>
      </c>
      <c r="R72" s="62">
        <v>2.07928584764423E-2</v>
      </c>
      <c r="S72" s="67">
        <v>3.0423601414781101</v>
      </c>
      <c r="T72" s="67" t="s">
        <v>186</v>
      </c>
      <c r="U72" s="67" t="s">
        <v>186</v>
      </c>
      <c r="V72" s="67">
        <v>0.56292824362831095</v>
      </c>
      <c r="W72" s="67">
        <v>7.2095209826522098</v>
      </c>
      <c r="X72" s="68" t="s">
        <v>27</v>
      </c>
    </row>
    <row r="73" spans="1:24" x14ac:dyDescent="0.25">
      <c r="A73" t="s">
        <v>37</v>
      </c>
      <c r="B73" s="60">
        <v>46.4</v>
      </c>
      <c r="C73" s="61">
        <v>58.967614500000003</v>
      </c>
      <c r="D73" s="61">
        <v>37.394097000000002</v>
      </c>
      <c r="E73" s="62">
        <v>3.2432432432432101E-3</v>
      </c>
      <c r="F73" s="62">
        <v>3.4559643255295258E-2</v>
      </c>
      <c r="G73" s="62">
        <v>3.3407572383073569E-2</v>
      </c>
      <c r="H73" s="63">
        <v>0.395798342032884</v>
      </c>
      <c r="I73" s="63">
        <v>0.35524549224405905</v>
      </c>
      <c r="J73" s="63">
        <v>4.2314729081885712E-3</v>
      </c>
      <c r="K73" s="63">
        <v>-6.7271816552427754E-4</v>
      </c>
      <c r="L73" s="65">
        <v>0.57443331027296496</v>
      </c>
      <c r="M73" s="62">
        <v>4.281514684460308E-2</v>
      </c>
      <c r="N73" s="66">
        <v>-0.33495895233559558</v>
      </c>
      <c r="O73" s="65">
        <v>23.200979685</v>
      </c>
      <c r="P73" s="65">
        <v>334.56922610559997</v>
      </c>
      <c r="Q73" s="67">
        <v>27.214025224141899</v>
      </c>
      <c r="R73" s="62" t="s">
        <v>186</v>
      </c>
      <c r="S73" s="67">
        <v>0.47811815429616</v>
      </c>
      <c r="T73" s="67" t="s">
        <v>186</v>
      </c>
      <c r="U73" s="67" t="s">
        <v>186</v>
      </c>
      <c r="V73" s="67">
        <v>0.87716162598758995</v>
      </c>
      <c r="W73" s="67">
        <v>4.4986907819095396</v>
      </c>
      <c r="X73" s="68" t="s">
        <v>37</v>
      </c>
    </row>
    <row r="74" spans="1:24" x14ac:dyDescent="0.25">
      <c r="A74" t="s">
        <v>76</v>
      </c>
      <c r="B74" s="60">
        <v>50.4</v>
      </c>
      <c r="C74" s="61">
        <v>56.4</v>
      </c>
      <c r="D74" s="61">
        <v>33.093876000000002</v>
      </c>
      <c r="E74" s="62">
        <v>-2.1359223300970953E-2</v>
      </c>
      <c r="F74" s="62">
        <v>-8.5299455535390201E-2</v>
      </c>
      <c r="G74" s="62">
        <v>0.39024449987278143</v>
      </c>
      <c r="H74" s="63">
        <v>0.32698432332513699</v>
      </c>
      <c r="I74" s="63">
        <v>0.30702756266884201</v>
      </c>
      <c r="J74" s="63">
        <v>1.1345054260500781E-2</v>
      </c>
      <c r="K74" s="63">
        <v>-4.5686490485523645E-3</v>
      </c>
      <c r="L74" s="65">
        <v>0.54979998941955499</v>
      </c>
      <c r="M74" s="62">
        <v>-7.7043951946082379E-2</v>
      </c>
      <c r="N74" s="66">
        <v>2.1877975154112272E-2</v>
      </c>
      <c r="O74" s="65">
        <v>21.110196543499999</v>
      </c>
      <c r="P74" s="65">
        <v>21.5863631416</v>
      </c>
      <c r="Q74" s="67">
        <v>163.421630264214</v>
      </c>
      <c r="R74" s="62">
        <v>2.3827438058252399E-2</v>
      </c>
      <c r="S74" s="67">
        <v>8.1530501538516091</v>
      </c>
      <c r="T74" s="67">
        <v>11.6861706691028</v>
      </c>
      <c r="U74" s="67" t="s">
        <v>186</v>
      </c>
      <c r="V74" s="67">
        <v>0.96579385230399495</v>
      </c>
      <c r="W74" s="67">
        <v>12.983022294729601</v>
      </c>
      <c r="X74" s="68" t="s">
        <v>76</v>
      </c>
    </row>
    <row r="75" spans="1:24" x14ac:dyDescent="0.25">
      <c r="A75" s="70" t="s">
        <v>109</v>
      </c>
      <c r="B75" s="71"/>
      <c r="C75" s="71"/>
      <c r="D75" s="71"/>
      <c r="E75" s="72">
        <v>-2.1251488605857904E-3</v>
      </c>
      <c r="F75" s="96">
        <v>1.6330211500026198E-2</v>
      </c>
      <c r="G75" s="96">
        <v>0.10824403319497011</v>
      </c>
      <c r="H75" s="73">
        <v>0.35202903431262828</v>
      </c>
      <c r="I75" s="73">
        <v>0.36489992158903728</v>
      </c>
      <c r="J75" s="73">
        <v>0.20951570805433622</v>
      </c>
      <c r="K75" s="73">
        <v>8.2041079697579483E-2</v>
      </c>
      <c r="L75" s="74">
        <v>0.47676572026819219</v>
      </c>
      <c r="M75" s="72">
        <v>2.458571508933402E-2</v>
      </c>
      <c r="N75" s="96">
        <v>-0.26012249152369904</v>
      </c>
      <c r="O75" s="74">
        <v>24.622697336624999</v>
      </c>
      <c r="P75" s="74">
        <v>172.88794311629999</v>
      </c>
      <c r="Q75" s="75">
        <v>56.124982094963421</v>
      </c>
      <c r="R75" s="72">
        <v>3.3497865544667299E-2</v>
      </c>
      <c r="S75" s="75">
        <v>3.0677531375036393</v>
      </c>
      <c r="T75" s="75">
        <v>11.6861706691028</v>
      </c>
      <c r="U75" s="75" t="s">
        <v>186</v>
      </c>
      <c r="V75" s="77">
        <v>0.73857176932061952</v>
      </c>
      <c r="W75" s="78">
        <v>6.538984505908358</v>
      </c>
      <c r="X75" s="79" t="s">
        <v>110</v>
      </c>
    </row>
    <row r="76" spans="1:24" ht="9" customHeight="1" x14ac:dyDescent="0.25">
      <c r="E76" s="82"/>
      <c r="F76" s="82"/>
      <c r="G76" s="82"/>
      <c r="H76" s="41"/>
      <c r="I76" s="41"/>
      <c r="J76" s="41"/>
      <c r="K76" s="41"/>
      <c r="L76" s="32"/>
      <c r="M76" s="80"/>
      <c r="N76" s="80"/>
      <c r="O76" s="32"/>
      <c r="P76" s="32"/>
      <c r="Q76" s="81"/>
      <c r="R76" s="82"/>
      <c r="S76" s="81"/>
      <c r="T76" s="81"/>
      <c r="U76" s="81"/>
      <c r="V76" s="81"/>
      <c r="W76" s="81"/>
    </row>
    <row r="77" spans="1:24" x14ac:dyDescent="0.25">
      <c r="A77" s="58" t="s">
        <v>123</v>
      </c>
      <c r="B77" s="83"/>
      <c r="C77" s="83"/>
      <c r="D77" s="83"/>
      <c r="E77" s="88"/>
      <c r="F77" s="88"/>
      <c r="G77" s="88"/>
      <c r="H77" s="84"/>
      <c r="I77" s="84"/>
      <c r="J77" s="84"/>
      <c r="K77" s="84"/>
      <c r="L77" s="85"/>
      <c r="M77" s="86"/>
      <c r="N77" s="86"/>
      <c r="O77" s="85"/>
      <c r="P77" s="85"/>
      <c r="Q77" s="87"/>
      <c r="R77" s="88"/>
      <c r="S77" s="87"/>
      <c r="T77" s="87"/>
      <c r="U77" s="87"/>
      <c r="V77" s="87"/>
      <c r="W77" s="87"/>
      <c r="X77" s="89"/>
    </row>
    <row r="78" spans="1:24" x14ac:dyDescent="0.25">
      <c r="A78" t="s">
        <v>45</v>
      </c>
      <c r="B78" s="60">
        <v>13.8</v>
      </c>
      <c r="C78" s="61">
        <v>16.55587315</v>
      </c>
      <c r="D78" s="61">
        <v>10.8</v>
      </c>
      <c r="E78" s="62">
        <v>-1.4285714285714235E-2</v>
      </c>
      <c r="F78" s="62">
        <v>0</v>
      </c>
      <c r="G78" s="62">
        <v>9.5601295762889116E-2</v>
      </c>
      <c r="H78" s="63">
        <v>0.40513233848239999</v>
      </c>
      <c r="I78" s="63">
        <v>0.432646344627101</v>
      </c>
      <c r="J78" s="63">
        <v>8.2660570272772328E-3</v>
      </c>
      <c r="K78" s="63">
        <v>-3.4990946972118797E-3</v>
      </c>
      <c r="L78" s="65">
        <v>0.679620254900698</v>
      </c>
      <c r="M78" s="62">
        <v>8.2555035893078221E-3</v>
      </c>
      <c r="N78" s="66">
        <v>-0.27276522895578004</v>
      </c>
      <c r="O78" s="65">
        <v>63.798506418094902</v>
      </c>
      <c r="P78" s="97">
        <v>68.482374517400103</v>
      </c>
      <c r="Q78" s="67">
        <v>5.4024397636546198</v>
      </c>
      <c r="R78" s="62">
        <v>4.8059999999999999E-2</v>
      </c>
      <c r="S78" s="67">
        <v>0.789262136782104</v>
      </c>
      <c r="T78" s="67">
        <v>5.2870727240684401</v>
      </c>
      <c r="U78" s="67" t="s">
        <v>186</v>
      </c>
      <c r="V78" s="67">
        <v>0.560102338492244</v>
      </c>
      <c r="W78" s="67">
        <v>16.0460897289773</v>
      </c>
      <c r="X78" s="68" t="s">
        <v>45</v>
      </c>
    </row>
    <row r="79" spans="1:24" x14ac:dyDescent="0.25">
      <c r="A79" t="s">
        <v>28</v>
      </c>
      <c r="B79" s="60">
        <v>105.9</v>
      </c>
      <c r="C79" s="61">
        <v>108</v>
      </c>
      <c r="D79" s="61">
        <v>48.1</v>
      </c>
      <c r="E79" s="62">
        <v>8.5714285714286742E-3</v>
      </c>
      <c r="F79" s="62">
        <v>6.754032258064524E-2</v>
      </c>
      <c r="G79" s="62">
        <v>0.31552795031055902</v>
      </c>
      <c r="H79" s="63">
        <v>0.38556344650976199</v>
      </c>
      <c r="I79" s="63">
        <v>0.47774405844447598</v>
      </c>
      <c r="J79" s="63">
        <v>0.45442663066978367</v>
      </c>
      <c r="K79" s="63">
        <v>2.0938098921243764E-3</v>
      </c>
      <c r="L79" s="65">
        <v>0.88014193716144096</v>
      </c>
      <c r="M79" s="62">
        <v>7.5795826169953062E-2</v>
      </c>
      <c r="N79" s="66">
        <v>-5.2838574408110128E-2</v>
      </c>
      <c r="O79" s="65">
        <v>62.582781449999999</v>
      </c>
      <c r="P79" s="97">
        <v>69.890281811000108</v>
      </c>
      <c r="Q79" s="67">
        <v>8.8279935796885294</v>
      </c>
      <c r="R79" s="62" t="s">
        <v>186</v>
      </c>
      <c r="S79" s="67">
        <v>2.12446170078886</v>
      </c>
      <c r="T79" s="67">
        <v>27.591633403854001</v>
      </c>
      <c r="U79" s="67" t="s">
        <v>186</v>
      </c>
      <c r="V79" s="67">
        <v>3.5114090368232702</v>
      </c>
      <c r="W79" s="67">
        <v>13.3847735738136</v>
      </c>
      <c r="X79" s="68" t="s">
        <v>28</v>
      </c>
    </row>
    <row r="80" spans="1:24" x14ac:dyDescent="0.25">
      <c r="A80" t="s">
        <v>18</v>
      </c>
      <c r="B80" s="60">
        <v>18.3</v>
      </c>
      <c r="C80" s="61">
        <v>21.036893277183999</v>
      </c>
      <c r="D80" s="61">
        <v>12.9670065</v>
      </c>
      <c r="E80" s="62">
        <v>-2.1390374331550777E-2</v>
      </c>
      <c r="F80" s="62">
        <v>5.845555024592608E-2</v>
      </c>
      <c r="G80" s="62">
        <v>0.10128321158737696</v>
      </c>
      <c r="H80" s="63">
        <v>0.32154520848001394</v>
      </c>
      <c r="I80" s="63">
        <v>0.36362044105278402</v>
      </c>
      <c r="J80" s="63">
        <v>7.2975333669325886E-3</v>
      </c>
      <c r="K80" s="63">
        <v>-3.1458428109910619E-3</v>
      </c>
      <c r="L80" s="65">
        <v>0.38575445070786601</v>
      </c>
      <c r="M80" s="62">
        <v>6.6711053835233902E-2</v>
      </c>
      <c r="N80" s="66">
        <v>-0.26708331313129219</v>
      </c>
      <c r="O80" s="65">
        <v>52.36</v>
      </c>
      <c r="P80" s="97">
        <v>70.906479910000101</v>
      </c>
      <c r="Q80" s="67">
        <v>6.2606683460241603</v>
      </c>
      <c r="R80" s="62">
        <v>8.47058823529412E-2</v>
      </c>
      <c r="S80" s="67">
        <v>1.2650465710650001</v>
      </c>
      <c r="T80" s="67">
        <v>8.7148252034649794</v>
      </c>
      <c r="U80" s="67">
        <v>7.8902953586497899</v>
      </c>
      <c r="V80" s="67">
        <v>1.96633009083649</v>
      </c>
      <c r="W80" s="67" t="s">
        <v>186</v>
      </c>
      <c r="X80" s="68" t="s">
        <v>18</v>
      </c>
    </row>
    <row r="81" spans="1:24" x14ac:dyDescent="0.25">
      <c r="A81" t="s">
        <v>77</v>
      </c>
      <c r="B81" s="60">
        <v>92.9</v>
      </c>
      <c r="C81" s="61">
        <v>99.9</v>
      </c>
      <c r="D81" s="61">
        <v>35</v>
      </c>
      <c r="E81" s="62">
        <v>1.0881392818280711E-2</v>
      </c>
      <c r="F81" s="62">
        <v>-6.1616161616161569E-2</v>
      </c>
      <c r="G81" s="62">
        <v>0.58803418803418817</v>
      </c>
      <c r="H81" s="63">
        <v>0.28363253193905402</v>
      </c>
      <c r="I81" s="63">
        <v>0.26355212354301599</v>
      </c>
      <c r="J81" s="63">
        <v>9.1306153510349441E-3</v>
      </c>
      <c r="K81" s="63">
        <v>-3.8053807159214026E-3</v>
      </c>
      <c r="L81" s="65">
        <v>0.45321580443891402</v>
      </c>
      <c r="M81" s="62">
        <v>-5.3360658026853747E-2</v>
      </c>
      <c r="N81" s="66">
        <v>0.21966766331551901</v>
      </c>
      <c r="O81" s="65">
        <v>32.3540290181</v>
      </c>
      <c r="P81" s="97">
        <v>33.416489617099998</v>
      </c>
      <c r="Q81" s="67">
        <v>13.879238051088199</v>
      </c>
      <c r="R81" s="62">
        <v>1.15342763873776E-2</v>
      </c>
      <c r="S81" s="67">
        <v>2.3155021788300698</v>
      </c>
      <c r="T81" s="67">
        <v>14.8826926619835</v>
      </c>
      <c r="U81" s="67">
        <v>18.948453608247402</v>
      </c>
      <c r="V81" s="67">
        <v>3.4945068923650502</v>
      </c>
      <c r="W81" s="67">
        <v>11.3206771674088</v>
      </c>
      <c r="X81" s="68" t="s">
        <v>77</v>
      </c>
    </row>
    <row r="82" spans="1:24" x14ac:dyDescent="0.25">
      <c r="A82" t="s">
        <v>35</v>
      </c>
      <c r="B82" s="60">
        <v>16.05</v>
      </c>
      <c r="C82" s="61">
        <v>23.5</v>
      </c>
      <c r="D82" s="61">
        <v>13</v>
      </c>
      <c r="E82" s="62">
        <v>-3.8922155688622673E-2</v>
      </c>
      <c r="F82" s="62">
        <v>-3.1055900621118626E-3</v>
      </c>
      <c r="G82" s="62">
        <v>-1.5337423312883458E-2</v>
      </c>
      <c r="H82" s="63">
        <v>0.265467461389925</v>
      </c>
      <c r="I82" s="63">
        <v>0.401586009782325</v>
      </c>
      <c r="J82" s="63">
        <v>0</v>
      </c>
      <c r="K82" s="63">
        <v>0</v>
      </c>
      <c r="L82" s="65">
        <v>0.26303026512559402</v>
      </c>
      <c r="M82" s="62">
        <v>5.1499135271959595E-3</v>
      </c>
      <c r="N82" s="66">
        <v>-0.38370394803155261</v>
      </c>
      <c r="O82" s="65">
        <v>6.9185292061999997</v>
      </c>
      <c r="P82" s="97">
        <v>11.5292621353</v>
      </c>
      <c r="Q82" s="67">
        <v>4.7508006972545003</v>
      </c>
      <c r="R82" s="62" t="s">
        <v>186</v>
      </c>
      <c r="S82" s="67">
        <v>0.31466819513233102</v>
      </c>
      <c r="T82" s="67">
        <v>5.9264237263727697</v>
      </c>
      <c r="U82" s="67" t="s">
        <v>186</v>
      </c>
      <c r="V82" s="67">
        <v>0.92072874598936605</v>
      </c>
      <c r="W82" s="67">
        <v>3.1897870780727899</v>
      </c>
      <c r="X82" s="68" t="s">
        <v>35</v>
      </c>
    </row>
    <row r="83" spans="1:24" x14ac:dyDescent="0.25">
      <c r="A83" t="s">
        <v>34</v>
      </c>
      <c r="B83" s="60">
        <v>38.75</v>
      </c>
      <c r="C83" s="61">
        <v>47.5</v>
      </c>
      <c r="D83" s="61">
        <v>30</v>
      </c>
      <c r="E83" s="62">
        <v>-6.4102564102563875E-3</v>
      </c>
      <c r="F83" s="62">
        <v>3.3333333333333437E-2</v>
      </c>
      <c r="G83" s="62">
        <v>-0.14881933003844039</v>
      </c>
      <c r="H83" s="63">
        <v>0.51402795172128402</v>
      </c>
      <c r="I83" s="63">
        <v>0.38605754944907195</v>
      </c>
      <c r="J83" s="63">
        <v>4.7813434003060032E-3</v>
      </c>
      <c r="K83" s="63">
        <v>-2.0853667577405144E-3</v>
      </c>
      <c r="L83" s="65">
        <v>0.159018087835686</v>
      </c>
      <c r="M83" s="62">
        <v>4.1588836922641259E-2</v>
      </c>
      <c r="N83" s="66">
        <v>-0.51718585475710954</v>
      </c>
      <c r="O83" s="65">
        <v>5.657508558</v>
      </c>
      <c r="P83" s="97">
        <v>6.0957558474999907</v>
      </c>
      <c r="Q83" s="67">
        <v>11.0865494571756</v>
      </c>
      <c r="R83" s="62">
        <v>7.0512820512820496E-3</v>
      </c>
      <c r="S83" s="67">
        <v>2.4064584431890301</v>
      </c>
      <c r="T83" s="67">
        <v>61.401701817490398</v>
      </c>
      <c r="U83" s="67" t="s">
        <v>186</v>
      </c>
      <c r="V83" s="67">
        <v>3.4503572814481598</v>
      </c>
      <c r="W83" s="67" t="s">
        <v>186</v>
      </c>
      <c r="X83" s="68" t="s">
        <v>34</v>
      </c>
    </row>
    <row r="84" spans="1:24" x14ac:dyDescent="0.25">
      <c r="A84" t="s">
        <v>56</v>
      </c>
      <c r="B84" s="60">
        <v>29</v>
      </c>
      <c r="C84" s="61">
        <v>29.9</v>
      </c>
      <c r="D84" s="61">
        <v>7.99</v>
      </c>
      <c r="E84" s="62">
        <v>3.4602076124568004E-3</v>
      </c>
      <c r="F84" s="62">
        <v>1.7271157167531026E-3</v>
      </c>
      <c r="G84" s="62">
        <v>0.59340659340659352</v>
      </c>
      <c r="H84" s="63">
        <v>0.25972483018746201</v>
      </c>
      <c r="I84" s="63">
        <v>0.28017665000086001</v>
      </c>
      <c r="J84" s="63">
        <v>5.5013424762235114E-3</v>
      </c>
      <c r="K84" s="63">
        <v>-2.4298216726414967E-3</v>
      </c>
      <c r="L84" s="65">
        <v>0.34230226037990702</v>
      </c>
      <c r="M84" s="62">
        <v>9.9826193060609247E-3</v>
      </c>
      <c r="N84" s="66">
        <v>0.22504006868792437</v>
      </c>
      <c r="O84" s="65">
        <v>2.9172180757800001</v>
      </c>
      <c r="P84" s="97">
        <v>8.8849819100000005</v>
      </c>
      <c r="Q84" s="67">
        <v>4.9616812846229497</v>
      </c>
      <c r="R84" s="62" t="s">
        <v>186</v>
      </c>
      <c r="S84" s="67" t="s">
        <v>186</v>
      </c>
      <c r="T84" s="67" t="s">
        <v>186</v>
      </c>
      <c r="U84" s="67" t="s">
        <v>186</v>
      </c>
      <c r="V84" s="67" t="s">
        <v>186</v>
      </c>
      <c r="W84" s="67" t="s">
        <v>186</v>
      </c>
      <c r="X84" s="68" t="s">
        <v>56</v>
      </c>
    </row>
    <row r="85" spans="1:24" x14ac:dyDescent="0.25">
      <c r="A85" t="s">
        <v>10</v>
      </c>
      <c r="B85" s="60">
        <v>47</v>
      </c>
      <c r="C85" s="61">
        <v>50</v>
      </c>
      <c r="D85" s="61">
        <v>43</v>
      </c>
      <c r="E85" s="62">
        <v>0</v>
      </c>
      <c r="F85" s="62" t="s">
        <v>186</v>
      </c>
      <c r="G85" s="62" t="s">
        <v>186</v>
      </c>
      <c r="H85" s="63">
        <v>0.252605277896706</v>
      </c>
      <c r="I85" s="63">
        <v>0.16267789852183501</v>
      </c>
      <c r="J85" s="63">
        <v>0</v>
      </c>
      <c r="K85" s="63">
        <v>0</v>
      </c>
      <c r="L85" s="65" t="s">
        <v>186</v>
      </c>
      <c r="M85" s="62" t="s">
        <v>186</v>
      </c>
      <c r="N85" s="66" t="s">
        <v>186</v>
      </c>
      <c r="O85" s="65">
        <v>0.89425707582797398</v>
      </c>
      <c r="P85" s="97" t="s">
        <v>186</v>
      </c>
      <c r="Q85" s="67" t="s">
        <v>186</v>
      </c>
      <c r="R85" s="62" t="s">
        <v>186</v>
      </c>
      <c r="S85" s="67" t="s">
        <v>186</v>
      </c>
      <c r="T85" s="67" t="s">
        <v>186</v>
      </c>
      <c r="U85" s="67" t="s">
        <v>186</v>
      </c>
      <c r="V85" s="67" t="s">
        <v>186</v>
      </c>
      <c r="W85" s="67" t="s">
        <v>186</v>
      </c>
      <c r="X85" s="68" t="s">
        <v>10</v>
      </c>
    </row>
    <row r="86" spans="1:24" x14ac:dyDescent="0.25">
      <c r="A86" t="s">
        <v>49</v>
      </c>
      <c r="B86" s="60" t="s">
        <v>186</v>
      </c>
      <c r="C86" s="61">
        <v>5.6376058000000002</v>
      </c>
      <c r="D86" s="61">
        <v>3</v>
      </c>
      <c r="E86" s="62" t="s">
        <v>186</v>
      </c>
      <c r="F86" s="62" t="s">
        <v>186</v>
      </c>
      <c r="G86" s="62" t="s">
        <v>186</v>
      </c>
      <c r="H86" s="63">
        <v>0.15541100992107101</v>
      </c>
      <c r="I86" s="63">
        <v>0.40697358898218899</v>
      </c>
      <c r="J86" s="63">
        <v>3.8516163499449023</v>
      </c>
      <c r="K86" s="63">
        <v>-0.10915261639476459</v>
      </c>
      <c r="L86" s="65">
        <v>0.40831410824729503</v>
      </c>
      <c r="M86" s="62" t="s">
        <v>186</v>
      </c>
      <c r="N86" s="66" t="s">
        <v>186</v>
      </c>
      <c r="O86" s="65">
        <v>0.24855940000000001</v>
      </c>
      <c r="P86" s="97">
        <v>0.56446816</v>
      </c>
      <c r="Q86" s="67">
        <v>36.965583722437998</v>
      </c>
      <c r="R86" s="62" t="s">
        <v>186</v>
      </c>
      <c r="S86" s="67">
        <v>0.33840259098527897</v>
      </c>
      <c r="T86" s="67" t="s">
        <v>186</v>
      </c>
      <c r="U86" s="67" t="s">
        <v>186</v>
      </c>
      <c r="V86" s="67">
        <v>1.08809501187677</v>
      </c>
      <c r="W86" s="67" t="s">
        <v>186</v>
      </c>
      <c r="X86" s="68" t="s">
        <v>49</v>
      </c>
    </row>
    <row r="87" spans="1:24" x14ac:dyDescent="0.25">
      <c r="A87" t="s">
        <v>61</v>
      </c>
      <c r="B87" s="60">
        <v>12.55</v>
      </c>
      <c r="C87" s="61">
        <v>15.05</v>
      </c>
      <c r="D87" s="61">
        <v>10</v>
      </c>
      <c r="E87" s="62">
        <v>0</v>
      </c>
      <c r="F87" s="62" t="s">
        <v>186</v>
      </c>
      <c r="G87" s="62" t="s">
        <v>186</v>
      </c>
      <c r="H87" s="63">
        <v>0.33035870682395596</v>
      </c>
      <c r="I87" s="63">
        <v>0.46328369820770704</v>
      </c>
      <c r="J87" s="63">
        <v>3.863011876046922E-3</v>
      </c>
      <c r="K87" s="63">
        <v>-1.2069395215603684E-3</v>
      </c>
      <c r="L87" s="65" t="s">
        <v>186</v>
      </c>
      <c r="M87" s="62" t="s">
        <v>186</v>
      </c>
      <c r="N87" s="66" t="s">
        <v>186</v>
      </c>
      <c r="O87" s="65">
        <v>0.22764708550000001</v>
      </c>
      <c r="P87" s="97">
        <v>0.22976302080000002</v>
      </c>
      <c r="Q87" s="67">
        <v>5.2956650794016698</v>
      </c>
      <c r="R87" s="62" t="s">
        <v>186</v>
      </c>
      <c r="S87" s="67">
        <v>0.239369363468002</v>
      </c>
      <c r="T87" s="67">
        <v>10.6783064461235</v>
      </c>
      <c r="U87" s="67" t="s">
        <v>186</v>
      </c>
      <c r="V87" s="67">
        <v>0.75698646308039896</v>
      </c>
      <c r="W87" s="67" t="s">
        <v>186</v>
      </c>
      <c r="X87" s="68" t="s">
        <v>61</v>
      </c>
    </row>
    <row r="88" spans="1:24" x14ac:dyDescent="0.25">
      <c r="A88" s="70" t="s">
        <v>109</v>
      </c>
      <c r="B88" s="71"/>
      <c r="C88" s="71"/>
      <c r="D88" s="71"/>
      <c r="E88" s="72">
        <v>-6.4550524126642094E-3</v>
      </c>
      <c r="F88" s="72">
        <v>1.3762081456912061E-2</v>
      </c>
      <c r="G88" s="72">
        <v>0.21852806939289754</v>
      </c>
      <c r="H88" s="73">
        <v>0.3173468763351634</v>
      </c>
      <c r="I88" s="73">
        <v>0.36383183626113652</v>
      </c>
      <c r="J88" s="73">
        <v>0.4344882884112507</v>
      </c>
      <c r="K88" s="73">
        <v>-1.2323125267870693E-2</v>
      </c>
      <c r="L88" s="74">
        <v>0.44642464609967514</v>
      </c>
      <c r="M88" s="72">
        <v>2.2017585046219885E-2</v>
      </c>
      <c r="N88" s="72">
        <v>-0.14983845532577159</v>
      </c>
      <c r="O88" s="74">
        <v>22.795903628750285</v>
      </c>
      <c r="P88" s="74">
        <v>29.999984103233373</v>
      </c>
      <c r="Q88" s="75">
        <v>10.825624442372025</v>
      </c>
      <c r="R88" s="72">
        <v>3.7837860197900218E-2</v>
      </c>
      <c r="S88" s="75">
        <v>1.2241463975300844</v>
      </c>
      <c r="T88" s="75">
        <v>19.211807997622511</v>
      </c>
      <c r="U88" s="75">
        <v>13.419374483448596</v>
      </c>
      <c r="V88" s="77">
        <v>1.9685644826139688</v>
      </c>
      <c r="W88" s="78">
        <v>10.985331887068122</v>
      </c>
      <c r="X88" s="79" t="s">
        <v>110</v>
      </c>
    </row>
    <row r="89" spans="1:24" ht="26.25" customHeight="1" x14ac:dyDescent="0.25">
      <c r="A89" s="98"/>
      <c r="B89" s="31"/>
      <c r="C89" s="31"/>
      <c r="D89" s="31"/>
      <c r="E89" s="99"/>
      <c r="F89" s="99"/>
      <c r="G89" s="99"/>
      <c r="H89" s="100"/>
      <c r="I89" s="100"/>
      <c r="J89" s="100"/>
      <c r="K89" s="100"/>
      <c r="L89" s="101"/>
      <c r="M89" s="102"/>
      <c r="N89" s="102"/>
      <c r="O89" s="31"/>
      <c r="P89" s="101"/>
      <c r="Q89" s="101"/>
      <c r="R89" s="99"/>
      <c r="S89" s="103"/>
      <c r="T89" s="103"/>
      <c r="U89" s="103"/>
      <c r="V89" s="103"/>
      <c r="W89" s="103"/>
      <c r="X89" s="104"/>
    </row>
    <row r="90" spans="1:24" ht="15" customHeight="1" x14ac:dyDescent="0.25">
      <c r="A90" s="105" t="s">
        <v>4</v>
      </c>
      <c r="B90" s="105" t="s">
        <v>83</v>
      </c>
      <c r="C90" s="45" t="s">
        <v>84</v>
      </c>
      <c r="D90" s="47"/>
      <c r="E90" s="45" t="s">
        <v>85</v>
      </c>
      <c r="F90" s="46"/>
      <c r="G90" s="47"/>
      <c r="H90" s="45" t="s">
        <v>86</v>
      </c>
      <c r="I90" s="47"/>
      <c r="J90" s="48" t="s">
        <v>87</v>
      </c>
      <c r="K90" s="48" t="s">
        <v>88</v>
      </c>
      <c r="L90" s="48" t="s">
        <v>89</v>
      </c>
      <c r="M90" s="45" t="s">
        <v>90</v>
      </c>
      <c r="N90" s="47"/>
      <c r="O90" s="45" t="s">
        <v>91</v>
      </c>
      <c r="P90" s="46"/>
      <c r="Q90" s="47"/>
      <c r="R90" s="48" t="s">
        <v>92</v>
      </c>
      <c r="S90" s="45" t="s">
        <v>93</v>
      </c>
      <c r="T90" s="46"/>
      <c r="U90" s="46"/>
      <c r="V90" s="46"/>
      <c r="W90" s="47"/>
      <c r="X90" s="106" t="s">
        <v>4</v>
      </c>
    </row>
    <row r="91" spans="1:24" ht="25.5" x14ac:dyDescent="0.25">
      <c r="A91" s="107"/>
      <c r="B91" s="107"/>
      <c r="C91" s="52" t="s">
        <v>94</v>
      </c>
      <c r="D91" s="52" t="s">
        <v>95</v>
      </c>
      <c r="E91" s="53" t="s">
        <v>96</v>
      </c>
      <c r="F91" s="53" t="s">
        <v>97</v>
      </c>
      <c r="G91" s="53">
        <v>2019</v>
      </c>
      <c r="H91" s="53" t="s">
        <v>98</v>
      </c>
      <c r="I91" s="53" t="s">
        <v>99</v>
      </c>
      <c r="J91" s="54"/>
      <c r="K91" s="54"/>
      <c r="L91" s="54"/>
      <c r="M91" s="53" t="s">
        <v>97</v>
      </c>
      <c r="N91" s="53">
        <v>2019</v>
      </c>
      <c r="O91" s="55" t="s">
        <v>100</v>
      </c>
      <c r="P91" s="53" t="s">
        <v>101</v>
      </c>
      <c r="Q91" s="53" t="s">
        <v>102</v>
      </c>
      <c r="R91" s="54"/>
      <c r="S91" s="56" t="s">
        <v>103</v>
      </c>
      <c r="T91" s="53" t="s">
        <v>104</v>
      </c>
      <c r="U91" s="53" t="s">
        <v>105</v>
      </c>
      <c r="V91" s="53" t="s">
        <v>106</v>
      </c>
      <c r="W91" s="53" t="s">
        <v>107</v>
      </c>
      <c r="X91" s="108"/>
    </row>
    <row r="92" spans="1:24" x14ac:dyDescent="0.25">
      <c r="A92" s="58" t="s">
        <v>124</v>
      </c>
      <c r="B92" s="83"/>
      <c r="C92" s="83"/>
      <c r="D92" s="83"/>
      <c r="E92" s="88"/>
      <c r="F92" s="88"/>
      <c r="G92" s="88"/>
      <c r="H92" s="84"/>
      <c r="I92" s="84"/>
      <c r="J92" s="84"/>
      <c r="K92" s="84"/>
      <c r="L92" s="85"/>
      <c r="M92" s="86"/>
      <c r="N92" s="86"/>
      <c r="O92" s="83"/>
      <c r="P92" s="85"/>
      <c r="Q92" s="85"/>
      <c r="R92" s="88"/>
      <c r="S92" s="87"/>
      <c r="T92" s="87"/>
      <c r="U92" s="87"/>
      <c r="V92" s="87"/>
      <c r="W92" s="87"/>
      <c r="X92" s="89"/>
    </row>
    <row r="93" spans="1:24" x14ac:dyDescent="0.25">
      <c r="A93" t="s">
        <v>65</v>
      </c>
      <c r="B93" s="60">
        <v>43.5</v>
      </c>
      <c r="C93" s="61">
        <v>45</v>
      </c>
      <c r="D93" s="61">
        <v>25.1</v>
      </c>
      <c r="E93" s="62">
        <v>-5.7142857142856718E-3</v>
      </c>
      <c r="F93" s="62">
        <v>-2.2471910112359605E-2</v>
      </c>
      <c r="G93" s="62">
        <v>0.19834710743801653</v>
      </c>
      <c r="H93" s="63">
        <v>0.250643258080051</v>
      </c>
      <c r="I93" s="63">
        <v>0.37213385629622103</v>
      </c>
      <c r="J93" s="63">
        <v>0.68662656377250975</v>
      </c>
      <c r="K93" s="63">
        <v>-2.6535074336215825E-3</v>
      </c>
      <c r="L93" s="65">
        <v>0.284104952043225</v>
      </c>
      <c r="M93" s="62">
        <v>-1.4216406523051783E-2</v>
      </c>
      <c r="N93" s="66">
        <v>-0.17001941728065262</v>
      </c>
      <c r="O93" s="65">
        <v>3.5328775562499999</v>
      </c>
      <c r="P93" s="65">
        <v>0.752736034000001</v>
      </c>
      <c r="Q93" s="67">
        <v>6.5555584546762002</v>
      </c>
      <c r="R93" s="62">
        <v>2.8798000457142901E-3</v>
      </c>
      <c r="S93" s="67">
        <v>0.31022551936535903</v>
      </c>
      <c r="T93" s="109" t="s">
        <v>186</v>
      </c>
      <c r="U93" s="67" t="s">
        <v>186</v>
      </c>
      <c r="V93" s="67">
        <v>3.1777420726896</v>
      </c>
      <c r="W93" s="67">
        <v>2571.2267773702101</v>
      </c>
      <c r="X93" s="68" t="s">
        <v>65</v>
      </c>
    </row>
    <row r="94" spans="1:24" x14ac:dyDescent="0.25">
      <c r="A94" t="s">
        <v>68</v>
      </c>
      <c r="B94" s="60">
        <v>5.87</v>
      </c>
      <c r="C94" s="61">
        <v>8.9</v>
      </c>
      <c r="D94" s="61">
        <v>4.5</v>
      </c>
      <c r="E94" s="62">
        <v>0</v>
      </c>
      <c r="F94" s="62">
        <v>-2.1666666666666612E-2</v>
      </c>
      <c r="G94" s="62">
        <v>-6.8253968253968234E-2</v>
      </c>
      <c r="H94" s="63">
        <v>0.46051807505805598</v>
      </c>
      <c r="I94" s="63">
        <v>0.469942601325327</v>
      </c>
      <c r="J94" s="63">
        <v>3.8630118760469576E-3</v>
      </c>
      <c r="K94" s="63">
        <v>-1.2069395215603684E-3</v>
      </c>
      <c r="L94" s="65">
        <v>0.24590138700967001</v>
      </c>
      <c r="M94" s="62">
        <v>-1.341116307735879E-2</v>
      </c>
      <c r="N94" s="66">
        <v>-0.43662049297263739</v>
      </c>
      <c r="O94" s="65">
        <v>0.25000015954999999</v>
      </c>
      <c r="P94" s="65">
        <v>0.34474335955000002</v>
      </c>
      <c r="Q94" s="67">
        <v>11.370594846110601</v>
      </c>
      <c r="R94" s="62" t="s">
        <v>186</v>
      </c>
      <c r="S94" s="67">
        <v>0.80042608109879898</v>
      </c>
      <c r="T94" s="67" t="s">
        <v>186</v>
      </c>
      <c r="U94" s="67" t="s">
        <v>186</v>
      </c>
      <c r="V94" s="67">
        <v>1.7739325415093801</v>
      </c>
      <c r="W94" s="67" t="s">
        <v>186</v>
      </c>
      <c r="X94" s="68" t="s">
        <v>68</v>
      </c>
    </row>
    <row r="95" spans="1:24" x14ac:dyDescent="0.25">
      <c r="A95" s="70" t="s">
        <v>109</v>
      </c>
      <c r="B95" s="71"/>
      <c r="C95" s="71"/>
      <c r="D95" s="71"/>
      <c r="E95" s="72">
        <v>-2.8571428571428359E-3</v>
      </c>
      <c r="F95" s="72">
        <v>-2.2069288389513109E-2</v>
      </c>
      <c r="G95" s="72">
        <v>6.504656959202415E-2</v>
      </c>
      <c r="H95" s="73">
        <v>0.35558066656905352</v>
      </c>
      <c r="I95" s="73">
        <v>0.42103822881077402</v>
      </c>
      <c r="J95" s="73">
        <v>0.34524478782427837</v>
      </c>
      <c r="K95" s="73">
        <v>-1.9302234775909755E-3</v>
      </c>
      <c r="L95" s="74">
        <v>0.26500316952644754</v>
      </c>
      <c r="M95" s="72">
        <v>-1.3813784800205287E-2</v>
      </c>
      <c r="N95" s="72">
        <v>-0.303319955126645</v>
      </c>
      <c r="O95" s="74">
        <v>1.8914388578999999</v>
      </c>
      <c r="P95" s="74">
        <v>0.54873969677500045</v>
      </c>
      <c r="Q95" s="75">
        <v>8.9630766503934005</v>
      </c>
      <c r="R95" s="72">
        <v>2.8798000457142901E-3</v>
      </c>
      <c r="S95" s="75">
        <v>0.555325800232079</v>
      </c>
      <c r="T95" s="110" t="s">
        <v>186</v>
      </c>
      <c r="U95" s="75" t="s">
        <v>186</v>
      </c>
      <c r="V95" s="77">
        <v>2.4758373070994901</v>
      </c>
      <c r="W95" s="75">
        <v>2571.2267773702101</v>
      </c>
      <c r="X95" s="79" t="s">
        <v>110</v>
      </c>
    </row>
    <row r="96" spans="1:24" ht="9" customHeight="1" x14ac:dyDescent="0.25">
      <c r="E96" s="82"/>
      <c r="F96" s="82"/>
      <c r="G96" s="82"/>
      <c r="H96" s="41"/>
      <c r="I96" s="41"/>
      <c r="J96" s="41"/>
      <c r="K96" s="41"/>
      <c r="L96" s="32"/>
      <c r="M96" s="80"/>
      <c r="N96" s="80"/>
      <c r="O96" s="32"/>
      <c r="P96" s="32"/>
      <c r="Q96" s="81"/>
      <c r="R96" s="82"/>
      <c r="S96" s="81"/>
      <c r="T96" s="81"/>
      <c r="U96" s="81"/>
      <c r="V96" s="81"/>
      <c r="W96" s="81"/>
    </row>
    <row r="97" spans="1:24" x14ac:dyDescent="0.25">
      <c r="A97" s="58" t="s">
        <v>125</v>
      </c>
      <c r="B97" s="83"/>
      <c r="C97" s="83"/>
      <c r="D97" s="83"/>
      <c r="E97" s="88"/>
      <c r="F97" s="88"/>
      <c r="G97" s="88"/>
      <c r="H97" s="84"/>
      <c r="I97" s="84"/>
      <c r="J97" s="84"/>
      <c r="K97" s="84"/>
      <c r="L97" s="85"/>
      <c r="M97" s="86"/>
      <c r="N97" s="86"/>
      <c r="O97" s="85"/>
      <c r="P97" s="85"/>
      <c r="Q97" s="87"/>
      <c r="R97" s="88"/>
      <c r="S97" s="87"/>
      <c r="T97" s="87"/>
      <c r="U97" s="87"/>
      <c r="V97" s="87"/>
      <c r="W97" s="87"/>
      <c r="X97" s="89"/>
    </row>
    <row r="98" spans="1:24" x14ac:dyDescent="0.25">
      <c r="A98" t="s">
        <v>78</v>
      </c>
      <c r="B98" s="60">
        <v>35</v>
      </c>
      <c r="C98" s="61">
        <v>53</v>
      </c>
      <c r="D98" s="61">
        <v>30</v>
      </c>
      <c r="E98" s="62">
        <v>1.449275362318847E-2</v>
      </c>
      <c r="F98" s="62">
        <v>-7.6517150395778333E-2</v>
      </c>
      <c r="G98" s="62">
        <v>-9.0909090909090939E-2</v>
      </c>
      <c r="H98" s="63">
        <v>0.27520849784129497</v>
      </c>
      <c r="I98" s="63">
        <v>0.37892773073869401</v>
      </c>
      <c r="J98" s="63">
        <v>2.1423568486567932</v>
      </c>
      <c r="K98" s="63">
        <v>0.10665677255345196</v>
      </c>
      <c r="L98" s="65">
        <v>0.27518895803633397</v>
      </c>
      <c r="M98" s="62">
        <v>-6.8261646806470511E-2</v>
      </c>
      <c r="N98" s="66">
        <v>-0.45927561562776009</v>
      </c>
      <c r="O98" s="65">
        <v>11.231128826999999</v>
      </c>
      <c r="P98" s="65">
        <v>5.3437731900000092</v>
      </c>
      <c r="Q98" s="67">
        <v>2.1580423497521699</v>
      </c>
      <c r="R98" s="62" t="s">
        <v>186</v>
      </c>
      <c r="S98" s="67">
        <v>0.409141395884842</v>
      </c>
      <c r="T98" s="67">
        <v>7.3628253053994701</v>
      </c>
      <c r="U98" s="67" t="s">
        <v>186</v>
      </c>
      <c r="V98" s="67">
        <v>3.8351303404398398</v>
      </c>
      <c r="W98" s="67">
        <v>4.1866397143455698</v>
      </c>
      <c r="X98" s="68" t="s">
        <v>78</v>
      </c>
    </row>
    <row r="99" spans="1:24" x14ac:dyDescent="0.25">
      <c r="A99" t="s">
        <v>60</v>
      </c>
      <c r="B99" s="60">
        <v>58.4</v>
      </c>
      <c r="C99" s="61">
        <v>61</v>
      </c>
      <c r="D99" s="61">
        <v>35.049999999999997</v>
      </c>
      <c r="E99" s="62">
        <v>-1.0169491525423791E-2</v>
      </c>
      <c r="F99" s="62">
        <v>-1.7661900756938631E-2</v>
      </c>
      <c r="G99" s="62">
        <v>0.24919786096256691</v>
      </c>
      <c r="H99" s="63">
        <v>0.55518516041793298</v>
      </c>
      <c r="I99" s="63">
        <v>0.50901454087210807</v>
      </c>
      <c r="J99" s="63">
        <v>0.45829240611453947</v>
      </c>
      <c r="K99" s="63">
        <v>0.15676937993109541</v>
      </c>
      <c r="L99" s="65">
        <v>1.2269207410359899</v>
      </c>
      <c r="M99" s="62">
        <v>-9.4063971676308089E-3</v>
      </c>
      <c r="N99" s="66">
        <v>-0.11916866375610224</v>
      </c>
      <c r="O99" s="65">
        <v>114.363737429</v>
      </c>
      <c r="P99" s="65">
        <v>192.5204234176</v>
      </c>
      <c r="Q99" s="67">
        <v>5.9555906520324102</v>
      </c>
      <c r="R99" s="62" t="s">
        <v>186</v>
      </c>
      <c r="S99" s="67">
        <v>0.92010269280768398</v>
      </c>
      <c r="T99" s="67">
        <v>10.7944452967456</v>
      </c>
      <c r="U99" s="67">
        <v>12.1587562622747</v>
      </c>
      <c r="V99" s="67">
        <v>1.7262497279520399</v>
      </c>
      <c r="W99" s="67">
        <v>4.5655675836392096</v>
      </c>
      <c r="X99" s="68" t="s">
        <v>60</v>
      </c>
    </row>
    <row r="100" spans="1:24" x14ac:dyDescent="0.25">
      <c r="A100" t="s">
        <v>17</v>
      </c>
      <c r="B100" s="60">
        <v>42.9</v>
      </c>
      <c r="C100" s="61">
        <v>58</v>
      </c>
      <c r="D100" s="61">
        <v>35.299999999999997</v>
      </c>
      <c r="E100" s="62">
        <v>8.2256169212691077E-3</v>
      </c>
      <c r="F100" s="62">
        <v>9.7186700767263323E-2</v>
      </c>
      <c r="G100" s="62">
        <v>-0.15799803729146233</v>
      </c>
      <c r="H100" s="63">
        <v>0.39023312386271497</v>
      </c>
      <c r="I100" s="63">
        <v>0.399346737830161</v>
      </c>
      <c r="J100" s="63">
        <v>3.9078441012621182E-3</v>
      </c>
      <c r="K100" s="63">
        <v>-1.0243899461246375E-3</v>
      </c>
      <c r="L100" s="65">
        <v>0.70191276074682396</v>
      </c>
      <c r="M100" s="62">
        <v>0.10544220435657115</v>
      </c>
      <c r="N100" s="66">
        <v>-0.52636456201013149</v>
      </c>
      <c r="O100" s="65">
        <v>38.569664504999999</v>
      </c>
      <c r="P100" s="65">
        <v>25.360681516500001</v>
      </c>
      <c r="Q100" s="67">
        <v>5.3355918206271102</v>
      </c>
      <c r="R100" s="62" t="s">
        <v>186</v>
      </c>
      <c r="S100" s="67">
        <v>0.31136013959914599</v>
      </c>
      <c r="T100" s="67">
        <v>12.717403870952401</v>
      </c>
      <c r="U100" s="67">
        <v>10.4132251630508</v>
      </c>
      <c r="V100" s="67">
        <v>1.1016878837072701</v>
      </c>
      <c r="W100" s="67">
        <v>2.8889356169246199</v>
      </c>
      <c r="X100" s="68" t="s">
        <v>17</v>
      </c>
    </row>
    <row r="101" spans="1:24" x14ac:dyDescent="0.25">
      <c r="A101" t="s">
        <v>54</v>
      </c>
      <c r="B101" s="60">
        <v>43.4</v>
      </c>
      <c r="C101" s="61">
        <v>51.191078400000002</v>
      </c>
      <c r="D101" s="61">
        <v>29.420159999999999</v>
      </c>
      <c r="E101" s="62">
        <v>-5.7273768613974596E-3</v>
      </c>
      <c r="F101" s="62">
        <v>0</v>
      </c>
      <c r="G101" s="62">
        <v>0.14608794894067256</v>
      </c>
      <c r="H101" s="63">
        <v>0.40684096106675599</v>
      </c>
      <c r="I101" s="63">
        <v>0.40044952422194002</v>
      </c>
      <c r="J101" s="63">
        <v>3.7534439545056437</v>
      </c>
      <c r="K101" s="63">
        <v>0.19893424539522764</v>
      </c>
      <c r="L101" s="65">
        <v>0.84066565039268604</v>
      </c>
      <c r="M101" s="62">
        <v>8.2555035893078221E-3</v>
      </c>
      <c r="N101" s="66">
        <v>-0.22227857577799659</v>
      </c>
      <c r="O101" s="65">
        <v>19.410011151749998</v>
      </c>
      <c r="P101" s="65">
        <v>9.0568913798000104</v>
      </c>
      <c r="Q101" s="67">
        <v>1.3711053721270301</v>
      </c>
      <c r="R101" s="62">
        <v>7.67342565085911E-2</v>
      </c>
      <c r="S101" s="67">
        <v>0.886466958848666</v>
      </c>
      <c r="T101" s="67">
        <v>6.4189314106119397</v>
      </c>
      <c r="U101" s="67">
        <v>5.1052631578947398</v>
      </c>
      <c r="V101" s="67">
        <v>1.4697633965558301</v>
      </c>
      <c r="W101" s="67">
        <v>3.0387159505048702</v>
      </c>
      <c r="X101" s="68" t="s">
        <v>54</v>
      </c>
    </row>
    <row r="102" spans="1:24" x14ac:dyDescent="0.25">
      <c r="A102" t="s">
        <v>26</v>
      </c>
      <c r="B102" s="60">
        <v>21.05</v>
      </c>
      <c r="C102" s="61">
        <v>41.55</v>
      </c>
      <c r="D102" s="61">
        <v>15.35</v>
      </c>
      <c r="E102" s="62">
        <v>-4.3181818181818099E-2</v>
      </c>
      <c r="F102" s="62">
        <v>1.6908212560386549E-2</v>
      </c>
      <c r="G102" s="62">
        <v>-0.20566037735849052</v>
      </c>
      <c r="H102" s="63">
        <v>0.56830936046687808</v>
      </c>
      <c r="I102" s="63">
        <v>0.50645833946637309</v>
      </c>
      <c r="J102" s="63">
        <v>6.2998975382077046E-3</v>
      </c>
      <c r="K102" s="63">
        <v>-2.762852626844392E-3</v>
      </c>
      <c r="L102" s="65">
        <v>0.92012413778850399</v>
      </c>
      <c r="M102" s="62">
        <v>2.5163716149694371E-2</v>
      </c>
      <c r="N102" s="66">
        <v>-0.57402690207715967</v>
      </c>
      <c r="O102" s="65">
        <v>11.439754502</v>
      </c>
      <c r="P102" s="65">
        <v>14.902252300000001</v>
      </c>
      <c r="Q102" s="67">
        <v>2.4004704049819101</v>
      </c>
      <c r="R102" s="62" t="s">
        <v>186</v>
      </c>
      <c r="S102" s="67">
        <v>0.15745059911377399</v>
      </c>
      <c r="T102" s="67">
        <v>73.457565605806806</v>
      </c>
      <c r="U102" s="67" t="s">
        <v>186</v>
      </c>
      <c r="V102" s="67">
        <v>0.81742654977736195</v>
      </c>
      <c r="W102" s="67">
        <v>0.98682375830485602</v>
      </c>
      <c r="X102" s="68" t="s">
        <v>26</v>
      </c>
    </row>
    <row r="103" spans="1:24" x14ac:dyDescent="0.25">
      <c r="A103" t="s">
        <v>38</v>
      </c>
      <c r="B103" s="60">
        <v>31</v>
      </c>
      <c r="C103" s="61">
        <v>54.5</v>
      </c>
      <c r="D103" s="61">
        <v>17.2</v>
      </c>
      <c r="E103" s="62">
        <v>3.5058430717863187E-2</v>
      </c>
      <c r="F103" s="62">
        <v>6.5292096219931262E-2</v>
      </c>
      <c r="G103" s="62">
        <v>2.1416803953871355E-2</v>
      </c>
      <c r="H103" s="63">
        <v>0.40614979724537298</v>
      </c>
      <c r="I103" s="63">
        <v>0.46905999199444998</v>
      </c>
      <c r="J103" s="63">
        <v>5.1125142474050681E-3</v>
      </c>
      <c r="K103" s="63">
        <v>-2.2517195898040798E-3</v>
      </c>
      <c r="L103" s="65">
        <v>0.74349978793489602</v>
      </c>
      <c r="M103" s="62">
        <v>7.3547599809239084E-2</v>
      </c>
      <c r="N103" s="66">
        <v>-0.3469497207647978</v>
      </c>
      <c r="O103" s="65">
        <v>9.9817674175499995</v>
      </c>
      <c r="P103" s="65">
        <v>10.120565579000001</v>
      </c>
      <c r="Q103" s="67">
        <v>1.7256105227332601</v>
      </c>
      <c r="R103" s="62">
        <v>5.6436187041736197E-2</v>
      </c>
      <c r="S103" s="67">
        <v>0.50567880515850605</v>
      </c>
      <c r="T103" s="67">
        <v>3.6616710449227998</v>
      </c>
      <c r="U103" s="67" t="s">
        <v>186</v>
      </c>
      <c r="V103" s="67">
        <v>1.7259157463536099</v>
      </c>
      <c r="W103" s="67">
        <v>31.256643451337698</v>
      </c>
      <c r="X103" s="68" t="s">
        <v>38</v>
      </c>
    </row>
    <row r="104" spans="1:24" x14ac:dyDescent="0.25">
      <c r="A104" t="s">
        <v>15</v>
      </c>
      <c r="B104" s="60">
        <v>66</v>
      </c>
      <c r="C104" s="61">
        <v>79.900000000000006</v>
      </c>
      <c r="D104" s="61">
        <v>42</v>
      </c>
      <c r="E104" s="62">
        <v>3.0395136778116338E-3</v>
      </c>
      <c r="F104" s="62">
        <v>0.10738255033557054</v>
      </c>
      <c r="G104" s="62">
        <v>6.6235864297253588E-2</v>
      </c>
      <c r="H104" s="63">
        <v>0.37845297937493905</v>
      </c>
      <c r="I104" s="63">
        <v>0.430421134238688</v>
      </c>
      <c r="J104" s="63">
        <v>7.2824750056316445E-3</v>
      </c>
      <c r="K104" s="63">
        <v>-3.1402346882946075E-3</v>
      </c>
      <c r="L104" s="65">
        <v>0.52241636609351205</v>
      </c>
      <c r="M104" s="62">
        <v>0.11563805392487836</v>
      </c>
      <c r="N104" s="66">
        <v>-0.30213066042141556</v>
      </c>
      <c r="O104" s="65">
        <v>11.8309901556</v>
      </c>
      <c r="P104" s="65">
        <v>16.935378612000001</v>
      </c>
      <c r="Q104" s="67">
        <v>2.7495065455568999</v>
      </c>
      <c r="R104" s="62" t="s">
        <v>186</v>
      </c>
      <c r="S104" s="67">
        <v>1.1598323431962601</v>
      </c>
      <c r="T104" s="67">
        <v>13.027489977715099</v>
      </c>
      <c r="U104" s="67" t="s">
        <v>186</v>
      </c>
      <c r="V104" s="67">
        <v>0.98069359217726704</v>
      </c>
      <c r="W104" s="67">
        <v>4.8799510441866003</v>
      </c>
      <c r="X104" s="68" t="s">
        <v>15</v>
      </c>
    </row>
    <row r="105" spans="1:24" x14ac:dyDescent="0.25">
      <c r="A105" t="s">
        <v>31</v>
      </c>
      <c r="B105" s="60">
        <v>32</v>
      </c>
      <c r="C105" s="61">
        <v>61.9</v>
      </c>
      <c r="D105" s="61">
        <v>22</v>
      </c>
      <c r="E105" s="62">
        <v>6.2893081761006275E-3</v>
      </c>
      <c r="F105" s="62">
        <v>5.6105610561056007E-2</v>
      </c>
      <c r="G105" s="62">
        <v>-0.16339869281045749</v>
      </c>
      <c r="H105" s="63">
        <v>0.45126351970707901</v>
      </c>
      <c r="I105" s="63">
        <v>0.50106213186829895</v>
      </c>
      <c r="J105" s="63">
        <v>4.6893896984558561</v>
      </c>
      <c r="K105" s="63">
        <v>-3.1765049898998532E-3</v>
      </c>
      <c r="L105" s="65">
        <v>0.73303418946253496</v>
      </c>
      <c r="M105" s="62">
        <v>6.436111415036383E-2</v>
      </c>
      <c r="N105" s="66">
        <v>-0.53176521752912664</v>
      </c>
      <c r="O105" s="65">
        <v>6.4347709583999997</v>
      </c>
      <c r="P105" s="65">
        <v>2.0281980640000099</v>
      </c>
      <c r="Q105" s="67">
        <v>0.88583422279350599</v>
      </c>
      <c r="R105" s="62">
        <v>9.6351525798742108E-2</v>
      </c>
      <c r="S105" s="67">
        <v>0.28676793029116199</v>
      </c>
      <c r="T105" s="67">
        <v>5.8271662490530902</v>
      </c>
      <c r="U105" s="67" t="s">
        <v>186</v>
      </c>
      <c r="V105" s="67">
        <v>1.2277042577262101</v>
      </c>
      <c r="W105" s="67">
        <v>2.3228859687368399</v>
      </c>
      <c r="X105" s="68" t="s">
        <v>31</v>
      </c>
    </row>
    <row r="106" spans="1:24" x14ac:dyDescent="0.25">
      <c r="A106" t="s">
        <v>58</v>
      </c>
      <c r="B106" s="60">
        <v>39.799999999999997</v>
      </c>
      <c r="C106" s="61">
        <v>47.5</v>
      </c>
      <c r="D106" s="61">
        <v>27.5</v>
      </c>
      <c r="E106" s="62">
        <v>1.9206145966709443E-2</v>
      </c>
      <c r="F106" s="62">
        <v>1.5306122448979442E-2</v>
      </c>
      <c r="G106" s="62">
        <v>0.19519519519519513</v>
      </c>
      <c r="H106" s="63">
        <v>0.417616770483757</v>
      </c>
      <c r="I106" s="63">
        <v>0.47742810048820306</v>
      </c>
      <c r="J106" s="63">
        <v>4.3495775314751073E-3</v>
      </c>
      <c r="K106" s="63">
        <v>-1.8295984281658795E-3</v>
      </c>
      <c r="L106" s="65">
        <v>0.97722665503916495</v>
      </c>
      <c r="M106" s="62">
        <v>2.3561626038287264E-2</v>
      </c>
      <c r="N106" s="66">
        <v>-0.17317132952347403</v>
      </c>
      <c r="O106" s="65">
        <v>59.645357087205802</v>
      </c>
      <c r="P106" s="65">
        <v>67.95230578879989</v>
      </c>
      <c r="Q106" s="67">
        <v>5.5212133572916304</v>
      </c>
      <c r="R106" s="62">
        <v>0</v>
      </c>
      <c r="S106" s="67">
        <v>3.2228728437755598</v>
      </c>
      <c r="T106" s="67">
        <v>5.2307235352331301</v>
      </c>
      <c r="U106" s="67">
        <v>6.6186440677966099</v>
      </c>
      <c r="V106" s="67">
        <v>1.6049777611388201</v>
      </c>
      <c r="W106" s="67">
        <v>11.407143224166999</v>
      </c>
      <c r="X106" s="68" t="s">
        <v>58</v>
      </c>
    </row>
    <row r="107" spans="1:24" x14ac:dyDescent="0.25">
      <c r="A107" t="s">
        <v>25</v>
      </c>
      <c r="B107" s="60">
        <v>9.84</v>
      </c>
      <c r="C107" s="61">
        <v>10.85</v>
      </c>
      <c r="D107" s="61">
        <v>4.5576404500000001</v>
      </c>
      <c r="E107" s="62">
        <v>-6.0606060606060996E-3</v>
      </c>
      <c r="F107" s="62">
        <v>6.0344827586206851E-2</v>
      </c>
      <c r="G107" s="62">
        <v>0.58519683907883957</v>
      </c>
      <c r="H107" s="63">
        <v>0.464652011034976</v>
      </c>
      <c r="I107" s="63">
        <v>0.68949444958106298</v>
      </c>
      <c r="J107" s="63">
        <v>4.7813434003060318E-3</v>
      </c>
      <c r="K107" s="63">
        <v>-2.0853667577406254E-3</v>
      </c>
      <c r="L107" s="65">
        <v>0.78005787241157398</v>
      </c>
      <c r="M107" s="62">
        <v>6.8600331175514673E-2</v>
      </c>
      <c r="N107" s="66">
        <v>0.21683031436017042</v>
      </c>
      <c r="O107" s="65">
        <v>6.9496849422000002</v>
      </c>
      <c r="P107" s="65">
        <v>6.4744413595200099</v>
      </c>
      <c r="Q107" s="67">
        <v>1.39463961365714</v>
      </c>
      <c r="R107" s="62">
        <v>0.28778282999999999</v>
      </c>
      <c r="S107" s="67">
        <v>0.78573506963963302</v>
      </c>
      <c r="T107" s="67">
        <v>1.5106389511498699</v>
      </c>
      <c r="U107" s="67" t="s">
        <v>186</v>
      </c>
      <c r="V107" s="67">
        <v>0.882154406062444</v>
      </c>
      <c r="W107" s="67">
        <v>1.83241949578407</v>
      </c>
      <c r="X107" s="68" t="s">
        <v>25</v>
      </c>
    </row>
    <row r="108" spans="1:24" x14ac:dyDescent="0.25">
      <c r="A108" s="70" t="s">
        <v>109</v>
      </c>
      <c r="B108" s="71"/>
      <c r="C108" s="71"/>
      <c r="D108" s="71"/>
      <c r="E108" s="72">
        <v>2.1172476453697022E-3</v>
      </c>
      <c r="F108" s="72">
        <v>3.2434706932667701E-2</v>
      </c>
      <c r="G108" s="72">
        <v>6.4536431405889785E-2</v>
      </c>
      <c r="H108" s="73">
        <v>0.43139121815017012</v>
      </c>
      <c r="I108" s="73">
        <v>0.47616626812999796</v>
      </c>
      <c r="J108" s="73">
        <v>1.1075216559557119</v>
      </c>
      <c r="K108" s="73">
        <v>4.4608973085290091E-2</v>
      </c>
      <c r="L108" s="74">
        <v>0.77210471189420193</v>
      </c>
      <c r="M108" s="72">
        <v>4.0690210521975523E-2</v>
      </c>
      <c r="N108" s="72">
        <v>-0.30383009331277933</v>
      </c>
      <c r="O108" s="74">
        <v>28.985686697570578</v>
      </c>
      <c r="P108" s="74">
        <v>35.069491120721999</v>
      </c>
      <c r="Q108" s="75">
        <v>2.9497604861553066</v>
      </c>
      <c r="R108" s="72">
        <v>0.10346095986981388</v>
      </c>
      <c r="S108" s="75">
        <v>0.86454087783152322</v>
      </c>
      <c r="T108" s="75">
        <v>14.00088612475902</v>
      </c>
      <c r="U108" s="75">
        <v>8.5739721627542131</v>
      </c>
      <c r="V108" s="77">
        <v>1.5371703661890694</v>
      </c>
      <c r="W108" s="75">
        <v>6.7365725807931325</v>
      </c>
      <c r="X108" s="79" t="s">
        <v>110</v>
      </c>
    </row>
    <row r="109" spans="1:24" ht="7.5" customHeight="1" x14ac:dyDescent="0.25">
      <c r="E109" s="82"/>
      <c r="F109" s="82"/>
      <c r="G109" s="82"/>
      <c r="H109" s="41"/>
      <c r="I109" s="41"/>
      <c r="J109" s="41"/>
      <c r="K109" s="41"/>
      <c r="L109" s="32"/>
      <c r="M109" s="80"/>
      <c r="N109" s="80"/>
      <c r="O109" s="32"/>
      <c r="P109" s="32"/>
      <c r="Q109" s="81"/>
      <c r="R109" s="82"/>
      <c r="S109" s="81"/>
      <c r="T109" s="81"/>
      <c r="U109" s="81"/>
      <c r="V109" s="81"/>
      <c r="W109" s="81"/>
    </row>
    <row r="110" spans="1:24" x14ac:dyDescent="0.25">
      <c r="A110" s="58" t="s">
        <v>126</v>
      </c>
      <c r="B110" s="83"/>
      <c r="C110" s="83"/>
      <c r="D110" s="83"/>
      <c r="E110" s="88"/>
      <c r="F110" s="88"/>
      <c r="G110" s="88"/>
      <c r="H110" s="84"/>
      <c r="I110" s="84"/>
      <c r="J110" s="84"/>
      <c r="K110" s="84"/>
      <c r="L110" s="85"/>
      <c r="M110" s="86"/>
      <c r="N110" s="86"/>
      <c r="O110" s="85"/>
      <c r="P110" s="85"/>
      <c r="Q110" s="87"/>
      <c r="R110" s="88"/>
      <c r="S110" s="87"/>
      <c r="T110" s="87"/>
      <c r="U110" s="87"/>
      <c r="V110" s="87"/>
      <c r="W110" s="87"/>
      <c r="X110" s="89"/>
    </row>
    <row r="111" spans="1:24" x14ac:dyDescent="0.25">
      <c r="A111" t="s">
        <v>51</v>
      </c>
      <c r="B111" s="60">
        <v>4.22</v>
      </c>
      <c r="C111" s="61">
        <v>4.53</v>
      </c>
      <c r="D111" s="61">
        <v>2.35</v>
      </c>
      <c r="E111" s="62">
        <v>3.685503685503666E-2</v>
      </c>
      <c r="F111" s="62">
        <v>4.4554455445544594E-2</v>
      </c>
      <c r="G111" s="62">
        <v>0.42835770680216445</v>
      </c>
      <c r="H111" s="63">
        <v>0.61316474507402707</v>
      </c>
      <c r="I111" s="63">
        <v>0.59810684733132302</v>
      </c>
      <c r="J111" s="63">
        <v>1.0454809858083744E-2</v>
      </c>
      <c r="K111" s="63">
        <v>-4.2644351941127923E-3</v>
      </c>
      <c r="L111" s="65">
        <v>0.319458226445755</v>
      </c>
      <c r="M111" s="62">
        <v>5.2809959034852416E-2</v>
      </c>
      <c r="N111" s="66">
        <v>5.9991182083495298E-2</v>
      </c>
      <c r="O111" s="65">
        <v>5.0875000000000004</v>
      </c>
      <c r="P111" s="65">
        <v>6.0382039799999996</v>
      </c>
      <c r="Q111" s="67">
        <v>9.9396686445686697</v>
      </c>
      <c r="R111" s="62">
        <v>1.0839714987714999E-2</v>
      </c>
      <c r="S111" s="67">
        <v>3.5125640263208302</v>
      </c>
      <c r="T111" s="67">
        <v>17.857898523126401</v>
      </c>
      <c r="U111" s="67" t="s">
        <v>186</v>
      </c>
      <c r="V111" s="67">
        <v>1.9934117713559101</v>
      </c>
      <c r="W111" s="67">
        <v>26.447235957859601</v>
      </c>
      <c r="X111" s="68" t="s">
        <v>51</v>
      </c>
    </row>
    <row r="112" spans="1:24" x14ac:dyDescent="0.25">
      <c r="A112" s="70" t="s">
        <v>109</v>
      </c>
      <c r="B112" s="71"/>
      <c r="C112" s="71"/>
      <c r="D112" s="71"/>
      <c r="E112" s="72">
        <v>3.685503685503666E-2</v>
      </c>
      <c r="F112" s="72">
        <v>4.4554455445544594E-2</v>
      </c>
      <c r="G112" s="72">
        <v>0.42835770680216445</v>
      </c>
      <c r="H112" s="73">
        <v>0.61316474507402707</v>
      </c>
      <c r="I112" s="73">
        <v>0.59810684733132302</v>
      </c>
      <c r="J112" s="73">
        <v>1.0454809858083744E-2</v>
      </c>
      <c r="K112" s="73">
        <v>-4.2644351941127923E-3</v>
      </c>
      <c r="L112" s="74">
        <v>0.319458226445755</v>
      </c>
      <c r="M112" s="72">
        <v>5.2809959034852416E-2</v>
      </c>
      <c r="N112" s="72">
        <v>5.9991182083495298E-2</v>
      </c>
      <c r="O112" s="74">
        <v>5.0875000000000004</v>
      </c>
      <c r="P112" s="74">
        <v>6.0382039799999996</v>
      </c>
      <c r="Q112" s="75">
        <v>9.9396686445686697</v>
      </c>
      <c r="R112" s="72">
        <v>1.0839714987714999E-2</v>
      </c>
      <c r="S112" s="75">
        <v>3.5125640263208302</v>
      </c>
      <c r="T112" s="75">
        <v>17.857898523126401</v>
      </c>
      <c r="U112" s="75" t="s">
        <v>186</v>
      </c>
      <c r="V112" s="77">
        <v>1.9934117713559101</v>
      </c>
      <c r="W112" s="75">
        <v>26.447235957859601</v>
      </c>
      <c r="X112" s="79" t="s">
        <v>110</v>
      </c>
    </row>
    <row r="113" spans="1:24" ht="9" customHeight="1" x14ac:dyDescent="0.25">
      <c r="E113" s="82"/>
      <c r="F113" s="82"/>
      <c r="G113" s="82"/>
      <c r="H113" s="41"/>
      <c r="I113" s="41"/>
      <c r="J113" s="41"/>
      <c r="K113" s="41"/>
      <c r="L113" s="32"/>
      <c r="M113" s="80"/>
      <c r="N113" s="80"/>
      <c r="O113" s="32"/>
      <c r="P113" s="32"/>
      <c r="Q113" s="81"/>
      <c r="R113" s="82"/>
      <c r="S113" s="81"/>
      <c r="T113" s="81"/>
      <c r="U113" s="81"/>
      <c r="V113" s="81"/>
      <c r="W113" s="81"/>
    </row>
    <row r="114" spans="1:24" x14ac:dyDescent="0.25">
      <c r="A114" s="58" t="s">
        <v>127</v>
      </c>
      <c r="B114" s="83"/>
      <c r="C114" s="83"/>
      <c r="D114" s="83"/>
      <c r="E114" s="88"/>
      <c r="F114" s="88"/>
      <c r="G114" s="88"/>
      <c r="H114" s="84"/>
      <c r="I114" s="84"/>
      <c r="J114" s="84"/>
      <c r="K114" s="84"/>
      <c r="L114" s="85"/>
      <c r="M114" s="86"/>
      <c r="N114" s="86"/>
      <c r="O114" s="85"/>
      <c r="P114" s="85"/>
      <c r="Q114" s="87"/>
      <c r="R114" s="88"/>
      <c r="S114" s="87"/>
      <c r="T114" s="87"/>
      <c r="U114" s="87"/>
      <c r="V114" s="87"/>
      <c r="W114" s="87"/>
      <c r="X114" s="89"/>
    </row>
    <row r="115" spans="1:24" x14ac:dyDescent="0.25">
      <c r="A115" t="s">
        <v>9</v>
      </c>
      <c r="B115" s="60" t="s">
        <v>186</v>
      </c>
      <c r="C115" s="61">
        <v>385</v>
      </c>
      <c r="D115" s="61">
        <v>230</v>
      </c>
      <c r="E115" s="62" t="s">
        <v>186</v>
      </c>
      <c r="F115" s="62" t="s">
        <v>186</v>
      </c>
      <c r="G115" s="62" t="s">
        <v>186</v>
      </c>
      <c r="H115" s="63">
        <v>0.31591258264599203</v>
      </c>
      <c r="I115" s="63">
        <v>0.34103852627881898</v>
      </c>
      <c r="J115" s="63">
        <v>0</v>
      </c>
      <c r="K115" s="63">
        <v>0</v>
      </c>
      <c r="L115" s="65">
        <v>8.7141414266572001E-2</v>
      </c>
      <c r="M115" s="62" t="s">
        <v>186</v>
      </c>
      <c r="N115" s="66" t="s">
        <v>186</v>
      </c>
      <c r="O115" s="65">
        <v>1692.0652468997</v>
      </c>
      <c r="P115" s="65">
        <v>100.040866888032</v>
      </c>
      <c r="Q115" s="67">
        <v>6.0829908116278704</v>
      </c>
      <c r="R115" s="62">
        <v>5.2627617759482499E-2</v>
      </c>
      <c r="S115" s="67">
        <v>0.783071385009529</v>
      </c>
      <c r="T115" s="67">
        <v>11.938543928682201</v>
      </c>
      <c r="U115" s="67">
        <v>9.6502656990117508</v>
      </c>
      <c r="V115" s="67">
        <v>1.92442934892305</v>
      </c>
      <c r="W115" s="67">
        <v>2.8525709586018499</v>
      </c>
      <c r="X115" s="68" t="s">
        <v>9</v>
      </c>
    </row>
    <row r="116" spans="1:24" x14ac:dyDescent="0.25">
      <c r="A116" t="s">
        <v>59</v>
      </c>
      <c r="B116" s="60">
        <v>151.69999999999999</v>
      </c>
      <c r="C116" s="61">
        <v>157.94999999999999</v>
      </c>
      <c r="D116" s="61">
        <v>96.606674999999996</v>
      </c>
      <c r="E116" s="62">
        <v>3.3068783068783691E-3</v>
      </c>
      <c r="F116" s="62">
        <v>-1.9736842105263497E-3</v>
      </c>
      <c r="G116" s="62">
        <v>0.30637144566534613</v>
      </c>
      <c r="H116" s="63">
        <v>0.35153518247888499</v>
      </c>
      <c r="I116" s="63">
        <v>0.39358199056487597</v>
      </c>
      <c r="J116" s="63">
        <v>3.9465686193552773E-3</v>
      </c>
      <c r="K116" s="63">
        <v>-9.5699808237914574E-4</v>
      </c>
      <c r="L116" s="65">
        <v>0.608444565783266</v>
      </c>
      <c r="M116" s="62">
        <v>6.2818193787814725E-3</v>
      </c>
      <c r="N116" s="66">
        <v>-6.1995079053323021E-2</v>
      </c>
      <c r="O116" s="65">
        <v>327.93909886080002</v>
      </c>
      <c r="P116" s="65">
        <v>168.17168694200001</v>
      </c>
      <c r="Q116" s="67">
        <v>2.8591874416335101</v>
      </c>
      <c r="R116" s="62">
        <v>1.93466585912698E-2</v>
      </c>
      <c r="S116" s="67">
        <v>0.58061296872284995</v>
      </c>
      <c r="T116" s="67">
        <v>61.7140811436429</v>
      </c>
      <c r="U116" s="67">
        <v>30.422535211267601</v>
      </c>
      <c r="V116" s="67">
        <v>1.4489949359601999</v>
      </c>
      <c r="W116" s="67">
        <v>2.29976163065102</v>
      </c>
      <c r="X116" s="68" t="s">
        <v>59</v>
      </c>
    </row>
    <row r="117" spans="1:24" x14ac:dyDescent="0.25">
      <c r="A117" t="s">
        <v>70</v>
      </c>
      <c r="B117" s="60">
        <v>255</v>
      </c>
      <c r="C117" s="61">
        <v>370</v>
      </c>
      <c r="D117" s="61">
        <v>169</v>
      </c>
      <c r="E117" s="62">
        <v>5.9171597633136397E-3</v>
      </c>
      <c r="F117" s="62">
        <v>-2.6717557251908386E-2</v>
      </c>
      <c r="G117" s="62">
        <v>6.9406584189557696E-2</v>
      </c>
      <c r="H117" s="63">
        <v>0.44327482431589599</v>
      </c>
      <c r="I117" s="63">
        <v>0.49369502346263699</v>
      </c>
      <c r="J117" s="63">
        <v>0.97264691822348337</v>
      </c>
      <c r="K117" s="63">
        <v>-4.2238469106518073E-3</v>
      </c>
      <c r="L117" s="65">
        <v>0.92365561927245998</v>
      </c>
      <c r="M117" s="62">
        <v>-1.8462053662600564E-2</v>
      </c>
      <c r="N117" s="66">
        <v>-0.29895994052911146</v>
      </c>
      <c r="O117" s="65">
        <v>45.792894029999999</v>
      </c>
      <c r="P117" s="65">
        <v>262.12305091000002</v>
      </c>
      <c r="Q117" s="67">
        <v>4.2931579355018403</v>
      </c>
      <c r="R117" s="62" t="s">
        <v>186</v>
      </c>
      <c r="S117" s="67">
        <v>0.16998420765538599</v>
      </c>
      <c r="T117" s="67" t="s">
        <v>186</v>
      </c>
      <c r="U117" s="67">
        <v>60.357142857142897</v>
      </c>
      <c r="V117" s="67">
        <v>0.49395688120620201</v>
      </c>
      <c r="W117" s="67">
        <v>0.720819058189202</v>
      </c>
      <c r="X117" s="68" t="s">
        <v>70</v>
      </c>
    </row>
    <row r="118" spans="1:24" x14ac:dyDescent="0.25">
      <c r="A118" t="s">
        <v>16</v>
      </c>
      <c r="B118" s="60">
        <v>43</v>
      </c>
      <c r="C118" s="61">
        <v>71.5</v>
      </c>
      <c r="D118" s="61">
        <v>30</v>
      </c>
      <c r="E118" s="62">
        <v>0</v>
      </c>
      <c r="F118" s="62">
        <v>0.10256410256410264</v>
      </c>
      <c r="G118" s="62">
        <v>-0.13131313131313127</v>
      </c>
      <c r="H118" s="63">
        <v>0.49579271030827599</v>
      </c>
      <c r="I118" s="63">
        <v>0.47334478513630401</v>
      </c>
      <c r="J118" s="63">
        <v>4.020081697079104</v>
      </c>
      <c r="K118" s="63">
        <v>9.2901256497377682E-2</v>
      </c>
      <c r="L118" s="65">
        <v>0.30383624591057401</v>
      </c>
      <c r="M118" s="62">
        <v>0.11081960615341047</v>
      </c>
      <c r="N118" s="66">
        <v>-0.49967965603180042</v>
      </c>
      <c r="O118" s="65">
        <v>4.5913681720000001</v>
      </c>
      <c r="P118" s="65">
        <v>3.1143076619999999</v>
      </c>
      <c r="Q118" s="67">
        <v>1.96626660650847</v>
      </c>
      <c r="R118" s="62" t="s">
        <v>186</v>
      </c>
      <c r="S118" s="67">
        <v>0.146665208087294</v>
      </c>
      <c r="T118" s="67" t="s">
        <v>186</v>
      </c>
      <c r="U118" s="67">
        <v>27.044025157232699</v>
      </c>
      <c r="V118" s="67">
        <v>0.55086735409691501</v>
      </c>
      <c r="W118" s="67">
        <v>6.4954617740826803</v>
      </c>
      <c r="X118" s="68" t="s">
        <v>16</v>
      </c>
    </row>
    <row r="119" spans="1:24" x14ac:dyDescent="0.25">
      <c r="A119" s="111" t="s">
        <v>109</v>
      </c>
      <c r="B119" s="112"/>
      <c r="C119" s="112"/>
      <c r="D119" s="112"/>
      <c r="E119" s="113">
        <v>3.0746793567306696E-3</v>
      </c>
      <c r="F119" s="113">
        <v>2.4624287033889303E-2</v>
      </c>
      <c r="G119" s="113">
        <v>8.1488299513924181E-2</v>
      </c>
      <c r="H119" s="114">
        <v>0.40162882493726226</v>
      </c>
      <c r="I119" s="114">
        <v>0.42541508136065898</v>
      </c>
      <c r="J119" s="114">
        <v>1.2491687959804856</v>
      </c>
      <c r="K119" s="114">
        <v>2.1930102876086682E-2</v>
      </c>
      <c r="L119" s="115">
        <v>0.48076946130821796</v>
      </c>
      <c r="M119" s="114">
        <v>3.2879790623197125E-2</v>
      </c>
      <c r="N119" s="113">
        <v>-0.28687822520474499</v>
      </c>
      <c r="O119" s="115">
        <v>517.59715199062498</v>
      </c>
      <c r="P119" s="115">
        <v>133.36247810050801</v>
      </c>
      <c r="Q119" s="116">
        <v>3.8004006988179224</v>
      </c>
      <c r="R119" s="113">
        <v>3.5987138175376146E-2</v>
      </c>
      <c r="S119" s="116">
        <v>0.42008344236876471</v>
      </c>
      <c r="T119" s="116">
        <v>36.826312536162547</v>
      </c>
      <c r="U119" s="116">
        <v>31.868492231163739</v>
      </c>
      <c r="V119" s="117">
        <v>1.1045621300465918</v>
      </c>
      <c r="W119" s="116">
        <v>3.0921533553811882</v>
      </c>
      <c r="X119" s="118" t="s">
        <v>110</v>
      </c>
    </row>
    <row r="120" spans="1:24" x14ac:dyDescent="0.25">
      <c r="A120" s="119" t="s">
        <v>128</v>
      </c>
      <c r="B120" s="120">
        <v>41451.31</v>
      </c>
      <c r="C120" s="60">
        <v>43292.62</v>
      </c>
      <c r="D120" s="60">
        <v>24618.09</v>
      </c>
      <c r="E120" s="62">
        <v>-8.0632694445761377E-3</v>
      </c>
      <c r="F120" s="62">
        <v>-8.2555035893078221E-3</v>
      </c>
      <c r="G120" s="62">
        <v>0.36836652471866915</v>
      </c>
      <c r="H120" s="63">
        <v>0.30964598365474699</v>
      </c>
      <c r="I120" s="63">
        <v>0.34876179475858898</v>
      </c>
      <c r="X120" s="121" t="s">
        <v>128</v>
      </c>
    </row>
    <row r="121" spans="1:24" x14ac:dyDescent="0.25">
      <c r="A121" s="119"/>
      <c r="B121" s="122"/>
      <c r="E121" s="82"/>
      <c r="F121" s="82"/>
      <c r="G121" s="82"/>
      <c r="H121" s="41"/>
      <c r="I121" s="41"/>
      <c r="X121" s="121"/>
    </row>
    <row r="122" spans="1:24" x14ac:dyDescent="0.25">
      <c r="A122" s="123" t="s">
        <v>129</v>
      </c>
    </row>
    <row r="124" spans="1:24" x14ac:dyDescent="0.25">
      <c r="A124" t="s">
        <v>130</v>
      </c>
    </row>
  </sheetData>
  <mergeCells count="39">
    <mergeCell ref="X90:X91"/>
    <mergeCell ref="K90:K91"/>
    <mergeCell ref="L90:L91"/>
    <mergeCell ref="M90:N90"/>
    <mergeCell ref="O90:Q90"/>
    <mergeCell ref="R90:R91"/>
    <mergeCell ref="S90:W90"/>
    <mergeCell ref="O44:Q44"/>
    <mergeCell ref="R44:R45"/>
    <mergeCell ref="S44:W44"/>
    <mergeCell ref="X44:X45"/>
    <mergeCell ref="A90:A91"/>
    <mergeCell ref="B90:B91"/>
    <mergeCell ref="C90:D90"/>
    <mergeCell ref="E90:G90"/>
    <mergeCell ref="H90:I90"/>
    <mergeCell ref="J90:J91"/>
    <mergeCell ref="X6:X7"/>
    <mergeCell ref="A44:A45"/>
    <mergeCell ref="B44:B45"/>
    <mergeCell ref="C44:D44"/>
    <mergeCell ref="E44:G44"/>
    <mergeCell ref="H44:I44"/>
    <mergeCell ref="J44:J45"/>
    <mergeCell ref="K44:K45"/>
    <mergeCell ref="L44:L45"/>
    <mergeCell ref="M44:N44"/>
    <mergeCell ref="K6:K7"/>
    <mergeCell ref="L6:L7"/>
    <mergeCell ref="M6:N6"/>
    <mergeCell ref="O6:Q6"/>
    <mergeCell ref="R6:R7"/>
    <mergeCell ref="S6:W6"/>
    <mergeCell ref="A6:A7"/>
    <mergeCell ref="B6:B7"/>
    <mergeCell ref="C6:D6"/>
    <mergeCell ref="E6:G6"/>
    <mergeCell ref="H6:I6"/>
    <mergeCell ref="J6:J7"/>
  </mergeCells>
  <printOptions horizontalCentered="1" verticalCentered="1"/>
  <pageMargins left="0" right="0" top="0" bottom="0" header="0" footer="0"/>
  <pageSetup paperSize="9" scale="70" orientation="landscape" r:id="rId1"/>
  <headerFooter>
    <oddHeader>&amp;LReporte de Ratios Argentina&amp;R&amp;G</oddHeader>
    <oddFooter>&amp;Cwww.invertironline.com&amp;R&amp;P</oddFooter>
  </headerFooter>
  <rowBreaks count="2" manualBreakCount="2">
    <brk id="42" max="23" man="1"/>
    <brk id="88" max="23"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564585"/>
  </sheetPr>
  <dimension ref="A1:W118"/>
  <sheetViews>
    <sheetView zoomScaleNormal="100" zoomScaleSheetLayoutView="100" workbookViewId="0">
      <selection sqref="A1:XFD1048576"/>
    </sheetView>
  </sheetViews>
  <sheetFormatPr baseColWidth="10" defaultRowHeight="15" x14ac:dyDescent="0.25"/>
  <cols>
    <col min="1" max="1" width="6.5703125" customWidth="1"/>
    <col min="2" max="2" width="4" customWidth="1"/>
    <col min="3" max="3" width="8.7109375" customWidth="1"/>
    <col min="4" max="4" width="9.28515625" customWidth="1"/>
    <col min="5" max="5" width="7.42578125" customWidth="1"/>
    <col min="6" max="6" width="10" bestFit="1" customWidth="1"/>
    <col min="7" max="7" width="6.140625" customWidth="1"/>
    <col min="8" max="8" width="6.7109375" customWidth="1"/>
    <col min="9" max="9" width="8.5703125" bestFit="1" customWidth="1"/>
    <col min="10" max="10" width="6.85546875" customWidth="1"/>
    <col min="11" max="11" width="7.42578125" customWidth="1"/>
    <col min="12" max="12" width="8.7109375" bestFit="1" customWidth="1"/>
    <col min="13" max="13" width="6.7109375" bestFit="1" customWidth="1"/>
    <col min="14" max="14" width="8.7109375" customWidth="1"/>
    <col min="15" max="15" width="8.140625" customWidth="1"/>
    <col min="16" max="16" width="7.7109375" customWidth="1"/>
    <col min="17" max="17" width="7.42578125" customWidth="1"/>
    <col min="18" max="19" width="8.28515625" customWidth="1"/>
    <col min="20" max="20" width="9.7109375" customWidth="1"/>
    <col min="21" max="21" width="8.42578125" customWidth="1"/>
    <col min="22" max="22" width="7" customWidth="1"/>
    <col min="23" max="23" width="7.85546875" customWidth="1"/>
  </cols>
  <sheetData>
    <row r="1" spans="1:23" ht="26.25" x14ac:dyDescent="0.4">
      <c r="A1" s="124" t="s">
        <v>131</v>
      </c>
    </row>
    <row r="2" spans="1:23" ht="26.25" customHeight="1" x14ac:dyDescent="0.25"/>
    <row r="3" spans="1:23" ht="18" customHeight="1" x14ac:dyDescent="0.25">
      <c r="A3" s="125" t="s">
        <v>4</v>
      </c>
      <c r="B3" s="126" t="s">
        <v>132</v>
      </c>
      <c r="C3" s="127" t="s">
        <v>133</v>
      </c>
      <c r="D3" s="128" t="s">
        <v>134</v>
      </c>
      <c r="E3" s="129"/>
      <c r="F3" s="128" t="s">
        <v>135</v>
      </c>
      <c r="G3" s="129"/>
      <c r="H3" s="128" t="s">
        <v>136</v>
      </c>
      <c r="I3" s="129"/>
      <c r="J3" s="128" t="s">
        <v>137</v>
      </c>
      <c r="K3" s="129"/>
      <c r="L3" s="129"/>
      <c r="M3" s="129"/>
      <c r="N3" s="129"/>
      <c r="O3" s="129"/>
      <c r="P3" s="129"/>
      <c r="Q3" s="129"/>
      <c r="R3" s="129"/>
      <c r="S3" s="129"/>
      <c r="T3" s="129"/>
      <c r="U3" s="129"/>
      <c r="V3" s="130"/>
      <c r="W3" s="125" t="s">
        <v>4</v>
      </c>
    </row>
    <row r="4" spans="1:23" ht="27" customHeight="1" x14ac:dyDescent="0.25">
      <c r="A4" s="131"/>
      <c r="B4" s="132"/>
      <c r="C4" s="133"/>
      <c r="D4" s="134" t="s">
        <v>138</v>
      </c>
      <c r="E4" s="134" t="s">
        <v>139</v>
      </c>
      <c r="F4" s="134" t="s">
        <v>140</v>
      </c>
      <c r="G4" s="134" t="s">
        <v>141</v>
      </c>
      <c r="H4" s="134" t="s">
        <v>142</v>
      </c>
      <c r="I4" s="134" t="s">
        <v>143</v>
      </c>
      <c r="J4" s="134" t="s">
        <v>144</v>
      </c>
      <c r="K4" s="134" t="s">
        <v>145</v>
      </c>
      <c r="L4" s="134" t="s">
        <v>146</v>
      </c>
      <c r="M4" s="134" t="s">
        <v>147</v>
      </c>
      <c r="N4" s="134" t="s">
        <v>148</v>
      </c>
      <c r="O4" s="134" t="s">
        <v>149</v>
      </c>
      <c r="P4" s="134" t="s">
        <v>150</v>
      </c>
      <c r="Q4" s="135" t="s">
        <v>151</v>
      </c>
      <c r="R4" s="136" t="s">
        <v>152</v>
      </c>
      <c r="S4" s="135" t="s">
        <v>153</v>
      </c>
      <c r="T4" s="137" t="s">
        <v>154</v>
      </c>
      <c r="U4" s="136" t="s">
        <v>155</v>
      </c>
      <c r="V4" s="135" t="s">
        <v>156</v>
      </c>
      <c r="W4" s="131"/>
    </row>
    <row r="5" spans="1:23" x14ac:dyDescent="0.25">
      <c r="A5" s="58" t="s">
        <v>108</v>
      </c>
      <c r="B5" s="59"/>
      <c r="C5" s="59"/>
      <c r="D5" s="59"/>
      <c r="E5" s="59"/>
      <c r="F5" s="59"/>
      <c r="G5" s="59"/>
      <c r="H5" s="59"/>
      <c r="I5" s="59"/>
      <c r="J5" s="59"/>
      <c r="K5" s="59"/>
      <c r="L5" s="59"/>
      <c r="M5" s="59"/>
      <c r="N5" s="59"/>
      <c r="O5" s="59"/>
      <c r="P5" s="59"/>
      <c r="Q5" s="59"/>
      <c r="R5" s="59"/>
      <c r="S5" s="59"/>
      <c r="T5" s="59"/>
      <c r="U5" s="59"/>
      <c r="V5" s="59"/>
      <c r="W5" s="59"/>
    </row>
    <row r="6" spans="1:23" x14ac:dyDescent="0.25">
      <c r="A6" t="s">
        <v>48</v>
      </c>
      <c r="B6" s="138">
        <v>0.01</v>
      </c>
      <c r="C6" s="139">
        <v>43555</v>
      </c>
      <c r="D6" s="140">
        <v>79.285662974250002</v>
      </c>
      <c r="E6" s="140">
        <v>2.5162358949028465</v>
      </c>
      <c r="F6" s="140">
        <v>1.3350625</v>
      </c>
      <c r="G6" s="140">
        <v>0.67725250000000004</v>
      </c>
      <c r="H6" s="140">
        <v>2.5838906369485404</v>
      </c>
      <c r="I6" s="140">
        <v>11.553691729987563</v>
      </c>
      <c r="J6" s="140">
        <v>29.215047500000001</v>
      </c>
      <c r="K6" s="140">
        <v>0.51398113025000003</v>
      </c>
      <c r="L6" s="140">
        <v>-0.21712999999999999</v>
      </c>
      <c r="M6" s="140">
        <v>1.2173953639023771E-2</v>
      </c>
      <c r="N6" s="140">
        <v>0.21291953399999999</v>
      </c>
      <c r="O6" s="140">
        <v>7.4838948000000002E-2</v>
      </c>
      <c r="P6" s="140">
        <v>-3.4189999999999998E-2</v>
      </c>
      <c r="Q6" s="141">
        <v>-1.0949453567921401</v>
      </c>
      <c r="R6" s="142">
        <v>229.77860000000001</v>
      </c>
      <c r="S6" s="141">
        <v>-1.9071016286572995</v>
      </c>
      <c r="T6" s="143">
        <v>1.0003421170299718</v>
      </c>
      <c r="U6" s="81">
        <v>22.384090181666668</v>
      </c>
      <c r="V6" s="141">
        <v>0.30361532583605966</v>
      </c>
      <c r="W6" s="68" t="s">
        <v>48</v>
      </c>
    </row>
    <row r="7" spans="1:23" x14ac:dyDescent="0.25">
      <c r="A7" t="s">
        <v>13</v>
      </c>
      <c r="B7">
        <v>1</v>
      </c>
      <c r="C7" s="139">
        <v>43555</v>
      </c>
      <c r="D7" s="140">
        <v>5.9681427134999998</v>
      </c>
      <c r="E7" s="140">
        <v>4.7636722018578288</v>
      </c>
      <c r="F7" s="140">
        <v>0.98109999999999997</v>
      </c>
      <c r="G7" s="140">
        <v>0.60380750000000005</v>
      </c>
      <c r="H7" s="140">
        <v>4.5431065884429209</v>
      </c>
      <c r="I7" s="140">
        <v>15.140448750084362</v>
      </c>
      <c r="J7" s="140">
        <v>4.1778300000000002</v>
      </c>
      <c r="K7" s="140">
        <v>2.18827863425</v>
      </c>
      <c r="L7" s="140">
        <v>2.0714375</v>
      </c>
      <c r="M7" s="140">
        <v>1.4497183687856442E-2</v>
      </c>
      <c r="N7" s="140">
        <v>49.189290847999999</v>
      </c>
      <c r="O7" s="140">
        <v>10.423500662</v>
      </c>
      <c r="P7" s="140">
        <v>31.733170000000001</v>
      </c>
      <c r="Q7" s="141">
        <v>9.591632595335442</v>
      </c>
      <c r="R7" s="142">
        <v>719.39239999999995</v>
      </c>
      <c r="S7" s="141" t="s">
        <v>186</v>
      </c>
      <c r="T7" s="143">
        <v>1.8928849216550324E-2</v>
      </c>
      <c r="U7" s="81">
        <v>49.608756666666665</v>
      </c>
      <c r="V7" s="141" t="s">
        <v>186</v>
      </c>
      <c r="W7" s="68" t="s">
        <v>13</v>
      </c>
    </row>
    <row r="8" spans="1:23" x14ac:dyDescent="0.25">
      <c r="A8" t="s">
        <v>46</v>
      </c>
      <c r="B8">
        <v>1</v>
      </c>
      <c r="C8" s="139">
        <v>43555</v>
      </c>
      <c r="D8" s="140">
        <v>410.82252170250001</v>
      </c>
      <c r="E8" s="140">
        <v>4.1534994028907608</v>
      </c>
      <c r="F8" s="140">
        <v>1.38981</v>
      </c>
      <c r="G8" s="140">
        <v>0.65750249999999999</v>
      </c>
      <c r="H8" s="140">
        <v>1.495939967418108</v>
      </c>
      <c r="I8" s="140">
        <v>3.6576848829279749</v>
      </c>
      <c r="J8" s="140">
        <v>29.8400325</v>
      </c>
      <c r="K8" s="140">
        <v>3.081726862</v>
      </c>
      <c r="L8" s="140">
        <v>-7.1304400000000001</v>
      </c>
      <c r="M8" s="140">
        <v>-5.3222650376898793E-2</v>
      </c>
      <c r="N8" s="140">
        <v>-22.034699642</v>
      </c>
      <c r="O8" s="140">
        <v>-6.7662722960000004</v>
      </c>
      <c r="P8" s="140">
        <v>-5.22715</v>
      </c>
      <c r="Q8" s="141">
        <v>0.80607968762889426</v>
      </c>
      <c r="R8" s="142">
        <v>-286.86200000000002</v>
      </c>
      <c r="S8" s="141">
        <v>0.55078982167890977</v>
      </c>
      <c r="T8" s="143">
        <v>2.6721407781336612</v>
      </c>
      <c r="U8" s="81">
        <v>20.464246666666668</v>
      </c>
      <c r="V8" s="141">
        <v>9.0529693899208397E-3</v>
      </c>
      <c r="W8" s="68" t="s">
        <v>46</v>
      </c>
    </row>
    <row r="9" spans="1:23" x14ac:dyDescent="0.25">
      <c r="A9" t="s">
        <v>74</v>
      </c>
      <c r="B9">
        <v>1</v>
      </c>
      <c r="C9" s="139">
        <v>43555</v>
      </c>
      <c r="D9" s="144">
        <v>2.3830275575000002</v>
      </c>
      <c r="E9" s="144">
        <v>1.8629875778467468</v>
      </c>
      <c r="F9" s="140">
        <v>2.3866624999999999</v>
      </c>
      <c r="G9" s="140">
        <v>1.39191</v>
      </c>
      <c r="H9" s="140">
        <v>1.1284311494203536</v>
      </c>
      <c r="I9" s="140">
        <v>2.4962003314658792</v>
      </c>
      <c r="J9" s="140">
        <v>40.117834999999999</v>
      </c>
      <c r="K9" s="140">
        <v>14.4808474635</v>
      </c>
      <c r="L9" s="140">
        <v>11.624107499999999</v>
      </c>
      <c r="M9" s="140">
        <v>6.8845156594393012E-2</v>
      </c>
      <c r="N9" s="140">
        <v>13.197968595000001</v>
      </c>
      <c r="O9" s="140">
        <v>7.8988977010000001</v>
      </c>
      <c r="P9" s="140">
        <v>7.9399999999999998E-2</v>
      </c>
      <c r="Q9" s="141">
        <v>1.3036260797287027</v>
      </c>
      <c r="R9" s="142">
        <v>171.75867600000001</v>
      </c>
      <c r="S9" s="141">
        <v>0.26301904745359317</v>
      </c>
      <c r="T9" s="143">
        <v>0.45155522936559345</v>
      </c>
      <c r="U9" s="81">
        <v>3.0753935433333335</v>
      </c>
      <c r="V9" s="141">
        <v>0.39683404106222309</v>
      </c>
      <c r="W9" s="68" t="s">
        <v>74</v>
      </c>
    </row>
    <row r="10" spans="1:23" x14ac:dyDescent="0.25">
      <c r="A10" t="s">
        <v>23</v>
      </c>
      <c r="B10">
        <v>1</v>
      </c>
      <c r="C10" s="139">
        <v>43555</v>
      </c>
      <c r="D10" s="144">
        <v>204.83434498874999</v>
      </c>
      <c r="E10" s="144">
        <v>2.8893643912688329</v>
      </c>
      <c r="F10" s="140">
        <v>0.99620500000000001</v>
      </c>
      <c r="G10" s="140">
        <v>0.44111</v>
      </c>
      <c r="H10" s="140">
        <v>0.49966498428883804</v>
      </c>
      <c r="I10" s="140">
        <v>3.2351923212304703</v>
      </c>
      <c r="J10" s="140">
        <v>20.36206</v>
      </c>
      <c r="K10" s="140">
        <v>-15.91164949475</v>
      </c>
      <c r="L10" s="140">
        <v>-34.104525000000002</v>
      </c>
      <c r="M10" s="140">
        <v>-0.13767894949714488</v>
      </c>
      <c r="N10" s="140">
        <v>-11.282304886</v>
      </c>
      <c r="O10" s="140">
        <v>-4.6601881240000003</v>
      </c>
      <c r="P10" s="140">
        <v>-0.61521999999999999</v>
      </c>
      <c r="Q10" s="141">
        <v>-0.5985554980355674</v>
      </c>
      <c r="R10" s="142">
        <v>59.711737999999997</v>
      </c>
      <c r="S10" s="141">
        <v>-2.637442132188244</v>
      </c>
      <c r="T10" s="143">
        <v>2.7048866080312561</v>
      </c>
      <c r="U10" s="81">
        <v>4.1971204633333334</v>
      </c>
      <c r="V10" s="141">
        <v>0.52590411938680393</v>
      </c>
      <c r="W10" s="68" t="s">
        <v>23</v>
      </c>
    </row>
    <row r="11" spans="1:23" x14ac:dyDescent="0.25">
      <c r="A11" t="s">
        <v>30</v>
      </c>
      <c r="B11">
        <v>1</v>
      </c>
      <c r="C11" s="139">
        <v>43524</v>
      </c>
      <c r="D11" s="144">
        <v>1241.1444207909999</v>
      </c>
      <c r="E11" s="144">
        <v>4.9448739807404758</v>
      </c>
      <c r="F11" s="140">
        <v>1.1781075000000001</v>
      </c>
      <c r="G11" s="140">
        <v>0.5305725</v>
      </c>
      <c r="H11" s="140">
        <v>0.96129900804640389</v>
      </c>
      <c r="I11" s="140">
        <v>1.7602833732603944</v>
      </c>
      <c r="J11" s="140">
        <v>37.994497500000001</v>
      </c>
      <c r="K11" s="140">
        <v>5.2962500027499999</v>
      </c>
      <c r="L11" s="140">
        <v>-28.443042500000001</v>
      </c>
      <c r="M11" s="140">
        <v>-0.13900897079246957</v>
      </c>
      <c r="N11" s="140">
        <v>-66.328697082000005</v>
      </c>
      <c r="O11" s="140">
        <v>-14.857716084</v>
      </c>
      <c r="P11" s="140">
        <v>-4.44292</v>
      </c>
      <c r="Q11" s="141">
        <v>-1.8750589972286429</v>
      </c>
      <c r="R11" s="142">
        <v>-250.2876</v>
      </c>
      <c r="S11" s="141">
        <v>-2.5072780142094508</v>
      </c>
      <c r="T11" s="143">
        <v>2.53166752234445</v>
      </c>
      <c r="U11" s="81">
        <v>7.1813058333333331</v>
      </c>
      <c r="V11" s="141">
        <v>0.20595291866012699</v>
      </c>
      <c r="W11" s="68" t="s">
        <v>30</v>
      </c>
    </row>
    <row r="12" spans="1:23" x14ac:dyDescent="0.25">
      <c r="A12" t="s">
        <v>79</v>
      </c>
      <c r="B12">
        <v>1</v>
      </c>
      <c r="C12" s="139">
        <v>43555</v>
      </c>
      <c r="D12" s="144">
        <v>23.310371379749999</v>
      </c>
      <c r="E12" s="144">
        <v>1.62792291820177</v>
      </c>
      <c r="F12" s="140">
        <v>1.4690325</v>
      </c>
      <c r="G12" s="140">
        <v>0.53371000000000002</v>
      </c>
      <c r="H12" s="140">
        <v>0.34211363006223777</v>
      </c>
      <c r="I12" s="140">
        <v>-7.8090613286378323</v>
      </c>
      <c r="J12" s="140">
        <v>26.564382500000001</v>
      </c>
      <c r="K12" s="140">
        <v>17.04316170285</v>
      </c>
      <c r="L12" s="140">
        <v>-4.9764699999999999</v>
      </c>
      <c r="M12" s="140">
        <v>-0.14463835926915417</v>
      </c>
      <c r="N12" s="140">
        <v>-3.0261613220000001</v>
      </c>
      <c r="O12" s="140">
        <v>-1.744848416</v>
      </c>
      <c r="P12" s="140">
        <v>-0.33227000000000001</v>
      </c>
      <c r="Q12" s="141">
        <v>0.79600171703900524</v>
      </c>
      <c r="R12" s="142">
        <v>12.411466000000001</v>
      </c>
      <c r="S12" s="141">
        <v>-1.9511103245354455</v>
      </c>
      <c r="T12" s="143">
        <v>3.5807959351722691</v>
      </c>
      <c r="U12" s="81">
        <v>1.5112434349999999</v>
      </c>
      <c r="V12" s="141">
        <v>0.4181750733384384</v>
      </c>
      <c r="W12" s="68" t="s">
        <v>79</v>
      </c>
    </row>
    <row r="13" spans="1:23" x14ac:dyDescent="0.25">
      <c r="A13" t="s">
        <v>55</v>
      </c>
      <c r="B13">
        <v>1</v>
      </c>
      <c r="C13" s="139">
        <v>43555</v>
      </c>
      <c r="D13" s="144">
        <v>121.9577418285</v>
      </c>
      <c r="E13" s="144">
        <v>2.9000056149708473</v>
      </c>
      <c r="F13" s="140">
        <v>0.91044000000000003</v>
      </c>
      <c r="G13" s="140">
        <v>0.64924249999999994</v>
      </c>
      <c r="H13" s="140">
        <v>1.9097402743644287</v>
      </c>
      <c r="I13" s="140">
        <v>12.765577908530581</v>
      </c>
      <c r="J13" s="140">
        <v>11.787072500000001</v>
      </c>
      <c r="K13" s="140">
        <v>3.79754125975</v>
      </c>
      <c r="L13" s="140">
        <v>-2.921065</v>
      </c>
      <c r="M13" s="140">
        <v>4.0911390605372876E-3</v>
      </c>
      <c r="N13" s="140">
        <v>-16.868247935999999</v>
      </c>
      <c r="O13" s="140">
        <v>-5.3157482180000004</v>
      </c>
      <c r="P13" s="140">
        <v>-0.44142999999999999</v>
      </c>
      <c r="Q13" s="141" t="s">
        <v>186</v>
      </c>
      <c r="R13" s="142">
        <v>-359.60160000000002</v>
      </c>
      <c r="S13" s="141">
        <v>0.3950317892293127</v>
      </c>
      <c r="T13" s="143">
        <v>2.2174539454664135</v>
      </c>
      <c r="U13" s="81">
        <v>5.3592595000000003</v>
      </c>
      <c r="V13" s="141">
        <v>0.5662950641667901</v>
      </c>
      <c r="W13" s="68" t="s">
        <v>55</v>
      </c>
    </row>
    <row r="14" spans="1:23" x14ac:dyDescent="0.25">
      <c r="A14" t="s">
        <v>44</v>
      </c>
      <c r="B14">
        <v>1</v>
      </c>
      <c r="C14" s="139">
        <v>43555</v>
      </c>
      <c r="D14" s="144">
        <v>14.838686914249999</v>
      </c>
      <c r="E14" s="144">
        <v>1.5276658880133551</v>
      </c>
      <c r="F14" s="140">
        <v>2.05152</v>
      </c>
      <c r="G14" s="140">
        <v>1.31572</v>
      </c>
      <c r="H14" s="140">
        <v>1.3022510817370936</v>
      </c>
      <c r="I14" s="140">
        <v>2.7933172928507126</v>
      </c>
      <c r="J14" s="140">
        <v>42.617260000000002</v>
      </c>
      <c r="K14" s="140">
        <v>11.174162674</v>
      </c>
      <c r="L14" s="140">
        <v>5.1143524999999999</v>
      </c>
      <c r="M14" s="140">
        <v>8.4219730387124048E-2</v>
      </c>
      <c r="N14" s="140">
        <v>11.616159007</v>
      </c>
      <c r="O14" s="140">
        <v>8.2260613419999995</v>
      </c>
      <c r="P14" s="140">
        <v>0.56962000000000002</v>
      </c>
      <c r="Q14" s="141">
        <v>-0.473040521069236</v>
      </c>
      <c r="R14" s="142">
        <v>56.286644000000003</v>
      </c>
      <c r="S14" s="141">
        <v>0.44787117449142411</v>
      </c>
      <c r="T14" s="143">
        <v>0.30616022121034892</v>
      </c>
      <c r="U14" s="81">
        <v>0.59871150666666662</v>
      </c>
      <c r="V14" s="141">
        <v>0.35840299134133602</v>
      </c>
      <c r="W14" s="68" t="s">
        <v>44</v>
      </c>
    </row>
    <row r="15" spans="1:23" x14ac:dyDescent="0.25">
      <c r="A15" t="s">
        <v>75</v>
      </c>
      <c r="B15">
        <v>0.1</v>
      </c>
      <c r="C15" s="139">
        <v>43524</v>
      </c>
      <c r="D15" s="144">
        <v>76.737340102999994</v>
      </c>
      <c r="E15" s="144">
        <v>2.3171173830318401</v>
      </c>
      <c r="F15" s="140">
        <v>1.4092325000000001</v>
      </c>
      <c r="G15" s="140">
        <v>0.90203999999999995</v>
      </c>
      <c r="H15" s="140">
        <v>2.2034633799658248</v>
      </c>
      <c r="I15" s="140">
        <v>1.7852691181771725</v>
      </c>
      <c r="J15" s="140">
        <v>16.199034999999999</v>
      </c>
      <c r="K15" s="140">
        <v>9.0177290209999992</v>
      </c>
      <c r="L15" s="140">
        <v>4.399705</v>
      </c>
      <c r="M15" s="140">
        <v>4.8291666044405344E-2</v>
      </c>
      <c r="N15" s="140">
        <v>11.831639731999999</v>
      </c>
      <c r="O15" s="140">
        <v>5.5346739749999996</v>
      </c>
      <c r="P15" s="140">
        <v>0.24374000000000001</v>
      </c>
      <c r="Q15" s="141">
        <v>-2.2960639695645169</v>
      </c>
      <c r="R15" s="142">
        <v>14.167362000000001</v>
      </c>
      <c r="S15" s="141">
        <v>-2.5407725988721346</v>
      </c>
      <c r="T15" s="143">
        <v>2.6005702896605007</v>
      </c>
      <c r="U15" s="81">
        <v>0.48205109166666671</v>
      </c>
      <c r="V15" s="141">
        <v>0.30959624569086963</v>
      </c>
      <c r="W15" s="68" t="s">
        <v>75</v>
      </c>
    </row>
    <row r="16" spans="1:23" x14ac:dyDescent="0.25">
      <c r="A16" t="s">
        <v>52</v>
      </c>
      <c r="B16">
        <v>1</v>
      </c>
      <c r="C16" s="139">
        <v>43524</v>
      </c>
      <c r="D16" s="144">
        <v>69.16706186175</v>
      </c>
      <c r="E16" s="144">
        <v>3.1211377818306665</v>
      </c>
      <c r="F16" s="140">
        <v>1.5840475000000001</v>
      </c>
      <c r="G16" s="140">
        <v>1.0488900000000001</v>
      </c>
      <c r="H16" s="140">
        <v>1.4615538211641736</v>
      </c>
      <c r="I16" s="140">
        <v>8.8478084420648209</v>
      </c>
      <c r="J16" s="140">
        <v>17.070462500000001</v>
      </c>
      <c r="K16" s="140">
        <v>5.5689108112500003</v>
      </c>
      <c r="L16" s="140">
        <v>-13.334792500000001</v>
      </c>
      <c r="M16" s="140">
        <v>-0.12681479418045313</v>
      </c>
      <c r="N16" s="140">
        <v>-55.692762264999999</v>
      </c>
      <c r="O16" s="140">
        <v>-15.613650069</v>
      </c>
      <c r="P16" s="140">
        <v>-1.12391</v>
      </c>
      <c r="Q16" s="141">
        <v>1.535986168585022</v>
      </c>
      <c r="R16" s="142">
        <v>-43.019176000000002</v>
      </c>
      <c r="S16" s="141">
        <v>0.26305906271285751</v>
      </c>
      <c r="T16" s="143">
        <v>0.38666619061649948</v>
      </c>
      <c r="U16" s="81">
        <v>0.19359271333333333</v>
      </c>
      <c r="V16" s="141">
        <v>0.2106880138194851</v>
      </c>
      <c r="W16" s="68" t="s">
        <v>52</v>
      </c>
    </row>
    <row r="17" spans="1:23" x14ac:dyDescent="0.25">
      <c r="A17" s="70" t="s">
        <v>109</v>
      </c>
      <c r="B17" s="71"/>
      <c r="C17" s="145"/>
      <c r="D17" s="146">
        <v>204.58630207406816</v>
      </c>
      <c r="E17" s="146">
        <v>2.9658620941414515</v>
      </c>
      <c r="F17" s="147">
        <v>1.4264745454545453</v>
      </c>
      <c r="G17" s="147">
        <v>0.79561431818181816</v>
      </c>
      <c r="H17" s="147">
        <v>1.6755867747144477</v>
      </c>
      <c r="I17" s="147">
        <v>5.1114920747220083</v>
      </c>
      <c r="J17" s="147">
        <v>25.085955909090909</v>
      </c>
      <c r="K17" s="147">
        <v>5.1137218242590912</v>
      </c>
      <c r="L17" s="147">
        <v>-6.1743511363636374</v>
      </c>
      <c r="M17" s="147">
        <v>-3.356771770025279E-2</v>
      </c>
      <c r="N17" s="147">
        <v>-8.1077177651818193</v>
      </c>
      <c r="O17" s="147">
        <v>-1.5273136889999999</v>
      </c>
      <c r="P17" s="147">
        <v>1.8553490909090911</v>
      </c>
      <c r="Q17" s="148">
        <v>0.76956619056269626</v>
      </c>
      <c r="R17" s="149">
        <v>29.430591818181821</v>
      </c>
      <c r="S17" s="148">
        <v>-0.96239338028964794</v>
      </c>
      <c r="T17" s="150">
        <v>1.6791970623861374</v>
      </c>
      <c r="U17" s="151">
        <v>10.459615600151512</v>
      </c>
      <c r="V17" s="148">
        <v>0.33045167626920541</v>
      </c>
      <c r="W17" s="79" t="s">
        <v>110</v>
      </c>
    </row>
    <row r="18" spans="1:23" x14ac:dyDescent="0.25">
      <c r="C18" s="68"/>
      <c r="D18" s="144"/>
      <c r="E18" s="144"/>
      <c r="F18" s="140"/>
      <c r="G18" s="140"/>
      <c r="H18" s="140"/>
      <c r="I18" s="140"/>
      <c r="J18" s="140"/>
      <c r="K18" s="140"/>
      <c r="L18" s="140"/>
      <c r="M18" s="140"/>
      <c r="N18" s="140"/>
      <c r="O18" s="140"/>
      <c r="P18" s="140"/>
      <c r="Q18" s="141"/>
      <c r="R18" s="142"/>
      <c r="S18" s="141"/>
      <c r="T18" s="143"/>
      <c r="U18" s="81"/>
      <c r="V18" s="141"/>
      <c r="W18" s="68"/>
    </row>
    <row r="19" spans="1:23" x14ac:dyDescent="0.25">
      <c r="A19" s="58" t="s">
        <v>111</v>
      </c>
      <c r="B19" s="83"/>
      <c r="C19" s="89"/>
      <c r="D19" s="152"/>
      <c r="E19" s="152"/>
      <c r="F19" s="153"/>
      <c r="G19" s="153"/>
      <c r="H19" s="153"/>
      <c r="I19" s="153"/>
      <c r="J19" s="153"/>
      <c r="K19" s="153"/>
      <c r="L19" s="153"/>
      <c r="M19" s="153"/>
      <c r="N19" s="153"/>
      <c r="O19" s="153"/>
      <c r="P19" s="153"/>
      <c r="Q19" s="154"/>
      <c r="R19" s="155"/>
      <c r="S19" s="154"/>
      <c r="T19" s="156"/>
      <c r="U19" s="87"/>
      <c r="V19" s="154"/>
      <c r="W19" s="89"/>
    </row>
    <row r="20" spans="1:23" x14ac:dyDescent="0.25">
      <c r="A20" t="s">
        <v>42</v>
      </c>
      <c r="B20">
        <v>1</v>
      </c>
      <c r="C20" s="139">
        <v>43465</v>
      </c>
      <c r="D20" s="140">
        <v>9.0449605152500006</v>
      </c>
      <c r="E20" s="140">
        <v>5.3201040802204531</v>
      </c>
      <c r="F20" s="140">
        <v>1.08145</v>
      </c>
      <c r="G20" s="140">
        <v>0.4912475</v>
      </c>
      <c r="H20" s="140">
        <v>2.2180538525775639</v>
      </c>
      <c r="I20" s="140">
        <v>7.7379527712457135</v>
      </c>
      <c r="J20" s="140">
        <v>23.532642500000001</v>
      </c>
      <c r="K20" s="140">
        <v>21.148881287824999</v>
      </c>
      <c r="L20" s="140">
        <v>-1.4385399999999999</v>
      </c>
      <c r="M20" s="140">
        <v>-1.0468678455480621E-2</v>
      </c>
      <c r="N20" s="140">
        <v>-1.7384413009999999</v>
      </c>
      <c r="O20" s="140">
        <v>-0.47219106900000002</v>
      </c>
      <c r="P20" s="140">
        <v>-0.44420999999999999</v>
      </c>
      <c r="Q20" s="141">
        <v>1.6902887040360375</v>
      </c>
      <c r="R20" s="142">
        <v>162.64400000000001</v>
      </c>
      <c r="S20" s="141">
        <v>-1.8100957134953717</v>
      </c>
      <c r="T20" s="143">
        <v>1.5133250136209362</v>
      </c>
      <c r="U20" s="81">
        <v>16.664709999999999</v>
      </c>
      <c r="V20" s="141">
        <v>0.47167486335461106</v>
      </c>
      <c r="W20" s="68" t="s">
        <v>42</v>
      </c>
    </row>
    <row r="21" spans="1:23" x14ac:dyDescent="0.25">
      <c r="A21" t="s">
        <v>63</v>
      </c>
      <c r="B21">
        <v>1</v>
      </c>
      <c r="C21" s="139">
        <v>43555</v>
      </c>
      <c r="D21" s="140">
        <v>34.283115686599999</v>
      </c>
      <c r="E21" s="140">
        <v>1.7793456721753629</v>
      </c>
      <c r="F21" s="140">
        <v>1.1575899999999999</v>
      </c>
      <c r="G21" s="140">
        <v>0.7146825</v>
      </c>
      <c r="H21" s="140">
        <v>1.6004307862018152</v>
      </c>
      <c r="I21" s="140">
        <v>7.0814115203729813</v>
      </c>
      <c r="J21" s="140">
        <v>55.989887500000002</v>
      </c>
      <c r="K21" s="140">
        <v>13.172309417525</v>
      </c>
      <c r="L21" s="140">
        <v>4.4700249999999997</v>
      </c>
      <c r="M21" s="140">
        <v>4.9785528293282012E-2</v>
      </c>
      <c r="N21" s="140">
        <v>15.561606748100001</v>
      </c>
      <c r="O21" s="140">
        <v>9.4560803141999994</v>
      </c>
      <c r="P21" s="140">
        <v>2.8895599999999999</v>
      </c>
      <c r="Q21" s="141">
        <v>-0.20673046447884924</v>
      </c>
      <c r="R21" s="142">
        <v>82.334233999999995</v>
      </c>
      <c r="S21" s="141">
        <v>0.38205876973308439</v>
      </c>
      <c r="T21" s="143">
        <v>0.42911737542629297</v>
      </c>
      <c r="U21" s="81">
        <v>1.1981491683333332</v>
      </c>
      <c r="V21" s="141">
        <v>0.35175858503822899</v>
      </c>
      <c r="W21" s="68" t="s">
        <v>63</v>
      </c>
    </row>
    <row r="22" spans="1:23" x14ac:dyDescent="0.25">
      <c r="A22" t="s">
        <v>14</v>
      </c>
      <c r="B22">
        <v>1</v>
      </c>
      <c r="C22" s="139">
        <v>43555</v>
      </c>
      <c r="D22" s="140">
        <v>104.200501875</v>
      </c>
      <c r="E22" s="140">
        <v>3.3880253328891019</v>
      </c>
      <c r="F22" s="140">
        <v>1.370555</v>
      </c>
      <c r="G22" s="140">
        <v>0.73389249999999995</v>
      </c>
      <c r="H22" s="140">
        <v>2.0798525864640376</v>
      </c>
      <c r="I22" s="140">
        <v>6.7348676947357244</v>
      </c>
      <c r="J22" s="140">
        <v>41.905637499999997</v>
      </c>
      <c r="K22" s="140">
        <v>8.2587198097499996</v>
      </c>
      <c r="L22" s="140">
        <v>-7.4681649999999999</v>
      </c>
      <c r="M22" s="140">
        <v>-6.6974787568970906E-2</v>
      </c>
      <c r="N22" s="140">
        <v>-53.389688733</v>
      </c>
      <c r="O22" s="140">
        <v>-17.222170297000002</v>
      </c>
      <c r="P22" s="140">
        <v>-9.7593099999999993</v>
      </c>
      <c r="Q22" s="141">
        <v>0.59324044374796425</v>
      </c>
      <c r="R22" s="142">
        <v>-94.604479999999995</v>
      </c>
      <c r="S22" s="141">
        <v>-2.5541581891895047</v>
      </c>
      <c r="T22" s="143">
        <v>4.0974966345050889</v>
      </c>
      <c r="U22" s="81">
        <v>3.3946711033333337</v>
      </c>
      <c r="V22" s="141">
        <v>0.37622276916221553</v>
      </c>
      <c r="W22" s="68" t="s">
        <v>14</v>
      </c>
    </row>
    <row r="23" spans="1:23" x14ac:dyDescent="0.25">
      <c r="A23" t="s">
        <v>22</v>
      </c>
      <c r="B23">
        <v>0.1</v>
      </c>
      <c r="C23" s="139">
        <v>43555</v>
      </c>
      <c r="D23" s="144" t="s">
        <v>186</v>
      </c>
      <c r="E23" s="144">
        <v>-8.5855227661962701</v>
      </c>
      <c r="F23" s="140">
        <v>0.80273000000000005</v>
      </c>
      <c r="G23" s="140">
        <v>0.50172499999999998</v>
      </c>
      <c r="H23" s="140">
        <v>0.54367433554336786</v>
      </c>
      <c r="I23" s="140">
        <v>-7.4503392025755364</v>
      </c>
      <c r="J23" s="140">
        <v>10.255545</v>
      </c>
      <c r="K23" s="140">
        <v>-42.190503155000002</v>
      </c>
      <c r="L23" s="140">
        <v>-44.091014999999999</v>
      </c>
      <c r="M23" s="140">
        <v>-0.30452873456359719</v>
      </c>
      <c r="N23" s="140" t="s">
        <v>186</v>
      </c>
      <c r="O23" s="140">
        <v>-20.02093335</v>
      </c>
      <c r="P23" s="140">
        <v>-28.05931</v>
      </c>
      <c r="Q23" s="141" t="s">
        <v>186</v>
      </c>
      <c r="R23" s="142">
        <v>-502.18328600000001</v>
      </c>
      <c r="S23" s="141">
        <v>0.95478959753539594</v>
      </c>
      <c r="T23" s="143">
        <v>1.7085457278857219</v>
      </c>
      <c r="U23" s="81">
        <v>1.5905073033333332</v>
      </c>
      <c r="V23" s="141">
        <v>1.0059135484180266</v>
      </c>
      <c r="W23" s="68" t="s">
        <v>22</v>
      </c>
    </row>
    <row r="24" spans="1:23" x14ac:dyDescent="0.25">
      <c r="A24" t="s">
        <v>21</v>
      </c>
      <c r="B24">
        <v>1</v>
      </c>
      <c r="C24" s="139">
        <v>43555</v>
      </c>
      <c r="D24" s="144">
        <v>110.93404025504999</v>
      </c>
      <c r="E24" s="144">
        <v>2.8316545381008518</v>
      </c>
      <c r="F24" s="140">
        <v>1.7215800000000001</v>
      </c>
      <c r="G24" s="140">
        <v>0.89040750000000002</v>
      </c>
      <c r="H24" s="140">
        <v>1.4826517948140294</v>
      </c>
      <c r="I24" s="140">
        <v>-1.4041032207157311</v>
      </c>
      <c r="J24" s="140">
        <v>11.5909675</v>
      </c>
      <c r="K24" s="140">
        <v>-6.0181030298250002</v>
      </c>
      <c r="L24" s="140">
        <v>-8.7055474999999998</v>
      </c>
      <c r="M24" s="140">
        <v>-6.3170889786291262E-2</v>
      </c>
      <c r="N24" s="140">
        <v>-46.459955547</v>
      </c>
      <c r="O24" s="140">
        <v>-16.421589859600001</v>
      </c>
      <c r="P24" s="140">
        <v>-1.1870000000000001</v>
      </c>
      <c r="Q24" s="141">
        <v>0.78970364838295226</v>
      </c>
      <c r="R24" s="142">
        <v>-74.446889999999996</v>
      </c>
      <c r="S24" s="141">
        <v>-2.5329578578504961</v>
      </c>
      <c r="T24" s="143">
        <v>2.0043764332359251</v>
      </c>
      <c r="U24" s="81">
        <v>1.1247190466666668</v>
      </c>
      <c r="V24" s="141">
        <v>0.27356912330938377</v>
      </c>
      <c r="W24" s="68" t="s">
        <v>21</v>
      </c>
    </row>
    <row r="25" spans="1:23" x14ac:dyDescent="0.25">
      <c r="A25" t="s">
        <v>7</v>
      </c>
      <c r="B25">
        <v>1</v>
      </c>
      <c r="C25" s="139">
        <v>43465</v>
      </c>
      <c r="D25" s="144" t="s">
        <v>186</v>
      </c>
      <c r="E25" s="144">
        <v>-1.4154500995036725</v>
      </c>
      <c r="F25" s="140">
        <v>0.27470749999999999</v>
      </c>
      <c r="G25" s="140">
        <v>0.25330249999999999</v>
      </c>
      <c r="H25" s="140">
        <v>1.3335423615603821</v>
      </c>
      <c r="I25" s="140">
        <v>32.804584479074947</v>
      </c>
      <c r="J25" s="140">
        <v>22.78173</v>
      </c>
      <c r="K25" s="140">
        <v>-93.620789849999994</v>
      </c>
      <c r="L25" s="140">
        <v>-105.8327</v>
      </c>
      <c r="M25" s="140">
        <v>-1.0343928987225053</v>
      </c>
      <c r="N25" s="140" t="s">
        <v>186</v>
      </c>
      <c r="O25" s="157">
        <v>-102.099648221</v>
      </c>
      <c r="P25" s="140">
        <v>-1.95346</v>
      </c>
      <c r="Q25" s="141">
        <v>0.61435835060767141</v>
      </c>
      <c r="R25" s="142">
        <v>-114.973534</v>
      </c>
      <c r="S25" s="141">
        <v>-1.9816166542528046E-2</v>
      </c>
      <c r="T25" s="143">
        <v>0.32135626704043585</v>
      </c>
      <c r="U25" s="81">
        <v>0.77471846499999997</v>
      </c>
      <c r="V25" s="141">
        <v>-0.36175751038650894</v>
      </c>
      <c r="W25" s="68" t="s">
        <v>7</v>
      </c>
    </row>
    <row r="26" spans="1:23" x14ac:dyDescent="0.25">
      <c r="A26" s="39" t="s">
        <v>81</v>
      </c>
      <c r="B26">
        <v>1</v>
      </c>
      <c r="C26" s="139">
        <v>43496</v>
      </c>
      <c r="D26" s="144">
        <v>12.8451191665</v>
      </c>
      <c r="E26" s="144">
        <v>3.2965982624018433</v>
      </c>
      <c r="F26" s="140">
        <v>1.4394975000000001</v>
      </c>
      <c r="G26" s="140">
        <v>0.7971125</v>
      </c>
      <c r="H26" s="140">
        <v>1.429591677442317</v>
      </c>
      <c r="I26" s="140">
        <v>0.35882923689114055</v>
      </c>
      <c r="J26" s="140">
        <v>28.804667500000001</v>
      </c>
      <c r="K26" s="140">
        <v>9.1603920475000002</v>
      </c>
      <c r="L26" s="140">
        <v>-11.51099</v>
      </c>
      <c r="M26" s="140">
        <v>-0.10740556785653962</v>
      </c>
      <c r="N26" s="140">
        <v>-55.309390309000001</v>
      </c>
      <c r="O26" s="140">
        <v>-19.448324145000001</v>
      </c>
      <c r="P26" s="140">
        <v>-2.6211899999999999</v>
      </c>
      <c r="Q26" s="141">
        <v>-2.2048211063709799</v>
      </c>
      <c r="R26" s="142">
        <v>0.61984799999999995</v>
      </c>
      <c r="S26" s="141">
        <v>0.18001581458335214</v>
      </c>
      <c r="T26" s="143">
        <v>1.1589178902563066</v>
      </c>
      <c r="U26" s="81">
        <v>0.1996291</v>
      </c>
      <c r="V26" s="141">
        <v>0.3031840943013755</v>
      </c>
      <c r="W26" s="68" t="s">
        <v>81</v>
      </c>
    </row>
    <row r="27" spans="1:23" x14ac:dyDescent="0.25">
      <c r="A27" s="70" t="s">
        <v>109</v>
      </c>
      <c r="B27" s="71"/>
      <c r="C27" s="158"/>
      <c r="D27" s="146">
        <v>54.261547499679999</v>
      </c>
      <c r="E27" s="146">
        <v>0.944965002869667</v>
      </c>
      <c r="F27" s="147">
        <v>1.1211585714285714</v>
      </c>
      <c r="G27" s="147">
        <v>0.62605285714285708</v>
      </c>
      <c r="H27" s="147">
        <v>1.5268281992290735</v>
      </c>
      <c r="I27" s="147">
        <v>6.5518861827184622</v>
      </c>
      <c r="J27" s="147">
        <v>27.83729678571429</v>
      </c>
      <c r="K27" s="147">
        <v>-12.869870496032144</v>
      </c>
      <c r="L27" s="147">
        <v>-24.939561785714286</v>
      </c>
      <c r="M27" s="147">
        <v>-0.21959371838001468</v>
      </c>
      <c r="N27" s="147">
        <v>-28.267173828379999</v>
      </c>
      <c r="O27" s="147">
        <v>-23.746968089628574</v>
      </c>
      <c r="P27" s="147">
        <v>-5.8764171428571421</v>
      </c>
      <c r="Q27" s="148">
        <v>0.21267326265413278</v>
      </c>
      <c r="R27" s="149">
        <v>-77.23001542857142</v>
      </c>
      <c r="S27" s="148">
        <v>-0.77145196360372392</v>
      </c>
      <c r="T27" s="150">
        <v>1.6047336202815294</v>
      </c>
      <c r="U27" s="151">
        <v>3.5638720266666661</v>
      </c>
      <c r="V27" s="148">
        <v>0.34579506759961892</v>
      </c>
      <c r="W27" s="79" t="s">
        <v>110</v>
      </c>
    </row>
    <row r="28" spans="1:23" x14ac:dyDescent="0.25">
      <c r="C28" s="139"/>
      <c r="D28" s="144"/>
      <c r="E28" s="144"/>
      <c r="F28" s="140"/>
      <c r="G28" s="140"/>
      <c r="H28" s="140"/>
      <c r="I28" s="140"/>
      <c r="J28" s="140"/>
      <c r="K28" s="140"/>
      <c r="L28" s="140"/>
      <c r="M28" s="140"/>
      <c r="N28" s="140"/>
      <c r="O28" s="140"/>
      <c r="P28" s="140"/>
      <c r="Q28" s="141"/>
      <c r="R28" s="142"/>
      <c r="S28" s="141"/>
      <c r="T28" s="143"/>
      <c r="U28" s="81"/>
      <c r="V28" s="141"/>
      <c r="W28" s="68"/>
    </row>
    <row r="29" spans="1:23" x14ac:dyDescent="0.25">
      <c r="A29" s="58" t="s">
        <v>112</v>
      </c>
      <c r="B29" s="83"/>
      <c r="C29" s="159"/>
      <c r="D29" s="152"/>
      <c r="E29" s="152"/>
      <c r="F29" s="153"/>
      <c r="G29" s="153"/>
      <c r="H29" s="153"/>
      <c r="I29" s="153"/>
      <c r="J29" s="153"/>
      <c r="K29" s="153"/>
      <c r="L29" s="153"/>
      <c r="M29" s="153"/>
      <c r="N29" s="153"/>
      <c r="O29" s="153"/>
      <c r="P29" s="153"/>
      <c r="Q29" s="154"/>
      <c r="R29" s="155"/>
      <c r="S29" s="154"/>
      <c r="T29" s="156"/>
      <c r="U29" s="87"/>
      <c r="V29" s="154"/>
      <c r="W29" s="89"/>
    </row>
    <row r="30" spans="1:23" x14ac:dyDescent="0.25">
      <c r="A30" t="s">
        <v>33</v>
      </c>
      <c r="B30">
        <v>1</v>
      </c>
      <c r="C30" s="139">
        <v>43555</v>
      </c>
      <c r="D30" s="140">
        <v>127.722272179</v>
      </c>
      <c r="E30" s="140">
        <v>3.114301811746504</v>
      </c>
      <c r="F30" s="140">
        <v>1.48264</v>
      </c>
      <c r="G30" s="140">
        <v>1.1121475000000001</v>
      </c>
      <c r="H30" s="140">
        <v>3.8702043642925337</v>
      </c>
      <c r="I30" s="140">
        <v>8.6526352636284809</v>
      </c>
      <c r="J30" s="140">
        <v>34.933652500000001</v>
      </c>
      <c r="K30" s="140">
        <v>23.9755059385</v>
      </c>
      <c r="L30" s="140">
        <v>6.5004650000000002</v>
      </c>
      <c r="M30" s="140">
        <v>9.6802121913109176E-2</v>
      </c>
      <c r="N30" s="140">
        <v>8.2394856319999992</v>
      </c>
      <c r="O30" s="140">
        <v>2.685818051</v>
      </c>
      <c r="P30" s="140">
        <v>15.917834537703699</v>
      </c>
      <c r="Q30" s="141">
        <v>1.1819247028520894</v>
      </c>
      <c r="R30" s="142">
        <v>48002.53680996623</v>
      </c>
      <c r="S30" s="141">
        <v>0.30896045546024298</v>
      </c>
      <c r="T30" s="143">
        <v>45.25398229997905</v>
      </c>
      <c r="U30" s="81">
        <v>1556.2536453056848</v>
      </c>
      <c r="V30" s="141">
        <v>0.32156793629651204</v>
      </c>
      <c r="W30" s="68" t="s">
        <v>33</v>
      </c>
    </row>
    <row r="31" spans="1:23" x14ac:dyDescent="0.25">
      <c r="A31" t="s">
        <v>50</v>
      </c>
      <c r="B31">
        <v>1</v>
      </c>
      <c r="C31" s="139">
        <v>43555</v>
      </c>
      <c r="D31" s="140">
        <v>6.4453089600000002</v>
      </c>
      <c r="E31" s="140">
        <v>1.2416185023096593</v>
      </c>
      <c r="F31" s="140">
        <v>2.8861849999999998</v>
      </c>
      <c r="G31" s="140">
        <v>1.566765</v>
      </c>
      <c r="H31" s="140">
        <v>19.931932974682447</v>
      </c>
      <c r="I31" s="140">
        <v>-1.3229898824920907</v>
      </c>
      <c r="J31" s="140">
        <v>31.557847500000001</v>
      </c>
      <c r="K31" s="140">
        <v>12.0942179865</v>
      </c>
      <c r="L31" s="140">
        <v>11.529909999999999</v>
      </c>
      <c r="M31" s="140">
        <v>0.1609780155431523</v>
      </c>
      <c r="N31" s="140">
        <v>7.4420625610000002</v>
      </c>
      <c r="O31" s="140">
        <v>5.9528475680000001</v>
      </c>
      <c r="P31" s="140">
        <v>28.853038040000001</v>
      </c>
      <c r="Q31" s="141">
        <v>0.23739394604306208</v>
      </c>
      <c r="R31" s="142">
        <v>12065.642839799999</v>
      </c>
      <c r="S31" s="141">
        <v>0.26658561521599844</v>
      </c>
      <c r="T31" s="143">
        <v>15.830043180285186</v>
      </c>
      <c r="U31" s="81">
        <v>116.58014861008333</v>
      </c>
      <c r="V31" s="141">
        <v>0.33065924222276544</v>
      </c>
      <c r="W31" s="68" t="s">
        <v>50</v>
      </c>
    </row>
    <row r="32" spans="1:23" x14ac:dyDescent="0.25">
      <c r="A32" t="s">
        <v>57</v>
      </c>
      <c r="B32">
        <v>10</v>
      </c>
      <c r="C32" s="139">
        <v>43555</v>
      </c>
      <c r="D32" s="140">
        <v>102.879927162</v>
      </c>
      <c r="E32" s="140">
        <v>2.9064599777068696</v>
      </c>
      <c r="F32" s="140">
        <v>1.17432</v>
      </c>
      <c r="G32" s="140">
        <v>0.86339999999999995</v>
      </c>
      <c r="H32" s="140">
        <v>0.49252218162773792</v>
      </c>
      <c r="I32" s="140">
        <v>8.495404394939218</v>
      </c>
      <c r="J32" s="140">
        <v>17.175274999999999</v>
      </c>
      <c r="K32" s="140">
        <v>4.8145612155000004</v>
      </c>
      <c r="L32" s="140">
        <v>5.5427900000000001</v>
      </c>
      <c r="M32" s="140">
        <v>7.841859100761045E-2</v>
      </c>
      <c r="N32" s="140">
        <v>9.9974594149999998</v>
      </c>
      <c r="O32" s="140">
        <v>3.3856594950000001</v>
      </c>
      <c r="P32" s="140">
        <v>73.792299999999997</v>
      </c>
      <c r="Q32" s="141">
        <v>-1.2088184438040346</v>
      </c>
      <c r="R32" s="142">
        <v>7288.6</v>
      </c>
      <c r="S32" s="141">
        <v>0.49764173827576164</v>
      </c>
      <c r="T32" s="143">
        <v>3.7598996686891848</v>
      </c>
      <c r="U32" s="81">
        <v>214.48733333333334</v>
      </c>
      <c r="V32" s="141">
        <v>0.37057858451099368</v>
      </c>
      <c r="W32" s="68" t="s">
        <v>57</v>
      </c>
    </row>
    <row r="33" spans="1:23" x14ac:dyDescent="0.25">
      <c r="A33" t="s">
        <v>19</v>
      </c>
      <c r="B33">
        <v>0.1</v>
      </c>
      <c r="C33" s="139">
        <v>43555</v>
      </c>
      <c r="D33" s="144">
        <v>211.74904142675001</v>
      </c>
      <c r="E33" s="144">
        <v>2.4005675553380796</v>
      </c>
      <c r="F33" s="140">
        <v>4.3256424999999998</v>
      </c>
      <c r="G33" s="140">
        <v>4.2531474999999999</v>
      </c>
      <c r="H33" s="140">
        <v>0.76901637790757771</v>
      </c>
      <c r="I33" s="140">
        <v>55.983009877721138</v>
      </c>
      <c r="J33" s="140">
        <v>53.243965000000003</v>
      </c>
      <c r="K33" s="140">
        <v>42.627263477749999</v>
      </c>
      <c r="L33" s="140">
        <v>26.387932500000002</v>
      </c>
      <c r="M33" s="140">
        <v>0.10393128624811007</v>
      </c>
      <c r="N33" s="140">
        <v>55.154316721000001</v>
      </c>
      <c r="O33" s="140">
        <v>27.131009795000001</v>
      </c>
      <c r="P33" s="140">
        <v>15.38067</v>
      </c>
      <c r="Q33" s="141">
        <v>-0.69480141527959161</v>
      </c>
      <c r="R33" s="142">
        <v>5654.7676000000001</v>
      </c>
      <c r="S33" s="141">
        <v>1.542240241966951</v>
      </c>
      <c r="T33" s="143">
        <v>3.7477552056808463</v>
      </c>
      <c r="U33" s="81">
        <v>12.135605666666667</v>
      </c>
      <c r="V33" s="141">
        <v>0.64070777675608137</v>
      </c>
      <c r="W33" s="68" t="s">
        <v>19</v>
      </c>
    </row>
    <row r="34" spans="1:23" x14ac:dyDescent="0.25">
      <c r="A34" t="s">
        <v>53</v>
      </c>
      <c r="B34">
        <v>1</v>
      </c>
      <c r="C34" s="139">
        <v>43555</v>
      </c>
      <c r="D34" s="144">
        <v>40.103477573249997</v>
      </c>
      <c r="E34" s="144">
        <v>1.7016533576706068</v>
      </c>
      <c r="F34" s="140">
        <v>1.424545</v>
      </c>
      <c r="G34" s="140">
        <v>1.405545</v>
      </c>
      <c r="H34" s="140">
        <v>0.32582330033465229</v>
      </c>
      <c r="I34" s="140">
        <v>88.768594677773194</v>
      </c>
      <c r="J34" s="140">
        <v>49.671412500000002</v>
      </c>
      <c r="K34" s="140">
        <v>37.296275043249999</v>
      </c>
      <c r="L34" s="140">
        <v>26.535282500000001</v>
      </c>
      <c r="M34" s="140">
        <v>0.43462202368031405</v>
      </c>
      <c r="N34" s="140">
        <v>17.365847737999999</v>
      </c>
      <c r="O34" s="140">
        <v>10.680739681</v>
      </c>
      <c r="P34" s="140">
        <v>9.5414999999999992</v>
      </c>
      <c r="Q34" s="141">
        <v>-0.78642251589709011</v>
      </c>
      <c r="R34" s="142">
        <v>1814.2226000000001</v>
      </c>
      <c r="S34" s="141">
        <v>1.6426919204604173</v>
      </c>
      <c r="T34" s="143">
        <v>6.8352946827612238</v>
      </c>
      <c r="U34" s="81">
        <v>3.6278465</v>
      </c>
      <c r="V34" s="141">
        <v>0.8961800652901184</v>
      </c>
      <c r="W34" s="68" t="s">
        <v>53</v>
      </c>
    </row>
    <row r="35" spans="1:23" x14ac:dyDescent="0.25">
      <c r="A35" t="s">
        <v>73</v>
      </c>
      <c r="B35">
        <v>1</v>
      </c>
      <c r="C35" s="139" t="s">
        <v>186</v>
      </c>
      <c r="D35" s="144">
        <v>48.790264743999998</v>
      </c>
      <c r="E35" s="144">
        <v>2.0068135644822278</v>
      </c>
      <c r="F35" s="140">
        <v>0.65947</v>
      </c>
      <c r="G35" s="140">
        <v>0.48784</v>
      </c>
      <c r="H35" s="140">
        <v>8.5277298006559956</v>
      </c>
      <c r="I35" s="140" t="s">
        <v>186</v>
      </c>
      <c r="J35" s="140">
        <v>12.114945000000001</v>
      </c>
      <c r="K35" s="140">
        <v>-20.199493842999999</v>
      </c>
      <c r="L35" s="142">
        <v>-44.207349999999998</v>
      </c>
      <c r="M35" s="140">
        <v>-0.883570044702228</v>
      </c>
      <c r="N35" s="140">
        <v>-25.317630172000001</v>
      </c>
      <c r="O35" s="140">
        <v>-11.395283020000001</v>
      </c>
      <c r="P35" s="140">
        <v>-0.98465758000000003</v>
      </c>
      <c r="Q35" s="141" t="s">
        <v>186</v>
      </c>
      <c r="R35" s="142">
        <v>-2631.8692369999999</v>
      </c>
      <c r="S35" s="141">
        <v>3.024852076662226</v>
      </c>
      <c r="T35" s="143">
        <v>1.2512604162582297</v>
      </c>
      <c r="U35" s="81">
        <v>2.1295531413833331</v>
      </c>
      <c r="V35" s="141">
        <v>1.1457856521010941</v>
      </c>
      <c r="W35" s="68" t="s">
        <v>73</v>
      </c>
    </row>
    <row r="36" spans="1:23" x14ac:dyDescent="0.25">
      <c r="A36" t="s">
        <v>69</v>
      </c>
      <c r="B36">
        <v>1</v>
      </c>
      <c r="C36" s="139">
        <v>43555</v>
      </c>
      <c r="D36" s="144">
        <v>12.8361343275</v>
      </c>
      <c r="E36" s="144">
        <v>1.6221958276978041</v>
      </c>
      <c r="F36" s="140">
        <v>1.43794</v>
      </c>
      <c r="G36" s="140">
        <v>1.2168375</v>
      </c>
      <c r="H36" s="140">
        <v>0.62589263365236636</v>
      </c>
      <c r="I36" s="140">
        <v>12.139739668455141</v>
      </c>
      <c r="J36" s="140">
        <v>5.4545124999999999</v>
      </c>
      <c r="K36" s="140">
        <v>-11.246507466000001</v>
      </c>
      <c r="L36" s="140">
        <v>32.155340000000002</v>
      </c>
      <c r="M36" s="140">
        <v>0.20499570221787022</v>
      </c>
      <c r="N36" s="140">
        <v>24.316644847999999</v>
      </c>
      <c r="O36" s="140">
        <v>14.023702890999999</v>
      </c>
      <c r="P36" s="140">
        <v>1.0906899999999999</v>
      </c>
      <c r="Q36" s="141">
        <v>-0.85197657580870478</v>
      </c>
      <c r="R36" s="142">
        <v>411.863</v>
      </c>
      <c r="S36" s="141">
        <v>0.70954615217214334</v>
      </c>
      <c r="T36" s="143">
        <v>2.1082411355882154</v>
      </c>
      <c r="U36" s="81">
        <v>2.4297095</v>
      </c>
      <c r="V36" s="141">
        <v>0.39917006409096389</v>
      </c>
      <c r="W36" s="68" t="s">
        <v>69</v>
      </c>
    </row>
    <row r="37" spans="1:23" x14ac:dyDescent="0.25">
      <c r="A37" t="s">
        <v>40</v>
      </c>
      <c r="B37">
        <v>10</v>
      </c>
      <c r="C37" s="139">
        <v>43555</v>
      </c>
      <c r="D37" s="144" t="s">
        <v>186</v>
      </c>
      <c r="E37" s="144">
        <v>-80.715876126006577</v>
      </c>
      <c r="F37" s="140">
        <v>0.70580500000000002</v>
      </c>
      <c r="G37" s="140">
        <v>0.53651499999999996</v>
      </c>
      <c r="H37" s="140">
        <v>0.65536585729036734</v>
      </c>
      <c r="I37" s="140">
        <v>2.9295850828849552</v>
      </c>
      <c r="J37" s="140">
        <v>49.423594999999999</v>
      </c>
      <c r="K37" s="140">
        <v>14.34356835675</v>
      </c>
      <c r="L37" s="140">
        <v>24.606277500000001</v>
      </c>
      <c r="M37" s="140">
        <v>0.20563006186561464</v>
      </c>
      <c r="N37" s="140">
        <v>67.827254292000006</v>
      </c>
      <c r="O37" s="140">
        <v>12.504573001000001</v>
      </c>
      <c r="P37" s="140">
        <v>0.10126</v>
      </c>
      <c r="Q37" s="141">
        <v>2.7788976489145147</v>
      </c>
      <c r="R37" s="142">
        <v>-15.350313999999999</v>
      </c>
      <c r="S37" s="141">
        <v>-1.9548702388975534</v>
      </c>
      <c r="T37" s="143">
        <v>0.86287880702580622</v>
      </c>
      <c r="U37" s="81">
        <v>0.47453863499999999</v>
      </c>
      <c r="V37" s="141">
        <v>-0.15475094142659773</v>
      </c>
      <c r="W37" s="68" t="s">
        <v>40</v>
      </c>
    </row>
    <row r="38" spans="1:23" x14ac:dyDescent="0.25">
      <c r="A38" s="70" t="s">
        <v>109</v>
      </c>
      <c r="B38" s="71"/>
      <c r="C38" s="71"/>
      <c r="D38" s="146">
        <v>78.646632338928569</v>
      </c>
      <c r="E38" s="146">
        <v>-8.2152831911318529</v>
      </c>
      <c r="F38" s="147">
        <v>1.7620684375</v>
      </c>
      <c r="G38" s="147">
        <v>1.4302746875000001</v>
      </c>
      <c r="H38" s="147">
        <v>4.3998109363054594</v>
      </c>
      <c r="I38" s="147">
        <v>25.092282726130009</v>
      </c>
      <c r="J38" s="147">
        <v>31.696900625000001</v>
      </c>
      <c r="K38" s="147">
        <v>12.963173838656251</v>
      </c>
      <c r="L38" s="147">
        <v>11.131330937500001</v>
      </c>
      <c r="M38" s="147">
        <v>5.0225969721694103E-2</v>
      </c>
      <c r="N38" s="147">
        <v>20.628180129375</v>
      </c>
      <c r="O38" s="147">
        <v>8.1211334327499998</v>
      </c>
      <c r="P38" s="147">
        <v>17.961579374712962</v>
      </c>
      <c r="Q38" s="148">
        <v>9.3742478145749306E-2</v>
      </c>
      <c r="R38" s="149">
        <v>9073.8016623457788</v>
      </c>
      <c r="S38" s="148">
        <v>0.75470599516452341</v>
      </c>
      <c r="T38" s="150">
        <v>9.9561694245334689</v>
      </c>
      <c r="U38" s="151">
        <v>238.51479758651894</v>
      </c>
      <c r="V38" s="148">
        <v>0.49373729748024131</v>
      </c>
      <c r="W38" s="79" t="s">
        <v>110</v>
      </c>
    </row>
    <row r="39" spans="1:23" ht="26.25" customHeight="1" x14ac:dyDescent="0.25">
      <c r="A39" s="98"/>
      <c r="B39" s="31"/>
      <c r="C39" s="31"/>
      <c r="D39" s="160"/>
      <c r="E39" s="160"/>
      <c r="F39" s="31"/>
      <c r="G39" s="31"/>
      <c r="H39" s="31"/>
      <c r="I39" s="31"/>
      <c r="J39" s="31"/>
      <c r="K39" s="31"/>
      <c r="L39" s="31"/>
      <c r="M39" s="31"/>
      <c r="N39" s="31"/>
      <c r="O39" s="31"/>
      <c r="P39" s="31"/>
      <c r="Q39" s="31"/>
      <c r="R39" s="31"/>
      <c r="S39" s="31"/>
      <c r="T39" s="31"/>
      <c r="U39" s="31"/>
      <c r="V39" s="31"/>
      <c r="W39" s="98"/>
    </row>
    <row r="40" spans="1:23" x14ac:dyDescent="0.25">
      <c r="A40" s="125" t="s">
        <v>4</v>
      </c>
      <c r="B40" s="126" t="s">
        <v>132</v>
      </c>
      <c r="C40" s="127" t="s">
        <v>133</v>
      </c>
      <c r="D40" s="161" t="s">
        <v>134</v>
      </c>
      <c r="E40" s="162"/>
      <c r="F40" s="128" t="s">
        <v>135</v>
      </c>
      <c r="G40" s="129"/>
      <c r="H40" s="128" t="s">
        <v>136</v>
      </c>
      <c r="I40" s="129"/>
      <c r="J40" s="125" t="s">
        <v>137</v>
      </c>
      <c r="K40" s="163"/>
      <c r="L40" s="163"/>
      <c r="M40" s="163"/>
      <c r="N40" s="163"/>
      <c r="O40" s="163"/>
      <c r="P40" s="163"/>
      <c r="Q40" s="163"/>
      <c r="R40" s="163"/>
      <c r="S40" s="163"/>
      <c r="T40" s="163"/>
      <c r="U40" s="163"/>
      <c r="V40" s="164"/>
      <c r="W40" s="125" t="s">
        <v>4</v>
      </c>
    </row>
    <row r="41" spans="1:23" ht="24.75" customHeight="1" x14ac:dyDescent="0.25">
      <c r="A41" s="131"/>
      <c r="B41" s="132"/>
      <c r="C41" s="133"/>
      <c r="D41" s="134" t="s">
        <v>138</v>
      </c>
      <c r="E41" s="134" t="s">
        <v>139</v>
      </c>
      <c r="F41" s="134" t="s">
        <v>140</v>
      </c>
      <c r="G41" s="134" t="s">
        <v>141</v>
      </c>
      <c r="H41" s="134" t="s">
        <v>142</v>
      </c>
      <c r="I41" s="134" t="s">
        <v>143</v>
      </c>
      <c r="J41" s="134" t="s">
        <v>144</v>
      </c>
      <c r="K41" s="134" t="s">
        <v>145</v>
      </c>
      <c r="L41" s="134" t="s">
        <v>146</v>
      </c>
      <c r="M41" s="134" t="s">
        <v>147</v>
      </c>
      <c r="N41" s="134" t="s">
        <v>148</v>
      </c>
      <c r="O41" s="134" t="s">
        <v>149</v>
      </c>
      <c r="P41" s="134" t="s">
        <v>150</v>
      </c>
      <c r="Q41" s="165" t="s">
        <v>242</v>
      </c>
      <c r="R41" s="165" t="s">
        <v>152</v>
      </c>
      <c r="S41" s="165" t="s">
        <v>153</v>
      </c>
      <c r="T41" s="165" t="s">
        <v>154</v>
      </c>
      <c r="U41" s="165" t="s">
        <v>155</v>
      </c>
      <c r="V41" s="165" t="s">
        <v>156</v>
      </c>
      <c r="W41" s="131"/>
    </row>
    <row r="42" spans="1:23" x14ac:dyDescent="0.25">
      <c r="A42" s="58" t="s">
        <v>120</v>
      </c>
      <c r="B42" s="83"/>
      <c r="C42" s="83"/>
      <c r="D42" s="83"/>
      <c r="E42" s="83"/>
      <c r="F42" s="83"/>
      <c r="G42" s="83"/>
      <c r="H42" s="83"/>
      <c r="I42" s="83"/>
      <c r="J42" s="83"/>
      <c r="K42" s="83"/>
      <c r="L42" s="83"/>
      <c r="M42" s="83"/>
      <c r="N42" s="83"/>
      <c r="O42" s="83"/>
      <c r="P42" s="83"/>
      <c r="Q42" s="83"/>
      <c r="R42" s="83"/>
      <c r="S42" s="83"/>
      <c r="T42" s="83"/>
      <c r="U42" s="83"/>
      <c r="V42" s="83"/>
      <c r="W42" s="83"/>
    </row>
    <row r="43" spans="1:23" x14ac:dyDescent="0.25">
      <c r="A43" t="s">
        <v>43</v>
      </c>
      <c r="B43">
        <v>1</v>
      </c>
      <c r="C43" s="139">
        <v>43555</v>
      </c>
      <c r="D43" s="140">
        <v>62.188051887</v>
      </c>
      <c r="E43" s="140">
        <v>9.8912933917185821</v>
      </c>
      <c r="F43" s="68" t="s">
        <v>186</v>
      </c>
      <c r="G43" s="140" t="s">
        <v>186</v>
      </c>
      <c r="H43" s="140" t="s">
        <v>186</v>
      </c>
      <c r="I43" s="140" t="s">
        <v>186</v>
      </c>
      <c r="J43" s="140" t="s">
        <v>186</v>
      </c>
      <c r="K43" s="140">
        <v>42.791354918250001</v>
      </c>
      <c r="L43" s="140">
        <v>26.044004999999999</v>
      </c>
      <c r="M43" s="140" t="s">
        <v>186</v>
      </c>
      <c r="N43" s="140" t="s">
        <v>186</v>
      </c>
      <c r="O43" s="140">
        <v>4.3900169050000004</v>
      </c>
      <c r="P43" s="140">
        <v>14.339589999999999</v>
      </c>
      <c r="Q43" s="141">
        <v>1.0410398252323207</v>
      </c>
      <c r="R43" s="142">
        <v>8534.8940000000002</v>
      </c>
      <c r="S43" s="141">
        <v>0.51124186306085018</v>
      </c>
      <c r="T43" s="143">
        <v>0.21073190100038258</v>
      </c>
      <c r="U43" s="157" t="s">
        <v>186</v>
      </c>
      <c r="V43" s="141" t="s">
        <v>186</v>
      </c>
      <c r="W43" s="68" t="s">
        <v>43</v>
      </c>
    </row>
    <row r="44" spans="1:23" x14ac:dyDescent="0.25">
      <c r="A44" t="s">
        <v>72</v>
      </c>
      <c r="B44">
        <v>1</v>
      </c>
      <c r="C44" s="139">
        <v>43555</v>
      </c>
      <c r="D44" s="140">
        <v>47.04509713625</v>
      </c>
      <c r="E44" s="140">
        <v>6.04169857676834</v>
      </c>
      <c r="F44" s="68" t="s">
        <v>186</v>
      </c>
      <c r="G44" s="140" t="s">
        <v>186</v>
      </c>
      <c r="H44" s="140" t="s">
        <v>186</v>
      </c>
      <c r="I44" s="140" t="s">
        <v>186</v>
      </c>
      <c r="J44" s="140" t="s">
        <v>186</v>
      </c>
      <c r="K44" s="140">
        <v>45.215098883499998</v>
      </c>
      <c r="L44" s="140">
        <v>24.823309999999999</v>
      </c>
      <c r="M44" s="140" t="s">
        <v>186</v>
      </c>
      <c r="N44" s="140" t="s">
        <v>186</v>
      </c>
      <c r="O44" s="140">
        <v>6.4076210409999996</v>
      </c>
      <c r="P44" s="140">
        <v>30.650259999999999</v>
      </c>
      <c r="Q44" s="141">
        <v>0.47120190781925153</v>
      </c>
      <c r="R44" s="142">
        <v>9058.5193999999992</v>
      </c>
      <c r="S44" s="141">
        <v>0.4512319151683164</v>
      </c>
      <c r="T44" s="143">
        <v>0.10265025002437711</v>
      </c>
      <c r="U44" s="157" t="s">
        <v>186</v>
      </c>
      <c r="V44" s="141" t="s">
        <v>186</v>
      </c>
      <c r="W44" s="68" t="s">
        <v>72</v>
      </c>
    </row>
    <row r="45" spans="1:23" x14ac:dyDescent="0.25">
      <c r="A45" t="s">
        <v>36</v>
      </c>
      <c r="B45">
        <v>1</v>
      </c>
      <c r="C45" s="139">
        <v>43555</v>
      </c>
      <c r="D45" s="140">
        <v>17.2700050105</v>
      </c>
      <c r="E45" s="140">
        <v>8.8757460471915692</v>
      </c>
      <c r="F45" s="68" t="s">
        <v>186</v>
      </c>
      <c r="G45" s="140" t="s">
        <v>186</v>
      </c>
      <c r="H45" s="140" t="s">
        <v>186</v>
      </c>
      <c r="I45" s="140" t="s">
        <v>186</v>
      </c>
      <c r="J45" s="140" t="s">
        <v>186</v>
      </c>
      <c r="K45" s="140">
        <v>37.721897257499997</v>
      </c>
      <c r="L45" s="140">
        <v>24.001695000000002</v>
      </c>
      <c r="M45" s="140" t="s">
        <v>186</v>
      </c>
      <c r="N45" s="140" t="s">
        <v>186</v>
      </c>
      <c r="O45" s="140">
        <v>4.6240924579999998</v>
      </c>
      <c r="P45" s="140">
        <v>22.975249999999999</v>
      </c>
      <c r="Q45" s="141">
        <v>1.0457541779210713</v>
      </c>
      <c r="R45" s="142">
        <v>5336.2798000000003</v>
      </c>
      <c r="S45" s="141">
        <v>0.36560602292222488</v>
      </c>
      <c r="T45" s="143">
        <v>0.46264034725285558</v>
      </c>
      <c r="U45" s="157" t="s">
        <v>186</v>
      </c>
      <c r="V45" s="141" t="s">
        <v>186</v>
      </c>
      <c r="W45" s="68" t="s">
        <v>36</v>
      </c>
    </row>
    <row r="46" spans="1:23" x14ac:dyDescent="0.25">
      <c r="A46" t="s">
        <v>11</v>
      </c>
      <c r="B46">
        <v>1</v>
      </c>
      <c r="C46" s="139">
        <v>43555</v>
      </c>
      <c r="D46" s="140">
        <v>14.82697544725</v>
      </c>
      <c r="E46" s="140">
        <v>11.995611225282907</v>
      </c>
      <c r="F46" s="68" t="s">
        <v>186</v>
      </c>
      <c r="G46" s="140" t="s">
        <v>186</v>
      </c>
      <c r="H46" s="140" t="s">
        <v>186</v>
      </c>
      <c r="I46" s="140" t="s">
        <v>186</v>
      </c>
      <c r="J46" s="140" t="s">
        <v>186</v>
      </c>
      <c r="K46" s="140">
        <v>51.303988830249999</v>
      </c>
      <c r="L46" s="140">
        <v>18.9384275</v>
      </c>
      <c r="M46" s="140" t="s">
        <v>186</v>
      </c>
      <c r="N46" s="140" t="s">
        <v>186</v>
      </c>
      <c r="O46" s="140">
        <v>3.2748002079999998</v>
      </c>
      <c r="P46" s="140">
        <v>3.3696600000000001</v>
      </c>
      <c r="Q46" s="141">
        <v>1.1785005335941179</v>
      </c>
      <c r="R46" s="142">
        <v>6142.9381999999996</v>
      </c>
      <c r="S46" s="141">
        <v>0.3399545210362187</v>
      </c>
      <c r="T46" s="143">
        <v>0.1367252561183048</v>
      </c>
      <c r="U46" s="157" t="s">
        <v>186</v>
      </c>
      <c r="V46" s="141" t="s">
        <v>186</v>
      </c>
      <c r="W46" s="68" t="s">
        <v>11</v>
      </c>
    </row>
    <row r="47" spans="1:23" x14ac:dyDescent="0.25">
      <c r="A47" t="s">
        <v>12</v>
      </c>
      <c r="B47">
        <v>1</v>
      </c>
      <c r="C47" s="139">
        <v>43555</v>
      </c>
      <c r="D47" s="144">
        <v>64.009759919250001</v>
      </c>
      <c r="E47" s="144">
        <v>8.040692320282826</v>
      </c>
      <c r="F47" s="68" t="s">
        <v>186</v>
      </c>
      <c r="G47" s="140" t="s">
        <v>186</v>
      </c>
      <c r="H47" s="140" t="s">
        <v>186</v>
      </c>
      <c r="I47" s="140" t="s">
        <v>186</v>
      </c>
      <c r="J47" s="140" t="s">
        <v>186</v>
      </c>
      <c r="K47" s="140">
        <v>43.98568854925</v>
      </c>
      <c r="L47" s="140">
        <v>23.806352499999999</v>
      </c>
      <c r="M47" s="140" t="s">
        <v>186</v>
      </c>
      <c r="N47" s="140" t="s">
        <v>186</v>
      </c>
      <c r="O47" s="140">
        <v>5.2688979290000004</v>
      </c>
      <c r="P47" s="140">
        <v>9.9616699999999998</v>
      </c>
      <c r="Q47" s="141">
        <v>1.0709223369253027</v>
      </c>
      <c r="R47" s="142">
        <v>3129.0790000000002</v>
      </c>
      <c r="S47" s="141">
        <v>0.34190835927481822</v>
      </c>
      <c r="T47" s="143">
        <v>0.36132909652469086</v>
      </c>
      <c r="U47" s="157" t="s">
        <v>186</v>
      </c>
      <c r="V47" s="141" t="s">
        <v>186</v>
      </c>
      <c r="W47" s="68" t="s">
        <v>12</v>
      </c>
    </row>
    <row r="48" spans="1:23" x14ac:dyDescent="0.25">
      <c r="A48" t="s">
        <v>80</v>
      </c>
      <c r="B48">
        <v>1</v>
      </c>
      <c r="C48" s="139">
        <v>43555</v>
      </c>
      <c r="D48" s="144">
        <v>61.086373508999998</v>
      </c>
      <c r="E48" s="144">
        <v>3.6602726326497423</v>
      </c>
      <c r="F48" s="68">
        <v>1.228585</v>
      </c>
      <c r="G48" s="140">
        <v>1.228585</v>
      </c>
      <c r="H48" s="140">
        <v>6.24002794081134E-2</v>
      </c>
      <c r="I48" s="140" t="s">
        <v>186</v>
      </c>
      <c r="J48" s="140">
        <v>94.672402500000004</v>
      </c>
      <c r="K48" s="140">
        <v>51.963673579750001</v>
      </c>
      <c r="L48" s="140">
        <v>139.97155000000001</v>
      </c>
      <c r="M48" s="140">
        <v>0.80194613519166136</v>
      </c>
      <c r="N48" s="140">
        <v>19.446960057999998</v>
      </c>
      <c r="O48" s="140">
        <v>5.6865290450000003</v>
      </c>
      <c r="P48" s="140">
        <v>19.977930000000001</v>
      </c>
      <c r="Q48" s="141">
        <v>1.1396401480347622</v>
      </c>
      <c r="R48" s="142">
        <v>444.16532749999999</v>
      </c>
      <c r="S48" s="141" t="s">
        <v>186</v>
      </c>
      <c r="T48" s="143" t="s">
        <v>186</v>
      </c>
      <c r="U48" s="157">
        <v>1.6485172299999999</v>
      </c>
      <c r="V48" s="141" t="s">
        <v>186</v>
      </c>
      <c r="W48" s="68" t="s">
        <v>80</v>
      </c>
    </row>
    <row r="49" spans="1:23" x14ac:dyDescent="0.25">
      <c r="A49" t="s">
        <v>29</v>
      </c>
      <c r="B49">
        <v>1</v>
      </c>
      <c r="C49" s="139">
        <v>43555</v>
      </c>
      <c r="D49" s="144">
        <v>12.684453208500001</v>
      </c>
      <c r="E49" s="144">
        <v>8.8817114734654812</v>
      </c>
      <c r="F49" s="68" t="s">
        <v>186</v>
      </c>
      <c r="G49" s="140" t="s">
        <v>186</v>
      </c>
      <c r="H49" s="140" t="s">
        <v>186</v>
      </c>
      <c r="I49" s="140" t="s">
        <v>186</v>
      </c>
      <c r="J49" s="140" t="s">
        <v>186</v>
      </c>
      <c r="K49" s="140">
        <v>13.97240135825</v>
      </c>
      <c r="L49" s="140">
        <v>9.9593124999999993</v>
      </c>
      <c r="M49" s="140" t="s">
        <v>186</v>
      </c>
      <c r="N49" s="140" t="s">
        <v>186</v>
      </c>
      <c r="O49" s="140">
        <v>1.978153236</v>
      </c>
      <c r="P49" s="140">
        <v>1.0624400000000001</v>
      </c>
      <c r="Q49" s="141">
        <v>-0.9282556786632945</v>
      </c>
      <c r="R49" s="142">
        <v>868.6934</v>
      </c>
      <c r="S49" s="141">
        <v>0.37266473231954178</v>
      </c>
      <c r="T49" s="143">
        <v>0.58012156081535793</v>
      </c>
      <c r="U49" s="157" t="s">
        <v>186</v>
      </c>
      <c r="V49" s="141" t="s">
        <v>186</v>
      </c>
      <c r="W49" s="68" t="s">
        <v>29</v>
      </c>
    </row>
    <row r="50" spans="1:23" x14ac:dyDescent="0.25">
      <c r="A50" t="s">
        <v>62</v>
      </c>
      <c r="B50">
        <v>1</v>
      </c>
      <c r="C50" s="139">
        <v>43555</v>
      </c>
      <c r="D50" s="144">
        <v>219.894645166</v>
      </c>
      <c r="E50" s="144">
        <v>10.385887585482099</v>
      </c>
      <c r="F50" s="68">
        <v>0.877135</v>
      </c>
      <c r="G50" s="140">
        <v>0.877135</v>
      </c>
      <c r="H50" s="140">
        <v>0.13290184712964945</v>
      </c>
      <c r="I50" s="140" t="s">
        <v>186</v>
      </c>
      <c r="J50" s="140">
        <v>98.6641975</v>
      </c>
      <c r="K50" s="140">
        <v>61.960900565999999</v>
      </c>
      <c r="L50" s="140">
        <v>43.513392500000002</v>
      </c>
      <c r="M50" s="140">
        <v>0.29621454251207935</v>
      </c>
      <c r="N50" s="140">
        <v>57.619279614</v>
      </c>
      <c r="O50" s="140">
        <v>7.9825256009999999</v>
      </c>
      <c r="P50" s="140">
        <v>1.4121699999999999</v>
      </c>
      <c r="Q50" s="141">
        <v>-7.7655399889010046E-2</v>
      </c>
      <c r="R50" s="142">
        <v>549.92309399999999</v>
      </c>
      <c r="S50" s="141">
        <v>0.48478031816039358</v>
      </c>
      <c r="T50" s="143">
        <v>0.9277103538412087</v>
      </c>
      <c r="U50" s="157">
        <v>1.1121246849999999</v>
      </c>
      <c r="V50" s="141">
        <v>0.59763892089446946</v>
      </c>
      <c r="W50" s="68" t="s">
        <v>62</v>
      </c>
    </row>
    <row r="51" spans="1:23" x14ac:dyDescent="0.25">
      <c r="A51" s="70" t="s">
        <v>109</v>
      </c>
      <c r="B51" s="71"/>
      <c r="C51" s="158"/>
      <c r="D51" s="146">
        <v>62.375670160468744</v>
      </c>
      <c r="E51" s="146">
        <v>8.4716141566051935</v>
      </c>
      <c r="F51" s="147">
        <v>1.0528599999999999</v>
      </c>
      <c r="G51" s="147">
        <v>1.0528599999999999</v>
      </c>
      <c r="H51" s="147">
        <v>9.7651063268881427E-2</v>
      </c>
      <c r="I51" s="147" t="s">
        <v>186</v>
      </c>
      <c r="J51" s="147">
        <v>96.668300000000002</v>
      </c>
      <c r="K51" s="147">
        <v>43.614375492843756</v>
      </c>
      <c r="L51" s="147">
        <v>38.882255625000006</v>
      </c>
      <c r="M51" s="147">
        <v>0.54908033885187035</v>
      </c>
      <c r="N51" s="147">
        <v>38.533119835999997</v>
      </c>
      <c r="O51" s="147">
        <v>4.9515795528750006</v>
      </c>
      <c r="P51" s="147">
        <v>12.968621249999998</v>
      </c>
      <c r="Q51" s="148">
        <v>0.61764348137181524</v>
      </c>
      <c r="R51" s="149">
        <v>4258.0615276874996</v>
      </c>
      <c r="S51" s="150">
        <v>0.40962681884890906</v>
      </c>
      <c r="T51" s="150">
        <v>0.39741553793959677</v>
      </c>
      <c r="U51" s="166">
        <v>1.3803209574999999</v>
      </c>
      <c r="V51" s="148">
        <v>0.59763892089446946</v>
      </c>
      <c r="W51" s="79" t="s">
        <v>110</v>
      </c>
    </row>
    <row r="52" spans="1:23" ht="6.75" customHeight="1" x14ac:dyDescent="0.25">
      <c r="C52" s="139"/>
      <c r="D52" s="144"/>
      <c r="E52" s="144"/>
      <c r="F52" s="68"/>
      <c r="Q52" s="143"/>
      <c r="R52" s="142"/>
      <c r="S52" s="143"/>
      <c r="T52" s="143"/>
      <c r="U52" s="167"/>
      <c r="V52" s="141"/>
      <c r="W52" s="68"/>
    </row>
    <row r="53" spans="1:23" x14ac:dyDescent="0.25">
      <c r="A53" s="58" t="s">
        <v>121</v>
      </c>
      <c r="B53" s="83"/>
      <c r="C53" s="159"/>
      <c r="D53" s="152"/>
      <c r="E53" s="152"/>
      <c r="F53" s="89"/>
      <c r="G53" s="83"/>
      <c r="H53" s="83"/>
      <c r="I53" s="83"/>
      <c r="J53" s="83"/>
      <c r="K53" s="83"/>
      <c r="L53" s="83"/>
      <c r="M53" s="83"/>
      <c r="N53" s="83"/>
      <c r="O53" s="83"/>
      <c r="P53" s="83"/>
      <c r="Q53" s="156"/>
      <c r="R53" s="155"/>
      <c r="S53" s="156"/>
      <c r="T53" s="156"/>
      <c r="U53" s="168"/>
      <c r="V53" s="154"/>
      <c r="W53" s="89"/>
    </row>
    <row r="54" spans="1:23" x14ac:dyDescent="0.25">
      <c r="A54" t="s">
        <v>67</v>
      </c>
      <c r="B54">
        <v>1</v>
      </c>
      <c r="C54" s="139">
        <v>43555</v>
      </c>
      <c r="D54" s="144">
        <v>0</v>
      </c>
      <c r="E54" s="144">
        <v>1.6936433984936248</v>
      </c>
      <c r="F54" s="68">
        <v>1.3770100000000001</v>
      </c>
      <c r="G54" s="140">
        <v>1.3770100000000001</v>
      </c>
      <c r="H54" s="140">
        <v>0.23804560003174047</v>
      </c>
      <c r="I54" s="140" t="s">
        <v>186</v>
      </c>
      <c r="J54" s="140">
        <v>21.793612499999998</v>
      </c>
      <c r="K54" s="140">
        <v>9.7684648302500001</v>
      </c>
      <c r="L54" s="140">
        <v>241.39428749999999</v>
      </c>
      <c r="M54" s="140">
        <v>-0.62661267569923385</v>
      </c>
      <c r="N54" s="157">
        <v>-37.924195412000003</v>
      </c>
      <c r="O54" s="157">
        <v>-21.056181021</v>
      </c>
      <c r="P54" s="157">
        <v>-24.42089</v>
      </c>
      <c r="Q54" s="141">
        <v>1.0423602306242861</v>
      </c>
      <c r="R54" s="142">
        <v>-4195.1723659999998</v>
      </c>
      <c r="S54" s="141">
        <v>1.7678251406067882</v>
      </c>
      <c r="T54" s="143">
        <v>1.5397499310581759</v>
      </c>
      <c r="U54" s="157">
        <v>2.1270084783333334</v>
      </c>
      <c r="V54" s="141">
        <v>0.32616292645043665</v>
      </c>
      <c r="W54" s="68" t="s">
        <v>67</v>
      </c>
    </row>
    <row r="55" spans="1:23" x14ac:dyDescent="0.25">
      <c r="A55" t="s">
        <v>71</v>
      </c>
      <c r="B55">
        <v>1</v>
      </c>
      <c r="C55" s="139">
        <v>43465</v>
      </c>
      <c r="D55" s="140">
        <v>0</v>
      </c>
      <c r="E55" s="140">
        <v>1.6569190270895269</v>
      </c>
      <c r="F55" s="68">
        <v>1.8762799999999999</v>
      </c>
      <c r="G55" s="140">
        <v>1.8493200000000001</v>
      </c>
      <c r="H55" s="140">
        <v>0.42921998120081828</v>
      </c>
      <c r="I55" s="140">
        <v>74.640029791329852</v>
      </c>
      <c r="J55" s="140">
        <v>37.798594999999999</v>
      </c>
      <c r="K55" s="140">
        <v>20.619791785749999</v>
      </c>
      <c r="L55" s="140">
        <v>331.66300999999999</v>
      </c>
      <c r="M55" s="140">
        <v>1.8744540017197591</v>
      </c>
      <c r="N55" s="157">
        <v>181.18449751099999</v>
      </c>
      <c r="O55" s="157">
        <v>100.394137833</v>
      </c>
      <c r="P55" s="140">
        <v>39.160330000000002</v>
      </c>
      <c r="Q55" s="141">
        <v>-1.3041592834634272</v>
      </c>
      <c r="R55" s="142">
        <v>2475.30215</v>
      </c>
      <c r="S55" s="141">
        <v>1.5029099087136961</v>
      </c>
      <c r="T55" s="143">
        <v>17.949203879560091</v>
      </c>
      <c r="U55" s="157">
        <v>1.511008715</v>
      </c>
      <c r="V55" s="141">
        <v>0.38596927142570348</v>
      </c>
      <c r="W55" s="68" t="s">
        <v>71</v>
      </c>
    </row>
    <row r="56" spans="1:23" x14ac:dyDescent="0.25">
      <c r="A56" t="s">
        <v>8</v>
      </c>
      <c r="B56">
        <v>1</v>
      </c>
      <c r="C56" s="139">
        <v>43373</v>
      </c>
      <c r="D56" s="140">
        <v>8.6555723305000001</v>
      </c>
      <c r="E56" s="140">
        <v>2.4292571789476152</v>
      </c>
      <c r="F56" s="68">
        <v>1.3680425000000001</v>
      </c>
      <c r="G56" s="140">
        <v>1.3652025000000001</v>
      </c>
      <c r="H56" s="140">
        <v>1.6442539658697903</v>
      </c>
      <c r="I56" s="142">
        <v>1683.8744169687168</v>
      </c>
      <c r="J56" s="140">
        <v>14.7960425</v>
      </c>
      <c r="K56" s="140">
        <v>3.9666696699999999</v>
      </c>
      <c r="L56" s="140">
        <v>10.799765000000001</v>
      </c>
      <c r="M56" s="140">
        <v>0.10080054472701099</v>
      </c>
      <c r="N56" s="140">
        <v>44.637354213999998</v>
      </c>
      <c r="O56" s="140">
        <v>16.964490043000001</v>
      </c>
      <c r="P56" s="140">
        <v>1.70584</v>
      </c>
      <c r="Q56" s="141">
        <v>-0.12045653327215633</v>
      </c>
      <c r="R56" s="142">
        <v>124.71554999999999</v>
      </c>
      <c r="S56" s="141">
        <v>0.57240400331137442</v>
      </c>
      <c r="T56" s="143">
        <v>0.64403721214950937</v>
      </c>
      <c r="U56" s="157">
        <v>1.11107114</v>
      </c>
      <c r="V56" s="141">
        <v>0.38923721855072091</v>
      </c>
      <c r="W56" s="68" t="s">
        <v>8</v>
      </c>
    </row>
    <row r="57" spans="1:23" x14ac:dyDescent="0.25">
      <c r="A57" t="s">
        <v>39</v>
      </c>
      <c r="B57">
        <v>1</v>
      </c>
      <c r="C57" s="139">
        <v>43555</v>
      </c>
      <c r="D57" s="140">
        <v>2.7759688E-3</v>
      </c>
      <c r="E57" s="140">
        <v>1.1211799447092088</v>
      </c>
      <c r="F57" s="68">
        <v>2.4931524999999999</v>
      </c>
      <c r="G57" s="140">
        <v>1.5445</v>
      </c>
      <c r="H57" s="140">
        <v>0.28514550359350765</v>
      </c>
      <c r="I57" s="140">
        <v>2.4712218381877848</v>
      </c>
      <c r="J57" s="140">
        <v>49.856704999999998</v>
      </c>
      <c r="K57" s="142">
        <v>67.854514947675</v>
      </c>
      <c r="L57" s="142">
        <v>29.985367499999999</v>
      </c>
      <c r="M57" s="140">
        <v>0.45739426855980253</v>
      </c>
      <c r="N57" s="140">
        <v>11.569439385900001</v>
      </c>
      <c r="O57" s="140">
        <v>9.9747348911000007</v>
      </c>
      <c r="P57" s="140">
        <v>1.2398100000000001</v>
      </c>
      <c r="Q57" s="141">
        <v>1.9849125142425232</v>
      </c>
      <c r="R57" s="142">
        <v>96.673922000000005</v>
      </c>
      <c r="S57" s="141">
        <v>0.47590187047384491</v>
      </c>
      <c r="T57" s="143">
        <v>4.7723423291916758</v>
      </c>
      <c r="U57" s="157">
        <v>0.15221784333333335</v>
      </c>
      <c r="V57" s="141">
        <v>0.62299811363788149</v>
      </c>
      <c r="W57" s="68" t="s">
        <v>39</v>
      </c>
    </row>
    <row r="58" spans="1:23" x14ac:dyDescent="0.25">
      <c r="A58" t="s">
        <v>66</v>
      </c>
      <c r="B58">
        <v>1</v>
      </c>
      <c r="C58" s="139">
        <v>43555</v>
      </c>
      <c r="D58" s="144">
        <v>27.237783379749999</v>
      </c>
      <c r="E58" s="144">
        <v>1.7148680631465363</v>
      </c>
      <c r="F58" s="68">
        <v>1.9921850000000001</v>
      </c>
      <c r="G58" s="140">
        <v>0.86273250000000001</v>
      </c>
      <c r="H58" s="140">
        <v>1.0127402133991077</v>
      </c>
      <c r="I58" s="140">
        <v>1.1204119967066433</v>
      </c>
      <c r="J58" s="140">
        <v>29.624395</v>
      </c>
      <c r="K58" s="140">
        <v>3.8103374792500002</v>
      </c>
      <c r="L58" s="140">
        <v>-3.0720000000000001E-2</v>
      </c>
      <c r="M58" s="140">
        <v>-4.9087236163197108E-3</v>
      </c>
      <c r="N58" s="140">
        <v>-0.56546328599999995</v>
      </c>
      <c r="O58" s="140">
        <v>-0.32331027099999998</v>
      </c>
      <c r="P58" s="140">
        <v>-1.3600000000000001E-3</v>
      </c>
      <c r="Q58" s="141">
        <v>-0.71453321593910646</v>
      </c>
      <c r="R58" s="142">
        <v>90.027386000000007</v>
      </c>
      <c r="S58" s="141">
        <v>0.14463446809458036</v>
      </c>
      <c r="T58" s="143">
        <v>0.58885017619698876</v>
      </c>
      <c r="U58" s="157">
        <v>1.7138172516666668</v>
      </c>
      <c r="V58" s="141">
        <v>0.27145353145101936</v>
      </c>
      <c r="W58" s="68" t="s">
        <v>66</v>
      </c>
    </row>
    <row r="59" spans="1:23" x14ac:dyDescent="0.25">
      <c r="A59" t="s">
        <v>64</v>
      </c>
      <c r="B59">
        <v>0.1</v>
      </c>
      <c r="C59" s="139">
        <v>43555</v>
      </c>
      <c r="D59" s="144">
        <v>18.4636795875</v>
      </c>
      <c r="E59" s="144">
        <v>4.1988987603718648</v>
      </c>
      <c r="F59" s="68">
        <v>1.2941175</v>
      </c>
      <c r="G59" s="140">
        <v>1.2273375</v>
      </c>
      <c r="H59" s="140">
        <v>1.8095617234912726</v>
      </c>
      <c r="I59" s="140">
        <v>38.754161278162321</v>
      </c>
      <c r="J59" s="140">
        <v>12.184207499999999</v>
      </c>
      <c r="K59" s="140">
        <v>3.5477970590000001</v>
      </c>
      <c r="L59" s="140">
        <v>-0.80652999999999997</v>
      </c>
      <c r="M59" s="140">
        <v>-1.1084112661577382E-2</v>
      </c>
      <c r="N59" s="140">
        <v>-10.996942513</v>
      </c>
      <c r="O59" s="140">
        <v>-2.8413251129999999</v>
      </c>
      <c r="P59" s="140">
        <v>-2.0398999999999998</v>
      </c>
      <c r="Q59" s="141">
        <v>1.0517475020621141</v>
      </c>
      <c r="R59" s="142">
        <v>-10.002940000000001</v>
      </c>
      <c r="S59" s="141">
        <v>-2.3153508113959518</v>
      </c>
      <c r="T59" s="143">
        <v>2.949096722330502</v>
      </c>
      <c r="U59" s="157">
        <v>1.9302820683333333</v>
      </c>
      <c r="V59" s="141">
        <v>0.308037737066859</v>
      </c>
      <c r="W59" s="68" t="s">
        <v>64</v>
      </c>
    </row>
    <row r="60" spans="1:23" x14ac:dyDescent="0.25">
      <c r="A60" t="s">
        <v>41</v>
      </c>
      <c r="B60">
        <v>1</v>
      </c>
      <c r="C60" s="139">
        <v>43555</v>
      </c>
      <c r="D60" s="144">
        <v>117.47057205175</v>
      </c>
      <c r="E60" s="144">
        <v>2.6695382892831616</v>
      </c>
      <c r="F60" s="68">
        <v>1.422625</v>
      </c>
      <c r="G60" s="140">
        <v>0.96941500000000003</v>
      </c>
      <c r="H60" s="140">
        <v>1.0481048565028777</v>
      </c>
      <c r="I60" s="140">
        <v>1.1088214266663439</v>
      </c>
      <c r="J60" s="140">
        <v>26.81127</v>
      </c>
      <c r="K60" s="140">
        <v>7.6352496419999998</v>
      </c>
      <c r="L60" s="140">
        <v>-14.03473</v>
      </c>
      <c r="M60" s="140">
        <v>-0.28722031283609201</v>
      </c>
      <c r="N60" s="140">
        <v>-17.308306309999999</v>
      </c>
      <c r="O60" s="140">
        <v>-6.3896273020000001</v>
      </c>
      <c r="P60" s="140">
        <v>-0.57338</v>
      </c>
      <c r="Q60" s="141">
        <v>-0.76931077410750093</v>
      </c>
      <c r="R60" s="142">
        <v>-0.51810999999999996</v>
      </c>
      <c r="S60" s="141">
        <v>-1.92906380085538</v>
      </c>
      <c r="T60" s="143">
        <v>3.4478548864587908</v>
      </c>
      <c r="U60" s="157">
        <v>0.59306579166666662</v>
      </c>
      <c r="V60" s="141">
        <v>0.32066289827758476</v>
      </c>
      <c r="W60" s="68" t="s">
        <v>41</v>
      </c>
    </row>
    <row r="61" spans="1:23" x14ac:dyDescent="0.25">
      <c r="A61" t="s">
        <v>47</v>
      </c>
      <c r="B61">
        <v>0.1</v>
      </c>
      <c r="C61" s="139" t="s">
        <v>186</v>
      </c>
      <c r="D61" s="144">
        <v>37.480473422999999</v>
      </c>
      <c r="E61" s="144">
        <v>4.5765274072572311</v>
      </c>
      <c r="F61" s="68">
        <v>1.0925450000000001</v>
      </c>
      <c r="G61" s="140">
        <v>0.69260500000000003</v>
      </c>
      <c r="H61" s="140" t="s">
        <v>186</v>
      </c>
      <c r="I61" s="140" t="s">
        <v>186</v>
      </c>
      <c r="J61" s="140" t="s">
        <v>186</v>
      </c>
      <c r="K61" s="140">
        <v>8.2089768706000008</v>
      </c>
      <c r="L61" s="140" t="s">
        <v>186</v>
      </c>
      <c r="M61" s="140" t="s">
        <v>186</v>
      </c>
      <c r="N61" s="140">
        <v>-54.604640255</v>
      </c>
      <c r="O61" s="140">
        <v>-17.228111925</v>
      </c>
      <c r="P61" s="140" t="s">
        <v>186</v>
      </c>
      <c r="Q61" s="141" t="s">
        <v>186</v>
      </c>
      <c r="R61" s="142">
        <v>-8.7873225000000001</v>
      </c>
      <c r="S61" s="141">
        <v>-2.1661063728942223</v>
      </c>
      <c r="T61" s="143">
        <v>2.2024643408684184</v>
      </c>
      <c r="U61" s="157">
        <v>0.83395659833333335</v>
      </c>
      <c r="V61" s="141">
        <v>0.20882387135923763</v>
      </c>
      <c r="W61" s="68" t="s">
        <v>47</v>
      </c>
    </row>
    <row r="62" spans="1:23" x14ac:dyDescent="0.25">
      <c r="A62" t="s">
        <v>20</v>
      </c>
      <c r="B62">
        <v>1</v>
      </c>
      <c r="C62" s="139">
        <v>43555</v>
      </c>
      <c r="D62" s="144">
        <v>9.6099071462500003</v>
      </c>
      <c r="E62" s="144">
        <v>17.985740619976259</v>
      </c>
      <c r="F62" s="68">
        <v>1.3104825</v>
      </c>
      <c r="G62" s="140">
        <v>0.76361749999999995</v>
      </c>
      <c r="H62" s="140">
        <v>0.89749446318166848</v>
      </c>
      <c r="I62" s="140">
        <v>2.3063350001903973</v>
      </c>
      <c r="J62" s="140">
        <v>20.755794999999999</v>
      </c>
      <c r="K62" s="140">
        <v>7.6098398352499999</v>
      </c>
      <c r="L62" s="140">
        <v>1.2579400000000001</v>
      </c>
      <c r="M62" s="140">
        <v>1.2528752075752558E-2</v>
      </c>
      <c r="N62" s="140">
        <v>16.949057527000001</v>
      </c>
      <c r="O62" s="140">
        <v>1.3430577939999999</v>
      </c>
      <c r="P62" s="140">
        <v>0.64866999999999997</v>
      </c>
      <c r="Q62" s="141">
        <v>0.86780244402599371</v>
      </c>
      <c r="R62" s="142">
        <v>9.3304880000000008</v>
      </c>
      <c r="S62" s="141">
        <v>0.19633494989776312</v>
      </c>
      <c r="T62" s="143">
        <v>0.77815718910608056</v>
      </c>
      <c r="U62" s="157">
        <v>0.39797605166666666</v>
      </c>
      <c r="V62" s="141">
        <v>0.40721836309013781</v>
      </c>
      <c r="W62" s="68" t="s">
        <v>20</v>
      </c>
    </row>
    <row r="63" spans="1:23" x14ac:dyDescent="0.25">
      <c r="A63" t="s">
        <v>24</v>
      </c>
      <c r="B63">
        <v>1</v>
      </c>
      <c r="C63" s="139">
        <v>43555</v>
      </c>
      <c r="D63" s="144" t="s">
        <v>186</v>
      </c>
      <c r="E63" s="144">
        <v>-6.3922830327522717E-2</v>
      </c>
      <c r="F63" s="68">
        <v>9.3422500000000006E-2</v>
      </c>
      <c r="G63" s="140">
        <v>9.3422500000000006E-2</v>
      </c>
      <c r="H63" s="140" t="s">
        <v>186</v>
      </c>
      <c r="I63" s="140" t="s">
        <v>186</v>
      </c>
      <c r="J63" s="140" t="s">
        <v>186</v>
      </c>
      <c r="K63" s="140" t="s">
        <v>186</v>
      </c>
      <c r="L63" s="140" t="s">
        <v>186</v>
      </c>
      <c r="M63" s="140" t="s">
        <v>186</v>
      </c>
      <c r="N63" s="140" t="s">
        <v>186</v>
      </c>
      <c r="O63" s="157">
        <v>220.28599817400001</v>
      </c>
      <c r="P63" s="140">
        <v>1.28782</v>
      </c>
      <c r="Q63" s="141">
        <v>-0.86531054095154092</v>
      </c>
      <c r="R63" s="142">
        <v>0.29460399999999998</v>
      </c>
      <c r="S63" s="141">
        <v>0.21686689895509814</v>
      </c>
      <c r="T63" s="143">
        <v>1.1476367561435548</v>
      </c>
      <c r="U63" s="157">
        <v>0</v>
      </c>
      <c r="V63" s="141" t="s">
        <v>186</v>
      </c>
      <c r="W63" s="68" t="s">
        <v>24</v>
      </c>
    </row>
    <row r="64" spans="1:23" x14ac:dyDescent="0.25">
      <c r="A64" s="70" t="s">
        <v>109</v>
      </c>
      <c r="B64" s="71"/>
      <c r="C64" s="158"/>
      <c r="D64" s="146">
        <v>24.324529320838892</v>
      </c>
      <c r="E64" s="146">
        <v>3.7982649858947504</v>
      </c>
      <c r="F64" s="147">
        <v>1.43198625</v>
      </c>
      <c r="G64" s="147">
        <v>1.0745162500000001</v>
      </c>
      <c r="H64" s="147">
        <v>0.92057078840884787</v>
      </c>
      <c r="I64" s="166">
        <v>257.75362832856575</v>
      </c>
      <c r="J64" s="166">
        <v>26.702577812500003</v>
      </c>
      <c r="K64" s="166">
        <v>14.780182457752776</v>
      </c>
      <c r="L64" s="149">
        <v>75.028548750000013</v>
      </c>
      <c r="M64" s="147">
        <v>0.18941896778363781</v>
      </c>
      <c r="N64" s="147">
        <v>14.771200095766668</v>
      </c>
      <c r="O64" s="147">
        <v>30.112386310310001</v>
      </c>
      <c r="P64" s="147">
        <v>1.8896600000000001</v>
      </c>
      <c r="Q64" s="169">
        <v>0.13033914924679837</v>
      </c>
      <c r="R64" s="149">
        <v>-141.81366385000001</v>
      </c>
      <c r="S64" s="150">
        <v>-0.15336437450924095</v>
      </c>
      <c r="T64" s="150">
        <v>3.601939342306379</v>
      </c>
      <c r="U64" s="166">
        <v>1.0370403938333332</v>
      </c>
      <c r="V64" s="148">
        <v>0.36006265903439794</v>
      </c>
      <c r="W64" s="79" t="s">
        <v>110</v>
      </c>
    </row>
    <row r="65" spans="1:23" ht="7.5" customHeight="1" x14ac:dyDescent="0.25">
      <c r="C65" s="139"/>
      <c r="D65" s="144"/>
      <c r="E65" s="144"/>
      <c r="F65" s="68"/>
      <c r="Q65" s="143"/>
      <c r="R65" s="142"/>
      <c r="S65" s="143"/>
      <c r="T65" s="143"/>
      <c r="U65" s="167"/>
      <c r="V65" s="141"/>
      <c r="W65" s="68"/>
    </row>
    <row r="66" spans="1:23" x14ac:dyDescent="0.25">
      <c r="A66" s="58" t="s">
        <v>122</v>
      </c>
      <c r="B66" s="83"/>
      <c r="C66" s="159"/>
      <c r="D66" s="152"/>
      <c r="E66" s="152"/>
      <c r="F66" s="89"/>
      <c r="G66" s="83"/>
      <c r="H66" s="83"/>
      <c r="I66" s="83"/>
      <c r="J66" s="83"/>
      <c r="K66" s="83"/>
      <c r="L66" s="83"/>
      <c r="M66" s="83"/>
      <c r="N66" s="83"/>
      <c r="O66" s="83"/>
      <c r="P66" s="83"/>
      <c r="Q66" s="156"/>
      <c r="R66" s="155"/>
      <c r="S66" s="156"/>
      <c r="T66" s="156"/>
      <c r="U66" s="168"/>
      <c r="V66" s="154"/>
      <c r="W66" s="89"/>
    </row>
    <row r="67" spans="1:23" x14ac:dyDescent="0.25">
      <c r="A67" t="s">
        <v>32</v>
      </c>
      <c r="B67">
        <v>1</v>
      </c>
      <c r="C67" s="139">
        <v>43555</v>
      </c>
      <c r="D67" s="144" t="s">
        <v>186</v>
      </c>
      <c r="E67" s="144">
        <v>9.7209322657121842</v>
      </c>
      <c r="F67" s="68">
        <v>1.9571225000000001</v>
      </c>
      <c r="G67" s="140">
        <v>1.9442124999999999</v>
      </c>
      <c r="H67" s="140" t="s">
        <v>186</v>
      </c>
      <c r="I67" s="140" t="s">
        <v>186</v>
      </c>
      <c r="J67" s="140" t="s">
        <v>186</v>
      </c>
      <c r="K67" s="140" t="s">
        <v>186</v>
      </c>
      <c r="L67" s="140" t="s">
        <v>186</v>
      </c>
      <c r="M67" s="140" t="s">
        <v>186</v>
      </c>
      <c r="N67" s="140">
        <v>-34.344471654000003</v>
      </c>
      <c r="O67" s="140">
        <v>-2.3580277789999999</v>
      </c>
      <c r="P67" s="140" t="s">
        <v>186</v>
      </c>
      <c r="Q67" s="141">
        <v>0.66197379425703928</v>
      </c>
      <c r="R67" s="142">
        <v>3.6</v>
      </c>
      <c r="S67" s="141">
        <v>0.60263241907821286</v>
      </c>
      <c r="T67" s="143">
        <v>3.5728048934166314</v>
      </c>
      <c r="U67" s="157">
        <v>13.573892666666666</v>
      </c>
      <c r="V67" s="141">
        <v>0.72169888504464708</v>
      </c>
      <c r="W67" s="68" t="s">
        <v>32</v>
      </c>
    </row>
    <row r="68" spans="1:23" x14ac:dyDescent="0.25">
      <c r="A68" t="s">
        <v>27</v>
      </c>
      <c r="B68">
        <v>1</v>
      </c>
      <c r="C68" s="139">
        <v>43555</v>
      </c>
      <c r="D68" s="140" t="s">
        <v>186</v>
      </c>
      <c r="E68" s="140">
        <v>1.9080662485675874</v>
      </c>
      <c r="F68" s="68">
        <v>4.63429</v>
      </c>
      <c r="G68" s="140">
        <v>4.6239299999999997</v>
      </c>
      <c r="H68" s="140">
        <v>9.5606769047661647E-2</v>
      </c>
      <c r="I68" s="140" t="s">
        <v>186</v>
      </c>
      <c r="J68" s="140">
        <v>66.817914999999999</v>
      </c>
      <c r="K68" s="140">
        <v>51.032278606174998</v>
      </c>
      <c r="L68" s="140">
        <v>7.047555</v>
      </c>
      <c r="M68" s="140">
        <v>-0.13515306593266235</v>
      </c>
      <c r="N68" s="140">
        <v>-3.3671436219999999</v>
      </c>
      <c r="O68" s="140">
        <v>-1.3524726479</v>
      </c>
      <c r="P68" s="140">
        <v>-6.7047800000000004</v>
      </c>
      <c r="Q68" s="141">
        <v>1.0515315454786984</v>
      </c>
      <c r="R68" s="142">
        <v>5095.3047999999999</v>
      </c>
      <c r="S68" s="141">
        <v>1.1481590958273875</v>
      </c>
      <c r="T68" s="143">
        <v>2.5766597493384271</v>
      </c>
      <c r="U68" s="157">
        <v>3.5522290000000001</v>
      </c>
      <c r="V68" s="141">
        <v>0.29437543064667171</v>
      </c>
      <c r="W68" s="68" t="s">
        <v>27</v>
      </c>
    </row>
    <row r="69" spans="1:23" x14ac:dyDescent="0.25">
      <c r="A69" t="s">
        <v>37</v>
      </c>
      <c r="B69">
        <v>0.1</v>
      </c>
      <c r="C69" s="139">
        <v>43555</v>
      </c>
      <c r="D69" s="140" t="s">
        <v>186</v>
      </c>
      <c r="E69" s="140">
        <v>17.369960385225511</v>
      </c>
      <c r="F69" s="68">
        <v>1.7341599999999999</v>
      </c>
      <c r="G69" s="140">
        <v>1.6342825000000001</v>
      </c>
      <c r="H69" s="140" t="s">
        <v>186</v>
      </c>
      <c r="I69" s="140" t="s">
        <v>186</v>
      </c>
      <c r="J69" s="140" t="s">
        <v>186</v>
      </c>
      <c r="K69" s="140" t="s">
        <v>186</v>
      </c>
      <c r="L69" s="140" t="s">
        <v>186</v>
      </c>
      <c r="M69" s="140" t="s">
        <v>186</v>
      </c>
      <c r="N69" s="140">
        <v>-72.026535416000002</v>
      </c>
      <c r="O69" s="140">
        <v>-3.2584320409999998</v>
      </c>
      <c r="P69" s="140" t="s">
        <v>186</v>
      </c>
      <c r="Q69" s="141">
        <v>0.54013761467889909</v>
      </c>
      <c r="R69" s="142">
        <v>-2409.6</v>
      </c>
      <c r="S69" s="141">
        <v>2.0487332747657625</v>
      </c>
      <c r="T69" s="143">
        <v>17.409483234409624</v>
      </c>
      <c r="U69" s="157">
        <v>16.523061166666665</v>
      </c>
      <c r="V69" s="141">
        <v>0.61682291561831537</v>
      </c>
      <c r="W69" s="68" t="s">
        <v>37</v>
      </c>
    </row>
    <row r="70" spans="1:23" x14ac:dyDescent="0.25">
      <c r="A70" t="s">
        <v>76</v>
      </c>
      <c r="B70">
        <v>1</v>
      </c>
      <c r="C70" s="139">
        <v>43555</v>
      </c>
      <c r="D70" s="140" t="s">
        <v>186</v>
      </c>
      <c r="E70" s="140">
        <v>1.8391593904071306</v>
      </c>
      <c r="F70" s="68">
        <v>3.1921349999999999</v>
      </c>
      <c r="G70" s="140">
        <v>1.516985</v>
      </c>
      <c r="H70" s="140">
        <v>7.8351538435511389E-2</v>
      </c>
      <c r="I70" s="140">
        <v>1.3353386949908281</v>
      </c>
      <c r="J70" s="140">
        <v>55.59442</v>
      </c>
      <c r="K70" s="140">
        <v>-26.3062960275</v>
      </c>
      <c r="L70" s="140">
        <v>307.62531000000001</v>
      </c>
      <c r="M70" s="140">
        <v>0.64155473601335478</v>
      </c>
      <c r="N70" s="140">
        <v>11.050424984999999</v>
      </c>
      <c r="O70" s="140">
        <v>8.281127262</v>
      </c>
      <c r="P70" s="140">
        <v>4.3127899999999997</v>
      </c>
      <c r="Q70" s="141">
        <v>1.1656036220376251</v>
      </c>
      <c r="R70" s="142">
        <v>732.84199999999998</v>
      </c>
      <c r="S70" s="141">
        <v>0.79341448917564339</v>
      </c>
      <c r="T70" s="143">
        <v>4.2662479307272916</v>
      </c>
      <c r="U70" s="157">
        <v>5.2407336666666673</v>
      </c>
      <c r="V70" s="141">
        <v>1.6172100124711051</v>
      </c>
      <c r="W70" s="68" t="s">
        <v>76</v>
      </c>
    </row>
    <row r="71" spans="1:23" x14ac:dyDescent="0.25">
      <c r="A71" s="70" t="s">
        <v>109</v>
      </c>
      <c r="B71" s="71"/>
      <c r="C71" s="158"/>
      <c r="D71" s="146" t="s">
        <v>186</v>
      </c>
      <c r="E71" s="146">
        <v>7.709529572478103</v>
      </c>
      <c r="F71" s="147">
        <v>2.8794268750000001</v>
      </c>
      <c r="G71" s="147">
        <v>2.4298525</v>
      </c>
      <c r="H71" s="147">
        <v>8.6979153741586518E-2</v>
      </c>
      <c r="I71" s="147">
        <v>1.3353386949908281</v>
      </c>
      <c r="J71" s="147">
        <v>61.206167499999999</v>
      </c>
      <c r="K71" s="147">
        <v>12.362991289337499</v>
      </c>
      <c r="L71" s="147">
        <v>157.3364325</v>
      </c>
      <c r="M71" s="147">
        <v>0.25320083504034618</v>
      </c>
      <c r="N71" s="147">
        <v>-24.67193142675</v>
      </c>
      <c r="O71" s="147">
        <v>0.32804869852499996</v>
      </c>
      <c r="P71" s="147">
        <v>-1.1959950000000004</v>
      </c>
      <c r="Q71" s="148">
        <v>0.85481164411306554</v>
      </c>
      <c r="R71" s="149">
        <v>855.53670000000011</v>
      </c>
      <c r="S71" s="150">
        <v>1.1482348197117516</v>
      </c>
      <c r="T71" s="150">
        <v>6.9562989519729941</v>
      </c>
      <c r="U71" s="166">
        <v>9.7224791249999996</v>
      </c>
      <c r="V71" s="148">
        <v>0.81252681094518486</v>
      </c>
      <c r="W71" s="79" t="s">
        <v>110</v>
      </c>
    </row>
    <row r="72" spans="1:23" ht="5.25" customHeight="1" x14ac:dyDescent="0.25">
      <c r="C72" s="139"/>
      <c r="D72" s="144"/>
      <c r="E72" s="144"/>
      <c r="F72" s="68"/>
      <c r="Q72" s="143"/>
      <c r="R72" s="142"/>
      <c r="S72" s="143"/>
      <c r="T72" s="143"/>
      <c r="U72" s="167"/>
      <c r="V72" s="141"/>
      <c r="W72" s="68"/>
    </row>
    <row r="73" spans="1:23" x14ac:dyDescent="0.25">
      <c r="A73" s="58" t="s">
        <v>123</v>
      </c>
      <c r="B73" s="83"/>
      <c r="C73" s="159"/>
      <c r="D73" s="152"/>
      <c r="E73" s="152"/>
      <c r="F73" s="89"/>
      <c r="G73" s="83"/>
      <c r="H73" s="83"/>
      <c r="I73" s="83"/>
      <c r="J73" s="83"/>
      <c r="K73" s="83"/>
      <c r="L73" s="83"/>
      <c r="M73" s="83"/>
      <c r="N73" s="83"/>
      <c r="O73" s="83"/>
      <c r="P73" s="83"/>
      <c r="Q73" s="156"/>
      <c r="R73" s="155"/>
      <c r="S73" s="156"/>
      <c r="T73" s="156"/>
      <c r="U73" s="168"/>
      <c r="V73" s="154"/>
      <c r="W73" s="89"/>
    </row>
    <row r="74" spans="1:23" x14ac:dyDescent="0.25">
      <c r="A74" t="s">
        <v>45</v>
      </c>
      <c r="B74">
        <v>1</v>
      </c>
      <c r="C74" s="139">
        <v>43555</v>
      </c>
      <c r="D74" s="144">
        <v>15.541654109750001</v>
      </c>
      <c r="E74" s="144">
        <v>1.2823098249842368</v>
      </c>
      <c r="F74" s="68">
        <v>1.6846125000000001</v>
      </c>
      <c r="G74" s="140">
        <v>0.44464500000000001</v>
      </c>
      <c r="H74" s="140">
        <v>0.7218986928877541</v>
      </c>
      <c r="I74" s="140">
        <v>10.760668218534509</v>
      </c>
      <c r="J74" s="140">
        <v>23.900022499999999</v>
      </c>
      <c r="K74" s="140">
        <v>12.8418044363</v>
      </c>
      <c r="L74" s="140">
        <v>12.677265</v>
      </c>
      <c r="M74" s="140">
        <v>0.17905816547125172</v>
      </c>
      <c r="N74" s="140">
        <v>15.473833073</v>
      </c>
      <c r="O74" s="140">
        <v>12.174211162000001</v>
      </c>
      <c r="P74" s="140">
        <v>2.6101399999999999</v>
      </c>
      <c r="Q74" s="141">
        <v>-0.85216713482370987</v>
      </c>
      <c r="R74" s="142">
        <v>6812.6016</v>
      </c>
      <c r="S74" s="141">
        <v>0.44492656672514008</v>
      </c>
      <c r="T74" s="143">
        <v>0.67329814695266932</v>
      </c>
      <c r="U74" s="157">
        <v>37.491127166666665</v>
      </c>
      <c r="V74" s="141">
        <v>0.3585982856896488</v>
      </c>
      <c r="W74" s="68" t="s">
        <v>45</v>
      </c>
    </row>
    <row r="75" spans="1:23" x14ac:dyDescent="0.25">
      <c r="A75" t="s">
        <v>28</v>
      </c>
      <c r="B75">
        <v>0.01</v>
      </c>
      <c r="C75" s="139">
        <v>43555</v>
      </c>
      <c r="D75" s="140">
        <v>81.701819117750006</v>
      </c>
      <c r="E75" s="140">
        <v>2.4194814931899149</v>
      </c>
      <c r="F75" s="68">
        <v>0.9475325</v>
      </c>
      <c r="G75" s="140">
        <v>0.55103000000000002</v>
      </c>
      <c r="H75" s="140">
        <v>1.0902192072097565</v>
      </c>
      <c r="I75" s="140">
        <v>7.1256530589508333</v>
      </c>
      <c r="J75" s="140">
        <v>26.896070000000002</v>
      </c>
      <c r="K75" s="140">
        <v>18.592724444249999</v>
      </c>
      <c r="L75" s="140">
        <v>6.9435824999999998</v>
      </c>
      <c r="M75" s="140">
        <v>1.6230353632350824E-2</v>
      </c>
      <c r="N75" s="140">
        <v>20.455557996</v>
      </c>
      <c r="O75" s="140">
        <v>9.4956538070000001</v>
      </c>
      <c r="P75" s="140">
        <v>3.83812</v>
      </c>
      <c r="Q75" s="141">
        <v>2.0500109288930979E-2</v>
      </c>
      <c r="R75" s="142">
        <v>1563.8289580000001</v>
      </c>
      <c r="S75" s="141" t="s">
        <v>186</v>
      </c>
      <c r="T75" s="143">
        <v>2.9534833750160359</v>
      </c>
      <c r="U75" s="157">
        <v>15.07300888</v>
      </c>
      <c r="V75" s="141" t="s">
        <v>186</v>
      </c>
      <c r="W75" s="68" t="s">
        <v>28</v>
      </c>
    </row>
    <row r="76" spans="1:23" x14ac:dyDescent="0.25">
      <c r="A76" t="s">
        <v>18</v>
      </c>
      <c r="B76">
        <v>0</v>
      </c>
      <c r="C76" s="139">
        <v>43555</v>
      </c>
      <c r="D76" s="140">
        <v>69.458127309250003</v>
      </c>
      <c r="E76" s="140">
        <v>2.2815240691572267</v>
      </c>
      <c r="F76" s="68">
        <v>1.3455725000000001</v>
      </c>
      <c r="G76" s="140">
        <v>0.43612499999999998</v>
      </c>
      <c r="H76" s="140">
        <v>0.80034845061015758</v>
      </c>
      <c r="I76" s="140">
        <v>-1.9508794911764138</v>
      </c>
      <c r="J76" s="140">
        <v>29.676942499999999</v>
      </c>
      <c r="K76" s="140">
        <v>23.509570359350001</v>
      </c>
      <c r="L76" s="140">
        <v>15.1358025</v>
      </c>
      <c r="M76" s="140">
        <v>0.10030292508735324</v>
      </c>
      <c r="N76" s="140">
        <v>33.556148696000001</v>
      </c>
      <c r="O76" s="140">
        <v>16.000603581</v>
      </c>
      <c r="P76" s="140">
        <v>1.9819800000000001</v>
      </c>
      <c r="Q76" s="141">
        <v>0.16155500331824491</v>
      </c>
      <c r="R76" s="142">
        <v>2070.8968580000001</v>
      </c>
      <c r="S76" s="141">
        <v>0.74708110226938729</v>
      </c>
      <c r="T76" s="143">
        <v>0.79023479771360172</v>
      </c>
      <c r="U76" s="157">
        <v>12.131490980000001</v>
      </c>
      <c r="V76" s="141">
        <v>0.3256212877635265</v>
      </c>
      <c r="W76" s="68" t="s">
        <v>18</v>
      </c>
    </row>
    <row r="77" spans="1:23" x14ac:dyDescent="0.25">
      <c r="A77" t="s">
        <v>77</v>
      </c>
      <c r="B77">
        <v>1</v>
      </c>
      <c r="C77" s="139">
        <v>43555</v>
      </c>
      <c r="D77" s="140">
        <v>17.7552240855</v>
      </c>
      <c r="E77" s="140">
        <v>2.0405453334272181</v>
      </c>
      <c r="F77" s="68">
        <v>0.70190750000000002</v>
      </c>
      <c r="G77" s="140">
        <v>0.32652249999999999</v>
      </c>
      <c r="H77" s="140">
        <v>1.3677604052928394</v>
      </c>
      <c r="I77" s="140">
        <v>15.085796952526955</v>
      </c>
      <c r="J77" s="140">
        <v>34.618839999999999</v>
      </c>
      <c r="K77" s="140">
        <v>13.1174773265</v>
      </c>
      <c r="L77" s="140">
        <v>15.87491</v>
      </c>
      <c r="M77" s="140">
        <v>-4.1385919579249565E-2</v>
      </c>
      <c r="N77" s="140">
        <v>42.135100536000003</v>
      </c>
      <c r="O77" s="140">
        <v>21.880067261000001</v>
      </c>
      <c r="P77" s="140">
        <v>6.2421499999999996</v>
      </c>
      <c r="Q77" s="141">
        <v>0.40735222242445546</v>
      </c>
      <c r="R77" s="142">
        <v>1081.3047260000001</v>
      </c>
      <c r="S77" s="141">
        <v>1.2037708958785114</v>
      </c>
      <c r="T77" s="143">
        <v>2.3903199037954104</v>
      </c>
      <c r="U77" s="157">
        <v>6.684688968333333</v>
      </c>
      <c r="V77" s="141">
        <v>0.38722460135389603</v>
      </c>
      <c r="W77" s="68" t="s">
        <v>77</v>
      </c>
    </row>
    <row r="78" spans="1:23" x14ac:dyDescent="0.25">
      <c r="A78" t="s">
        <v>35</v>
      </c>
      <c r="B78">
        <v>1</v>
      </c>
      <c r="C78" s="139">
        <v>43555</v>
      </c>
      <c r="D78" s="144">
        <v>171.65677045375</v>
      </c>
      <c r="E78" s="144">
        <v>3.3007028057509293</v>
      </c>
      <c r="F78" s="68">
        <v>1.496515</v>
      </c>
      <c r="G78" s="140">
        <v>1.2204225</v>
      </c>
      <c r="H78" s="140">
        <v>1.2567537478702</v>
      </c>
      <c r="I78" s="140">
        <v>10.723157922391739</v>
      </c>
      <c r="J78" s="140">
        <v>20.781434999999998</v>
      </c>
      <c r="K78" s="140">
        <v>8.0724900789999996</v>
      </c>
      <c r="L78" s="140">
        <v>4.6914600000000002</v>
      </c>
      <c r="M78" s="140">
        <v>3.7810469020995864E-2</v>
      </c>
      <c r="N78" s="140">
        <v>23.749093373000001</v>
      </c>
      <c r="O78" s="140">
        <v>7.6404743670000004</v>
      </c>
      <c r="P78" s="140">
        <v>2.7082099999999998</v>
      </c>
      <c r="Q78" s="141">
        <v>-1.1865033864068442</v>
      </c>
      <c r="R78" s="142">
        <v>380.00279999999998</v>
      </c>
      <c r="S78" s="141">
        <v>-2.7309815934421549</v>
      </c>
      <c r="T78" s="143">
        <v>1.5289440278968773</v>
      </c>
      <c r="U78" s="157">
        <v>10.033262833333334</v>
      </c>
      <c r="V78" s="141">
        <v>0.3418705814069698</v>
      </c>
      <c r="W78" s="68" t="s">
        <v>35</v>
      </c>
    </row>
    <row r="79" spans="1:23" x14ac:dyDescent="0.25">
      <c r="A79" t="s">
        <v>34</v>
      </c>
      <c r="B79">
        <v>1</v>
      </c>
      <c r="C79" s="139">
        <v>43524</v>
      </c>
      <c r="D79" s="144">
        <v>61.890021975000003</v>
      </c>
      <c r="E79" s="144">
        <v>2.6738677174541357</v>
      </c>
      <c r="F79" s="68">
        <v>1.1645274999999999</v>
      </c>
      <c r="G79" s="140">
        <v>0.43383500000000003</v>
      </c>
      <c r="H79" s="140">
        <v>0.77573386146489631</v>
      </c>
      <c r="I79" s="140">
        <v>1.1540292167239423</v>
      </c>
      <c r="J79" s="140">
        <v>28.593139999999998</v>
      </c>
      <c r="K79" s="140">
        <v>18.89529358675</v>
      </c>
      <c r="L79" s="140">
        <v>4.1096599999999999</v>
      </c>
      <c r="M79" s="140">
        <v>2.2299995202872392E-2</v>
      </c>
      <c r="N79" s="140">
        <v>8.1507186029999996</v>
      </c>
      <c r="O79" s="140">
        <v>3.066520401</v>
      </c>
      <c r="P79" s="140">
        <v>0.63109000000000004</v>
      </c>
      <c r="Q79" s="141">
        <v>1.8440063045994233</v>
      </c>
      <c r="R79" s="142">
        <v>64.950745999999995</v>
      </c>
      <c r="S79" s="141">
        <v>3.9512697462372071E-2</v>
      </c>
      <c r="T79" s="143">
        <v>0.34749555267198395</v>
      </c>
      <c r="U79" s="157">
        <v>1.5677600183333333</v>
      </c>
      <c r="V79" s="141">
        <v>0.19534784129587868</v>
      </c>
      <c r="W79" s="68" t="s">
        <v>34</v>
      </c>
    </row>
    <row r="80" spans="1:23" x14ac:dyDescent="0.25">
      <c r="A80" t="s">
        <v>56</v>
      </c>
      <c r="B80">
        <v>0.1</v>
      </c>
      <c r="C80" s="139">
        <v>43524</v>
      </c>
      <c r="D80" s="144">
        <v>367.73512837999999</v>
      </c>
      <c r="E80" s="144">
        <v>5.8532535670782782</v>
      </c>
      <c r="F80" s="68">
        <v>0.60898249999999998</v>
      </c>
      <c r="G80" s="140">
        <v>0.39636749999999998</v>
      </c>
      <c r="H80" s="140">
        <v>0.85435362044272212</v>
      </c>
      <c r="I80" s="140">
        <v>8.8298923565042138</v>
      </c>
      <c r="J80" s="140">
        <v>24.556507499999999</v>
      </c>
      <c r="K80" s="140">
        <v>13.97451713175</v>
      </c>
      <c r="L80" s="140">
        <v>-17.537154999999998</v>
      </c>
      <c r="M80" s="140">
        <v>-5.1544384608225212E-2</v>
      </c>
      <c r="N80" s="140">
        <v>-43.857512026000002</v>
      </c>
      <c r="O80" s="140">
        <v>-8.9141702939999998</v>
      </c>
      <c r="P80" s="140">
        <v>-9.0050000000000005E-2</v>
      </c>
      <c r="Q80" s="141">
        <v>12.326857901540826</v>
      </c>
      <c r="R80" s="142">
        <v>-347.85520000000002</v>
      </c>
      <c r="S80" s="141">
        <v>0.73056699318724494</v>
      </c>
      <c r="T80" s="143">
        <v>1.6019281457316412</v>
      </c>
      <c r="U80" s="157">
        <v>3.5155433333333335</v>
      </c>
      <c r="V80" s="141">
        <v>0.22436808489956883</v>
      </c>
      <c r="W80" s="68" t="s">
        <v>56</v>
      </c>
    </row>
    <row r="81" spans="1:23" x14ac:dyDescent="0.25">
      <c r="A81" t="s">
        <v>10</v>
      </c>
      <c r="B81" s="39">
        <v>1</v>
      </c>
      <c r="C81" s="170" t="s">
        <v>186</v>
      </c>
      <c r="D81" s="144" t="s">
        <v>186</v>
      </c>
      <c r="E81" s="144" t="s">
        <v>186</v>
      </c>
      <c r="F81" s="68" t="s">
        <v>186</v>
      </c>
      <c r="G81" s="140" t="s">
        <v>186</v>
      </c>
      <c r="H81" s="140" t="s">
        <v>186</v>
      </c>
      <c r="I81" s="140" t="s">
        <v>186</v>
      </c>
      <c r="J81" s="140" t="s">
        <v>186</v>
      </c>
      <c r="K81" s="140" t="s">
        <v>186</v>
      </c>
      <c r="L81" s="140" t="s">
        <v>186</v>
      </c>
      <c r="M81" s="140" t="s">
        <v>186</v>
      </c>
      <c r="N81" s="140" t="s">
        <v>186</v>
      </c>
      <c r="O81" s="140" t="s">
        <v>186</v>
      </c>
      <c r="P81" s="140" t="s">
        <v>186</v>
      </c>
      <c r="Q81" s="141" t="s">
        <v>186</v>
      </c>
      <c r="R81" s="142" t="s">
        <v>186</v>
      </c>
      <c r="S81" s="141" t="s">
        <v>186</v>
      </c>
      <c r="T81" s="143" t="s">
        <v>186</v>
      </c>
      <c r="U81" s="157" t="s">
        <v>186</v>
      </c>
      <c r="V81" s="141" t="s">
        <v>186</v>
      </c>
      <c r="W81" s="68" t="s">
        <v>10</v>
      </c>
    </row>
    <row r="82" spans="1:23" x14ac:dyDescent="0.25">
      <c r="A82" t="s">
        <v>49</v>
      </c>
      <c r="B82">
        <v>1</v>
      </c>
      <c r="C82" s="139">
        <v>43555</v>
      </c>
      <c r="D82" s="144">
        <v>148.24641882924999</v>
      </c>
      <c r="E82" s="144">
        <v>3.5259380073190694</v>
      </c>
      <c r="F82" s="68">
        <v>0.97475750000000005</v>
      </c>
      <c r="G82" s="140">
        <v>0.58325749999999998</v>
      </c>
      <c r="H82" s="140">
        <v>0.95172526265078594</v>
      </c>
      <c r="I82" s="140">
        <v>4.082164884429079</v>
      </c>
      <c r="J82" s="140">
        <v>8.3060299999999998</v>
      </c>
      <c r="K82" s="140">
        <v>-2.8087016729999998</v>
      </c>
      <c r="L82" s="140">
        <v>-8.8623949999999994</v>
      </c>
      <c r="M82" s="140">
        <v>-7.3418390414076731E-2</v>
      </c>
      <c r="N82" s="140">
        <v>-38.805955261999998</v>
      </c>
      <c r="O82" s="140">
        <v>-10.857575183</v>
      </c>
      <c r="P82" s="140">
        <v>-0.89176</v>
      </c>
      <c r="Q82" s="141">
        <v>0.97174568714181575</v>
      </c>
      <c r="R82" s="142">
        <v>-2.6954340000000001</v>
      </c>
      <c r="S82" s="141">
        <v>-9.2830045693370167E-2</v>
      </c>
      <c r="T82" s="143">
        <v>48.975749972881978</v>
      </c>
      <c r="U82" s="157">
        <v>0.40992541833333329</v>
      </c>
      <c r="V82" s="141">
        <v>0.21209828656348573</v>
      </c>
      <c r="W82" s="68" t="s">
        <v>49</v>
      </c>
    </row>
    <row r="83" spans="1:23" x14ac:dyDescent="0.25">
      <c r="A83" t="s">
        <v>61</v>
      </c>
      <c r="B83">
        <v>1</v>
      </c>
      <c r="C83" s="139">
        <v>43496</v>
      </c>
      <c r="D83" s="144">
        <v>5.3970465857500001</v>
      </c>
      <c r="E83" s="144">
        <v>2.6694432998479658</v>
      </c>
      <c r="F83" s="68">
        <v>1.8896975</v>
      </c>
      <c r="G83" s="140">
        <v>1.2186349999999999</v>
      </c>
      <c r="H83" s="140" t="s">
        <v>186</v>
      </c>
      <c r="I83" s="140" t="s">
        <v>186</v>
      </c>
      <c r="J83" s="140" t="s">
        <v>186</v>
      </c>
      <c r="K83" s="140">
        <v>3.6578333685</v>
      </c>
      <c r="L83" s="140" t="s">
        <v>186</v>
      </c>
      <c r="M83" s="140" t="s">
        <v>186</v>
      </c>
      <c r="N83" s="140">
        <v>13.095156750999999</v>
      </c>
      <c r="O83" s="140">
        <v>3.4323863550000002</v>
      </c>
      <c r="P83" s="140" t="s">
        <v>186</v>
      </c>
      <c r="Q83" s="141">
        <v>1.0865102639296187</v>
      </c>
      <c r="R83" s="142">
        <v>-22.934799999999999</v>
      </c>
      <c r="S83" s="141">
        <v>-1.9513402787750587</v>
      </c>
      <c r="T83" s="143">
        <v>1.5355169662532213</v>
      </c>
      <c r="U83" s="157">
        <v>0.47856816666666668</v>
      </c>
      <c r="V83" s="141">
        <v>2.4124545291415611E-2</v>
      </c>
      <c r="W83" s="68" t="s">
        <v>61</v>
      </c>
    </row>
    <row r="84" spans="1:23" x14ac:dyDescent="0.25">
      <c r="A84" s="70" t="s">
        <v>109</v>
      </c>
      <c r="B84" s="71"/>
      <c r="C84" s="71"/>
      <c r="D84" s="146">
        <v>104.37580120511112</v>
      </c>
      <c r="E84" s="146">
        <v>2.8941184575787755</v>
      </c>
      <c r="F84" s="147">
        <v>1.2015672222222225</v>
      </c>
      <c r="G84" s="147">
        <v>0.62342666666666668</v>
      </c>
      <c r="H84" s="147">
        <v>0.97734915605363903</v>
      </c>
      <c r="I84" s="147">
        <v>6.9763103898606076</v>
      </c>
      <c r="J84" s="147">
        <v>24.666123437499998</v>
      </c>
      <c r="K84" s="147">
        <v>12.205889895488887</v>
      </c>
      <c r="L84" s="147">
        <v>4.12914125</v>
      </c>
      <c r="M84" s="147">
        <v>2.3669151726659073E-2</v>
      </c>
      <c r="N84" s="147">
        <v>8.2169046377777804</v>
      </c>
      <c r="O84" s="147">
        <v>5.9909079396666662</v>
      </c>
      <c r="P84" s="147">
        <v>2.1287349999999998</v>
      </c>
      <c r="Q84" s="148">
        <v>1.6422063301125289</v>
      </c>
      <c r="R84" s="149">
        <v>1288.9000282222223</v>
      </c>
      <c r="S84" s="150">
        <v>-0.20116170779849096</v>
      </c>
      <c r="T84" s="150">
        <v>6.7552189876570461</v>
      </c>
      <c r="U84" s="166">
        <v>9.7094861961111096</v>
      </c>
      <c r="V84" s="148">
        <v>0.25865668928304875</v>
      </c>
      <c r="W84" s="79" t="s">
        <v>110</v>
      </c>
    </row>
    <row r="85" spans="1:23" ht="26.25" customHeight="1" x14ac:dyDescent="0.25">
      <c r="A85" s="98"/>
      <c r="B85" s="31"/>
      <c r="C85" s="31"/>
      <c r="D85" s="160"/>
      <c r="E85" s="160"/>
      <c r="F85" s="31"/>
      <c r="G85" s="31"/>
      <c r="H85" s="31"/>
      <c r="I85" s="31"/>
      <c r="J85" s="31"/>
      <c r="K85" s="31"/>
      <c r="L85" s="31"/>
      <c r="M85" s="31"/>
      <c r="N85" s="31"/>
      <c r="O85" s="31"/>
      <c r="P85" s="31"/>
      <c r="Q85" s="31"/>
      <c r="R85" s="31"/>
      <c r="S85" s="31"/>
      <c r="T85" s="31"/>
      <c r="U85" s="31"/>
      <c r="V85" s="31"/>
      <c r="W85" s="98"/>
    </row>
    <row r="86" spans="1:23" x14ac:dyDescent="0.25">
      <c r="A86" s="125" t="s">
        <v>4</v>
      </c>
      <c r="B86" s="126" t="s">
        <v>132</v>
      </c>
      <c r="C86" s="127" t="s">
        <v>133</v>
      </c>
      <c r="D86" s="161" t="s">
        <v>134</v>
      </c>
      <c r="E86" s="162"/>
      <c r="F86" s="128" t="s">
        <v>135</v>
      </c>
      <c r="G86" s="129"/>
      <c r="H86" s="128" t="s">
        <v>136</v>
      </c>
      <c r="I86" s="129"/>
      <c r="J86" s="125" t="s">
        <v>137</v>
      </c>
      <c r="K86" s="163"/>
      <c r="L86" s="163"/>
      <c r="M86" s="163"/>
      <c r="N86" s="163"/>
      <c r="O86" s="163"/>
      <c r="P86" s="163"/>
      <c r="Q86" s="163"/>
      <c r="R86" s="163"/>
      <c r="S86" s="163"/>
      <c r="T86" s="163"/>
      <c r="U86" s="163"/>
      <c r="V86" s="164"/>
      <c r="W86" s="125" t="s">
        <v>4</v>
      </c>
    </row>
    <row r="87" spans="1:23" ht="36" x14ac:dyDescent="0.25">
      <c r="A87" s="131"/>
      <c r="B87" s="132"/>
      <c r="C87" s="133"/>
      <c r="D87" s="171" t="s">
        <v>138</v>
      </c>
      <c r="E87" s="171" t="s">
        <v>139</v>
      </c>
      <c r="F87" s="134" t="s">
        <v>140</v>
      </c>
      <c r="G87" s="134" t="s">
        <v>141</v>
      </c>
      <c r="H87" s="134" t="s">
        <v>142</v>
      </c>
      <c r="I87" s="134" t="s">
        <v>143</v>
      </c>
      <c r="J87" s="134" t="s">
        <v>144</v>
      </c>
      <c r="K87" s="134" t="s">
        <v>145</v>
      </c>
      <c r="L87" s="134" t="s">
        <v>146</v>
      </c>
      <c r="M87" s="134" t="s">
        <v>147</v>
      </c>
      <c r="N87" s="134" t="s">
        <v>148</v>
      </c>
      <c r="O87" s="134" t="s">
        <v>149</v>
      </c>
      <c r="P87" s="165" t="s">
        <v>150</v>
      </c>
      <c r="Q87" s="165" t="s">
        <v>242</v>
      </c>
      <c r="R87" s="165" t="s">
        <v>152</v>
      </c>
      <c r="S87" s="165" t="s">
        <v>153</v>
      </c>
      <c r="T87" s="165" t="s">
        <v>154</v>
      </c>
      <c r="U87" s="165" t="s">
        <v>155</v>
      </c>
      <c r="V87" s="165" t="s">
        <v>156</v>
      </c>
      <c r="W87" s="131"/>
    </row>
    <row r="88" spans="1:23" x14ac:dyDescent="0.25">
      <c r="A88" s="58" t="s">
        <v>124</v>
      </c>
      <c r="B88" s="83"/>
      <c r="C88" s="83"/>
      <c r="D88" s="83"/>
      <c r="E88" s="83"/>
      <c r="F88" s="83"/>
      <c r="G88" s="83"/>
      <c r="H88" s="83"/>
      <c r="I88" s="83"/>
      <c r="J88" s="83"/>
      <c r="K88" s="83"/>
      <c r="L88" s="83"/>
      <c r="M88" s="83"/>
      <c r="N88" s="83"/>
      <c r="O88" s="83"/>
      <c r="P88" s="83"/>
      <c r="Q88" s="83"/>
      <c r="R88" s="83"/>
      <c r="S88" s="83"/>
      <c r="T88" s="83"/>
      <c r="U88" s="83"/>
      <c r="V88" s="83"/>
      <c r="W88" s="83"/>
    </row>
    <row r="89" spans="1:23" x14ac:dyDescent="0.25">
      <c r="A89" t="s">
        <v>65</v>
      </c>
      <c r="B89">
        <v>1</v>
      </c>
      <c r="C89" s="139">
        <v>43555</v>
      </c>
      <c r="D89" s="140">
        <v>52.409820107000002</v>
      </c>
      <c r="E89" s="140">
        <v>2.7494027003887647</v>
      </c>
      <c r="F89" s="140">
        <v>1.5489975</v>
      </c>
      <c r="G89" s="140">
        <v>1.17228</v>
      </c>
      <c r="H89" s="140">
        <v>0.79032312727610998</v>
      </c>
      <c r="I89" s="140">
        <v>3.635634485413044</v>
      </c>
      <c r="J89" s="140">
        <v>42.613347500000003</v>
      </c>
      <c r="K89" s="140">
        <v>3.9174429900000001</v>
      </c>
      <c r="L89" s="140">
        <v>-13.863429999999999</v>
      </c>
      <c r="M89" s="140">
        <v>-0.28914297375694986</v>
      </c>
      <c r="N89" s="140">
        <v>-34.640746104999998</v>
      </c>
      <c r="O89" s="140">
        <v>-14.146468663</v>
      </c>
      <c r="P89" s="140">
        <v>-3.8916900000000001</v>
      </c>
      <c r="Q89" s="141">
        <v>0.68046818291518174</v>
      </c>
      <c r="R89" s="142">
        <v>-73.373090000000005</v>
      </c>
      <c r="S89" s="141">
        <v>-5.626012256826046</v>
      </c>
      <c r="T89" s="141">
        <v>26.951731206612418</v>
      </c>
      <c r="U89" s="157">
        <v>0.88627657000000004</v>
      </c>
      <c r="V89" s="141">
        <v>0.47557001259354692</v>
      </c>
      <c r="W89" s="68" t="s">
        <v>65</v>
      </c>
    </row>
    <row r="90" spans="1:23" x14ac:dyDescent="0.25">
      <c r="A90" t="s">
        <v>68</v>
      </c>
      <c r="B90">
        <v>1</v>
      </c>
      <c r="C90" s="139">
        <v>43555</v>
      </c>
      <c r="D90" s="140">
        <v>79.612462826750004</v>
      </c>
      <c r="E90" s="140">
        <v>3.1222768147104842</v>
      </c>
      <c r="F90" s="140">
        <v>1.484445</v>
      </c>
      <c r="G90" s="140">
        <v>0.85672999999999999</v>
      </c>
      <c r="H90" s="140">
        <v>0.86166972209888848</v>
      </c>
      <c r="I90" s="140">
        <v>-1.5802531588680022</v>
      </c>
      <c r="J90" s="140">
        <v>19.728179999999998</v>
      </c>
      <c r="K90" s="140">
        <v>-5.1311811589999996</v>
      </c>
      <c r="L90" s="140">
        <v>-16.9242025</v>
      </c>
      <c r="M90" s="140">
        <v>4.5533626070241313E-2</v>
      </c>
      <c r="N90" s="140">
        <v>-0.52335288199999996</v>
      </c>
      <c r="O90" s="140">
        <v>2.1424224120000002</v>
      </c>
      <c r="P90" s="140">
        <v>-0.72706000000000004</v>
      </c>
      <c r="Q90" s="141">
        <v>0.96664241462331368</v>
      </c>
      <c r="R90" s="142">
        <v>-37.445014</v>
      </c>
      <c r="S90" s="141">
        <v>-1.6143662281921243</v>
      </c>
      <c r="T90" s="141">
        <v>7.761533542829822</v>
      </c>
      <c r="U90" s="157">
        <v>0.17809206</v>
      </c>
      <c r="V90" s="141">
        <v>0.28539792280295084</v>
      </c>
      <c r="W90" s="68" t="s">
        <v>68</v>
      </c>
    </row>
    <row r="91" spans="1:23" x14ac:dyDescent="0.25">
      <c r="A91" s="70" t="s">
        <v>109</v>
      </c>
      <c r="B91" s="71"/>
      <c r="C91" s="158"/>
      <c r="D91" s="147">
        <v>66.011141466875003</v>
      </c>
      <c r="E91" s="147">
        <v>2.9358397575496245</v>
      </c>
      <c r="F91" s="147">
        <v>1.51672125</v>
      </c>
      <c r="G91" s="147">
        <v>1.014505</v>
      </c>
      <c r="H91" s="147">
        <v>0.82599642468749923</v>
      </c>
      <c r="I91" s="147">
        <v>1.0276906632725209</v>
      </c>
      <c r="J91" s="147">
        <v>31.170763749999999</v>
      </c>
      <c r="K91" s="147">
        <v>-0.60686908449999977</v>
      </c>
      <c r="L91" s="147">
        <v>-15.39381625</v>
      </c>
      <c r="M91" s="147">
        <v>-0.12180467384335428</v>
      </c>
      <c r="N91" s="147">
        <v>-17.582049493499998</v>
      </c>
      <c r="O91" s="147">
        <v>-6.0020231255000001</v>
      </c>
      <c r="P91" s="147">
        <v>-2.3093750000000002</v>
      </c>
      <c r="Q91" s="148">
        <v>0.82355529876924771</v>
      </c>
      <c r="R91" s="149">
        <v>-55.409052000000003</v>
      </c>
      <c r="S91" s="148">
        <v>-3.6201892425090851</v>
      </c>
      <c r="T91" s="148">
        <v>17.356632374721119</v>
      </c>
      <c r="U91" s="166">
        <v>0.53218431500000007</v>
      </c>
      <c r="V91" s="148">
        <v>0.38048396769824888</v>
      </c>
      <c r="W91" s="79" t="s">
        <v>110</v>
      </c>
    </row>
    <row r="92" spans="1:23" x14ac:dyDescent="0.25">
      <c r="C92" s="139"/>
      <c r="D92" s="140"/>
      <c r="E92" s="140"/>
      <c r="F92" s="140"/>
      <c r="G92" s="140"/>
      <c r="H92" s="140"/>
      <c r="I92" s="140"/>
      <c r="J92" s="140"/>
      <c r="K92" s="140"/>
      <c r="L92" s="140"/>
      <c r="M92" s="140"/>
      <c r="N92" s="140"/>
      <c r="O92" s="140"/>
      <c r="P92" s="140"/>
      <c r="Q92" s="143"/>
      <c r="R92" s="142"/>
      <c r="S92" s="143"/>
      <c r="T92" s="143"/>
      <c r="U92" s="157"/>
      <c r="V92" s="141"/>
      <c r="W92" s="68"/>
    </row>
    <row r="93" spans="1:23" x14ac:dyDescent="0.25">
      <c r="A93" s="58" t="s">
        <v>125</v>
      </c>
      <c r="B93" s="83"/>
      <c r="C93" s="159"/>
      <c r="D93" s="152"/>
      <c r="E93" s="152"/>
      <c r="F93" s="153"/>
      <c r="G93" s="153"/>
      <c r="H93" s="153"/>
      <c r="I93" s="153"/>
      <c r="J93" s="153"/>
      <c r="K93" s="153"/>
      <c r="L93" s="153"/>
      <c r="M93" s="153"/>
      <c r="N93" s="153"/>
      <c r="O93" s="153"/>
      <c r="P93" s="153"/>
      <c r="Q93" s="156"/>
      <c r="R93" s="155"/>
      <c r="S93" s="156"/>
      <c r="T93" s="156"/>
      <c r="U93" s="168"/>
      <c r="V93" s="154"/>
      <c r="W93" s="89"/>
    </row>
    <row r="94" spans="1:23" x14ac:dyDescent="0.25">
      <c r="A94" t="s">
        <v>78</v>
      </c>
      <c r="B94">
        <v>1</v>
      </c>
      <c r="C94" s="139">
        <v>43373</v>
      </c>
      <c r="D94" s="144">
        <v>30.440767636250001</v>
      </c>
      <c r="E94" s="144">
        <v>3.3817290939515563</v>
      </c>
      <c r="F94" s="140">
        <v>0.96750499999999995</v>
      </c>
      <c r="G94" s="140">
        <v>0.95923499999999995</v>
      </c>
      <c r="H94" s="140">
        <v>1.9433959543689663</v>
      </c>
      <c r="I94" s="140">
        <v>326.54318470462454</v>
      </c>
      <c r="J94" s="140" t="s">
        <v>186</v>
      </c>
      <c r="K94" s="140">
        <v>15.172816256999999</v>
      </c>
      <c r="L94" s="140">
        <v>9.0986925000000003</v>
      </c>
      <c r="M94" s="140">
        <v>3.3463057125917225E-2</v>
      </c>
      <c r="N94" s="140">
        <v>69.301737325000005</v>
      </c>
      <c r="O94" s="140">
        <v>19.756966185</v>
      </c>
      <c r="P94" s="140">
        <v>4.7536100000000001</v>
      </c>
      <c r="Q94" s="141">
        <v>0.40031376782497463</v>
      </c>
      <c r="R94" s="142">
        <v>484.14844799999997</v>
      </c>
      <c r="S94" s="141">
        <v>-3.4349408399826173</v>
      </c>
      <c r="T94" s="143">
        <v>3.6576101405493784</v>
      </c>
      <c r="U94" s="157">
        <v>2.7863415866666665</v>
      </c>
      <c r="V94" s="141">
        <v>0.5024501399348491</v>
      </c>
      <c r="W94" s="68" t="s">
        <v>78</v>
      </c>
    </row>
    <row r="95" spans="1:23" x14ac:dyDescent="0.25">
      <c r="A95" t="s">
        <v>60</v>
      </c>
      <c r="B95">
        <v>1</v>
      </c>
      <c r="C95" s="139">
        <v>43555</v>
      </c>
      <c r="D95" s="140">
        <v>3185.0229351302501</v>
      </c>
      <c r="E95" s="140">
        <v>5.6161527680448495</v>
      </c>
      <c r="F95" s="140">
        <v>1.3858675</v>
      </c>
      <c r="G95" s="140">
        <v>1.2717775</v>
      </c>
      <c r="H95" s="140">
        <v>0.65419883875325335</v>
      </c>
      <c r="I95" s="140">
        <v>17.861116843352175</v>
      </c>
      <c r="J95" s="140">
        <v>33.315532500000003</v>
      </c>
      <c r="K95" s="140">
        <v>19.650484505000001</v>
      </c>
      <c r="L95" s="140">
        <v>0.82531000000000199</v>
      </c>
      <c r="M95" s="140">
        <v>-6.5570915604501318E-2</v>
      </c>
      <c r="N95" s="140">
        <v>22.331774019000001</v>
      </c>
      <c r="O95" s="140">
        <v>6.2271744590000004</v>
      </c>
      <c r="P95" s="140">
        <v>5.4101900000000001</v>
      </c>
      <c r="Q95" s="141">
        <v>-0.58183010823220727</v>
      </c>
      <c r="R95" s="142">
        <v>7929</v>
      </c>
      <c r="S95" s="141">
        <v>0.67323866795986098</v>
      </c>
      <c r="T95" s="143">
        <v>68.5923960580147</v>
      </c>
      <c r="U95" s="157">
        <v>39.316403415000003</v>
      </c>
      <c r="V95" s="141">
        <v>0.83195543427298846</v>
      </c>
      <c r="W95" s="68" t="s">
        <v>60</v>
      </c>
    </row>
    <row r="96" spans="1:23" x14ac:dyDescent="0.25">
      <c r="A96" t="s">
        <v>17</v>
      </c>
      <c r="B96">
        <v>1</v>
      </c>
      <c r="C96" s="139">
        <v>43555</v>
      </c>
      <c r="D96" s="140">
        <v>222.52488361375001</v>
      </c>
      <c r="E96" s="140">
        <v>3.4020415749562094</v>
      </c>
      <c r="F96" s="140">
        <v>0.77538249999999997</v>
      </c>
      <c r="G96" s="140">
        <v>0.72227750000000002</v>
      </c>
      <c r="H96" s="140">
        <v>0.97792639866888109</v>
      </c>
      <c r="I96" s="140">
        <v>43.539005582598044</v>
      </c>
      <c r="J96" s="140" t="s">
        <v>186</v>
      </c>
      <c r="K96" s="140">
        <v>4.4319082927500002</v>
      </c>
      <c r="L96" s="140">
        <v>3.8850899999999999</v>
      </c>
      <c r="M96" s="140">
        <v>-4.2371878925956424E-2</v>
      </c>
      <c r="N96" s="140">
        <v>16.165282508000001</v>
      </c>
      <c r="O96" s="140">
        <v>4.9978966820000004</v>
      </c>
      <c r="P96" s="140">
        <v>3.3733300000000002</v>
      </c>
      <c r="Q96" s="141">
        <v>-0.94014185004099093</v>
      </c>
      <c r="R96" s="142">
        <v>2103.5556000000001</v>
      </c>
      <c r="S96" s="141">
        <v>0.37738072049836058</v>
      </c>
      <c r="T96" s="143">
        <v>3.1238132486735175</v>
      </c>
      <c r="U96" s="157">
        <v>19.770399000000001</v>
      </c>
      <c r="V96" s="141">
        <v>0.74992203379092692</v>
      </c>
      <c r="W96" s="68" t="s">
        <v>17</v>
      </c>
    </row>
    <row r="97" spans="1:23" x14ac:dyDescent="0.25">
      <c r="A97" t="s">
        <v>54</v>
      </c>
      <c r="B97">
        <v>1</v>
      </c>
      <c r="C97" s="139">
        <v>43555</v>
      </c>
      <c r="D97" s="140">
        <v>52.083622612249997</v>
      </c>
      <c r="E97" s="140">
        <v>1.8633046600803662</v>
      </c>
      <c r="F97" s="140">
        <v>3.5753575</v>
      </c>
      <c r="G97" s="140">
        <v>3.5753575</v>
      </c>
      <c r="H97" s="140">
        <v>0.65140358316022318</v>
      </c>
      <c r="I97" s="142" t="s">
        <v>186</v>
      </c>
      <c r="J97" s="140">
        <v>59.195709999999998</v>
      </c>
      <c r="K97" s="140">
        <v>56.358476930750001</v>
      </c>
      <c r="L97" s="140">
        <v>31.812909999999999</v>
      </c>
      <c r="M97" s="140">
        <v>0.11365531660872148</v>
      </c>
      <c r="N97" s="140">
        <v>35.798521133999998</v>
      </c>
      <c r="O97" s="140">
        <v>20.391058012999999</v>
      </c>
      <c r="P97" s="140">
        <v>6.7612500000000004</v>
      </c>
      <c r="Q97" s="141">
        <v>0.15544532466900307</v>
      </c>
      <c r="R97" s="142">
        <v>1652.6494</v>
      </c>
      <c r="S97" s="141">
        <v>-4.524974425653518</v>
      </c>
      <c r="T97" s="143">
        <v>30.551039876241287</v>
      </c>
      <c r="U97" s="157">
        <v>4.3471535250000004</v>
      </c>
      <c r="V97" s="141">
        <v>0.62295754399227277</v>
      </c>
      <c r="W97" s="68" t="s">
        <v>54</v>
      </c>
    </row>
    <row r="98" spans="1:23" x14ac:dyDescent="0.25">
      <c r="A98" t="s">
        <v>26</v>
      </c>
      <c r="B98">
        <v>1</v>
      </c>
      <c r="C98" s="139">
        <v>43555</v>
      </c>
      <c r="D98" s="144">
        <v>100.80693897625</v>
      </c>
      <c r="E98" s="144">
        <v>3.2184635027889272</v>
      </c>
      <c r="F98" s="140">
        <v>0.8374625</v>
      </c>
      <c r="G98" s="140">
        <v>0.83730000000000004</v>
      </c>
      <c r="H98" s="140">
        <v>0.95105753236704738</v>
      </c>
      <c r="I98" s="142">
        <v>14410.746370374072</v>
      </c>
      <c r="J98" s="140" t="s">
        <v>186</v>
      </c>
      <c r="K98" s="140">
        <v>12.584638804500001</v>
      </c>
      <c r="L98" s="140">
        <v>-2.9409800000000001</v>
      </c>
      <c r="M98" s="140">
        <v>-4.5640497197695536E-2</v>
      </c>
      <c r="N98" s="140">
        <v>1.403641728</v>
      </c>
      <c r="O98" s="140">
        <v>0.56345018800000002</v>
      </c>
      <c r="P98" s="140">
        <v>5.0000000000000001E-9</v>
      </c>
      <c r="Q98" s="141">
        <v>-1.0970910985331996</v>
      </c>
      <c r="R98" s="142">
        <v>993.18299999999999</v>
      </c>
      <c r="S98" s="141">
        <v>-1.4701794460814024</v>
      </c>
      <c r="T98" s="143">
        <v>3.7588682004826102</v>
      </c>
      <c r="U98" s="157">
        <v>10.453952333333334</v>
      </c>
      <c r="V98" s="141">
        <v>0.69057117764301745</v>
      </c>
      <c r="W98" s="68" t="s">
        <v>26</v>
      </c>
    </row>
    <row r="99" spans="1:23" x14ac:dyDescent="0.25">
      <c r="A99" t="s">
        <v>38</v>
      </c>
      <c r="B99">
        <v>1</v>
      </c>
      <c r="C99" s="139">
        <v>43555</v>
      </c>
      <c r="D99" s="144">
        <v>0</v>
      </c>
      <c r="E99" s="144">
        <v>4.0326458271590662</v>
      </c>
      <c r="F99" s="140">
        <v>1.0743324999999999</v>
      </c>
      <c r="G99" s="140">
        <v>1.0594275</v>
      </c>
      <c r="H99" s="140">
        <v>1.3743577606134274</v>
      </c>
      <c r="I99" s="140">
        <v>191.80559066384657</v>
      </c>
      <c r="J99" s="140">
        <v>31.800337500000001</v>
      </c>
      <c r="K99" s="140">
        <v>19.891491532875001</v>
      </c>
      <c r="L99" s="140">
        <v>9.5204125000000008</v>
      </c>
      <c r="M99" s="140">
        <v>0.10542428409019938</v>
      </c>
      <c r="N99" s="140">
        <v>79.476417772999994</v>
      </c>
      <c r="O99" s="140">
        <v>22.889659371</v>
      </c>
      <c r="P99" s="140">
        <v>8.4660799999999998</v>
      </c>
      <c r="Q99" s="141">
        <v>-1.08616517325766</v>
      </c>
      <c r="R99" s="142">
        <v>1243.82014</v>
      </c>
      <c r="S99" s="141">
        <v>1.8364964811430879</v>
      </c>
      <c r="T99" s="143">
        <v>5.4502085323376086</v>
      </c>
      <c r="U99" s="157">
        <v>5.9961262133333326</v>
      </c>
      <c r="V99" s="141">
        <v>0.82697055086440674</v>
      </c>
      <c r="W99" s="68" t="s">
        <v>38</v>
      </c>
    </row>
    <row r="100" spans="1:23" x14ac:dyDescent="0.25">
      <c r="A100" t="s">
        <v>15</v>
      </c>
      <c r="B100">
        <v>1</v>
      </c>
      <c r="C100" s="139">
        <v>43496</v>
      </c>
      <c r="D100" s="144">
        <v>108.45412899525</v>
      </c>
      <c r="E100" s="144">
        <v>2.6261650731591066</v>
      </c>
      <c r="F100" s="140">
        <v>3.8481274999999999</v>
      </c>
      <c r="G100" s="140">
        <v>3.7603624999999998</v>
      </c>
      <c r="H100" s="140">
        <v>0.37382582051705526</v>
      </c>
      <c r="I100" s="157">
        <v>26.895872969702737</v>
      </c>
      <c r="J100" s="140" t="s">
        <v>186</v>
      </c>
      <c r="K100" s="140">
        <v>46.390769775000003</v>
      </c>
      <c r="L100" s="140">
        <v>3.6553149999999999</v>
      </c>
      <c r="M100" s="140">
        <v>-2.9580697844595417E-2</v>
      </c>
      <c r="N100" s="140">
        <v>10.509915060999999</v>
      </c>
      <c r="O100" s="140">
        <v>4.0084710179999998</v>
      </c>
      <c r="P100" s="140">
        <v>3.1192000000000002</v>
      </c>
      <c r="Q100" s="141">
        <v>3.1970930457946358</v>
      </c>
      <c r="R100" s="142">
        <v>286.39838600000002</v>
      </c>
      <c r="S100" s="141">
        <v>-2.5323286384195973</v>
      </c>
      <c r="T100" s="143">
        <v>2.0268718326696518</v>
      </c>
      <c r="U100" s="157">
        <v>1.9524587516666667</v>
      </c>
      <c r="V100" s="141">
        <v>0.42354387158062989</v>
      </c>
      <c r="W100" s="68" t="s">
        <v>15</v>
      </c>
    </row>
    <row r="101" spans="1:23" x14ac:dyDescent="0.25">
      <c r="A101" t="s">
        <v>31</v>
      </c>
      <c r="B101">
        <v>1</v>
      </c>
      <c r="C101" s="139">
        <v>43555</v>
      </c>
      <c r="D101" s="144">
        <v>0</v>
      </c>
      <c r="E101" s="144">
        <v>1.8851895181989999</v>
      </c>
      <c r="F101" s="140">
        <v>1.1745699999999999</v>
      </c>
      <c r="G101" s="140">
        <v>1.170455</v>
      </c>
      <c r="H101" s="140">
        <v>1.4195682213269507</v>
      </c>
      <c r="I101" s="157">
        <v>726.20208981135056</v>
      </c>
      <c r="J101" s="140">
        <v>33.764082500000001</v>
      </c>
      <c r="K101" s="140">
        <v>21.522116568525</v>
      </c>
      <c r="L101" s="140">
        <v>12.630735</v>
      </c>
      <c r="M101" s="140">
        <v>3.7832425207202765E-2</v>
      </c>
      <c r="N101" s="140">
        <v>36.835565332000002</v>
      </c>
      <c r="O101" s="140">
        <v>20.084092869999999</v>
      </c>
      <c r="P101" s="140">
        <v>5.4915200000000004</v>
      </c>
      <c r="Q101" s="141">
        <v>-0.43236087921136301</v>
      </c>
      <c r="R101" s="142">
        <v>521.81299999999999</v>
      </c>
      <c r="S101" s="141">
        <v>1.062677884386475</v>
      </c>
      <c r="T101" s="143">
        <v>4.1688824820141521</v>
      </c>
      <c r="U101" s="157">
        <v>2.6319888333333337</v>
      </c>
      <c r="V101" s="141">
        <v>0.87927199732347616</v>
      </c>
      <c r="W101" s="68" t="s">
        <v>31</v>
      </c>
    </row>
    <row r="102" spans="1:23" x14ac:dyDescent="0.25">
      <c r="A102" t="s">
        <v>58</v>
      </c>
      <c r="B102">
        <v>1</v>
      </c>
      <c r="C102" s="139">
        <v>43555</v>
      </c>
      <c r="D102" s="144">
        <v>33.990603174749999</v>
      </c>
      <c r="E102" s="144">
        <v>1.8117690022561426</v>
      </c>
      <c r="F102" s="140">
        <v>1.240035</v>
      </c>
      <c r="G102" s="140">
        <v>1.2189874999999999</v>
      </c>
      <c r="H102" s="140">
        <v>0.35962490279077874</v>
      </c>
      <c r="I102" s="140">
        <v>39.697113324031164</v>
      </c>
      <c r="J102" s="140" t="s">
        <v>186</v>
      </c>
      <c r="K102" s="157">
        <v>53.949017054999999</v>
      </c>
      <c r="L102" s="140">
        <v>96.275319999999994</v>
      </c>
      <c r="M102" s="140">
        <v>0.22218707697113069</v>
      </c>
      <c r="N102" s="140">
        <v>44.164464731999999</v>
      </c>
      <c r="O102" s="140">
        <v>23.733912322999998</v>
      </c>
      <c r="P102" s="140">
        <v>7.6088899999999997</v>
      </c>
      <c r="Q102" s="141">
        <v>2.0462404688111944</v>
      </c>
      <c r="R102" s="142">
        <v>4949.6131999999998</v>
      </c>
      <c r="S102" s="141">
        <v>1.8589171233875237</v>
      </c>
      <c r="T102" s="143">
        <v>1.2706192475295517</v>
      </c>
      <c r="U102" s="157">
        <v>5.4199331666666666</v>
      </c>
      <c r="V102" s="141">
        <v>0.94030652584140495</v>
      </c>
      <c r="W102" s="68" t="s">
        <v>58</v>
      </c>
    </row>
    <row r="103" spans="1:23" x14ac:dyDescent="0.25">
      <c r="A103" t="s">
        <v>25</v>
      </c>
      <c r="B103">
        <v>1</v>
      </c>
      <c r="C103" s="139">
        <v>43555</v>
      </c>
      <c r="D103" s="144">
        <v>107.8753759785</v>
      </c>
      <c r="E103" s="144">
        <v>3.1844899909062359</v>
      </c>
      <c r="F103" s="140">
        <v>1.1031525</v>
      </c>
      <c r="G103" s="140">
        <v>1.0606825</v>
      </c>
      <c r="H103" s="140">
        <v>0.70608683262702898</v>
      </c>
      <c r="I103" s="140">
        <v>30.280486100886279</v>
      </c>
      <c r="J103" s="140">
        <v>50.445172499999998</v>
      </c>
      <c r="K103" s="140">
        <v>43.703229169499998</v>
      </c>
      <c r="L103" s="140">
        <v>37.700769999999999</v>
      </c>
      <c r="M103" s="140">
        <v>0.48239062842673425</v>
      </c>
      <c r="N103" s="140">
        <v>102.666376896</v>
      </c>
      <c r="O103" s="140">
        <v>35.708384572</v>
      </c>
      <c r="P103" s="140">
        <v>6.5137999999999998</v>
      </c>
      <c r="Q103" s="141">
        <v>-0.34091094018161772</v>
      </c>
      <c r="R103" s="142">
        <v>1616.5350699999999</v>
      </c>
      <c r="S103" s="141">
        <v>-2.707277162348849</v>
      </c>
      <c r="T103" s="143">
        <v>2.2973832810646075</v>
      </c>
      <c r="U103" s="157">
        <v>2.5932683016666664</v>
      </c>
      <c r="V103" s="141">
        <v>0.40981935269475955</v>
      </c>
      <c r="W103" s="68" t="s">
        <v>25</v>
      </c>
    </row>
    <row r="104" spans="1:23" x14ac:dyDescent="0.25">
      <c r="A104" s="70" t="s">
        <v>109</v>
      </c>
      <c r="B104" s="71"/>
      <c r="C104" s="158"/>
      <c r="D104" s="146">
        <v>384.11992561172497</v>
      </c>
      <c r="E104" s="146">
        <v>3.1021951011501461</v>
      </c>
      <c r="F104" s="147">
        <v>1.5981792500000001</v>
      </c>
      <c r="G104" s="147">
        <v>1.56358625</v>
      </c>
      <c r="H104" s="147">
        <v>0.94114458451936134</v>
      </c>
      <c r="I104" s="166">
        <v>1757.0634255971627</v>
      </c>
      <c r="J104" s="147">
        <v>41.704167000000005</v>
      </c>
      <c r="K104" s="147">
        <v>29.365494889090002</v>
      </c>
      <c r="L104" s="147">
        <v>20.246357499999998</v>
      </c>
      <c r="M104" s="147">
        <v>8.1178879885715705E-2</v>
      </c>
      <c r="N104" s="147">
        <v>41.865369650800005</v>
      </c>
      <c r="O104" s="147">
        <v>15.836106568099998</v>
      </c>
      <c r="P104" s="147">
        <v>5.1497870005000008</v>
      </c>
      <c r="Q104" s="148">
        <v>0.13205925576427696</v>
      </c>
      <c r="R104" s="149">
        <v>2178.0716243999996</v>
      </c>
      <c r="S104" s="148">
        <v>-0.88609896351106765</v>
      </c>
      <c r="T104" s="150">
        <v>12.489769289957708</v>
      </c>
      <c r="U104" s="166">
        <v>9.5268025126666664</v>
      </c>
      <c r="V104" s="148">
        <v>0.68777686279387329</v>
      </c>
      <c r="W104" s="79" t="s">
        <v>110</v>
      </c>
    </row>
    <row r="105" spans="1:23" x14ac:dyDescent="0.25">
      <c r="C105" s="139"/>
      <c r="D105" s="144"/>
      <c r="E105" s="144"/>
      <c r="F105" s="140"/>
      <c r="G105" s="140"/>
      <c r="H105" s="140"/>
      <c r="I105" s="140"/>
      <c r="J105" s="140"/>
      <c r="K105" s="140"/>
      <c r="L105" s="140"/>
      <c r="M105" s="140"/>
      <c r="N105" s="140"/>
      <c r="O105" s="140"/>
      <c r="P105" s="140"/>
      <c r="Q105" s="143"/>
      <c r="R105" s="142"/>
      <c r="S105" s="143"/>
      <c r="T105" s="143"/>
      <c r="U105" s="157"/>
      <c r="V105" s="141"/>
      <c r="W105" s="68"/>
    </row>
    <row r="106" spans="1:23" x14ac:dyDescent="0.25">
      <c r="A106" s="58" t="s">
        <v>126</v>
      </c>
      <c r="B106" s="83"/>
      <c r="C106" s="159"/>
      <c r="D106" s="152"/>
      <c r="E106" s="152"/>
      <c r="F106" s="153"/>
      <c r="G106" s="153"/>
      <c r="H106" s="153"/>
      <c r="I106" s="153"/>
      <c r="J106" s="153"/>
      <c r="K106" s="153"/>
      <c r="L106" s="153"/>
      <c r="M106" s="153"/>
      <c r="N106" s="153"/>
      <c r="O106" s="153"/>
      <c r="P106" s="153"/>
      <c r="Q106" s="156"/>
      <c r="R106" s="155"/>
      <c r="S106" s="156"/>
      <c r="T106" s="156"/>
      <c r="U106" s="168"/>
      <c r="V106" s="154"/>
      <c r="W106" s="89"/>
    </row>
    <row r="107" spans="1:23" x14ac:dyDescent="0.25">
      <c r="A107" t="s">
        <v>51</v>
      </c>
      <c r="B107">
        <v>1</v>
      </c>
      <c r="C107" s="139">
        <v>43496</v>
      </c>
      <c r="D107" s="144">
        <v>1.24185202525</v>
      </c>
      <c r="E107" s="144">
        <v>1.2284857927571644</v>
      </c>
      <c r="F107" s="140">
        <v>3.4824099999999998</v>
      </c>
      <c r="G107" s="140">
        <v>3.3879800000000002</v>
      </c>
      <c r="H107" s="140">
        <v>0.57687892992390555</v>
      </c>
      <c r="I107" s="140">
        <v>19.902260615196163</v>
      </c>
      <c r="J107" s="140">
        <v>48.732669999999999</v>
      </c>
      <c r="K107" s="140">
        <v>25.17089945575</v>
      </c>
      <c r="L107" s="140">
        <v>20.290054999999999</v>
      </c>
      <c r="M107" s="140">
        <v>0.20853825779076565</v>
      </c>
      <c r="N107" s="140">
        <v>14.391883801000001</v>
      </c>
      <c r="O107" s="140">
        <v>11.455829201</v>
      </c>
      <c r="P107" s="140">
        <v>0.23630999999999999</v>
      </c>
      <c r="Q107" s="141">
        <v>-0.70088713621980625</v>
      </c>
      <c r="R107" s="142">
        <v>286.15612199999998</v>
      </c>
      <c r="S107" s="141">
        <v>0.44930733388877098</v>
      </c>
      <c r="T107" s="143">
        <v>0.88618285913490091</v>
      </c>
      <c r="U107" s="157">
        <v>0.95505934333333342</v>
      </c>
      <c r="V107" s="141">
        <v>0.37320082407059463</v>
      </c>
      <c r="W107" s="68" t="s">
        <v>51</v>
      </c>
    </row>
    <row r="108" spans="1:23" x14ac:dyDescent="0.25">
      <c r="A108" s="70" t="s">
        <v>109</v>
      </c>
      <c r="B108" s="71"/>
      <c r="C108" s="158"/>
      <c r="D108" s="147">
        <v>1.24185202525</v>
      </c>
      <c r="E108" s="147">
        <v>1.2284857927571644</v>
      </c>
      <c r="F108" s="147">
        <v>3.4824099999999998</v>
      </c>
      <c r="G108" s="147">
        <v>3.3879800000000002</v>
      </c>
      <c r="H108" s="147">
        <v>0.57687892992390555</v>
      </c>
      <c r="I108" s="147">
        <v>19.902260615196163</v>
      </c>
      <c r="J108" s="147">
        <v>48.732669999999999</v>
      </c>
      <c r="K108" s="147">
        <v>25.17089945575</v>
      </c>
      <c r="L108" s="147">
        <v>20.290054999999999</v>
      </c>
      <c r="M108" s="147">
        <v>0.20853825779076565</v>
      </c>
      <c r="N108" s="147">
        <v>14.391883801000001</v>
      </c>
      <c r="O108" s="147">
        <v>11.455829201</v>
      </c>
      <c r="P108" s="147">
        <v>0.23630999999999999</v>
      </c>
      <c r="Q108" s="148">
        <v>-0.70088713621980625</v>
      </c>
      <c r="R108" s="149">
        <v>286.15612199999998</v>
      </c>
      <c r="S108" s="150">
        <v>0.44930733388877098</v>
      </c>
      <c r="T108" s="150">
        <v>0.88618285913490091</v>
      </c>
      <c r="U108" s="166">
        <v>0.95505934333333342</v>
      </c>
      <c r="V108" s="148">
        <v>0.37320082407059463</v>
      </c>
      <c r="W108" s="79" t="s">
        <v>110</v>
      </c>
    </row>
    <row r="109" spans="1:23" x14ac:dyDescent="0.25">
      <c r="C109" s="139"/>
      <c r="D109" s="140"/>
      <c r="E109" s="140"/>
      <c r="F109" s="140"/>
      <c r="G109" s="140"/>
      <c r="H109" s="140"/>
      <c r="I109" s="140"/>
      <c r="J109" s="140"/>
      <c r="K109" s="140"/>
      <c r="L109" s="140"/>
      <c r="M109" s="140"/>
      <c r="N109" s="140"/>
      <c r="O109" s="140"/>
      <c r="P109" s="140"/>
      <c r="Q109" s="143"/>
      <c r="R109" s="142"/>
      <c r="S109" s="143"/>
      <c r="T109" s="143"/>
      <c r="U109" s="157"/>
      <c r="V109" s="141"/>
      <c r="W109" s="68"/>
    </row>
    <row r="110" spans="1:23" x14ac:dyDescent="0.25">
      <c r="A110" s="58" t="s">
        <v>127</v>
      </c>
      <c r="B110" s="83"/>
      <c r="C110" s="159"/>
      <c r="D110" s="153"/>
      <c r="E110" s="153"/>
      <c r="F110" s="153"/>
      <c r="G110" s="153"/>
      <c r="H110" s="153"/>
      <c r="I110" s="153"/>
      <c r="J110" s="153"/>
      <c r="K110" s="153"/>
      <c r="L110" s="153"/>
      <c r="M110" s="153"/>
      <c r="N110" s="153"/>
      <c r="O110" s="153"/>
      <c r="P110" s="153"/>
      <c r="Q110" s="156"/>
      <c r="R110" s="155"/>
      <c r="S110" s="156"/>
      <c r="T110" s="156"/>
      <c r="U110" s="168"/>
      <c r="V110" s="154"/>
      <c r="W110" s="89"/>
    </row>
    <row r="111" spans="1:23" x14ac:dyDescent="0.25">
      <c r="A111" t="s">
        <v>9</v>
      </c>
      <c r="B111">
        <v>1</v>
      </c>
      <c r="C111" s="139">
        <v>43555</v>
      </c>
      <c r="D111" s="144">
        <v>337.43567523725</v>
      </c>
      <c r="E111" s="144">
        <v>6.7432720373613542</v>
      </c>
      <c r="F111" s="140">
        <v>0.78142500000000004</v>
      </c>
      <c r="G111" s="140">
        <v>0.72726500000000005</v>
      </c>
      <c r="H111" s="140">
        <v>18.259722220198032</v>
      </c>
      <c r="I111" s="140">
        <v>12.172712644790817</v>
      </c>
      <c r="J111" s="140">
        <v>72.593857499999999</v>
      </c>
      <c r="K111" s="140">
        <v>14.4078860005</v>
      </c>
      <c r="L111" s="140">
        <v>7.3980224999999997</v>
      </c>
      <c r="M111" s="140">
        <v>5.9085320807092501E-2</v>
      </c>
      <c r="N111" s="140">
        <v>18.389012820000001</v>
      </c>
      <c r="O111" s="140">
        <v>3.4029032410000002</v>
      </c>
      <c r="P111" s="140">
        <v>28.0647340292191</v>
      </c>
      <c r="Q111" s="141">
        <v>0.70815188058889711</v>
      </c>
      <c r="R111" s="142">
        <v>64867.182152510475</v>
      </c>
      <c r="S111" s="141">
        <v>0.28423230325362492</v>
      </c>
      <c r="T111" s="143">
        <v>1.6719495450326314</v>
      </c>
      <c r="U111" s="157">
        <v>976.63352155403777</v>
      </c>
      <c r="V111" s="141">
        <v>0.32670199805907196</v>
      </c>
      <c r="W111" s="68" t="s">
        <v>9</v>
      </c>
    </row>
    <row r="112" spans="1:23" x14ac:dyDescent="0.25">
      <c r="A112" t="s">
        <v>59</v>
      </c>
      <c r="B112">
        <v>1</v>
      </c>
      <c r="C112" s="139">
        <v>43465</v>
      </c>
      <c r="D112" s="140">
        <v>50.408055992249999</v>
      </c>
      <c r="E112" s="140">
        <v>1.8528495125403346</v>
      </c>
      <c r="F112" s="140">
        <v>0.50993999999999995</v>
      </c>
      <c r="G112" s="140">
        <v>0.4699275</v>
      </c>
      <c r="H112" s="140">
        <v>0.62466452058970034</v>
      </c>
      <c r="I112" s="140">
        <v>24.659383035903559</v>
      </c>
      <c r="J112" s="140">
        <v>75.960852500000001</v>
      </c>
      <c r="K112" s="140">
        <v>18.3999994745</v>
      </c>
      <c r="L112" s="140">
        <v>-4.4058700000000002</v>
      </c>
      <c r="M112" s="140">
        <v>-0.22644394987086869</v>
      </c>
      <c r="N112" s="140">
        <v>4.2561059930000003</v>
      </c>
      <c r="O112" s="140">
        <v>2.5789260380000001</v>
      </c>
      <c r="P112" s="140">
        <v>2.45811</v>
      </c>
      <c r="Q112" s="141">
        <v>2.7462162754990129</v>
      </c>
      <c r="R112" s="142">
        <v>5421</v>
      </c>
      <c r="S112" s="141">
        <v>0.10578965299419041</v>
      </c>
      <c r="T112" s="143">
        <v>0.46051434800007618</v>
      </c>
      <c r="U112" s="157">
        <v>64.661000000000001</v>
      </c>
      <c r="V112" s="141">
        <v>0.43778573270717458</v>
      </c>
      <c r="W112" s="68" t="s">
        <v>59</v>
      </c>
    </row>
    <row r="113" spans="1:23" x14ac:dyDescent="0.25">
      <c r="A113" t="s">
        <v>70</v>
      </c>
      <c r="B113">
        <v>1</v>
      </c>
      <c r="C113" s="139">
        <v>43555</v>
      </c>
      <c r="D113" s="140">
        <v>161.285060042</v>
      </c>
      <c r="E113" s="140">
        <v>4.9417811331041479</v>
      </c>
      <c r="F113" s="140">
        <v>0.54029000000000005</v>
      </c>
      <c r="G113" s="140">
        <v>0.49874249999999998</v>
      </c>
      <c r="H113" s="140">
        <v>0.5567576305714721</v>
      </c>
      <c r="I113" s="140">
        <v>17.84104495822622</v>
      </c>
      <c r="J113" s="140">
        <v>84.887502499999997</v>
      </c>
      <c r="K113" s="140">
        <v>14.06848072275</v>
      </c>
      <c r="L113" s="140">
        <v>-5.3418374999999996</v>
      </c>
      <c r="M113" s="140">
        <v>-3.8860388824060415E-3</v>
      </c>
      <c r="N113" s="140">
        <v>-2.85432649</v>
      </c>
      <c r="O113" s="140">
        <v>6.9762179999999993E-2</v>
      </c>
      <c r="P113" s="140">
        <v>-11.06061</v>
      </c>
      <c r="Q113" s="141">
        <v>-1.0158817086527929</v>
      </c>
      <c r="R113" s="142">
        <v>3118</v>
      </c>
      <c r="S113" s="141" t="s">
        <v>186</v>
      </c>
      <c r="T113" s="143" t="s">
        <v>186</v>
      </c>
      <c r="U113" s="157">
        <v>106.34950000000001</v>
      </c>
      <c r="V113" s="141" t="s">
        <v>186</v>
      </c>
      <c r="W113" s="68" t="s">
        <v>70</v>
      </c>
    </row>
    <row r="114" spans="1:23" x14ac:dyDescent="0.25">
      <c r="A114" t="s">
        <v>16</v>
      </c>
      <c r="B114">
        <v>1</v>
      </c>
      <c r="C114" s="139">
        <v>43555</v>
      </c>
      <c r="D114" s="140">
        <v>22.888550850249999</v>
      </c>
      <c r="E114" s="140">
        <v>2.1655588006872319</v>
      </c>
      <c r="F114" s="140">
        <v>1.33473</v>
      </c>
      <c r="G114" s="140">
        <v>1.1531324999999999</v>
      </c>
      <c r="H114" s="140">
        <v>1.4190413198855263</v>
      </c>
      <c r="I114" s="140" t="s">
        <v>186</v>
      </c>
      <c r="J114" s="140">
        <v>35.061979999999998</v>
      </c>
      <c r="K114" s="140">
        <v>5.7277556037500004</v>
      </c>
      <c r="L114" s="140">
        <v>-2.2239724999999999</v>
      </c>
      <c r="M114" s="140">
        <v>-5.8486327661458941E-2</v>
      </c>
      <c r="N114" s="140">
        <v>-17.482215575000001</v>
      </c>
      <c r="O114" s="140">
        <v>-8.6768079040000003</v>
      </c>
      <c r="P114" s="140">
        <v>-10.258010000000001</v>
      </c>
      <c r="Q114" s="141">
        <v>0.84816820805523152</v>
      </c>
      <c r="R114" s="142">
        <v>-1093.8421860000001</v>
      </c>
      <c r="S114" s="141">
        <v>-2.1497353576633342</v>
      </c>
      <c r="T114" s="143">
        <v>1.372277301530606</v>
      </c>
      <c r="U114" s="157">
        <v>15.947032538333334</v>
      </c>
      <c r="V114" s="141">
        <v>6.4288295430916076E-2</v>
      </c>
      <c r="W114" s="68" t="s">
        <v>16</v>
      </c>
    </row>
    <row r="115" spans="1:23" x14ac:dyDescent="0.25">
      <c r="A115" s="111" t="s">
        <v>109</v>
      </c>
      <c r="B115" s="112"/>
      <c r="C115" s="112"/>
      <c r="D115" s="172">
        <v>143.00433553043749</v>
      </c>
      <c r="E115" s="172">
        <v>3.9258653709232672</v>
      </c>
      <c r="F115" s="173">
        <v>0.79159625</v>
      </c>
      <c r="G115" s="173">
        <v>0.71226687499999997</v>
      </c>
      <c r="H115" s="173">
        <v>5.2150464228111826</v>
      </c>
      <c r="I115" s="173">
        <v>18.224380212973532</v>
      </c>
      <c r="J115" s="173">
        <v>67.126048124999997</v>
      </c>
      <c r="K115" s="173">
        <v>13.151030450375</v>
      </c>
      <c r="L115" s="173">
        <v>-1.1434143749999999</v>
      </c>
      <c r="M115" s="173">
        <v>-5.7432748901910295E-2</v>
      </c>
      <c r="N115" s="173">
        <v>0.57714418700000092</v>
      </c>
      <c r="O115" s="173">
        <v>-0.6563041112500001</v>
      </c>
      <c r="P115" s="173">
        <v>2.301056007304775</v>
      </c>
      <c r="Q115" s="174">
        <v>0.82166366387258727</v>
      </c>
      <c r="R115" s="175">
        <v>18078.08499162762</v>
      </c>
      <c r="S115" s="174">
        <v>-0.58657113380517301</v>
      </c>
      <c r="T115" s="176">
        <v>1.1682470648544381</v>
      </c>
      <c r="U115" s="177">
        <v>290.89776352309281</v>
      </c>
      <c r="V115" s="174">
        <v>0.27625867539905419</v>
      </c>
      <c r="W115" s="118" t="s">
        <v>110</v>
      </c>
    </row>
    <row r="116" spans="1:23" x14ac:dyDescent="0.25">
      <c r="A116" s="123"/>
      <c r="D116" s="178"/>
      <c r="E116" s="178"/>
      <c r="W116" s="123"/>
    </row>
    <row r="117" spans="1:23" x14ac:dyDescent="0.25">
      <c r="A117" s="123" t="s">
        <v>129</v>
      </c>
      <c r="D117" s="178"/>
      <c r="E117" s="178"/>
      <c r="W117" s="123"/>
    </row>
    <row r="118" spans="1:23" x14ac:dyDescent="0.25">
      <c r="D118" s="178"/>
      <c r="E118" s="178"/>
    </row>
  </sheetData>
  <mergeCells count="24">
    <mergeCell ref="J86:V86"/>
    <mergeCell ref="W86:W87"/>
    <mergeCell ref="A86:A87"/>
    <mergeCell ref="B86:B87"/>
    <mergeCell ref="C86:C87"/>
    <mergeCell ref="D86:E86"/>
    <mergeCell ref="F86:G86"/>
    <mergeCell ref="H86:I86"/>
    <mergeCell ref="J3:V3"/>
    <mergeCell ref="W3:W4"/>
    <mergeCell ref="A40:A41"/>
    <mergeCell ref="B40:B41"/>
    <mergeCell ref="C40:C41"/>
    <mergeCell ref="D40:E40"/>
    <mergeCell ref="F40:G40"/>
    <mergeCell ref="H40:I40"/>
    <mergeCell ref="J40:V40"/>
    <mergeCell ref="W40:W41"/>
    <mergeCell ref="A3:A4"/>
    <mergeCell ref="B3:B4"/>
    <mergeCell ref="C3:C4"/>
    <mergeCell ref="D3:E3"/>
    <mergeCell ref="F3:G3"/>
    <mergeCell ref="H3:I3"/>
  </mergeCells>
  <printOptions horizontalCentered="1" verticalCentered="1"/>
  <pageMargins left="0.25" right="0.25" top="0.4" bottom="0.5" header="0.3" footer="0.3"/>
  <pageSetup paperSize="9" scale="75" orientation="landscape" r:id="rId1"/>
  <headerFooter>
    <oddHeader>&amp;LReporte de Ratios Argentina&amp;R&amp;G</oddHeader>
    <oddFooter>&amp;Cwww.invertironline.com&amp;R&amp;P</oddFooter>
  </headerFooter>
  <rowBreaks count="2" manualBreakCount="2">
    <brk id="38" max="21" man="1"/>
    <brk id="84" max="2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564585"/>
  </sheetPr>
  <dimension ref="A1:AA119"/>
  <sheetViews>
    <sheetView zoomScaleNormal="100" zoomScaleSheetLayoutView="100" workbookViewId="0">
      <selection activeCell="AG9" sqref="AG9"/>
    </sheetView>
  </sheetViews>
  <sheetFormatPr baseColWidth="10" defaultRowHeight="15" x14ac:dyDescent="0.25"/>
  <cols>
    <col min="1" max="1" width="9.7109375" customWidth="1"/>
    <col min="2" max="2" width="8.28515625" customWidth="1"/>
    <col min="3" max="3" width="8" customWidth="1"/>
    <col min="4" max="4" width="7.140625" customWidth="1"/>
    <col min="5" max="5" width="9.28515625" bestFit="1" customWidth="1"/>
    <col min="6" max="6" width="1.140625" style="39" customWidth="1"/>
    <col min="7" max="7" width="8.28515625" bestFit="1" customWidth="1"/>
    <col min="8" max="8" width="7.42578125" customWidth="1"/>
    <col min="9" max="9" width="7.28515625" customWidth="1"/>
    <col min="10" max="10" width="7.7109375" customWidth="1"/>
    <col min="11" max="11" width="1.5703125" style="39" customWidth="1"/>
    <col min="12" max="12" width="7.85546875" customWidth="1"/>
    <col min="13" max="13" width="8.28515625" bestFit="1" customWidth="1"/>
    <col min="14" max="14" width="7.7109375" bestFit="1" customWidth="1"/>
    <col min="15" max="15" width="8.28515625" bestFit="1" customWidth="1"/>
    <col min="16" max="16" width="1.28515625" style="39" customWidth="1"/>
    <col min="17" max="17" width="9.140625" customWidth="1"/>
    <col min="18" max="20" width="7.7109375" customWidth="1"/>
    <col min="21" max="21" width="1.42578125" style="39" customWidth="1"/>
    <col min="22" max="22" width="9.28515625" customWidth="1"/>
    <col min="23" max="23" width="8.140625" customWidth="1"/>
    <col min="24" max="24" width="7.7109375" customWidth="1"/>
    <col min="25" max="25" width="7.5703125" customWidth="1"/>
    <col min="26" max="26" width="0.42578125" style="39" customWidth="1"/>
    <col min="27" max="27" width="7.85546875" style="68" customWidth="1"/>
  </cols>
  <sheetData>
    <row r="1" spans="1:27" ht="26.25" x14ac:dyDescent="0.4">
      <c r="A1" s="179" t="s">
        <v>157</v>
      </c>
      <c r="B1" s="179"/>
    </row>
    <row r="2" spans="1:27" x14ac:dyDescent="0.25">
      <c r="A2" s="180" t="s">
        <v>158</v>
      </c>
      <c r="B2" s="180"/>
    </row>
    <row r="3" spans="1:27" ht="26.25" customHeight="1" x14ac:dyDescent="0.25">
      <c r="B3" s="181" t="s">
        <v>159</v>
      </c>
      <c r="C3" s="181" t="s">
        <v>160</v>
      </c>
      <c r="D3" s="181" t="s">
        <v>161</v>
      </c>
      <c r="E3" s="181" t="s">
        <v>162</v>
      </c>
      <c r="F3" s="182"/>
      <c r="G3" s="181" t="s">
        <v>163</v>
      </c>
      <c r="H3" s="182" t="s">
        <v>164</v>
      </c>
      <c r="I3" s="181" t="s">
        <v>165</v>
      </c>
      <c r="J3" s="181" t="s">
        <v>166</v>
      </c>
      <c r="K3" s="182"/>
      <c r="L3" s="181" t="s">
        <v>167</v>
      </c>
      <c r="M3" s="181" t="s">
        <v>168</v>
      </c>
      <c r="N3" s="182" t="s">
        <v>169</v>
      </c>
      <c r="O3" s="181" t="s">
        <v>170</v>
      </c>
      <c r="P3" s="182"/>
      <c r="Q3" s="181" t="s">
        <v>171</v>
      </c>
      <c r="R3" s="181" t="s">
        <v>172</v>
      </c>
      <c r="S3" s="181" t="s">
        <v>173</v>
      </c>
      <c r="T3" s="182" t="s">
        <v>174</v>
      </c>
      <c r="U3" s="182"/>
      <c r="V3" s="181" t="s">
        <v>175</v>
      </c>
      <c r="W3" s="181" t="s">
        <v>176</v>
      </c>
      <c r="X3" s="181" t="s">
        <v>177</v>
      </c>
      <c r="Y3" s="181" t="s">
        <v>178</v>
      </c>
      <c r="Z3" s="183"/>
      <c r="AA3" s="184"/>
    </row>
    <row r="4" spans="1:27" ht="15.75" customHeight="1" x14ac:dyDescent="0.25">
      <c r="A4" s="185" t="s">
        <v>4</v>
      </c>
      <c r="B4" s="186">
        <v>2018</v>
      </c>
      <c r="C4" s="186"/>
      <c r="D4" s="186"/>
      <c r="E4" s="186"/>
      <c r="F4" s="187"/>
      <c r="G4" s="186">
        <v>2017</v>
      </c>
      <c r="H4" s="186"/>
      <c r="I4" s="186"/>
      <c r="J4" s="186"/>
      <c r="K4" s="187"/>
      <c r="L4" s="186">
        <v>2016</v>
      </c>
      <c r="M4" s="186"/>
      <c r="N4" s="186"/>
      <c r="O4" s="186"/>
      <c r="P4" s="187"/>
      <c r="Q4" s="186">
        <v>2015</v>
      </c>
      <c r="R4" s="186"/>
      <c r="S4" s="186"/>
      <c r="T4" s="186"/>
      <c r="U4" s="187"/>
      <c r="V4" s="186">
        <v>2014</v>
      </c>
      <c r="W4" s="186"/>
      <c r="X4" s="186"/>
      <c r="Y4" s="186"/>
      <c r="Z4" s="187"/>
      <c r="AA4" s="188" t="s">
        <v>4</v>
      </c>
    </row>
    <row r="5" spans="1:27" ht="17.25" customHeight="1" x14ac:dyDescent="0.25">
      <c r="A5" s="189"/>
      <c r="B5" s="190" t="s">
        <v>179</v>
      </c>
      <c r="C5" s="190" t="s">
        <v>180</v>
      </c>
      <c r="D5" s="190" t="s">
        <v>181</v>
      </c>
      <c r="E5" s="190" t="s">
        <v>182</v>
      </c>
      <c r="F5" s="191"/>
      <c r="G5" s="190" t="s">
        <v>179</v>
      </c>
      <c r="H5" s="190" t="s">
        <v>180</v>
      </c>
      <c r="I5" s="190" t="s">
        <v>181</v>
      </c>
      <c r="J5" s="190" t="s">
        <v>182</v>
      </c>
      <c r="K5" s="192"/>
      <c r="L5" s="190" t="s">
        <v>183</v>
      </c>
      <c r="M5" s="190" t="s">
        <v>180</v>
      </c>
      <c r="N5" s="190" t="s">
        <v>181</v>
      </c>
      <c r="O5" s="190" t="s">
        <v>184</v>
      </c>
      <c r="P5" s="192"/>
      <c r="Q5" s="190" t="s">
        <v>179</v>
      </c>
      <c r="R5" s="190" t="s">
        <v>180</v>
      </c>
      <c r="S5" s="190" t="s">
        <v>181</v>
      </c>
      <c r="T5" s="190" t="s">
        <v>182</v>
      </c>
      <c r="U5" s="192"/>
      <c r="V5" s="190" t="s">
        <v>179</v>
      </c>
      <c r="W5" s="190" t="s">
        <v>185</v>
      </c>
      <c r="X5" s="190" t="s">
        <v>181</v>
      </c>
      <c r="Y5" s="190" t="s">
        <v>182</v>
      </c>
      <c r="Z5" s="192"/>
      <c r="AA5" s="193"/>
    </row>
    <row r="6" spans="1:27" x14ac:dyDescent="0.25">
      <c r="A6" s="194" t="s">
        <v>108</v>
      </c>
      <c r="B6" s="195"/>
      <c r="C6" s="195"/>
      <c r="D6" s="195"/>
      <c r="E6" s="196"/>
      <c r="F6" s="197"/>
      <c r="G6" s="198"/>
      <c r="H6" s="199"/>
      <c r="I6" s="199"/>
      <c r="J6" s="200"/>
      <c r="K6" s="197"/>
      <c r="L6" s="198"/>
      <c r="M6" s="199"/>
      <c r="N6" s="199"/>
      <c r="O6" s="200"/>
      <c r="P6" s="197"/>
      <c r="Q6" s="198"/>
      <c r="R6" s="199"/>
      <c r="S6" s="199"/>
      <c r="T6" s="200"/>
      <c r="U6" s="197"/>
      <c r="V6" s="198"/>
      <c r="W6" s="199"/>
      <c r="X6" s="199"/>
      <c r="Y6" s="200"/>
      <c r="Z6" s="197"/>
      <c r="AA6" s="201"/>
    </row>
    <row r="7" spans="1:27" x14ac:dyDescent="0.25">
      <c r="A7" t="s">
        <v>48</v>
      </c>
      <c r="B7" s="202">
        <v>426.67700000000002</v>
      </c>
      <c r="C7" s="202">
        <v>-102.68899999999999</v>
      </c>
      <c r="D7" s="202">
        <v>-236.22900000000001</v>
      </c>
      <c r="E7" s="202">
        <v>86.673000000000002</v>
      </c>
      <c r="F7" s="203"/>
      <c r="G7" s="202">
        <v>47.640999999999998</v>
      </c>
      <c r="H7" s="202">
        <v>-19.117999999999999</v>
      </c>
      <c r="I7" s="202">
        <v>-36.006999999999998</v>
      </c>
      <c r="J7" s="202">
        <v>129.28899999999999</v>
      </c>
      <c r="K7" s="202"/>
      <c r="L7" s="202">
        <v>123.002</v>
      </c>
      <c r="M7" s="202">
        <v>81.331999999999994</v>
      </c>
      <c r="N7" s="202">
        <v>28.393000000000001</v>
      </c>
      <c r="O7" s="202">
        <v>221.03899999999999</v>
      </c>
      <c r="P7" s="202"/>
      <c r="Q7" s="202">
        <v>215.65899999999999</v>
      </c>
      <c r="R7" s="202">
        <v>121.053</v>
      </c>
      <c r="S7" s="202">
        <v>55.84</v>
      </c>
      <c r="T7" s="202">
        <v>141.26400000000001</v>
      </c>
      <c r="U7" s="202"/>
      <c r="V7" s="202">
        <v>136.84100000000001</v>
      </c>
      <c r="W7" s="202">
        <v>168.851</v>
      </c>
      <c r="X7" s="202">
        <v>73.283000000000001</v>
      </c>
      <c r="Y7" s="202">
        <v>160.49600000000001</v>
      </c>
      <c r="AA7" s="68" t="s">
        <v>48</v>
      </c>
    </row>
    <row r="8" spans="1:27" x14ac:dyDescent="0.25">
      <c r="A8" t="s">
        <v>13</v>
      </c>
      <c r="B8" s="202">
        <v>77.778000000000006</v>
      </c>
      <c r="C8" s="202">
        <v>299.404</v>
      </c>
      <c r="D8" s="202">
        <v>356.54899999999998</v>
      </c>
      <c r="E8" s="202">
        <v>189.48400000000001</v>
      </c>
      <c r="F8" s="203"/>
      <c r="G8" s="202">
        <v>62.875999999999998</v>
      </c>
      <c r="H8" s="202">
        <v>54.158999999999999</v>
      </c>
      <c r="I8" s="202">
        <v>137.15600000000001</v>
      </c>
      <c r="J8" s="202">
        <v>-87.914000000000001</v>
      </c>
      <c r="K8" s="203"/>
      <c r="L8" s="202">
        <v>270.07400000000001</v>
      </c>
      <c r="M8" s="202">
        <v>189.98500000000001</v>
      </c>
      <c r="N8" s="202">
        <v>-0.30099999999999999</v>
      </c>
      <c r="O8" s="202" t="s">
        <v>186</v>
      </c>
      <c r="P8" s="203"/>
      <c r="Q8" s="202" t="s">
        <v>186</v>
      </c>
      <c r="R8" s="202" t="s">
        <v>186</v>
      </c>
      <c r="S8" s="202" t="s">
        <v>186</v>
      </c>
      <c r="T8" s="202" t="s">
        <v>186</v>
      </c>
      <c r="U8" s="203"/>
      <c r="V8" s="202" t="s">
        <v>186</v>
      </c>
      <c r="W8" s="202" t="s">
        <v>186</v>
      </c>
      <c r="X8" s="202" t="s">
        <v>186</v>
      </c>
      <c r="Y8" s="202" t="s">
        <v>186</v>
      </c>
      <c r="AA8" s="68" t="s">
        <v>13</v>
      </c>
    </row>
    <row r="9" spans="1:27" x14ac:dyDescent="0.25">
      <c r="A9" t="s">
        <v>46</v>
      </c>
      <c r="B9" s="202">
        <v>363.67</v>
      </c>
      <c r="C9" s="202">
        <v>-1107.191</v>
      </c>
      <c r="D9" s="202">
        <v>-966.12099999999998</v>
      </c>
      <c r="E9" s="204">
        <v>6.8680000000000003</v>
      </c>
      <c r="F9" s="205"/>
      <c r="G9" s="202">
        <v>-178.36500000000001</v>
      </c>
      <c r="H9" s="202">
        <v>-8.3239999999999998</v>
      </c>
      <c r="I9" s="202">
        <v>-40.198</v>
      </c>
      <c r="J9" s="202">
        <v>39.457000000000001</v>
      </c>
      <c r="K9" s="203"/>
      <c r="L9" s="202">
        <v>-10.75</v>
      </c>
      <c r="M9" s="202">
        <v>-7.7510000000000003</v>
      </c>
      <c r="N9" s="202">
        <v>-2.4489999999999998</v>
      </c>
      <c r="O9" s="202">
        <v>23.488</v>
      </c>
      <c r="P9" s="203"/>
      <c r="Q9" s="202">
        <v>636.52200000000005</v>
      </c>
      <c r="R9" s="202">
        <v>251.506</v>
      </c>
      <c r="S9" s="202">
        <v>146.93299999999999</v>
      </c>
      <c r="T9" s="202">
        <v>60.137999999999998</v>
      </c>
      <c r="U9" s="203"/>
      <c r="V9" s="202">
        <v>50.539000000000001</v>
      </c>
      <c r="W9" s="202">
        <v>132.41999999999999</v>
      </c>
      <c r="X9" s="202">
        <v>278.29399999999998</v>
      </c>
      <c r="Y9" s="202">
        <v>209.881</v>
      </c>
      <c r="AA9" s="68" t="s">
        <v>46</v>
      </c>
    </row>
    <row r="10" spans="1:27" x14ac:dyDescent="0.25">
      <c r="A10" t="s">
        <v>74</v>
      </c>
      <c r="B10" s="202">
        <v>-252.33421999999999</v>
      </c>
      <c r="C10" s="202">
        <v>462.11556000000002</v>
      </c>
      <c r="D10" s="202">
        <v>181.88889</v>
      </c>
      <c r="E10" s="204">
        <v>67.675470000000004</v>
      </c>
      <c r="F10" s="205"/>
      <c r="G10" s="202">
        <v>147.43633</v>
      </c>
      <c r="H10" s="202">
        <v>133.13142999999999</v>
      </c>
      <c r="I10" s="202">
        <v>79.73724</v>
      </c>
      <c r="J10" s="202">
        <v>-21.15429</v>
      </c>
      <c r="K10" s="203"/>
      <c r="L10" s="202">
        <v>108.50599</v>
      </c>
      <c r="M10" s="202">
        <v>144.86473000000001</v>
      </c>
      <c r="N10" s="202">
        <v>63.787999999999997</v>
      </c>
      <c r="O10" s="202">
        <v>66.914580000000001</v>
      </c>
      <c r="P10" s="203"/>
      <c r="Q10" s="202">
        <v>172.15217999999999</v>
      </c>
      <c r="R10" s="202">
        <v>63.35989</v>
      </c>
      <c r="S10" s="202">
        <v>65.481780000000001</v>
      </c>
      <c r="T10" s="202">
        <v>26.36909</v>
      </c>
      <c r="U10" s="203"/>
      <c r="V10" s="202">
        <v>55.121870000000001</v>
      </c>
      <c r="W10" s="202">
        <v>70.677930000000003</v>
      </c>
      <c r="X10" s="202">
        <v>55.65043</v>
      </c>
      <c r="Y10" s="202">
        <v>22.957170000000001</v>
      </c>
      <c r="AA10" s="68" t="s">
        <v>74</v>
      </c>
    </row>
    <row r="11" spans="1:27" x14ac:dyDescent="0.25">
      <c r="A11" t="s">
        <v>23</v>
      </c>
      <c r="B11" s="202">
        <v>799.72199999999998</v>
      </c>
      <c r="C11" s="202">
        <v>-963.65</v>
      </c>
      <c r="D11" s="202">
        <v>-1019.953</v>
      </c>
      <c r="E11" s="204">
        <v>81.088999999999999</v>
      </c>
      <c r="F11" s="205"/>
      <c r="G11" s="202">
        <v>38.231000000000002</v>
      </c>
      <c r="H11" s="202">
        <v>240.60900000000001</v>
      </c>
      <c r="I11" s="202">
        <v>-25.324000000000002</v>
      </c>
      <c r="J11" s="202">
        <v>-84.292000000000002</v>
      </c>
      <c r="K11" s="203"/>
      <c r="L11" s="202">
        <v>11.15035</v>
      </c>
      <c r="M11" s="202">
        <v>171.01219</v>
      </c>
      <c r="N11" s="202">
        <v>142.00602000000001</v>
      </c>
      <c r="O11" s="202">
        <v>-93.426860000000005</v>
      </c>
      <c r="P11" s="203"/>
      <c r="Q11" s="202">
        <v>-75.209850000000003</v>
      </c>
      <c r="R11" s="202">
        <v>30.426909999999999</v>
      </c>
      <c r="S11" s="202">
        <v>8.4748900000000003</v>
      </c>
      <c r="T11" s="202">
        <v>-28.784800000000001</v>
      </c>
      <c r="U11" s="203"/>
      <c r="V11" s="202">
        <v>71.178600000000003</v>
      </c>
      <c r="W11" s="202">
        <v>114.33148</v>
      </c>
      <c r="X11" s="202">
        <v>20.538910000000001</v>
      </c>
      <c r="Y11" s="202">
        <v>92.829470000000001</v>
      </c>
      <c r="AA11" s="68" t="s">
        <v>23</v>
      </c>
    </row>
    <row r="12" spans="1:27" x14ac:dyDescent="0.25">
      <c r="A12" t="s">
        <v>30</v>
      </c>
      <c r="B12" s="202">
        <v>330.524</v>
      </c>
      <c r="C12" s="202">
        <v>-1278.6279999999999</v>
      </c>
      <c r="D12" s="202">
        <v>-717.25099999999998</v>
      </c>
      <c r="E12" s="204">
        <v>-341.82100000000003</v>
      </c>
      <c r="F12" s="205"/>
      <c r="G12" s="202">
        <v>164.93199999999999</v>
      </c>
      <c r="H12" s="202">
        <v>-197.78200000000001</v>
      </c>
      <c r="I12" s="202">
        <v>-42.975999999999999</v>
      </c>
      <c r="J12" s="202">
        <v>-25.33</v>
      </c>
      <c r="K12" s="203"/>
      <c r="L12" s="202">
        <v>-34.238999999999997</v>
      </c>
      <c r="M12" s="202">
        <v>-46.521000000000001</v>
      </c>
      <c r="N12" s="202">
        <v>-136.17099999999999</v>
      </c>
      <c r="O12" s="202">
        <v>54.515000000000001</v>
      </c>
      <c r="P12" s="203"/>
      <c r="Q12" s="202">
        <v>7.556</v>
      </c>
      <c r="R12" s="202">
        <v>22.353999999999999</v>
      </c>
      <c r="S12" s="202">
        <v>39.213999999999999</v>
      </c>
      <c r="T12" s="202">
        <v>-10.617000000000001</v>
      </c>
      <c r="U12" s="203"/>
      <c r="V12" s="202">
        <v>13.494999999999999</v>
      </c>
      <c r="W12" s="202">
        <v>33.337000000000003</v>
      </c>
      <c r="X12" s="202">
        <v>100.41800000000001</v>
      </c>
      <c r="Y12" s="202">
        <v>60.917000000000002</v>
      </c>
      <c r="AA12" s="68" t="s">
        <v>30</v>
      </c>
    </row>
    <row r="13" spans="1:27" x14ac:dyDescent="0.25">
      <c r="A13" t="s">
        <v>79</v>
      </c>
      <c r="B13" s="202">
        <v>-102.26779000000001</v>
      </c>
      <c r="C13" s="202">
        <v>20.502960000000002</v>
      </c>
      <c r="D13" s="202">
        <v>-61.718380000000003</v>
      </c>
      <c r="E13" s="204">
        <v>70.872069999999994</v>
      </c>
      <c r="F13" s="205"/>
      <c r="G13" s="202">
        <v>21.76361</v>
      </c>
      <c r="H13" s="202">
        <v>35.43862</v>
      </c>
      <c r="I13" s="202">
        <v>6.9365899999999998</v>
      </c>
      <c r="J13" s="202">
        <v>38.456409999999998</v>
      </c>
      <c r="K13" s="203"/>
      <c r="L13" s="202">
        <v>15.45801</v>
      </c>
      <c r="M13" s="202">
        <v>7.5793600000000003</v>
      </c>
      <c r="N13" s="202">
        <v>13.27849</v>
      </c>
      <c r="O13" s="202">
        <v>10.62628</v>
      </c>
      <c r="P13" s="203"/>
      <c r="Q13" s="202">
        <v>20.49605</v>
      </c>
      <c r="R13" s="202">
        <v>17.591159999999999</v>
      </c>
      <c r="S13" s="202">
        <v>-0.99341000000000002</v>
      </c>
      <c r="T13" s="202">
        <v>-11.30813</v>
      </c>
      <c r="U13" s="203"/>
      <c r="V13" s="202">
        <v>-12.36307</v>
      </c>
      <c r="W13" s="202">
        <v>1.4978199999999999</v>
      </c>
      <c r="X13" s="202">
        <v>-19.128399999999999</v>
      </c>
      <c r="Y13" s="202">
        <v>-11.88734</v>
      </c>
      <c r="AA13" s="68" t="s">
        <v>79</v>
      </c>
    </row>
    <row r="14" spans="1:27" x14ac:dyDescent="0.25">
      <c r="A14" t="s">
        <v>55</v>
      </c>
      <c r="B14" s="202">
        <v>-12.343999999999999</v>
      </c>
      <c r="C14" s="202">
        <v>122.563</v>
      </c>
      <c r="D14" s="202">
        <v>-107.38200000000001</v>
      </c>
      <c r="E14" s="204">
        <v>-76.325000000000003</v>
      </c>
      <c r="F14" s="205"/>
      <c r="G14" s="202">
        <v>-476.24599999999998</v>
      </c>
      <c r="H14" s="202">
        <v>-84.46</v>
      </c>
      <c r="I14" s="202">
        <v>-120.789</v>
      </c>
      <c r="J14" s="202">
        <v>-183.864</v>
      </c>
      <c r="K14" s="203"/>
      <c r="L14" s="202">
        <v>-154.33099999999999</v>
      </c>
      <c r="M14" s="202">
        <v>-74.522999999999996</v>
      </c>
      <c r="N14" s="202">
        <v>-178.41300000000001</v>
      </c>
      <c r="O14" s="202">
        <v>-77.816999999999993</v>
      </c>
      <c r="P14" s="203"/>
      <c r="Q14" s="202">
        <v>-102.17100000000001</v>
      </c>
      <c r="R14" s="202">
        <v>-13.497999999999999</v>
      </c>
      <c r="S14" s="202">
        <v>9.3569999999999993</v>
      </c>
      <c r="T14" s="202">
        <v>-7.4109999999999996</v>
      </c>
      <c r="U14" s="203"/>
      <c r="V14" s="202">
        <v>-25.6</v>
      </c>
      <c r="W14" s="202">
        <v>-0.63800000000000001</v>
      </c>
      <c r="X14" s="202">
        <v>-46.795000000000002</v>
      </c>
      <c r="Y14" s="202">
        <v>-4.5369999999999999</v>
      </c>
      <c r="AA14" s="68" t="s">
        <v>55</v>
      </c>
    </row>
    <row r="15" spans="1:27" x14ac:dyDescent="0.25">
      <c r="A15" t="s">
        <v>44</v>
      </c>
      <c r="B15" s="202">
        <v>19.88373</v>
      </c>
      <c r="C15" s="202">
        <v>49.696899999999999</v>
      </c>
      <c r="D15" s="202">
        <v>36.966470000000001</v>
      </c>
      <c r="E15" s="204">
        <v>27.73066</v>
      </c>
      <c r="F15" s="205"/>
      <c r="G15" s="202">
        <v>26.24663</v>
      </c>
      <c r="H15" s="202">
        <v>23.64254</v>
      </c>
      <c r="I15" s="202">
        <v>20.70468</v>
      </c>
      <c r="J15" s="202">
        <v>22.670179999999998</v>
      </c>
      <c r="K15" s="203"/>
      <c r="L15" s="202">
        <v>21.422599999999999</v>
      </c>
      <c r="M15" s="202">
        <v>23.128789999999999</v>
      </c>
      <c r="N15" s="202">
        <v>20.674990000000001</v>
      </c>
      <c r="O15" s="202">
        <v>18.364540000000002</v>
      </c>
      <c r="P15" s="203"/>
      <c r="Q15" s="202">
        <v>5.2500900000000001</v>
      </c>
      <c r="R15" s="202">
        <v>4.2694000000000001</v>
      </c>
      <c r="S15" s="202">
        <v>3.6802299999999999</v>
      </c>
      <c r="T15" s="202">
        <v>8.9833999999999996</v>
      </c>
      <c r="U15" s="203"/>
      <c r="V15" s="202">
        <v>5.2039900000000001</v>
      </c>
      <c r="W15" s="202">
        <v>9.2091399999999997</v>
      </c>
      <c r="X15" s="202">
        <v>3.4625699999999999</v>
      </c>
      <c r="Y15" s="202">
        <v>6.8643700000000001</v>
      </c>
      <c r="AA15" s="68" t="s">
        <v>44</v>
      </c>
    </row>
    <row r="16" spans="1:27" x14ac:dyDescent="0.25">
      <c r="A16" t="s">
        <v>75</v>
      </c>
      <c r="B16" s="202">
        <v>29.35521</v>
      </c>
      <c r="C16" s="202">
        <v>35.086669999999998</v>
      </c>
      <c r="D16" s="202">
        <v>20.25554</v>
      </c>
      <c r="E16" s="204">
        <v>8.8888599999999993</v>
      </c>
      <c r="F16" s="205"/>
      <c r="G16" s="202">
        <v>1.24299</v>
      </c>
      <c r="H16" s="202">
        <v>3.25502</v>
      </c>
      <c r="I16" s="202">
        <v>7.0986599999999997</v>
      </c>
      <c r="J16" s="202">
        <v>4.6051000000000002</v>
      </c>
      <c r="K16" s="203"/>
      <c r="L16" s="202">
        <v>3.0802499999999999</v>
      </c>
      <c r="M16" s="202">
        <v>1.1099000000000001</v>
      </c>
      <c r="N16" s="202">
        <v>0.30985000000000001</v>
      </c>
      <c r="O16" s="202">
        <v>14.327389999999999</v>
      </c>
      <c r="P16" s="203"/>
      <c r="Q16" s="202">
        <v>8.0861000000000001</v>
      </c>
      <c r="R16" s="202">
        <v>7.2681699999999996</v>
      </c>
      <c r="S16" s="202">
        <v>3.8726600000000002</v>
      </c>
      <c r="T16" s="202">
        <v>4.9247199999999998</v>
      </c>
      <c r="U16" s="203"/>
      <c r="V16" s="202">
        <v>5.3063500000000001</v>
      </c>
      <c r="W16" s="202">
        <v>-1.45482</v>
      </c>
      <c r="X16" s="202">
        <v>2.9600399999999998</v>
      </c>
      <c r="Y16" s="202">
        <v>8.6744900000000005</v>
      </c>
      <c r="AA16" s="68" t="s">
        <v>75</v>
      </c>
    </row>
    <row r="17" spans="1:27" x14ac:dyDescent="0.25">
      <c r="A17" t="s">
        <v>52</v>
      </c>
      <c r="B17" s="202">
        <v>-9.5550599999999992</v>
      </c>
      <c r="C17" s="202">
        <v>-45.393830000000001</v>
      </c>
      <c r="D17" s="202">
        <v>-49.605789999999999</v>
      </c>
      <c r="E17" s="204">
        <v>-13.03365</v>
      </c>
      <c r="F17" s="205"/>
      <c r="G17" s="202">
        <v>-10.47104</v>
      </c>
      <c r="H17" s="202">
        <v>-19.097660000000001</v>
      </c>
      <c r="I17" s="202">
        <v>-34.04139</v>
      </c>
      <c r="J17" s="202">
        <v>-11.84224</v>
      </c>
      <c r="K17" s="203"/>
      <c r="L17" s="202">
        <v>-7.4233700000000002</v>
      </c>
      <c r="M17" s="202">
        <v>-9.5234500000000004</v>
      </c>
      <c r="N17" s="202">
        <v>-18.846419999999998</v>
      </c>
      <c r="O17" s="202">
        <v>-17.478059999999999</v>
      </c>
      <c r="P17" s="203"/>
      <c r="Q17" s="202">
        <v>-7.3851899999999997</v>
      </c>
      <c r="R17" s="202">
        <v>-11.91394</v>
      </c>
      <c r="S17" s="202">
        <v>-10.61247</v>
      </c>
      <c r="T17" s="202">
        <v>-14.93309</v>
      </c>
      <c r="U17" s="203"/>
      <c r="V17" s="202">
        <v>-3.03301</v>
      </c>
      <c r="W17" s="202">
        <v>-0.96943999999999997</v>
      </c>
      <c r="X17" s="202">
        <v>-2.9477099999999998</v>
      </c>
      <c r="Y17" s="202">
        <v>-7.1043000000000003</v>
      </c>
      <c r="AA17" s="68" t="s">
        <v>52</v>
      </c>
    </row>
    <row r="18" spans="1:27" x14ac:dyDescent="0.25">
      <c r="A18" s="70" t="s">
        <v>109</v>
      </c>
      <c r="B18" s="206">
        <v>151.91898818181815</v>
      </c>
      <c r="C18" s="206">
        <v>-228.0166127272727</v>
      </c>
      <c r="D18" s="206">
        <v>-232.96366090909089</v>
      </c>
      <c r="E18" s="207">
        <v>9.8274009090909118</v>
      </c>
      <c r="F18" s="207"/>
      <c r="G18" s="206">
        <v>-14.064770909090914</v>
      </c>
      <c r="H18" s="206">
        <v>14.677631818181823</v>
      </c>
      <c r="I18" s="206">
        <v>-4.3365654545454539</v>
      </c>
      <c r="J18" s="206">
        <v>-16.356258181818188</v>
      </c>
      <c r="K18" s="206"/>
      <c r="L18" s="206">
        <v>31.449984545454548</v>
      </c>
      <c r="M18" s="206">
        <v>43.699410909090908</v>
      </c>
      <c r="N18" s="206">
        <v>-6.1572790909090891</v>
      </c>
      <c r="O18" s="206">
        <v>22.055287</v>
      </c>
      <c r="P18" s="206"/>
      <c r="Q18" s="206">
        <v>88.095538000000005</v>
      </c>
      <c r="R18" s="206">
        <v>49.241658999999999</v>
      </c>
      <c r="S18" s="206">
        <v>32.124768000000003</v>
      </c>
      <c r="T18" s="206">
        <v>16.862519000000002</v>
      </c>
      <c r="U18" s="206"/>
      <c r="V18" s="206">
        <v>29.668973000000001</v>
      </c>
      <c r="W18" s="206">
        <v>52.726210999999999</v>
      </c>
      <c r="X18" s="206">
        <v>46.573584000000004</v>
      </c>
      <c r="Y18" s="206">
        <v>53.909086000000002</v>
      </c>
      <c r="Z18" s="208"/>
      <c r="AA18" s="79" t="s">
        <v>110</v>
      </c>
    </row>
    <row r="19" spans="1:27" x14ac:dyDescent="0.25">
      <c r="C19" s="202"/>
      <c r="D19" s="202"/>
      <c r="E19" s="204"/>
      <c r="F19" s="205"/>
      <c r="G19" s="202"/>
      <c r="H19" s="202"/>
      <c r="I19" s="202"/>
      <c r="J19" s="202"/>
      <c r="K19" s="203"/>
      <c r="L19" s="202"/>
      <c r="M19" s="202"/>
      <c r="N19" s="202"/>
      <c r="O19" s="202"/>
      <c r="P19" s="203"/>
      <c r="Q19" s="202"/>
      <c r="R19" s="202"/>
      <c r="S19" s="202"/>
      <c r="T19" s="202"/>
      <c r="U19" s="203"/>
      <c r="V19" s="202"/>
      <c r="W19" s="202"/>
      <c r="X19" s="202"/>
      <c r="Y19" s="202"/>
    </row>
    <row r="20" spans="1:27" x14ac:dyDescent="0.25">
      <c r="A20" s="58" t="s">
        <v>111</v>
      </c>
      <c r="B20" s="58"/>
      <c r="C20" s="209"/>
      <c r="D20" s="209"/>
      <c r="E20" s="209"/>
      <c r="F20" s="210"/>
      <c r="G20" s="209"/>
      <c r="H20" s="209"/>
      <c r="I20" s="209"/>
      <c r="J20" s="209"/>
      <c r="K20" s="210"/>
      <c r="L20" s="209"/>
      <c r="M20" s="209"/>
      <c r="N20" s="209"/>
      <c r="O20" s="209"/>
      <c r="P20" s="210"/>
      <c r="Q20" s="209"/>
      <c r="R20" s="209"/>
      <c r="S20" s="209"/>
      <c r="T20" s="209"/>
      <c r="U20" s="210"/>
      <c r="V20" s="209"/>
      <c r="W20" s="209"/>
      <c r="X20" s="209"/>
      <c r="Y20" s="209"/>
      <c r="Z20" s="211"/>
      <c r="AA20" s="89"/>
    </row>
    <row r="21" spans="1:27" x14ac:dyDescent="0.25">
      <c r="A21" t="s">
        <v>42</v>
      </c>
      <c r="B21" s="202">
        <v>550.42999999999995</v>
      </c>
      <c r="C21" s="202">
        <v>-797.39099999999996</v>
      </c>
      <c r="D21" s="202">
        <v>-103.44499999999999</v>
      </c>
      <c r="E21" s="202">
        <v>270.44900000000001</v>
      </c>
      <c r="F21" s="203"/>
      <c r="G21" s="202">
        <v>250.66900000000001</v>
      </c>
      <c r="H21" s="202">
        <v>311.322</v>
      </c>
      <c r="I21" s="202">
        <v>209.68600000000001</v>
      </c>
      <c r="J21" s="202">
        <v>115.605</v>
      </c>
      <c r="K21" s="203"/>
      <c r="L21" s="202">
        <v>75.741</v>
      </c>
      <c r="M21" s="202">
        <v>151.124</v>
      </c>
      <c r="N21" s="202">
        <v>118.90300000000001</v>
      </c>
      <c r="O21" s="202">
        <v>81.715999999999994</v>
      </c>
      <c r="P21" s="203"/>
      <c r="Q21" s="202">
        <v>460.28699999999998</v>
      </c>
      <c r="R21" s="202">
        <v>94.893000000000001</v>
      </c>
      <c r="S21" s="202">
        <v>3.6850000000000001</v>
      </c>
      <c r="T21" s="202">
        <v>-36.591999999999999</v>
      </c>
      <c r="U21" s="203"/>
      <c r="V21" s="202">
        <v>88.832999999999998</v>
      </c>
      <c r="W21" s="202">
        <v>10.071999999999999</v>
      </c>
      <c r="X21" s="202">
        <v>19.042999999999999</v>
      </c>
      <c r="Y21" s="202">
        <v>18.972000000000001</v>
      </c>
      <c r="AA21" s="68" t="s">
        <v>42</v>
      </c>
    </row>
    <row r="22" spans="1:27" x14ac:dyDescent="0.25">
      <c r="A22" t="s">
        <v>63</v>
      </c>
      <c r="B22" s="202">
        <v>70.833150000000003</v>
      </c>
      <c r="C22" s="202">
        <v>16.8596</v>
      </c>
      <c r="D22" s="202">
        <v>-8.3234999999999992</v>
      </c>
      <c r="E22" s="202">
        <v>62.148699999999998</v>
      </c>
      <c r="F22" s="203"/>
      <c r="G22" s="202">
        <v>37.531210000000002</v>
      </c>
      <c r="H22" s="202">
        <v>11.58013</v>
      </c>
      <c r="I22" s="202">
        <v>7.8194499999999998</v>
      </c>
      <c r="J22" s="202">
        <v>38.13991</v>
      </c>
      <c r="K22" s="203"/>
      <c r="L22" s="202">
        <v>43.879300000000001</v>
      </c>
      <c r="M22" s="202">
        <v>10.68247</v>
      </c>
      <c r="N22" s="202">
        <v>-12.857530000000001</v>
      </c>
      <c r="O22" s="202">
        <v>32.024459999999998</v>
      </c>
      <c r="P22" s="203"/>
      <c r="Q22" s="202">
        <v>36.382959999999997</v>
      </c>
      <c r="R22" s="202">
        <v>-9.0560000000000002E-2</v>
      </c>
      <c r="S22" s="202">
        <v>-9.0117600000000007</v>
      </c>
      <c r="T22" s="202">
        <v>38.695650000000001</v>
      </c>
      <c r="U22" s="203"/>
      <c r="V22" s="202" t="s">
        <v>186</v>
      </c>
      <c r="W22" s="202" t="s">
        <v>186</v>
      </c>
      <c r="X22" s="202" t="s">
        <v>186</v>
      </c>
      <c r="Y22" s="202" t="s">
        <v>186</v>
      </c>
      <c r="AA22" s="68" t="s">
        <v>63</v>
      </c>
    </row>
    <row r="23" spans="1:27" x14ac:dyDescent="0.25">
      <c r="A23" t="s">
        <v>14</v>
      </c>
      <c r="B23" s="202">
        <v>-224.91506000000001</v>
      </c>
      <c r="C23" s="202">
        <v>-47.000830000000001</v>
      </c>
      <c r="D23" s="202">
        <v>-69.008700000000005</v>
      </c>
      <c r="E23" s="204">
        <v>51.095039999999997</v>
      </c>
      <c r="F23" s="205"/>
      <c r="G23" s="202">
        <v>27.665109999999999</v>
      </c>
      <c r="H23" s="202">
        <v>32.380650000000003</v>
      </c>
      <c r="I23" s="202">
        <v>-4.4762700000000004</v>
      </c>
      <c r="J23" s="202">
        <v>17.712129999999998</v>
      </c>
      <c r="K23" s="203"/>
      <c r="L23" s="202">
        <v>17.778700000000001</v>
      </c>
      <c r="M23" s="202">
        <v>38.018979999999999</v>
      </c>
      <c r="N23" s="202">
        <v>47.596550000000001</v>
      </c>
      <c r="O23" s="202">
        <v>60.259680000000003</v>
      </c>
      <c r="P23" s="203"/>
      <c r="Q23" s="202">
        <v>61.296759999999999</v>
      </c>
      <c r="R23" s="202">
        <v>44.310339999999997</v>
      </c>
      <c r="S23" s="202">
        <v>36.494169999999997</v>
      </c>
      <c r="T23" s="202">
        <v>26.29635</v>
      </c>
      <c r="U23" s="203"/>
      <c r="V23" s="202">
        <v>24.36073</v>
      </c>
      <c r="W23" s="202">
        <v>15.573840000000001</v>
      </c>
      <c r="X23" s="202">
        <v>19.054410000000001</v>
      </c>
      <c r="Y23" s="202">
        <v>16.31654</v>
      </c>
      <c r="AA23" s="68" t="s">
        <v>14</v>
      </c>
    </row>
    <row r="24" spans="1:27" x14ac:dyDescent="0.25">
      <c r="A24" t="s">
        <v>22</v>
      </c>
      <c r="B24" s="202">
        <v>38.411000000000001</v>
      </c>
      <c r="C24" s="202">
        <v>-1074.0540000000001</v>
      </c>
      <c r="D24" s="202">
        <v>-479.95100000000002</v>
      </c>
      <c r="E24" s="204">
        <v>-78.557000000000002</v>
      </c>
      <c r="F24" s="205"/>
      <c r="G24" s="202">
        <v>-146.75377</v>
      </c>
      <c r="H24" s="202">
        <v>-158.41900000000001</v>
      </c>
      <c r="I24" s="202">
        <v>-6.5730000000000004</v>
      </c>
      <c r="J24" s="202">
        <v>-40.228999999999999</v>
      </c>
      <c r="K24" s="203"/>
      <c r="L24" s="202">
        <v>117.69077</v>
      </c>
      <c r="M24" s="202">
        <v>-37.810339999999997</v>
      </c>
      <c r="N24" s="202">
        <v>-51.093029999999999</v>
      </c>
      <c r="O24" s="202">
        <v>-24.010829999999999</v>
      </c>
      <c r="P24" s="203"/>
      <c r="Q24" s="202">
        <v>-46.50694</v>
      </c>
      <c r="R24" s="202">
        <v>6.5173500000000004</v>
      </c>
      <c r="S24" s="202">
        <v>0.10542</v>
      </c>
      <c r="T24" s="202">
        <v>-5.1926600000000001</v>
      </c>
      <c r="U24" s="203"/>
      <c r="V24" s="202">
        <v>-19.813269999999999</v>
      </c>
      <c r="W24" s="202">
        <v>5.3183699999999998</v>
      </c>
      <c r="X24" s="202">
        <v>4.4263300000000001</v>
      </c>
      <c r="Y24" s="202">
        <v>-8.6443700000000003</v>
      </c>
      <c r="AA24" s="68" t="s">
        <v>22</v>
      </c>
    </row>
    <row r="25" spans="1:27" x14ac:dyDescent="0.25">
      <c r="A25" t="s">
        <v>21</v>
      </c>
      <c r="B25" s="202">
        <v>-147.40969000000001</v>
      </c>
      <c r="C25" s="202">
        <v>-12.35873</v>
      </c>
      <c r="D25" s="202">
        <v>8.3961400000000008</v>
      </c>
      <c r="E25" s="204">
        <v>-2.3243399999999999</v>
      </c>
      <c r="F25" s="205"/>
      <c r="G25" s="202">
        <v>-15.766249999999999</v>
      </c>
      <c r="H25" s="202">
        <v>-13.05484</v>
      </c>
      <c r="I25" s="202">
        <v>23.1599</v>
      </c>
      <c r="J25" s="202">
        <v>4.6884100000000002</v>
      </c>
      <c r="K25" s="203"/>
      <c r="L25" s="202">
        <v>-16.585319999999999</v>
      </c>
      <c r="M25" s="202">
        <v>-7.34727</v>
      </c>
      <c r="N25" s="202">
        <v>27.226990000000001</v>
      </c>
      <c r="O25" s="202">
        <v>33.319679999999998</v>
      </c>
      <c r="P25" s="203"/>
      <c r="Q25" s="202">
        <v>25.463760000000001</v>
      </c>
      <c r="R25" s="202">
        <v>28.598790000000001</v>
      </c>
      <c r="S25" s="202">
        <v>38.927379999999999</v>
      </c>
      <c r="T25" s="202">
        <v>12.34252</v>
      </c>
      <c r="U25" s="203"/>
      <c r="V25" s="202">
        <v>4.9409900000000002</v>
      </c>
      <c r="W25" s="202">
        <v>7.3041700000000001</v>
      </c>
      <c r="X25" s="202">
        <v>10.94145</v>
      </c>
      <c r="Y25" s="202">
        <v>9.3152299999999997</v>
      </c>
      <c r="AA25" s="68" t="s">
        <v>21</v>
      </c>
    </row>
    <row r="26" spans="1:27" x14ac:dyDescent="0.25">
      <c r="A26" t="s">
        <v>7</v>
      </c>
      <c r="B26" s="202">
        <v>-17.85033</v>
      </c>
      <c r="C26" s="202">
        <v>-46.287350000000004</v>
      </c>
      <c r="D26" s="202">
        <v>-37.778570000000002</v>
      </c>
      <c r="E26" s="204">
        <v>-94.149619999999999</v>
      </c>
      <c r="F26" s="205"/>
      <c r="G26" s="202">
        <v>-79.895790000000005</v>
      </c>
      <c r="H26" s="202">
        <v>-38.994149999999998</v>
      </c>
      <c r="I26" s="202">
        <v>-47.612389999999998</v>
      </c>
      <c r="J26" s="202">
        <v>-11.03715</v>
      </c>
      <c r="K26" s="203"/>
      <c r="L26" s="202">
        <v>-36.870089999999998</v>
      </c>
      <c r="M26" s="202">
        <v>-21.786300000000001</v>
      </c>
      <c r="N26" s="202">
        <v>-24.564730000000001</v>
      </c>
      <c r="O26" s="202">
        <v>-53.903530000000003</v>
      </c>
      <c r="P26" s="203"/>
      <c r="Q26" s="202">
        <v>-124.11233</v>
      </c>
      <c r="R26" s="202">
        <v>-38.235860000000002</v>
      </c>
      <c r="S26" s="202">
        <v>-30.975280000000001</v>
      </c>
      <c r="T26" s="202">
        <v>-31.401050000000001</v>
      </c>
      <c r="U26" s="203"/>
      <c r="V26" s="202">
        <v>-42.047620000000002</v>
      </c>
      <c r="W26" s="202">
        <v>-94.224000000000004</v>
      </c>
      <c r="X26" s="202">
        <v>-46.927300000000002</v>
      </c>
      <c r="Y26" s="202">
        <v>-106.94365999999999</v>
      </c>
      <c r="AA26" s="68" t="s">
        <v>7</v>
      </c>
    </row>
    <row r="27" spans="1:27" x14ac:dyDescent="0.25">
      <c r="A27" s="39" t="s">
        <v>81</v>
      </c>
      <c r="B27" s="202">
        <v>-23.641100000000002</v>
      </c>
      <c r="C27" s="202">
        <v>-7.3767300000000002</v>
      </c>
      <c r="D27" s="202">
        <v>-22.49164</v>
      </c>
      <c r="E27" s="204">
        <v>3.70689</v>
      </c>
      <c r="F27" s="205"/>
      <c r="G27" s="202">
        <v>0.96038000000000001</v>
      </c>
      <c r="H27" s="202">
        <v>6.3529900000000001</v>
      </c>
      <c r="I27" s="202">
        <v>3.0487000000000002</v>
      </c>
      <c r="J27" s="202">
        <v>2.79487</v>
      </c>
      <c r="K27" s="203"/>
      <c r="L27" s="202">
        <v>-1.93221</v>
      </c>
      <c r="M27" s="202">
        <v>1.4232499999999999</v>
      </c>
      <c r="N27" s="202">
        <v>1.8363700000000001</v>
      </c>
      <c r="O27" s="202">
        <v>3.6273200000000001</v>
      </c>
      <c r="P27" s="203"/>
      <c r="Q27" s="202">
        <v>1.43876</v>
      </c>
      <c r="R27" s="202">
        <v>4.7427099999999998</v>
      </c>
      <c r="S27" s="202">
        <v>6.1170499999999999</v>
      </c>
      <c r="T27" s="202">
        <v>2.9045299999999998</v>
      </c>
      <c r="U27" s="203"/>
      <c r="V27" s="202">
        <v>1.47583</v>
      </c>
      <c r="W27" s="202">
        <v>4.0152900000000002</v>
      </c>
      <c r="X27" s="202">
        <v>2.19617</v>
      </c>
      <c r="Y27" s="202">
        <v>2.7638699999999998</v>
      </c>
      <c r="AA27" s="68" t="s">
        <v>81</v>
      </c>
    </row>
    <row r="28" spans="1:27" x14ac:dyDescent="0.25">
      <c r="A28" s="70" t="s">
        <v>109</v>
      </c>
      <c r="B28" s="206">
        <v>35.122567142857136</v>
      </c>
      <c r="C28" s="206">
        <v>-281.08700571428568</v>
      </c>
      <c r="D28" s="206">
        <v>-101.8003242857143</v>
      </c>
      <c r="E28" s="207">
        <v>30.338381428571427</v>
      </c>
      <c r="F28" s="207"/>
      <c r="G28" s="206">
        <v>10.629984285714286</v>
      </c>
      <c r="H28" s="206">
        <v>21.595397142857141</v>
      </c>
      <c r="I28" s="206">
        <v>26.436055714285711</v>
      </c>
      <c r="J28" s="206">
        <v>18.239167142857148</v>
      </c>
      <c r="K28" s="206"/>
      <c r="L28" s="206">
        <v>28.528878571428571</v>
      </c>
      <c r="M28" s="206">
        <v>19.186398571428565</v>
      </c>
      <c r="N28" s="206">
        <v>15.292517142857145</v>
      </c>
      <c r="O28" s="206">
        <v>19.004682857142857</v>
      </c>
      <c r="P28" s="206"/>
      <c r="Q28" s="206">
        <v>59.178567142857126</v>
      </c>
      <c r="R28" s="206">
        <v>20.105109999999996</v>
      </c>
      <c r="S28" s="206">
        <v>6.4774257142857143</v>
      </c>
      <c r="T28" s="206">
        <v>1.00762</v>
      </c>
      <c r="U28" s="206"/>
      <c r="V28" s="206">
        <v>9.6249433333333325</v>
      </c>
      <c r="W28" s="206">
        <v>-8.6567216666666678</v>
      </c>
      <c r="X28" s="206">
        <v>1.4556766666666652</v>
      </c>
      <c r="Y28" s="206">
        <v>-11.370065000000002</v>
      </c>
      <c r="Z28" s="208"/>
      <c r="AA28" s="79" t="s">
        <v>110</v>
      </c>
    </row>
    <row r="29" spans="1:27" x14ac:dyDescent="0.25">
      <c r="C29" s="202"/>
      <c r="D29" s="202"/>
      <c r="E29" s="204"/>
      <c r="F29" s="205"/>
      <c r="G29" s="202"/>
      <c r="H29" s="202"/>
      <c r="I29" s="202"/>
      <c r="J29" s="202"/>
      <c r="K29" s="203"/>
      <c r="L29" s="202"/>
      <c r="M29" s="202"/>
      <c r="N29" s="202"/>
      <c r="O29" s="202"/>
      <c r="P29" s="203"/>
      <c r="Q29" s="202"/>
      <c r="R29" s="202"/>
      <c r="S29" s="202"/>
      <c r="T29" s="202"/>
      <c r="U29" s="203"/>
      <c r="V29" s="202"/>
      <c r="W29" s="202"/>
      <c r="X29" s="202"/>
      <c r="Y29" s="202"/>
    </row>
    <row r="30" spans="1:27" x14ac:dyDescent="0.25">
      <c r="A30" s="58" t="s">
        <v>112</v>
      </c>
      <c r="B30" s="58"/>
      <c r="C30" s="209"/>
      <c r="D30" s="209"/>
      <c r="E30" s="209"/>
      <c r="F30" s="210"/>
      <c r="G30" s="209"/>
      <c r="H30" s="209"/>
      <c r="I30" s="209"/>
      <c r="J30" s="209"/>
      <c r="K30" s="210"/>
      <c r="L30" s="209"/>
      <c r="M30" s="209"/>
      <c r="N30" s="209"/>
      <c r="O30" s="209"/>
      <c r="P30" s="210"/>
      <c r="Q30" s="209"/>
      <c r="R30" s="209"/>
      <c r="S30" s="209"/>
      <c r="T30" s="209"/>
      <c r="U30" s="210"/>
      <c r="V30" s="209"/>
      <c r="W30" s="209"/>
      <c r="X30" s="209"/>
      <c r="Y30" s="209"/>
      <c r="Z30" s="211"/>
      <c r="AA30" s="89"/>
    </row>
    <row r="31" spans="1:27" x14ac:dyDescent="0.25">
      <c r="A31" t="s">
        <v>33</v>
      </c>
      <c r="B31" s="202">
        <v>8409</v>
      </c>
      <c r="C31" s="202">
        <v>67758.065073992606</v>
      </c>
      <c r="D31" s="212">
        <v>75039.193086547195</v>
      </c>
      <c r="E31" s="202">
        <v>42360.863644616598</v>
      </c>
      <c r="F31" s="203"/>
      <c r="G31" s="202">
        <v>-30747.664019806201</v>
      </c>
      <c r="H31" s="202">
        <v>1454.6953881191901</v>
      </c>
      <c r="I31" s="202">
        <v>1587.1203460061099</v>
      </c>
      <c r="J31" s="202">
        <v>21891.7012487992</v>
      </c>
      <c r="K31" s="203"/>
      <c r="L31" s="202">
        <v>12232.122218123701</v>
      </c>
      <c r="M31" s="202">
        <v>-77494.863297431701</v>
      </c>
      <c r="N31" s="202">
        <v>1730.4519703666799</v>
      </c>
      <c r="O31" s="202">
        <v>-5094.6399443284599</v>
      </c>
      <c r="P31" s="203"/>
      <c r="Q31" s="202">
        <v>-120684.53368019599</v>
      </c>
      <c r="R31" s="202">
        <v>-8971.1156340240104</v>
      </c>
      <c r="S31" s="202">
        <v>1557.1720502901401</v>
      </c>
      <c r="T31" s="202">
        <v>14707.6767771622</v>
      </c>
      <c r="U31" s="203"/>
      <c r="V31" s="202">
        <v>-112581.49988709101</v>
      </c>
      <c r="W31" s="202">
        <v>-18408.838807313201</v>
      </c>
      <c r="X31" s="202">
        <v>18213.465916790901</v>
      </c>
      <c r="Y31" s="202">
        <v>18994.452760412099</v>
      </c>
      <c r="AA31" s="68" t="s">
        <v>33</v>
      </c>
    </row>
    <row r="32" spans="1:27" x14ac:dyDescent="0.25">
      <c r="A32" t="s">
        <v>50</v>
      </c>
      <c r="B32" s="202">
        <v>225.82499999999999</v>
      </c>
      <c r="C32" s="202">
        <v>10193.146559999999</v>
      </c>
      <c r="D32" s="202">
        <v>4861.4809679999998</v>
      </c>
      <c r="E32" s="202">
        <v>4725.5081300000002</v>
      </c>
      <c r="F32" s="203"/>
      <c r="G32" s="202">
        <v>2979.3538079999998</v>
      </c>
      <c r="H32" s="202">
        <v>1812.8208059999999</v>
      </c>
      <c r="I32" s="202">
        <v>1237.5455440000001</v>
      </c>
      <c r="J32" s="202">
        <v>1745.460695</v>
      </c>
      <c r="K32" s="203"/>
      <c r="L32" s="202">
        <v>-120.664794</v>
      </c>
      <c r="M32" s="202">
        <v>71.231489999999994</v>
      </c>
      <c r="N32" s="202">
        <v>-405.72007500000001</v>
      </c>
      <c r="O32" s="202">
        <v>151.29669999999999</v>
      </c>
      <c r="P32" s="203"/>
      <c r="Q32" s="202">
        <v>-850.97524559999999</v>
      </c>
      <c r="R32" s="202">
        <v>-3343.7990168000001</v>
      </c>
      <c r="S32" s="202">
        <v>603.23856379999995</v>
      </c>
      <c r="T32" s="202">
        <v>2248.6753709999998</v>
      </c>
      <c r="U32" s="203"/>
      <c r="V32" s="202">
        <v>2003.7444250000001</v>
      </c>
      <c r="W32" s="202">
        <v>684.59186999999997</v>
      </c>
      <c r="X32" s="202">
        <v>3316.3089924999999</v>
      </c>
      <c r="Y32" s="202">
        <v>3380.04</v>
      </c>
      <c r="AA32" s="68" t="s">
        <v>50</v>
      </c>
    </row>
    <row r="33" spans="1:27" x14ac:dyDescent="0.25">
      <c r="A33" t="s">
        <v>57</v>
      </c>
      <c r="B33" s="202">
        <v>17350</v>
      </c>
      <c r="C33" s="202">
        <v>13203</v>
      </c>
      <c r="D33" s="202">
        <v>1993</v>
      </c>
      <c r="E33" s="204">
        <v>6067</v>
      </c>
      <c r="F33" s="205"/>
      <c r="G33" s="202">
        <v>12010</v>
      </c>
      <c r="H33" s="202">
        <v>93</v>
      </c>
      <c r="I33" s="202">
        <v>212</v>
      </c>
      <c r="J33" s="202">
        <v>25</v>
      </c>
      <c r="K33" s="203"/>
      <c r="L33" s="202">
        <v>1721</v>
      </c>
      <c r="M33" s="202">
        <v>-30211</v>
      </c>
      <c r="N33" s="202">
        <v>-743</v>
      </c>
      <c r="O33" s="202">
        <v>996</v>
      </c>
      <c r="P33" s="203"/>
      <c r="Q33" s="202">
        <v>-1695</v>
      </c>
      <c r="R33" s="202">
        <v>1850</v>
      </c>
      <c r="S33" s="202">
        <v>2297</v>
      </c>
      <c r="T33" s="202">
        <v>2127</v>
      </c>
      <c r="U33" s="203"/>
      <c r="V33" s="202">
        <v>1383</v>
      </c>
      <c r="W33" s="202">
        <v>3212</v>
      </c>
      <c r="X33" s="202">
        <v>1526</v>
      </c>
      <c r="Y33" s="202">
        <v>2881</v>
      </c>
      <c r="AA33" s="68" t="s">
        <v>57</v>
      </c>
    </row>
    <row r="34" spans="1:27" x14ac:dyDescent="0.25">
      <c r="A34" t="s">
        <v>19</v>
      </c>
      <c r="B34" s="202">
        <v>7796.6220000000003</v>
      </c>
      <c r="C34" s="202">
        <v>784.35699999999997</v>
      </c>
      <c r="D34" s="202">
        <v>1099.9590000000001</v>
      </c>
      <c r="E34" s="204">
        <v>1734.894</v>
      </c>
      <c r="F34" s="205"/>
      <c r="G34" s="202">
        <v>974.70799999999997</v>
      </c>
      <c r="H34" s="202">
        <v>518.10199999999998</v>
      </c>
      <c r="I34" s="202">
        <v>635.64</v>
      </c>
      <c r="J34" s="202">
        <v>664.81500000000005</v>
      </c>
      <c r="K34" s="203"/>
      <c r="L34" s="202">
        <v>462.00700000000001</v>
      </c>
      <c r="M34" s="202">
        <v>151.23400000000001</v>
      </c>
      <c r="N34" s="202">
        <v>369.52800000000002</v>
      </c>
      <c r="O34" s="202">
        <v>-52.091999999999999</v>
      </c>
      <c r="P34" s="203"/>
      <c r="Q34" s="202">
        <v>-160.96100000000001</v>
      </c>
      <c r="R34" s="202">
        <v>-171.16</v>
      </c>
      <c r="S34" s="202">
        <v>114.873</v>
      </c>
      <c r="T34" s="202">
        <v>45.14</v>
      </c>
      <c r="U34" s="203"/>
      <c r="V34" s="202">
        <v>27.132999999999999</v>
      </c>
      <c r="W34" s="202">
        <v>40.512</v>
      </c>
      <c r="X34" s="202">
        <v>114.989</v>
      </c>
      <c r="Y34" s="202">
        <v>-77.650000000000006</v>
      </c>
      <c r="AA34" s="68" t="s">
        <v>19</v>
      </c>
    </row>
    <row r="35" spans="1:27" x14ac:dyDescent="0.25">
      <c r="A35" t="s">
        <v>53</v>
      </c>
      <c r="B35" s="202">
        <v>2841.0859999999998</v>
      </c>
      <c r="C35" s="202">
        <v>509.86799999999999</v>
      </c>
      <c r="D35" s="202">
        <v>234.542</v>
      </c>
      <c r="E35" s="204">
        <v>136.447</v>
      </c>
      <c r="F35" s="205"/>
      <c r="G35" s="202">
        <v>238.74600000000001</v>
      </c>
      <c r="H35" s="202">
        <v>300.29000000000002</v>
      </c>
      <c r="I35" s="202">
        <v>100.449</v>
      </c>
      <c r="J35" s="202">
        <v>202.37100000000001</v>
      </c>
      <c r="K35" s="203"/>
      <c r="L35" s="202">
        <v>17.690999999999999</v>
      </c>
      <c r="M35" s="202">
        <v>-117.157</v>
      </c>
      <c r="N35" s="202">
        <v>129.16800000000001</v>
      </c>
      <c r="O35" s="202">
        <v>-288.52800000000002</v>
      </c>
      <c r="P35" s="203"/>
      <c r="Q35" s="202">
        <v>-353.82799999999997</v>
      </c>
      <c r="R35" s="202">
        <v>-72.73</v>
      </c>
      <c r="S35" s="202">
        <v>-59.405999999999999</v>
      </c>
      <c r="T35" s="202">
        <v>-31.699000000000002</v>
      </c>
      <c r="U35" s="203"/>
      <c r="V35" s="202">
        <v>-102.937</v>
      </c>
      <c r="W35" s="202">
        <v>-44.368000000000002</v>
      </c>
      <c r="X35" s="202">
        <v>-53.531999999999996</v>
      </c>
      <c r="Y35" s="202">
        <v>-55.787999999999997</v>
      </c>
      <c r="AA35" s="68" t="s">
        <v>53</v>
      </c>
    </row>
    <row r="36" spans="1:27" x14ac:dyDescent="0.25">
      <c r="A36" t="s">
        <v>73</v>
      </c>
      <c r="B36" s="202" t="s">
        <v>186</v>
      </c>
      <c r="C36" s="202" t="s">
        <v>186</v>
      </c>
      <c r="D36" s="202" t="s">
        <v>186</v>
      </c>
      <c r="E36" s="204" t="s">
        <v>186</v>
      </c>
      <c r="F36" s="205"/>
      <c r="G36" s="202" t="s">
        <v>186</v>
      </c>
      <c r="H36" s="202" t="s">
        <v>186</v>
      </c>
      <c r="I36" s="202" t="s">
        <v>186</v>
      </c>
      <c r="J36" s="202" t="s">
        <v>186</v>
      </c>
      <c r="K36" s="203"/>
      <c r="L36" s="202" t="s">
        <v>186</v>
      </c>
      <c r="M36" s="202" t="s">
        <v>186</v>
      </c>
      <c r="N36" s="202" t="s">
        <v>186</v>
      </c>
      <c r="O36" s="202" t="s">
        <v>186</v>
      </c>
      <c r="P36" s="203"/>
      <c r="Q36" s="202" t="s">
        <v>186</v>
      </c>
      <c r="R36" s="202" t="s">
        <v>186</v>
      </c>
      <c r="S36" s="202" t="s">
        <v>186</v>
      </c>
      <c r="T36" s="202" t="s">
        <v>186</v>
      </c>
      <c r="U36" s="203"/>
      <c r="V36" s="202" t="s">
        <v>186</v>
      </c>
      <c r="W36" s="202" t="s">
        <v>186</v>
      </c>
      <c r="X36" s="202" t="s">
        <v>186</v>
      </c>
      <c r="Y36" s="202" t="s">
        <v>186</v>
      </c>
      <c r="AA36" s="68" t="s">
        <v>73</v>
      </c>
    </row>
    <row r="37" spans="1:27" x14ac:dyDescent="0.25">
      <c r="A37" t="s">
        <v>69</v>
      </c>
      <c r="B37" s="202">
        <v>861.16099999999994</v>
      </c>
      <c r="C37" s="202">
        <v>612.24300000000005</v>
      </c>
      <c r="D37" s="202">
        <v>119.53100000000001</v>
      </c>
      <c r="E37" s="204">
        <v>-68.808999999999997</v>
      </c>
      <c r="F37" s="205"/>
      <c r="G37" s="202" t="s">
        <v>186</v>
      </c>
      <c r="H37" s="202">
        <v>-85.909000000000006</v>
      </c>
      <c r="I37" s="202">
        <v>-170.08099999999999</v>
      </c>
      <c r="J37" s="202">
        <v>-52.32</v>
      </c>
      <c r="K37" s="203"/>
      <c r="L37" s="202">
        <v>73.686000000000007</v>
      </c>
      <c r="M37" s="202">
        <v>-5.7220000000000004</v>
      </c>
      <c r="N37" s="202">
        <v>16.131</v>
      </c>
      <c r="O37" s="202">
        <v>-42.048000000000002</v>
      </c>
      <c r="P37" s="203"/>
      <c r="Q37" s="202">
        <v>161.65600000000001</v>
      </c>
      <c r="R37" s="202">
        <v>-1.7609999999999999</v>
      </c>
      <c r="S37" s="202">
        <v>152.27000000000001</v>
      </c>
      <c r="T37" s="202">
        <v>47.677</v>
      </c>
      <c r="U37" s="203"/>
      <c r="V37" s="202">
        <v>141.83099999999999</v>
      </c>
      <c r="W37" s="202">
        <v>52.389000000000003</v>
      </c>
      <c r="X37" s="202">
        <v>37.180999999999997</v>
      </c>
      <c r="Y37" s="202">
        <v>27.917000000000002</v>
      </c>
      <c r="AA37" s="68" t="s">
        <v>69</v>
      </c>
    </row>
    <row r="38" spans="1:27" x14ac:dyDescent="0.25">
      <c r="A38" t="s">
        <v>40</v>
      </c>
      <c r="B38" s="202">
        <v>-15.012639999999999</v>
      </c>
      <c r="C38" s="202">
        <v>40.398560000000003</v>
      </c>
      <c r="D38" s="202">
        <v>7.5888799999999996</v>
      </c>
      <c r="E38" s="204">
        <v>-10.4849</v>
      </c>
      <c r="F38" s="205"/>
      <c r="G38" s="202">
        <v>-13.44412</v>
      </c>
      <c r="H38" s="202">
        <v>-32.569020000000002</v>
      </c>
      <c r="I38" s="202">
        <v>4.8068099999999996</v>
      </c>
      <c r="J38" s="202">
        <v>0.75758999999999999</v>
      </c>
      <c r="K38" s="203"/>
      <c r="L38" s="202">
        <v>-9.1258900000000001</v>
      </c>
      <c r="M38" s="202">
        <v>-12.80939</v>
      </c>
      <c r="N38" s="202">
        <v>-22.38015</v>
      </c>
      <c r="O38" s="202">
        <v>2.5847899999999999</v>
      </c>
      <c r="P38" s="203"/>
      <c r="Q38" s="202">
        <v>-36.134869999999999</v>
      </c>
      <c r="R38" s="202">
        <v>-9.0703399999999998</v>
      </c>
      <c r="S38" s="202">
        <v>-10.63109</v>
      </c>
      <c r="T38" s="202">
        <v>-12.83756</v>
      </c>
      <c r="U38" s="203"/>
      <c r="V38" s="202">
        <v>-10.11947</v>
      </c>
      <c r="W38" s="202">
        <v>-3.4775299999999998</v>
      </c>
      <c r="X38" s="202">
        <v>-21.182749999999999</v>
      </c>
      <c r="Y38" s="202">
        <v>-11.536479999999999</v>
      </c>
      <c r="AA38" s="68" t="s">
        <v>40</v>
      </c>
    </row>
    <row r="39" spans="1:27" x14ac:dyDescent="0.25">
      <c r="A39" s="70" t="s">
        <v>109</v>
      </c>
      <c r="B39" s="206">
        <v>5352.6687657142857</v>
      </c>
      <c r="C39" s="206">
        <v>13300.15402771323</v>
      </c>
      <c r="D39" s="213">
        <v>11907.899276363885</v>
      </c>
      <c r="E39" s="207">
        <v>7849.3455535166568</v>
      </c>
      <c r="F39" s="214"/>
      <c r="G39" s="206">
        <v>-2426.3833886343668</v>
      </c>
      <c r="H39" s="206">
        <v>580.06145344559854</v>
      </c>
      <c r="I39" s="206">
        <v>515.35438571515863</v>
      </c>
      <c r="J39" s="206">
        <v>3496.826504828457</v>
      </c>
      <c r="K39" s="215"/>
      <c r="L39" s="206">
        <v>2053.8165048748147</v>
      </c>
      <c r="M39" s="206">
        <v>-15374.155171061671</v>
      </c>
      <c r="N39" s="206">
        <v>153.45410648095429</v>
      </c>
      <c r="O39" s="206">
        <v>-618.20377918977999</v>
      </c>
      <c r="P39" s="215"/>
      <c r="Q39" s="206">
        <v>-17659.96811368514</v>
      </c>
      <c r="R39" s="206">
        <v>-1531.3765701177158</v>
      </c>
      <c r="S39" s="206">
        <v>664.93093201287718</v>
      </c>
      <c r="T39" s="206">
        <v>2733.090369737457</v>
      </c>
      <c r="U39" s="215"/>
      <c r="V39" s="206">
        <v>-15591.263990298716</v>
      </c>
      <c r="W39" s="206">
        <v>-2066.7416381876001</v>
      </c>
      <c r="X39" s="206">
        <v>3304.747165612986</v>
      </c>
      <c r="Y39" s="206">
        <v>3591.2050400588714</v>
      </c>
      <c r="Z39" s="208"/>
      <c r="AA39" s="79" t="s">
        <v>110</v>
      </c>
    </row>
    <row r="40" spans="1:27" x14ac:dyDescent="0.25">
      <c r="C40" s="202"/>
      <c r="D40" s="202"/>
      <c r="E40" s="204"/>
      <c r="F40" s="205"/>
      <c r="G40" s="202"/>
      <c r="H40" s="202"/>
      <c r="I40" s="202"/>
      <c r="J40" s="202"/>
      <c r="K40" s="203"/>
      <c r="L40" s="202"/>
      <c r="M40" s="202"/>
      <c r="N40" s="202"/>
      <c r="O40" s="202"/>
      <c r="P40" s="203"/>
      <c r="Q40" s="202"/>
      <c r="R40" s="202"/>
      <c r="S40" s="202"/>
      <c r="T40" s="202"/>
      <c r="U40" s="203"/>
      <c r="V40" s="202"/>
      <c r="W40" s="202"/>
      <c r="X40" s="202"/>
      <c r="Y40" s="202"/>
    </row>
    <row r="41" spans="1:27" ht="26.25" customHeight="1" x14ac:dyDescent="0.25">
      <c r="C41" s="202"/>
      <c r="D41" s="202"/>
      <c r="E41" s="202"/>
      <c r="F41" s="203"/>
      <c r="G41" s="202"/>
      <c r="H41" s="202"/>
      <c r="I41" s="202"/>
      <c r="J41" s="202"/>
      <c r="K41" s="203"/>
      <c r="L41" s="202"/>
      <c r="M41" s="202"/>
      <c r="N41" s="202"/>
      <c r="O41" s="202"/>
      <c r="P41" s="203"/>
      <c r="Q41" s="202"/>
      <c r="R41" s="202"/>
      <c r="S41" s="202"/>
      <c r="T41" s="202"/>
      <c r="U41" s="203"/>
      <c r="V41" s="202"/>
      <c r="W41" s="202"/>
      <c r="X41" s="202"/>
      <c r="Y41" s="202"/>
    </row>
    <row r="42" spans="1:27" ht="13.5" customHeight="1" x14ac:dyDescent="0.25">
      <c r="A42" s="185" t="s">
        <v>4</v>
      </c>
      <c r="B42" s="186">
        <v>2018</v>
      </c>
      <c r="C42" s="186"/>
      <c r="D42" s="186"/>
      <c r="E42" s="186"/>
      <c r="F42" s="187"/>
      <c r="G42" s="186">
        <v>2017</v>
      </c>
      <c r="H42" s="186"/>
      <c r="I42" s="186"/>
      <c r="J42" s="186"/>
      <c r="K42" s="187"/>
      <c r="L42" s="186">
        <v>2016</v>
      </c>
      <c r="M42" s="186"/>
      <c r="N42" s="186"/>
      <c r="O42" s="186"/>
      <c r="P42" s="187"/>
      <c r="Q42" s="186">
        <v>2015</v>
      </c>
      <c r="R42" s="186"/>
      <c r="S42" s="186"/>
      <c r="T42" s="186"/>
      <c r="U42" s="187"/>
      <c r="V42" s="186">
        <v>2014</v>
      </c>
      <c r="W42" s="186"/>
      <c r="X42" s="186"/>
      <c r="Y42" s="186"/>
      <c r="Z42" s="187"/>
      <c r="AA42" s="188" t="s">
        <v>4</v>
      </c>
    </row>
    <row r="43" spans="1:27" x14ac:dyDescent="0.25">
      <c r="A43" s="189"/>
      <c r="B43" s="190" t="s">
        <v>179</v>
      </c>
      <c r="C43" s="190" t="s">
        <v>180</v>
      </c>
      <c r="D43" s="190" t="s">
        <v>181</v>
      </c>
      <c r="E43" s="190" t="s">
        <v>182</v>
      </c>
      <c r="F43" s="191"/>
      <c r="G43" s="190" t="s">
        <v>179</v>
      </c>
      <c r="H43" s="190" t="s">
        <v>180</v>
      </c>
      <c r="I43" s="190" t="s">
        <v>181</v>
      </c>
      <c r="J43" s="190" t="s">
        <v>182</v>
      </c>
      <c r="K43" s="192"/>
      <c r="L43" s="190" t="s">
        <v>183</v>
      </c>
      <c r="M43" s="190" t="s">
        <v>180</v>
      </c>
      <c r="N43" s="190" t="s">
        <v>181</v>
      </c>
      <c r="O43" s="190" t="s">
        <v>184</v>
      </c>
      <c r="P43" s="192"/>
      <c r="Q43" s="190" t="s">
        <v>179</v>
      </c>
      <c r="R43" s="190" t="s">
        <v>180</v>
      </c>
      <c r="S43" s="190" t="s">
        <v>181</v>
      </c>
      <c r="T43" s="190" t="s">
        <v>182</v>
      </c>
      <c r="U43" s="192"/>
      <c r="V43" s="190" t="s">
        <v>179</v>
      </c>
      <c r="W43" s="190" t="s">
        <v>185</v>
      </c>
      <c r="X43" s="190" t="s">
        <v>181</v>
      </c>
      <c r="Y43" s="190" t="s">
        <v>182</v>
      </c>
      <c r="Z43" s="192"/>
      <c r="AA43" s="193"/>
    </row>
    <row r="44" spans="1:27" x14ac:dyDescent="0.25">
      <c r="A44" s="58" t="s">
        <v>120</v>
      </c>
      <c r="B44" s="58"/>
      <c r="C44" s="209"/>
      <c r="D44" s="209"/>
      <c r="E44" s="209"/>
      <c r="F44" s="210"/>
      <c r="G44" s="209"/>
      <c r="H44" s="209"/>
      <c r="I44" s="209"/>
      <c r="J44" s="209"/>
      <c r="K44" s="210"/>
      <c r="L44" s="209"/>
      <c r="M44" s="209"/>
      <c r="N44" s="209"/>
      <c r="O44" s="209"/>
      <c r="P44" s="210"/>
      <c r="Q44" s="209"/>
      <c r="R44" s="209"/>
      <c r="S44" s="209"/>
      <c r="T44" s="209"/>
      <c r="U44" s="210"/>
      <c r="V44" s="209"/>
      <c r="W44" s="209"/>
      <c r="X44" s="209"/>
      <c r="Y44" s="209"/>
      <c r="Z44" s="211"/>
      <c r="AA44" s="89"/>
    </row>
    <row r="45" spans="1:27" x14ac:dyDescent="0.25">
      <c r="A45" t="s">
        <v>43</v>
      </c>
      <c r="B45" s="202">
        <v>4427.8209999999999</v>
      </c>
      <c r="C45" s="202">
        <v>4212</v>
      </c>
      <c r="D45" s="202">
        <v>2781.636</v>
      </c>
      <c r="E45" s="202">
        <v>2953.277</v>
      </c>
      <c r="F45" s="203"/>
      <c r="G45" s="202">
        <v>2676.05</v>
      </c>
      <c r="H45" s="202">
        <v>2124</v>
      </c>
      <c r="I45" s="202">
        <v>2228.2109999999998</v>
      </c>
      <c r="J45" s="202">
        <v>1612.548</v>
      </c>
      <c r="K45" s="203"/>
      <c r="L45" s="202">
        <v>1771.9960000000001</v>
      </c>
      <c r="M45" s="202">
        <v>1522.6579999999999</v>
      </c>
      <c r="N45" s="202">
        <v>1375</v>
      </c>
      <c r="O45" s="202">
        <v>1348.223</v>
      </c>
      <c r="P45" s="203"/>
      <c r="Q45" s="202">
        <v>1244.732</v>
      </c>
      <c r="R45" s="202">
        <v>1186.8579999999999</v>
      </c>
      <c r="S45" s="202">
        <v>948.40599999999995</v>
      </c>
      <c r="T45" s="202">
        <v>958.40099999999995</v>
      </c>
      <c r="U45" s="203"/>
      <c r="V45" s="202">
        <v>882.59699999999998</v>
      </c>
      <c r="W45" s="202">
        <v>931.24800000000005</v>
      </c>
      <c r="X45" s="202">
        <v>693.24400000000003</v>
      </c>
      <c r="Y45" s="202">
        <v>830.70100000000002</v>
      </c>
      <c r="AA45" s="68" t="s">
        <v>43</v>
      </c>
    </row>
    <row r="46" spans="1:27" x14ac:dyDescent="0.25">
      <c r="A46" t="s">
        <v>72</v>
      </c>
      <c r="B46" s="202">
        <v>5243.2640000000001</v>
      </c>
      <c r="C46" s="202">
        <v>3828.1469999999999</v>
      </c>
      <c r="D46" s="202">
        <v>3115.6489999999999</v>
      </c>
      <c r="E46" s="202">
        <v>3542.183</v>
      </c>
      <c r="F46" s="203"/>
      <c r="G46" s="202">
        <v>3011.65</v>
      </c>
      <c r="H46" s="202">
        <v>2733.6190000000001</v>
      </c>
      <c r="I46" s="202">
        <v>2223.509</v>
      </c>
      <c r="J46" s="202">
        <v>2005.248</v>
      </c>
      <c r="K46" s="203"/>
      <c r="L46" s="202">
        <v>1695.2529999999999</v>
      </c>
      <c r="M46" s="202">
        <v>1632.692</v>
      </c>
      <c r="N46" s="202">
        <v>1805.258</v>
      </c>
      <c r="O46" s="202">
        <v>1407.6289999999999</v>
      </c>
      <c r="P46" s="203"/>
      <c r="Q46" s="202">
        <v>1966.866</v>
      </c>
      <c r="R46" s="202">
        <v>3043.0230000000001</v>
      </c>
      <c r="S46" s="202">
        <v>824.16700000000003</v>
      </c>
      <c r="T46" s="202">
        <v>1114.2190000000001</v>
      </c>
      <c r="U46" s="203"/>
      <c r="V46" s="202">
        <v>574.98199999999997</v>
      </c>
      <c r="W46" s="202">
        <v>985.60900000000004</v>
      </c>
      <c r="X46" s="202">
        <v>732.60199999999998</v>
      </c>
      <c r="Y46" s="202">
        <v>1186.338</v>
      </c>
      <c r="AA46" s="68" t="s">
        <v>72</v>
      </c>
    </row>
    <row r="47" spans="1:27" x14ac:dyDescent="0.25">
      <c r="A47" t="s">
        <v>36</v>
      </c>
      <c r="B47" s="202" t="s">
        <v>186</v>
      </c>
      <c r="C47" s="202">
        <v>3007.8409999999999</v>
      </c>
      <c r="D47" s="202">
        <v>2123.92</v>
      </c>
      <c r="E47" s="204">
        <v>1545.298</v>
      </c>
      <c r="F47" s="205"/>
      <c r="G47" s="202">
        <v>1420.91</v>
      </c>
      <c r="H47" s="202">
        <v>1134.58</v>
      </c>
      <c r="I47" s="202">
        <v>-282.995</v>
      </c>
      <c r="J47" s="202">
        <v>1605.77</v>
      </c>
      <c r="K47" s="203"/>
      <c r="L47" s="202">
        <v>582.40499999999997</v>
      </c>
      <c r="M47" s="202">
        <v>932.92499999999995</v>
      </c>
      <c r="N47" s="202">
        <v>963.25800000000004</v>
      </c>
      <c r="O47" s="202">
        <v>1165.0840000000001</v>
      </c>
      <c r="P47" s="203"/>
      <c r="Q47" s="202">
        <v>1188.261</v>
      </c>
      <c r="R47" s="202">
        <v>998.07</v>
      </c>
      <c r="S47" s="202">
        <v>667.21</v>
      </c>
      <c r="T47" s="202">
        <v>930.94600000000003</v>
      </c>
      <c r="U47" s="203"/>
      <c r="V47" s="202">
        <v>814.35699999999997</v>
      </c>
      <c r="W47" s="202">
        <v>628.97</v>
      </c>
      <c r="X47" s="202">
        <v>399.05099999999999</v>
      </c>
      <c r="Y47" s="202">
        <v>1362.1179999999999</v>
      </c>
      <c r="AA47" s="68" t="s">
        <v>36</v>
      </c>
    </row>
    <row r="48" spans="1:27" x14ac:dyDescent="0.25">
      <c r="A48" t="s">
        <v>11</v>
      </c>
      <c r="B48" s="202">
        <v>2913.2629999999999</v>
      </c>
      <c r="C48" s="202">
        <v>3000.701</v>
      </c>
      <c r="D48" s="202">
        <v>2281.2649999999999</v>
      </c>
      <c r="E48" s="204">
        <v>1695.742</v>
      </c>
      <c r="F48" s="205"/>
      <c r="G48" s="202">
        <v>1579.4680000000001</v>
      </c>
      <c r="H48" s="202">
        <v>930.83699999999999</v>
      </c>
      <c r="I48" s="202">
        <v>1165.037</v>
      </c>
      <c r="J48" s="202">
        <v>1530.663</v>
      </c>
      <c r="K48" s="203"/>
      <c r="L48" s="202">
        <v>1657.962</v>
      </c>
      <c r="M48" s="202">
        <v>1324.6579999999999</v>
      </c>
      <c r="N48" s="202">
        <v>1364.0609999999999</v>
      </c>
      <c r="O48" s="202">
        <v>839.899</v>
      </c>
      <c r="P48" s="203"/>
      <c r="Q48" s="202">
        <v>1436.856</v>
      </c>
      <c r="R48" s="202">
        <v>1006.088</v>
      </c>
      <c r="S48" s="202">
        <v>905.08500000000004</v>
      </c>
      <c r="T48" s="202">
        <v>860.50900000000001</v>
      </c>
      <c r="U48" s="203"/>
      <c r="V48" s="202">
        <v>807.89700000000005</v>
      </c>
      <c r="W48" s="202">
        <v>821.87900000000002</v>
      </c>
      <c r="X48" s="202">
        <v>629.00599999999997</v>
      </c>
      <c r="Y48" s="202">
        <v>974.25900000000001</v>
      </c>
      <c r="AA48" s="68" t="s">
        <v>11</v>
      </c>
    </row>
    <row r="49" spans="1:27" x14ac:dyDescent="0.25">
      <c r="A49" t="s">
        <v>12</v>
      </c>
      <c r="B49" s="202">
        <v>1272.5609999999999</v>
      </c>
      <c r="C49" s="202">
        <v>1760.7539999999999</v>
      </c>
      <c r="D49" s="202">
        <v>1495.2</v>
      </c>
      <c r="E49" s="204">
        <v>822.15499999999997</v>
      </c>
      <c r="F49" s="205"/>
      <c r="G49" s="202">
        <v>1031.6790000000001</v>
      </c>
      <c r="H49" s="202">
        <v>1639.558</v>
      </c>
      <c r="I49" s="202">
        <v>884.78499999999997</v>
      </c>
      <c r="J49" s="202">
        <v>752.24900000000002</v>
      </c>
      <c r="K49" s="203"/>
      <c r="L49" s="202">
        <v>851.92399999999998</v>
      </c>
      <c r="M49" s="202">
        <v>841.15599999999995</v>
      </c>
      <c r="N49" s="202">
        <v>822.33500000000004</v>
      </c>
      <c r="O49" s="202">
        <v>753.577</v>
      </c>
      <c r="P49" s="203"/>
      <c r="Q49" s="202">
        <v>735.65499999999997</v>
      </c>
      <c r="R49" s="202">
        <v>602.21900000000005</v>
      </c>
      <c r="S49" s="202">
        <v>473.416</v>
      </c>
      <c r="T49" s="202">
        <v>575.46400000000006</v>
      </c>
      <c r="U49" s="203"/>
      <c r="V49" s="202">
        <v>453.61700000000002</v>
      </c>
      <c r="W49" s="202">
        <v>454.42500000000001</v>
      </c>
      <c r="X49" s="202">
        <v>393.60300000000001</v>
      </c>
      <c r="Y49" s="202">
        <v>874.33199999999999</v>
      </c>
      <c r="AA49" s="68" t="s">
        <v>12</v>
      </c>
    </row>
    <row r="50" spans="1:27" x14ac:dyDescent="0.25">
      <c r="A50" t="s">
        <v>80</v>
      </c>
      <c r="B50" s="202">
        <v>-1059.5079000000001</v>
      </c>
      <c r="C50" s="202">
        <v>1509.7485300000001</v>
      </c>
      <c r="D50" s="202">
        <v>925.12660000000005</v>
      </c>
      <c r="E50" s="204">
        <v>475.56831</v>
      </c>
      <c r="F50" s="205"/>
      <c r="G50" s="202">
        <v>416.35762999999997</v>
      </c>
      <c r="H50" s="202">
        <v>302.29617000000002</v>
      </c>
      <c r="I50" s="202">
        <v>262.25869999999998</v>
      </c>
      <c r="J50" s="202">
        <v>135.98909</v>
      </c>
      <c r="K50" s="203"/>
      <c r="L50" s="202" t="s">
        <v>186</v>
      </c>
      <c r="M50" s="202" t="s">
        <v>186</v>
      </c>
      <c r="N50" s="202" t="s">
        <v>186</v>
      </c>
      <c r="O50" s="202" t="s">
        <v>186</v>
      </c>
      <c r="P50" s="203"/>
      <c r="Q50" s="202" t="s">
        <v>186</v>
      </c>
      <c r="R50" s="202" t="s">
        <v>186</v>
      </c>
      <c r="S50" s="202" t="s">
        <v>186</v>
      </c>
      <c r="T50" s="202" t="s">
        <v>186</v>
      </c>
      <c r="U50" s="203"/>
      <c r="V50" s="202" t="s">
        <v>186</v>
      </c>
      <c r="W50" s="202" t="s">
        <v>186</v>
      </c>
      <c r="X50" s="202" t="s">
        <v>186</v>
      </c>
      <c r="Y50" s="202" t="s">
        <v>186</v>
      </c>
      <c r="AA50" s="68" t="s">
        <v>80</v>
      </c>
    </row>
    <row r="51" spans="1:27" x14ac:dyDescent="0.25">
      <c r="A51" t="s">
        <v>29</v>
      </c>
      <c r="B51" s="202">
        <v>509.67099999999999</v>
      </c>
      <c r="C51" s="202">
        <v>541.68899999999996</v>
      </c>
      <c r="D51" s="202">
        <v>468.673</v>
      </c>
      <c r="E51" s="204">
        <v>531.37900000000002</v>
      </c>
      <c r="F51" s="205"/>
      <c r="G51" s="202">
        <v>482.24099999999999</v>
      </c>
      <c r="H51" s="202">
        <v>436.14699999999999</v>
      </c>
      <c r="I51" s="202">
        <v>408.02699999999999</v>
      </c>
      <c r="J51" s="202">
        <v>221.626</v>
      </c>
      <c r="K51" s="203"/>
      <c r="L51" s="202">
        <v>136.35499999999999</v>
      </c>
      <c r="M51" s="202">
        <v>103.631</v>
      </c>
      <c r="N51" s="202">
        <v>144.96299999999999</v>
      </c>
      <c r="O51" s="202">
        <v>230.37899999999999</v>
      </c>
      <c r="P51" s="203"/>
      <c r="Q51" s="202">
        <v>522.71600000000001</v>
      </c>
      <c r="R51" s="202">
        <v>217.47200000000001</v>
      </c>
      <c r="S51" s="202">
        <v>169.54499999999999</v>
      </c>
      <c r="T51" s="202">
        <v>176.08099999999999</v>
      </c>
      <c r="U51" s="203"/>
      <c r="V51" s="202">
        <v>46.295000000000002</v>
      </c>
      <c r="W51" s="202">
        <v>145.26900000000001</v>
      </c>
      <c r="X51" s="202">
        <v>155.98599999999999</v>
      </c>
      <c r="Y51" s="202">
        <v>202.422</v>
      </c>
      <c r="AA51" s="68" t="s">
        <v>29</v>
      </c>
    </row>
    <row r="52" spans="1:27" x14ac:dyDescent="0.25">
      <c r="A52" t="s">
        <v>62</v>
      </c>
      <c r="B52" s="202">
        <v>378.16018000000003</v>
      </c>
      <c r="C52" s="202">
        <v>295.13029</v>
      </c>
      <c r="D52" s="202">
        <v>184.61172999999999</v>
      </c>
      <c r="E52" s="204">
        <v>132.62880000000001</v>
      </c>
      <c r="F52" s="205"/>
      <c r="G52" s="202">
        <v>102.95681999999999</v>
      </c>
      <c r="H52" s="202">
        <v>225.96592000000001</v>
      </c>
      <c r="I52" s="202">
        <v>126.50736999999999</v>
      </c>
      <c r="J52" s="202">
        <v>58.993490000000001</v>
      </c>
      <c r="K52" s="203"/>
      <c r="L52" s="202">
        <v>-273.18453</v>
      </c>
      <c r="M52" s="202">
        <v>132.61247</v>
      </c>
      <c r="N52" s="202">
        <v>141.72747000000001</v>
      </c>
      <c r="O52" s="202">
        <v>120.05844</v>
      </c>
      <c r="P52" s="203"/>
      <c r="Q52" s="202">
        <v>-42.072040000000001</v>
      </c>
      <c r="R52" s="202">
        <v>-4.2868899999999996</v>
      </c>
      <c r="S52" s="202">
        <v>117.96357</v>
      </c>
      <c r="T52" s="202">
        <v>119.62826</v>
      </c>
      <c r="U52" s="203"/>
      <c r="V52" s="202">
        <v>40.367629999999998</v>
      </c>
      <c r="W52" s="202">
        <v>103.36821</v>
      </c>
      <c r="X52" s="202">
        <v>80.68486</v>
      </c>
      <c r="Y52" s="202">
        <v>121.83654</v>
      </c>
      <c r="AA52" s="68" t="s">
        <v>62</v>
      </c>
    </row>
    <row r="53" spans="1:27" x14ac:dyDescent="0.25">
      <c r="A53" s="70" t="s">
        <v>109</v>
      </c>
      <c r="B53" s="206">
        <v>1955.0331828571427</v>
      </c>
      <c r="C53" s="206">
        <v>2269.5013524999999</v>
      </c>
      <c r="D53" s="206">
        <v>1672.0101662500001</v>
      </c>
      <c r="E53" s="207">
        <v>1462.2788887500003</v>
      </c>
      <c r="F53" s="207"/>
      <c r="G53" s="206">
        <v>1340.1640562500002</v>
      </c>
      <c r="H53" s="206">
        <v>1190.8753862500002</v>
      </c>
      <c r="I53" s="206">
        <v>876.91750875000002</v>
      </c>
      <c r="J53" s="206">
        <v>990.38582250000013</v>
      </c>
      <c r="K53" s="206"/>
      <c r="L53" s="206">
        <v>917.53006714285709</v>
      </c>
      <c r="M53" s="206">
        <v>927.19035285714278</v>
      </c>
      <c r="N53" s="206">
        <v>945.22892428571413</v>
      </c>
      <c r="O53" s="206">
        <v>837.83563428571426</v>
      </c>
      <c r="P53" s="206"/>
      <c r="Q53" s="206">
        <v>1007.5734228571429</v>
      </c>
      <c r="R53" s="206">
        <v>1007.0633014285713</v>
      </c>
      <c r="S53" s="206">
        <v>586.54179571428574</v>
      </c>
      <c r="T53" s="206">
        <v>676.46403714285714</v>
      </c>
      <c r="U53" s="206"/>
      <c r="V53" s="206">
        <v>517.15894714285719</v>
      </c>
      <c r="W53" s="206">
        <v>581.53831571428577</v>
      </c>
      <c r="X53" s="206">
        <v>440.59669428571425</v>
      </c>
      <c r="Y53" s="206">
        <v>793.14379142857149</v>
      </c>
      <c r="Z53" s="208"/>
      <c r="AA53" s="79" t="s">
        <v>110</v>
      </c>
    </row>
    <row r="54" spans="1:27" ht="7.5" customHeight="1" x14ac:dyDescent="0.25">
      <c r="C54" s="202"/>
      <c r="D54" s="202"/>
      <c r="E54" s="204"/>
      <c r="F54" s="205"/>
      <c r="G54" s="202"/>
      <c r="H54" s="202"/>
      <c r="I54" s="202"/>
      <c r="J54" s="202"/>
      <c r="K54" s="203"/>
      <c r="L54" s="202"/>
      <c r="M54" s="202"/>
      <c r="N54" s="202"/>
      <c r="O54" s="202"/>
      <c r="P54" s="203"/>
      <c r="Q54" s="202"/>
      <c r="R54" s="202"/>
      <c r="S54" s="202"/>
      <c r="T54" s="202"/>
      <c r="U54" s="203"/>
      <c r="V54" s="202"/>
      <c r="W54" s="202"/>
      <c r="X54" s="202"/>
      <c r="Y54" s="202"/>
    </row>
    <row r="55" spans="1:27" x14ac:dyDescent="0.25">
      <c r="A55" s="58" t="s">
        <v>121</v>
      </c>
      <c r="B55" s="58"/>
      <c r="C55" s="209"/>
      <c r="D55" s="209"/>
      <c r="E55" s="209"/>
      <c r="F55" s="210"/>
      <c r="G55" s="209"/>
      <c r="H55" s="209"/>
      <c r="I55" s="209"/>
      <c r="J55" s="209"/>
      <c r="K55" s="210"/>
      <c r="L55" s="209"/>
      <c r="M55" s="209"/>
      <c r="N55" s="209"/>
      <c r="O55" s="209"/>
      <c r="P55" s="210"/>
      <c r="Q55" s="209"/>
      <c r="R55" s="209"/>
      <c r="S55" s="209"/>
      <c r="T55" s="209"/>
      <c r="U55" s="210"/>
      <c r="V55" s="209"/>
      <c r="W55" s="209"/>
      <c r="X55" s="209"/>
      <c r="Y55" s="209"/>
      <c r="Z55" s="211"/>
      <c r="AA55" s="89"/>
    </row>
    <row r="56" spans="1:27" x14ac:dyDescent="0.25">
      <c r="A56" t="s">
        <v>67</v>
      </c>
      <c r="B56" s="202">
        <v>-19463.877270000001</v>
      </c>
      <c r="C56" s="202">
        <v>16265.49876</v>
      </c>
      <c r="D56" s="202">
        <v>215.46609000000001</v>
      </c>
      <c r="E56" s="202">
        <v>134.80141</v>
      </c>
      <c r="F56" s="203"/>
      <c r="G56" s="202">
        <v>217.65065000000001</v>
      </c>
      <c r="H56" s="202">
        <v>100.93375</v>
      </c>
      <c r="I56" s="202">
        <v>74.424319999999994</v>
      </c>
      <c r="J56" s="202">
        <v>74.631479999999996</v>
      </c>
      <c r="K56" s="203"/>
      <c r="L56" s="202">
        <v>89.189350000000005</v>
      </c>
      <c r="M56" s="202">
        <v>90.307389999999998</v>
      </c>
      <c r="N56" s="216">
        <v>57.349429999999998</v>
      </c>
      <c r="O56" s="216">
        <v>54.455860000000001</v>
      </c>
      <c r="P56" s="203"/>
      <c r="Q56" s="202">
        <v>-43.990180000000002</v>
      </c>
      <c r="R56" s="202">
        <v>49.575029999999998</v>
      </c>
      <c r="S56" s="202">
        <v>45.541330000000002</v>
      </c>
      <c r="T56" s="202">
        <v>24.100539999999999</v>
      </c>
      <c r="U56" s="203"/>
      <c r="V56" s="202">
        <v>21.317699999999999</v>
      </c>
      <c r="W56" s="202">
        <v>23.100850000000001</v>
      </c>
      <c r="X56" s="202">
        <v>25.547989999999999</v>
      </c>
      <c r="Y56" s="202">
        <v>-51.844769999999997</v>
      </c>
      <c r="AA56" s="68" t="s">
        <v>67</v>
      </c>
    </row>
    <row r="57" spans="1:27" x14ac:dyDescent="0.25">
      <c r="A57" t="s">
        <v>71</v>
      </c>
      <c r="B57" s="202">
        <v>-2533.4236999999998</v>
      </c>
      <c r="C57" s="202">
        <v>8329.2664000000004</v>
      </c>
      <c r="D57" s="202">
        <v>267.95902000000001</v>
      </c>
      <c r="E57" s="202">
        <v>201.85955000000001</v>
      </c>
      <c r="F57" s="203"/>
      <c r="G57" s="202">
        <v>129.00845000000001</v>
      </c>
      <c r="H57" s="202">
        <v>98.566590000000005</v>
      </c>
      <c r="I57" s="202">
        <v>87.49324</v>
      </c>
      <c r="J57" s="202">
        <v>74.819190000000006</v>
      </c>
      <c r="K57" s="203"/>
      <c r="L57" s="202">
        <v>33.845869999999998</v>
      </c>
      <c r="M57" s="202">
        <v>40.383519999999997</v>
      </c>
      <c r="N57" s="202">
        <v>38.095219999999998</v>
      </c>
      <c r="O57" s="202">
        <v>52.090850000000003</v>
      </c>
      <c r="P57" s="203"/>
      <c r="Q57" s="202">
        <v>26.012070000000001</v>
      </c>
      <c r="R57" s="202">
        <v>3.0806</v>
      </c>
      <c r="S57" s="202">
        <v>12.69045</v>
      </c>
      <c r="T57" s="202">
        <v>24.929549999999999</v>
      </c>
      <c r="U57" s="203"/>
      <c r="V57" s="202">
        <v>-4.2421499999999996</v>
      </c>
      <c r="W57" s="202">
        <v>5.5738599999999998</v>
      </c>
      <c r="X57" s="202">
        <v>6.2876799999999999</v>
      </c>
      <c r="Y57" s="202">
        <v>22.602730000000001</v>
      </c>
      <c r="AA57" s="68" t="s">
        <v>71</v>
      </c>
    </row>
    <row r="58" spans="1:27" x14ac:dyDescent="0.25">
      <c r="A58" t="s">
        <v>8</v>
      </c>
      <c r="B58" s="202">
        <v>61.341999999999999</v>
      </c>
      <c r="C58" s="202">
        <v>61.341999999999999</v>
      </c>
      <c r="D58" s="202">
        <v>69.742999999999995</v>
      </c>
      <c r="E58" s="204">
        <v>87.24</v>
      </c>
      <c r="F58" s="205"/>
      <c r="G58" s="202">
        <v>68.186999999999998</v>
      </c>
      <c r="H58" s="202">
        <v>42.146999999999998</v>
      </c>
      <c r="I58" s="202">
        <v>102.443</v>
      </c>
      <c r="J58" s="202">
        <v>35.865000000000002</v>
      </c>
      <c r="K58" s="203"/>
      <c r="L58" s="202">
        <v>59.624000000000002</v>
      </c>
      <c r="M58" s="202">
        <v>44.052</v>
      </c>
      <c r="N58" s="202">
        <v>14.319000000000001</v>
      </c>
      <c r="O58" s="202">
        <v>25.744</v>
      </c>
      <c r="P58" s="203"/>
      <c r="Q58" s="202">
        <v>45.916809999999998</v>
      </c>
      <c r="R58" s="202">
        <v>12.076180000000001</v>
      </c>
      <c r="S58" s="202">
        <v>19.488199999999999</v>
      </c>
      <c r="T58" s="202">
        <v>22.630559999999999</v>
      </c>
      <c r="U58" s="203"/>
      <c r="V58" s="202">
        <v>34.849780000000003</v>
      </c>
      <c r="W58" s="202">
        <v>11.97682</v>
      </c>
      <c r="X58" s="202">
        <v>9.7357399999999998</v>
      </c>
      <c r="Y58" s="202">
        <v>9.2265899999999998</v>
      </c>
      <c r="AA58" s="68" t="s">
        <v>8</v>
      </c>
    </row>
    <row r="59" spans="1:27" x14ac:dyDescent="0.25">
      <c r="A59" t="s">
        <v>39</v>
      </c>
      <c r="B59" s="202">
        <v>-70.914400000000001</v>
      </c>
      <c r="C59" s="202">
        <v>3.2984100000000001</v>
      </c>
      <c r="D59" s="202">
        <v>150.51616000000001</v>
      </c>
      <c r="E59" s="204">
        <v>305.73761999999999</v>
      </c>
      <c r="F59" s="205"/>
      <c r="G59" s="202">
        <v>30.652059999999999</v>
      </c>
      <c r="H59" s="202">
        <v>0.76742999999999995</v>
      </c>
      <c r="I59" s="202">
        <v>14.430580000000001</v>
      </c>
      <c r="J59" s="202">
        <v>-0.71997999999999995</v>
      </c>
      <c r="K59" s="203"/>
      <c r="L59" s="202">
        <v>5.0508699999999997</v>
      </c>
      <c r="M59" s="202">
        <v>-0.54352</v>
      </c>
      <c r="N59" s="202">
        <v>14.18685</v>
      </c>
      <c r="O59" s="202">
        <v>43.54768</v>
      </c>
      <c r="P59" s="203"/>
      <c r="Q59" s="202">
        <v>57.644590000000001</v>
      </c>
      <c r="R59" s="202">
        <v>-1.22333</v>
      </c>
      <c r="S59" s="202">
        <v>-2.8014299999999999</v>
      </c>
      <c r="T59" s="202">
        <v>10.349880000000001</v>
      </c>
      <c r="U59" s="203"/>
      <c r="V59" s="202">
        <v>-15.223140000000001</v>
      </c>
      <c r="W59" s="202">
        <v>18.569189999999999</v>
      </c>
      <c r="X59" s="202">
        <v>-2.5369100000000002</v>
      </c>
      <c r="Y59" s="202">
        <v>73.943150000000003</v>
      </c>
      <c r="AA59" s="68" t="s">
        <v>39</v>
      </c>
    </row>
    <row r="60" spans="1:27" x14ac:dyDescent="0.25">
      <c r="A60" t="s">
        <v>66</v>
      </c>
      <c r="B60" s="202">
        <v>-5.6334400000000002</v>
      </c>
      <c r="C60" s="202">
        <v>56.72569</v>
      </c>
      <c r="D60" s="202">
        <v>23.279730000000001</v>
      </c>
      <c r="E60" s="204">
        <v>26.178789999999999</v>
      </c>
      <c r="F60" s="205"/>
      <c r="G60" s="202">
        <v>37.667029999999997</v>
      </c>
      <c r="H60" s="202">
        <v>33.531790000000001</v>
      </c>
      <c r="I60" s="202">
        <v>7.51539</v>
      </c>
      <c r="J60" s="202">
        <v>7.42476</v>
      </c>
      <c r="K60" s="203"/>
      <c r="L60" s="202">
        <v>33.27337</v>
      </c>
      <c r="M60" s="202">
        <v>46.247869999999999</v>
      </c>
      <c r="N60" s="202">
        <v>14.99508</v>
      </c>
      <c r="O60" s="202">
        <v>73.918970000000002</v>
      </c>
      <c r="P60" s="203"/>
      <c r="Q60" s="202">
        <v>93.859300000000005</v>
      </c>
      <c r="R60" s="202">
        <v>67.537030000000001</v>
      </c>
      <c r="S60" s="202">
        <v>39.597920000000002</v>
      </c>
      <c r="T60" s="202">
        <v>37.57546</v>
      </c>
      <c r="U60" s="203"/>
      <c r="V60" s="202">
        <v>39.4208</v>
      </c>
      <c r="W60" s="202">
        <v>45.087829999999997</v>
      </c>
      <c r="X60" s="202">
        <v>28.66771</v>
      </c>
      <c r="Y60" s="202">
        <v>39.037509999999997</v>
      </c>
      <c r="AA60" s="68" t="s">
        <v>66</v>
      </c>
    </row>
    <row r="61" spans="1:27" x14ac:dyDescent="0.25">
      <c r="A61" t="s">
        <v>64</v>
      </c>
      <c r="B61" s="202">
        <v>-88.671139999999994</v>
      </c>
      <c r="C61" s="202">
        <v>10.66722</v>
      </c>
      <c r="D61" s="202">
        <v>12.21838</v>
      </c>
      <c r="E61" s="204">
        <v>18.733650000000001</v>
      </c>
      <c r="F61" s="205"/>
      <c r="G61" s="202">
        <v>48.667020000000001</v>
      </c>
      <c r="H61" s="202">
        <v>3.6675800000000001</v>
      </c>
      <c r="I61" s="202">
        <v>16.72148</v>
      </c>
      <c r="J61" s="202">
        <v>7.43574</v>
      </c>
      <c r="K61" s="203"/>
      <c r="L61" s="202">
        <v>48.117069999999998</v>
      </c>
      <c r="M61" s="202">
        <v>-12.241289999999999</v>
      </c>
      <c r="N61" s="202">
        <v>12.517849999999999</v>
      </c>
      <c r="O61" s="202">
        <v>-11.8429</v>
      </c>
      <c r="P61" s="203"/>
      <c r="Q61" s="202">
        <v>1.88575</v>
      </c>
      <c r="R61" s="202">
        <v>-2.5537100000000001</v>
      </c>
      <c r="S61" s="202">
        <v>3.1218900000000001</v>
      </c>
      <c r="T61" s="202">
        <v>3.1249899999999999</v>
      </c>
      <c r="U61" s="203"/>
      <c r="V61" s="202">
        <v>6.6935700000000002</v>
      </c>
      <c r="W61" s="202">
        <v>15.66968</v>
      </c>
      <c r="X61" s="202">
        <v>-0.20041999999999999</v>
      </c>
      <c r="Y61" s="202">
        <v>-20.22064</v>
      </c>
      <c r="AA61" s="68" t="s">
        <v>64</v>
      </c>
    </row>
    <row r="62" spans="1:27" x14ac:dyDescent="0.25">
      <c r="A62" t="s">
        <v>41</v>
      </c>
      <c r="B62" s="202">
        <v>-36.026649999999997</v>
      </c>
      <c r="C62" s="202">
        <v>36.904220000000002</v>
      </c>
      <c r="D62" s="202">
        <v>5.5265899999999997</v>
      </c>
      <c r="E62" s="204">
        <v>-27.051110000000001</v>
      </c>
      <c r="F62" s="205"/>
      <c r="G62" s="202">
        <v>5.1477599999999999</v>
      </c>
      <c r="H62" s="202">
        <v>43.843609999999998</v>
      </c>
      <c r="I62" s="202">
        <v>28.593679999999999</v>
      </c>
      <c r="J62" s="202">
        <v>-8.7820599999999995</v>
      </c>
      <c r="K62" s="203"/>
      <c r="L62" s="202">
        <v>24.434100000000001</v>
      </c>
      <c r="M62" s="202">
        <v>21.31326</v>
      </c>
      <c r="N62" s="202">
        <v>17.54617</v>
      </c>
      <c r="O62" s="202">
        <v>-12.682399999999999</v>
      </c>
      <c r="P62" s="203"/>
      <c r="Q62" s="202">
        <v>2.70764</v>
      </c>
      <c r="R62" s="202">
        <v>-9.3114899999999992</v>
      </c>
      <c r="S62" s="202">
        <v>-1.9644999999999999</v>
      </c>
      <c r="T62" s="202">
        <v>-9.7165300000000006</v>
      </c>
      <c r="U62" s="203"/>
      <c r="V62" s="202">
        <v>15.55325</v>
      </c>
      <c r="W62" s="202">
        <v>5.9498899999999999</v>
      </c>
      <c r="X62" s="202">
        <v>-8.0534499999999998</v>
      </c>
      <c r="Y62" s="202">
        <v>-9.6523500000000002</v>
      </c>
      <c r="AA62" s="68" t="s">
        <v>41</v>
      </c>
    </row>
    <row r="63" spans="1:27" x14ac:dyDescent="0.25">
      <c r="A63" t="s">
        <v>47</v>
      </c>
      <c r="B63" s="202" t="s">
        <v>186</v>
      </c>
      <c r="C63" s="202">
        <v>-41.851939999999999</v>
      </c>
      <c r="D63" s="202">
        <v>-18.83737</v>
      </c>
      <c r="E63" s="204">
        <v>4.4381300000000001</v>
      </c>
      <c r="F63" s="205"/>
      <c r="G63" s="202">
        <v>-13.049759999999999</v>
      </c>
      <c r="H63" s="202">
        <v>5.2244799999999998</v>
      </c>
      <c r="I63" s="202">
        <v>11.44408</v>
      </c>
      <c r="J63" s="202">
        <v>-13.20166</v>
      </c>
      <c r="K63" s="203"/>
      <c r="L63" s="202">
        <v>-19.508959999999998</v>
      </c>
      <c r="M63" s="202">
        <v>1.8480099999999999</v>
      </c>
      <c r="N63" s="202">
        <v>0.46537000000000001</v>
      </c>
      <c r="O63" s="202">
        <v>17.508279999999999</v>
      </c>
      <c r="P63" s="203"/>
      <c r="Q63" s="202">
        <v>10.631080000000001</v>
      </c>
      <c r="R63" s="202">
        <v>19.740970000000001</v>
      </c>
      <c r="S63" s="202">
        <v>24.062270000000002</v>
      </c>
      <c r="T63" s="202">
        <v>17.45993</v>
      </c>
      <c r="U63" s="203"/>
      <c r="V63" s="202">
        <v>2.8028599999999999</v>
      </c>
      <c r="W63" s="202">
        <v>1.4856499999999999</v>
      </c>
      <c r="X63" s="202">
        <v>34.448929999999997</v>
      </c>
      <c r="Y63" s="202">
        <v>16.767710000000001</v>
      </c>
      <c r="AA63" s="68" t="s">
        <v>47</v>
      </c>
    </row>
    <row r="64" spans="1:27" x14ac:dyDescent="0.25">
      <c r="A64" t="s">
        <v>20</v>
      </c>
      <c r="B64" s="202">
        <v>3.5793400000000002</v>
      </c>
      <c r="C64" s="202">
        <v>-1.8260700000000001</v>
      </c>
      <c r="D64" s="202">
        <v>4.9677600000000002</v>
      </c>
      <c r="E64" s="204">
        <v>5.5297599999999996</v>
      </c>
      <c r="F64" s="205"/>
      <c r="G64" s="202">
        <v>5.5141999999999998</v>
      </c>
      <c r="H64" s="202">
        <v>-2.9081600000000001</v>
      </c>
      <c r="I64" s="202">
        <v>2.94712</v>
      </c>
      <c r="J64" s="202">
        <v>5.41927</v>
      </c>
      <c r="K64" s="203"/>
      <c r="L64" s="202">
        <v>6.0571799999999998</v>
      </c>
      <c r="M64" s="202">
        <v>-5.4100900000000003</v>
      </c>
      <c r="N64" s="202">
        <v>2.71313</v>
      </c>
      <c r="O64" s="202">
        <v>2.5049399999999999</v>
      </c>
      <c r="P64" s="203"/>
      <c r="Q64" s="202">
        <v>-0.50175000000000003</v>
      </c>
      <c r="R64" s="202">
        <v>-1.2654799999999999</v>
      </c>
      <c r="S64" s="202">
        <v>1.6167400000000001</v>
      </c>
      <c r="T64" s="202">
        <v>1.34531</v>
      </c>
      <c r="U64" s="203"/>
      <c r="V64" s="202">
        <v>2.2804899999999999</v>
      </c>
      <c r="W64" s="202">
        <v>1.70072</v>
      </c>
      <c r="X64" s="202">
        <v>4.06881</v>
      </c>
      <c r="Y64" s="202">
        <v>0.40638999999999997</v>
      </c>
      <c r="AA64" s="68" t="s">
        <v>20</v>
      </c>
    </row>
    <row r="65" spans="1:27" x14ac:dyDescent="0.25">
      <c r="A65" t="s">
        <v>24</v>
      </c>
      <c r="B65" s="202">
        <v>10.475429999999999</v>
      </c>
      <c r="C65" s="202">
        <v>-1.1170599999999999</v>
      </c>
      <c r="D65" s="202">
        <v>-2.5009999999999999</v>
      </c>
      <c r="E65" s="204">
        <v>-1.3388500000000001</v>
      </c>
      <c r="F65" s="205"/>
      <c r="G65" s="202">
        <v>-3.85745</v>
      </c>
      <c r="H65" s="202">
        <v>-1.1521600000000001</v>
      </c>
      <c r="I65" s="202">
        <v>-1.21644</v>
      </c>
      <c r="J65" s="202">
        <v>-3.52461</v>
      </c>
      <c r="K65" s="203"/>
      <c r="L65" s="202">
        <v>-3.7904599999999999</v>
      </c>
      <c r="M65" s="202">
        <v>-1.5459400000000001</v>
      </c>
      <c r="N65" s="202">
        <v>-0.72997999999999996</v>
      </c>
      <c r="O65" s="202">
        <v>-1.0503899999999999</v>
      </c>
      <c r="P65" s="203"/>
      <c r="Q65" s="202">
        <v>-22.24953</v>
      </c>
      <c r="R65" s="202">
        <v>-0.77768000000000004</v>
      </c>
      <c r="S65" s="202">
        <v>-0.52551000000000003</v>
      </c>
      <c r="T65" s="202">
        <v>-0.60009000000000001</v>
      </c>
      <c r="U65" s="203"/>
      <c r="V65" s="202">
        <v>-0.34059</v>
      </c>
      <c r="W65" s="202">
        <v>1.2749999999999999E-2</v>
      </c>
      <c r="X65" s="202">
        <v>0.20721000000000001</v>
      </c>
      <c r="Y65" s="202">
        <v>7.9210000000000003E-2</v>
      </c>
      <c r="AA65" s="68" t="s">
        <v>24</v>
      </c>
    </row>
    <row r="66" spans="1:27" x14ac:dyDescent="0.25">
      <c r="A66" s="70" t="s">
        <v>109</v>
      </c>
      <c r="B66" s="206">
        <v>-2458.1277588888893</v>
      </c>
      <c r="C66" s="206">
        <v>2471.8907630000003</v>
      </c>
      <c r="D66" s="206">
        <v>72.833836000000019</v>
      </c>
      <c r="E66" s="207">
        <v>75.612895000000009</v>
      </c>
      <c r="F66" s="214"/>
      <c r="G66" s="206">
        <v>52.558695999999998</v>
      </c>
      <c r="H66" s="206">
        <v>32.462191000000004</v>
      </c>
      <c r="I66" s="206">
        <v>34.479644999999998</v>
      </c>
      <c r="J66" s="206">
        <v>17.936713000000005</v>
      </c>
      <c r="K66" s="215"/>
      <c r="L66" s="206">
        <v>27.629239000000002</v>
      </c>
      <c r="M66" s="206">
        <v>22.441120999999999</v>
      </c>
      <c r="N66" s="206">
        <v>17.145811999999999</v>
      </c>
      <c r="O66" s="206">
        <v>24.419489000000002</v>
      </c>
      <c r="P66" s="215"/>
      <c r="Q66" s="206">
        <v>17.191578</v>
      </c>
      <c r="R66" s="206">
        <v>13.687812000000003</v>
      </c>
      <c r="S66" s="206">
        <v>14.082736000000001</v>
      </c>
      <c r="T66" s="206">
        <v>13.119960000000003</v>
      </c>
      <c r="U66" s="215"/>
      <c r="V66" s="206">
        <v>10.311256999999999</v>
      </c>
      <c r="W66" s="206">
        <v>12.912724000000001</v>
      </c>
      <c r="X66" s="206">
        <v>9.8173290000000026</v>
      </c>
      <c r="Y66" s="206">
        <v>8.0345530000000025</v>
      </c>
      <c r="Z66" s="208"/>
      <c r="AA66" s="79" t="s">
        <v>110</v>
      </c>
    </row>
    <row r="67" spans="1:27" ht="8.25" customHeight="1" x14ac:dyDescent="0.25">
      <c r="C67" s="202"/>
      <c r="D67" s="202"/>
      <c r="E67" s="204"/>
      <c r="F67" s="205"/>
      <c r="G67" s="202"/>
      <c r="H67" s="202"/>
      <c r="I67" s="202"/>
      <c r="J67" s="202"/>
      <c r="K67" s="203"/>
      <c r="L67" s="202"/>
      <c r="M67" s="202"/>
      <c r="N67" s="202"/>
      <c r="O67" s="202"/>
      <c r="P67" s="203"/>
      <c r="Q67" s="202"/>
      <c r="R67" s="202"/>
      <c r="S67" s="202"/>
      <c r="T67" s="202"/>
      <c r="U67" s="203"/>
      <c r="V67" s="202"/>
      <c r="W67" s="202"/>
      <c r="X67" s="202"/>
      <c r="Y67" s="202"/>
    </row>
    <row r="68" spans="1:27" x14ac:dyDescent="0.25">
      <c r="A68" s="58" t="s">
        <v>122</v>
      </c>
      <c r="B68" s="58"/>
      <c r="C68" s="209"/>
      <c r="D68" s="209"/>
      <c r="E68" s="209"/>
      <c r="F68" s="210"/>
      <c r="G68" s="209"/>
      <c r="H68" s="209"/>
      <c r="I68" s="209"/>
      <c r="J68" s="209"/>
      <c r="K68" s="210"/>
      <c r="L68" s="209"/>
      <c r="M68" s="209"/>
      <c r="N68" s="209"/>
      <c r="O68" s="209"/>
      <c r="P68" s="210"/>
      <c r="Q68" s="209"/>
      <c r="R68" s="209"/>
      <c r="S68" s="209"/>
      <c r="T68" s="209"/>
      <c r="U68" s="210"/>
      <c r="V68" s="209"/>
      <c r="W68" s="209"/>
      <c r="X68" s="209"/>
      <c r="Y68" s="209"/>
      <c r="Z68" s="211"/>
      <c r="AA68" s="89"/>
    </row>
    <row r="69" spans="1:27" x14ac:dyDescent="0.25">
      <c r="A69" t="s">
        <v>32</v>
      </c>
      <c r="B69" s="202">
        <v>-7174</v>
      </c>
      <c r="C69" s="202">
        <v>9447</v>
      </c>
      <c r="D69" s="202" t="s">
        <v>186</v>
      </c>
      <c r="E69" s="202">
        <v>507</v>
      </c>
      <c r="F69" s="203"/>
      <c r="G69" s="202">
        <v>8171</v>
      </c>
      <c r="H69" s="202">
        <v>202</v>
      </c>
      <c r="I69" s="202">
        <v>930</v>
      </c>
      <c r="J69" s="202">
        <v>1166</v>
      </c>
      <c r="K69" s="203"/>
      <c r="L69" s="202">
        <v>-989</v>
      </c>
      <c r="M69" s="202">
        <v>551</v>
      </c>
      <c r="N69" s="202">
        <v>9037</v>
      </c>
      <c r="O69" s="202">
        <v>-21</v>
      </c>
      <c r="P69" s="203"/>
      <c r="Q69" s="202">
        <v>-213</v>
      </c>
      <c r="R69" s="202">
        <v>-275.69200000000001</v>
      </c>
      <c r="S69" s="202">
        <v>2703.6959999999999</v>
      </c>
      <c r="T69" s="202">
        <v>-249.21</v>
      </c>
      <c r="U69" s="203"/>
      <c r="V69" s="202">
        <v>2</v>
      </c>
      <c r="W69" s="202">
        <v>3</v>
      </c>
      <c r="X69" s="202">
        <v>-422.536</v>
      </c>
      <c r="Y69" s="202">
        <v>-70.352000000000004</v>
      </c>
      <c r="AA69" s="68" t="s">
        <v>32</v>
      </c>
    </row>
    <row r="70" spans="1:27" x14ac:dyDescent="0.25">
      <c r="A70" t="s">
        <v>27</v>
      </c>
      <c r="B70" s="202">
        <v>-4960.8059999999996</v>
      </c>
      <c r="C70" s="202">
        <v>7086.99</v>
      </c>
      <c r="D70" s="202">
        <v>3258.9780000000001</v>
      </c>
      <c r="E70" s="202">
        <v>598.90200000000004</v>
      </c>
      <c r="F70" s="203"/>
      <c r="G70" s="202">
        <v>9360.9140000000007</v>
      </c>
      <c r="H70" s="202">
        <v>1881.1420000000001</v>
      </c>
      <c r="I70" s="202">
        <v>901.93499999999995</v>
      </c>
      <c r="J70" s="202">
        <v>355.61700000000002</v>
      </c>
      <c r="K70" s="203"/>
      <c r="L70" s="202">
        <v>1250.8340000000001</v>
      </c>
      <c r="M70" s="202">
        <v>752.09</v>
      </c>
      <c r="N70" s="202">
        <v>1150.1310000000001</v>
      </c>
      <c r="O70" s="202">
        <v>6675.884</v>
      </c>
      <c r="P70" s="203"/>
      <c r="Q70" s="202">
        <v>276.23700000000002</v>
      </c>
      <c r="R70" s="202">
        <v>103.002</v>
      </c>
      <c r="S70" s="202">
        <v>1839.027</v>
      </c>
      <c r="T70" s="202">
        <v>99.96</v>
      </c>
      <c r="U70" s="203"/>
      <c r="V70" s="202">
        <v>193.732</v>
      </c>
      <c r="W70" s="202">
        <v>147.672</v>
      </c>
      <c r="X70" s="202">
        <v>87.557000000000002</v>
      </c>
      <c r="Y70" s="202">
        <v>48.877000000000002</v>
      </c>
      <c r="AA70" s="68" t="s">
        <v>27</v>
      </c>
    </row>
    <row r="71" spans="1:27" x14ac:dyDescent="0.25">
      <c r="A71" t="s">
        <v>37</v>
      </c>
      <c r="B71" s="202">
        <v>-4360</v>
      </c>
      <c r="C71" s="202">
        <v>2103</v>
      </c>
      <c r="D71" s="202" t="s">
        <v>186</v>
      </c>
      <c r="E71" s="204">
        <v>203</v>
      </c>
      <c r="F71" s="205"/>
      <c r="G71" s="202">
        <v>4198</v>
      </c>
      <c r="H71" s="202">
        <v>-130</v>
      </c>
      <c r="I71" s="202">
        <v>515</v>
      </c>
      <c r="J71" s="202">
        <v>1262</v>
      </c>
      <c r="K71" s="203"/>
      <c r="L71" s="202">
        <v>-352</v>
      </c>
      <c r="M71" s="202">
        <v>606</v>
      </c>
      <c r="N71" s="202">
        <v>5127</v>
      </c>
      <c r="O71" s="202">
        <v>4</v>
      </c>
      <c r="P71" s="203"/>
      <c r="Q71" s="202">
        <v>-483</v>
      </c>
      <c r="R71" s="202">
        <v>-288</v>
      </c>
      <c r="S71" s="202">
        <v>602.00900000000001</v>
      </c>
      <c r="T71" s="202">
        <v>288</v>
      </c>
      <c r="U71" s="203"/>
      <c r="V71" s="202">
        <v>-94</v>
      </c>
      <c r="W71" s="202">
        <v>-122.005</v>
      </c>
      <c r="X71" s="202">
        <v>-394.14400000000001</v>
      </c>
      <c r="Y71" s="202">
        <v>-162.208</v>
      </c>
      <c r="AA71" s="68" t="s">
        <v>37</v>
      </c>
    </row>
    <row r="72" spans="1:27" x14ac:dyDescent="0.25">
      <c r="A72" t="s">
        <v>76</v>
      </c>
      <c r="B72" s="202">
        <v>-2619.52</v>
      </c>
      <c r="C72" s="202">
        <v>2608.96</v>
      </c>
      <c r="D72" s="202">
        <v>1344.6030000000001</v>
      </c>
      <c r="E72" s="204">
        <v>319.41500000000002</v>
      </c>
      <c r="F72" s="205"/>
      <c r="G72" s="202">
        <v>851.09900000000005</v>
      </c>
      <c r="H72" s="202">
        <v>310.11900000000003</v>
      </c>
      <c r="I72" s="202">
        <v>267.52199999999999</v>
      </c>
      <c r="J72" s="202">
        <v>860.48599999999999</v>
      </c>
      <c r="K72" s="203"/>
      <c r="L72" s="202">
        <v>653.99599999999998</v>
      </c>
      <c r="M72" s="202">
        <v>138.44200000000001</v>
      </c>
      <c r="N72" s="202">
        <v>397.55900000000003</v>
      </c>
      <c r="O72" s="202">
        <v>347.21899999999999</v>
      </c>
      <c r="P72" s="203"/>
      <c r="Q72" s="202">
        <v>654.24099999999999</v>
      </c>
      <c r="R72" s="202">
        <v>206.738</v>
      </c>
      <c r="S72" s="202">
        <v>877.17600000000004</v>
      </c>
      <c r="T72" s="202">
        <v>170.54300000000001</v>
      </c>
      <c r="U72" s="203"/>
      <c r="V72" s="202">
        <v>250.506</v>
      </c>
      <c r="W72" s="202">
        <v>512.43499999999995</v>
      </c>
      <c r="X72" s="202">
        <v>-2.2029999999999998</v>
      </c>
      <c r="Y72" s="202">
        <v>196.19900000000001</v>
      </c>
      <c r="AA72" s="68" t="s">
        <v>76</v>
      </c>
    </row>
    <row r="73" spans="1:27" x14ac:dyDescent="0.25">
      <c r="A73" s="70" t="s">
        <v>109</v>
      </c>
      <c r="B73" s="206">
        <v>-4778.5815000000002</v>
      </c>
      <c r="C73" s="206">
        <v>5311.4874999999993</v>
      </c>
      <c r="D73" s="206">
        <v>2301.7905000000001</v>
      </c>
      <c r="E73" s="207">
        <v>407.07925</v>
      </c>
      <c r="F73" s="207"/>
      <c r="G73" s="206">
        <v>5645.2532499999998</v>
      </c>
      <c r="H73" s="206">
        <v>565.81524999999999</v>
      </c>
      <c r="I73" s="206">
        <v>653.61424999999997</v>
      </c>
      <c r="J73" s="206">
        <v>911.02575000000002</v>
      </c>
      <c r="K73" s="206"/>
      <c r="L73" s="206">
        <v>140.95750000000001</v>
      </c>
      <c r="M73" s="206">
        <v>511.88300000000004</v>
      </c>
      <c r="N73" s="206">
        <v>3927.9224999999997</v>
      </c>
      <c r="O73" s="206">
        <v>1751.52575</v>
      </c>
      <c r="P73" s="206"/>
      <c r="Q73" s="206">
        <v>58.619500000000002</v>
      </c>
      <c r="R73" s="206">
        <v>-63.488</v>
      </c>
      <c r="S73" s="206">
        <v>1505.4770000000001</v>
      </c>
      <c r="T73" s="206">
        <v>77.323250000000002</v>
      </c>
      <c r="U73" s="206"/>
      <c r="V73" s="206">
        <v>88.0595</v>
      </c>
      <c r="W73" s="206">
        <v>135.27549999999999</v>
      </c>
      <c r="X73" s="206">
        <v>-182.83150000000001</v>
      </c>
      <c r="Y73" s="206">
        <v>3.1290000000000049</v>
      </c>
      <c r="Z73" s="208"/>
      <c r="AA73" s="79" t="s">
        <v>110</v>
      </c>
    </row>
    <row r="74" spans="1:27" ht="8.25" customHeight="1" x14ac:dyDescent="0.25">
      <c r="C74" s="202"/>
      <c r="D74" s="202"/>
      <c r="E74" s="204"/>
      <c r="F74" s="205"/>
      <c r="G74" s="202"/>
      <c r="H74" s="202"/>
      <c r="I74" s="202"/>
      <c r="J74" s="202"/>
      <c r="K74" s="203"/>
      <c r="L74" s="202"/>
      <c r="M74" s="202"/>
      <c r="N74" s="202"/>
      <c r="O74" s="202"/>
      <c r="P74" s="203"/>
      <c r="Q74" s="202"/>
      <c r="R74" s="202"/>
      <c r="S74" s="202"/>
      <c r="T74" s="202"/>
      <c r="U74" s="203"/>
      <c r="V74" s="202"/>
      <c r="W74" s="202"/>
      <c r="X74" s="202"/>
      <c r="Y74" s="202"/>
    </row>
    <row r="75" spans="1:27" x14ac:dyDescent="0.25">
      <c r="A75" s="58" t="s">
        <v>123</v>
      </c>
      <c r="B75" s="58"/>
      <c r="C75" s="209"/>
      <c r="D75" s="209"/>
      <c r="E75" s="209"/>
      <c r="F75" s="210"/>
      <c r="G75" s="209"/>
      <c r="H75" s="209"/>
      <c r="I75" s="209"/>
      <c r="J75" s="209"/>
      <c r="K75" s="210"/>
      <c r="L75" s="209"/>
      <c r="M75" s="209"/>
      <c r="N75" s="209"/>
      <c r="O75" s="209"/>
      <c r="P75" s="210"/>
      <c r="Q75" s="209"/>
      <c r="R75" s="209"/>
      <c r="S75" s="209"/>
      <c r="T75" s="209"/>
      <c r="U75" s="210"/>
      <c r="V75" s="209"/>
      <c r="W75" s="209"/>
      <c r="X75" s="209"/>
      <c r="Y75" s="209"/>
      <c r="Z75" s="211"/>
      <c r="AA75" s="89"/>
    </row>
    <row r="76" spans="1:27" x14ac:dyDescent="0.25">
      <c r="A76" t="s">
        <v>45</v>
      </c>
      <c r="B76" s="202">
        <v>7248.28</v>
      </c>
      <c r="C76" s="202">
        <v>3034.56</v>
      </c>
      <c r="D76" s="202">
        <v>435.89400000000001</v>
      </c>
      <c r="E76" s="202">
        <v>2554.3530000000001</v>
      </c>
      <c r="F76" s="203"/>
      <c r="G76" s="202">
        <v>848.08199999999999</v>
      </c>
      <c r="H76" s="202">
        <v>1609.1369999999999</v>
      </c>
      <c r="I76" s="202">
        <v>1255.1110000000001</v>
      </c>
      <c r="J76" s="202">
        <v>1857.4259999999999</v>
      </c>
      <c r="K76" s="203"/>
      <c r="L76" s="202">
        <v>943.64499999999998</v>
      </c>
      <c r="M76" s="202">
        <v>1307.441</v>
      </c>
      <c r="N76" s="202">
        <v>811.99400000000003</v>
      </c>
      <c r="O76" s="202">
        <v>640.19899999999996</v>
      </c>
      <c r="P76" s="203"/>
      <c r="Q76" s="202">
        <v>155.042</v>
      </c>
      <c r="R76" s="202">
        <v>499.30399999999997</v>
      </c>
      <c r="S76" s="202">
        <v>361.31599999999997</v>
      </c>
      <c r="T76" s="202">
        <v>741.26800000000003</v>
      </c>
      <c r="U76" s="203"/>
      <c r="V76" s="202">
        <v>624.99300000000005</v>
      </c>
      <c r="W76" s="202">
        <v>-10.952</v>
      </c>
      <c r="X76" s="202">
        <v>869.41600000000005</v>
      </c>
      <c r="Y76" s="202">
        <v>888.26599999999996</v>
      </c>
      <c r="AA76" s="68" t="s">
        <v>45</v>
      </c>
    </row>
    <row r="77" spans="1:27" x14ac:dyDescent="0.25">
      <c r="A77" t="s">
        <v>28</v>
      </c>
      <c r="B77" s="202">
        <v>993.51324</v>
      </c>
      <c r="C77" s="202">
        <v>100.80507</v>
      </c>
      <c r="D77" s="202">
        <v>179.42474000000001</v>
      </c>
      <c r="E77" s="202">
        <v>526.12893999999994</v>
      </c>
      <c r="F77" s="203"/>
      <c r="G77" s="202">
        <v>665.24377000000004</v>
      </c>
      <c r="H77" s="202">
        <v>295.33672999999999</v>
      </c>
      <c r="I77" s="202">
        <v>276.13103000000001</v>
      </c>
      <c r="J77" s="202">
        <v>354.13085000000001</v>
      </c>
      <c r="K77" s="203"/>
      <c r="L77" s="202">
        <v>218.01402999999999</v>
      </c>
      <c r="M77" s="202">
        <v>120.91001</v>
      </c>
      <c r="N77" s="202">
        <v>35.750489999999999</v>
      </c>
      <c r="O77" s="202">
        <v>127.42547999999999</v>
      </c>
      <c r="P77" s="203"/>
      <c r="Q77" s="202" t="s">
        <v>186</v>
      </c>
      <c r="R77" s="202" t="s">
        <v>186</v>
      </c>
      <c r="S77" s="202" t="s">
        <v>186</v>
      </c>
      <c r="T77" s="202" t="s">
        <v>186</v>
      </c>
      <c r="U77" s="203"/>
      <c r="V77" s="202" t="s">
        <v>186</v>
      </c>
      <c r="W77" s="202" t="s">
        <v>186</v>
      </c>
      <c r="X77" s="202" t="s">
        <v>186</v>
      </c>
      <c r="Y77" s="202" t="s">
        <v>186</v>
      </c>
      <c r="AA77" s="68" t="s">
        <v>28</v>
      </c>
    </row>
    <row r="78" spans="1:27" x14ac:dyDescent="0.25">
      <c r="A78" t="s">
        <v>18</v>
      </c>
      <c r="B78" s="202">
        <v>1651.8220699999999</v>
      </c>
      <c r="C78" s="202">
        <v>1667.3850399999999</v>
      </c>
      <c r="D78" s="202">
        <v>828.25053000000003</v>
      </c>
      <c r="E78" s="204">
        <v>1114.40066</v>
      </c>
      <c r="F78" s="205"/>
      <c r="G78" s="202">
        <v>910.77777000000003</v>
      </c>
      <c r="H78" s="202">
        <v>787.63156000000004</v>
      </c>
      <c r="I78" s="202">
        <v>573.65854999999999</v>
      </c>
      <c r="J78" s="202">
        <v>535.10389999999995</v>
      </c>
      <c r="K78" s="203"/>
      <c r="L78" s="202">
        <v>386.65726999999998</v>
      </c>
      <c r="M78" s="202">
        <v>454.02001999999999</v>
      </c>
      <c r="N78" s="202">
        <v>397.71875999999997</v>
      </c>
      <c r="O78" s="202">
        <v>536.40148999999997</v>
      </c>
      <c r="P78" s="203"/>
      <c r="Q78" s="202">
        <v>96.145489999999995</v>
      </c>
      <c r="R78" s="202">
        <v>163.21404000000001</v>
      </c>
      <c r="S78" s="202">
        <v>177.38575</v>
      </c>
      <c r="T78" s="202">
        <v>299.35773</v>
      </c>
      <c r="U78" s="203"/>
      <c r="V78" s="202">
        <v>370.91737000000001</v>
      </c>
      <c r="W78" s="202">
        <v>429.25727000000001</v>
      </c>
      <c r="X78" s="202">
        <v>241.16394</v>
      </c>
      <c r="Y78" s="202">
        <v>200.83044000000001</v>
      </c>
      <c r="AA78" s="68" t="s">
        <v>18</v>
      </c>
    </row>
    <row r="79" spans="1:27" x14ac:dyDescent="0.25">
      <c r="A79" t="s">
        <v>77</v>
      </c>
      <c r="B79" s="202">
        <v>636.88824</v>
      </c>
      <c r="C79" s="202">
        <v>304.83645000000001</v>
      </c>
      <c r="D79" s="202">
        <v>359.54099000000002</v>
      </c>
      <c r="E79" s="204">
        <v>238.74958000000001</v>
      </c>
      <c r="F79" s="205"/>
      <c r="G79" s="202">
        <v>337.17189999999999</v>
      </c>
      <c r="H79" s="202">
        <v>331.26825000000002</v>
      </c>
      <c r="I79" s="202">
        <v>194.64167</v>
      </c>
      <c r="J79" s="202">
        <v>200.70214000000001</v>
      </c>
      <c r="K79" s="203"/>
      <c r="L79" s="202">
        <v>207.67632</v>
      </c>
      <c r="M79" s="202">
        <v>143.61825999999999</v>
      </c>
      <c r="N79" s="202">
        <v>63.983930000000001</v>
      </c>
      <c r="O79" s="202">
        <v>-24.472539999999999</v>
      </c>
      <c r="P79" s="203"/>
      <c r="Q79" s="202">
        <v>-79.292180000000002</v>
      </c>
      <c r="R79" s="202">
        <v>30.944669999999999</v>
      </c>
      <c r="S79" s="202">
        <v>60.350090000000002</v>
      </c>
      <c r="T79" s="202">
        <v>52.355670000000003</v>
      </c>
      <c r="U79" s="203"/>
      <c r="V79" s="202">
        <v>36.170569999999998</v>
      </c>
      <c r="W79" s="202">
        <v>2.5209299999999999</v>
      </c>
      <c r="X79" s="202">
        <v>32.77178</v>
      </c>
      <c r="Y79" s="202">
        <v>-12.51882</v>
      </c>
      <c r="AA79" s="68" t="s">
        <v>77</v>
      </c>
    </row>
    <row r="80" spans="1:27" x14ac:dyDescent="0.25">
      <c r="A80" t="s">
        <v>35</v>
      </c>
      <c r="B80" s="202">
        <v>673.28</v>
      </c>
      <c r="C80" s="202">
        <v>552.55700000000002</v>
      </c>
      <c r="D80" s="202">
        <v>21.696999999999999</v>
      </c>
      <c r="E80" s="204">
        <v>328.93099999999998</v>
      </c>
      <c r="F80" s="205"/>
      <c r="G80" s="202">
        <v>-37.289000000000001</v>
      </c>
      <c r="H80" s="202">
        <v>267.42599999999999</v>
      </c>
      <c r="I80" s="202">
        <v>82.125</v>
      </c>
      <c r="J80" s="202">
        <v>179.96100000000001</v>
      </c>
      <c r="K80" s="203"/>
      <c r="L80" s="202">
        <v>-401.37</v>
      </c>
      <c r="M80" s="202">
        <v>-2.0539999999999998</v>
      </c>
      <c r="N80" s="202">
        <v>-182.756</v>
      </c>
      <c r="O80" s="202">
        <v>-188.19300000000001</v>
      </c>
      <c r="P80" s="203"/>
      <c r="Q80" s="202">
        <v>-308.28800000000001</v>
      </c>
      <c r="R80" s="202">
        <v>-92.27</v>
      </c>
      <c r="S80" s="202">
        <v>-16.183</v>
      </c>
      <c r="T80" s="202">
        <v>-43.58</v>
      </c>
      <c r="U80" s="203"/>
      <c r="V80" s="202">
        <v>-125.97199999999999</v>
      </c>
      <c r="W80" s="202">
        <v>-127.35</v>
      </c>
      <c r="X80" s="202">
        <v>32.262999999999998</v>
      </c>
      <c r="Y80" s="202">
        <v>9.266</v>
      </c>
      <c r="AA80" s="68" t="s">
        <v>35</v>
      </c>
    </row>
    <row r="81" spans="1:27" x14ac:dyDescent="0.25">
      <c r="A81" t="s">
        <v>34</v>
      </c>
      <c r="B81" s="202">
        <v>7.30844</v>
      </c>
      <c r="C81" s="202">
        <v>7.30844</v>
      </c>
      <c r="D81" s="202">
        <v>53.584060000000001</v>
      </c>
      <c r="E81" s="204">
        <v>17.4345</v>
      </c>
      <c r="F81" s="205"/>
      <c r="G81" s="202">
        <v>19.825050000000001</v>
      </c>
      <c r="H81" s="202">
        <v>29.99222</v>
      </c>
      <c r="I81" s="202">
        <v>11.328569999999999</v>
      </c>
      <c r="J81" s="202">
        <v>9.9432100000000005</v>
      </c>
      <c r="K81" s="203"/>
      <c r="L81" s="202">
        <v>14.41009</v>
      </c>
      <c r="M81" s="202">
        <v>39.077860000000001</v>
      </c>
      <c r="N81" s="202">
        <v>19.996390000000002</v>
      </c>
      <c r="O81" s="202">
        <v>63.221629999999998</v>
      </c>
      <c r="P81" s="203"/>
      <c r="Q81" s="202">
        <v>31.901710000000001</v>
      </c>
      <c r="R81" s="202">
        <v>24.188420000000001</v>
      </c>
      <c r="S81" s="202">
        <v>19.37575</v>
      </c>
      <c r="T81" s="202">
        <v>18.241009999999999</v>
      </c>
      <c r="U81" s="203"/>
      <c r="V81" s="202">
        <v>14.338039999999999</v>
      </c>
      <c r="W81" s="202">
        <v>17.512029999999999</v>
      </c>
      <c r="X81" s="202">
        <v>25.636569999999999</v>
      </c>
      <c r="Y81" s="202">
        <v>24.931920000000002</v>
      </c>
      <c r="AA81" s="68" t="s">
        <v>34</v>
      </c>
    </row>
    <row r="82" spans="1:27" x14ac:dyDescent="0.25">
      <c r="A82" t="s">
        <v>56</v>
      </c>
      <c r="B82" s="202">
        <v>57.241999999999997</v>
      </c>
      <c r="C82" s="202">
        <v>57.241999999999997</v>
      </c>
      <c r="D82" s="202">
        <v>-1180.8810000000001</v>
      </c>
      <c r="E82" s="204">
        <v>-548.12599999999998</v>
      </c>
      <c r="F82" s="205"/>
      <c r="G82" s="202">
        <v>-518.61900000000003</v>
      </c>
      <c r="H82" s="202">
        <v>-49.487000000000002</v>
      </c>
      <c r="I82" s="202">
        <v>-115.904</v>
      </c>
      <c r="J82" s="202">
        <v>-834.52700000000004</v>
      </c>
      <c r="K82" s="203"/>
      <c r="L82" s="202">
        <v>-81.245000000000005</v>
      </c>
      <c r="M82" s="202">
        <v>-170.066</v>
      </c>
      <c r="N82" s="202">
        <v>-141.297</v>
      </c>
      <c r="O82" s="202">
        <v>166.316</v>
      </c>
      <c r="P82" s="203"/>
      <c r="Q82" s="202">
        <v>-264.625</v>
      </c>
      <c r="R82" s="202">
        <v>-0.46700000000000003</v>
      </c>
      <c r="S82" s="202">
        <v>-1.327</v>
      </c>
      <c r="T82" s="202">
        <v>53.488</v>
      </c>
      <c r="U82" s="203"/>
      <c r="V82" s="202">
        <v>22.439</v>
      </c>
      <c r="W82" s="202">
        <v>35.36</v>
      </c>
      <c r="X82" s="202">
        <v>-35.125</v>
      </c>
      <c r="Y82" s="202">
        <v>44.146999999999998</v>
      </c>
      <c r="AA82" s="68" t="s">
        <v>56</v>
      </c>
    </row>
    <row r="83" spans="1:27" hidden="1" x14ac:dyDescent="0.25">
      <c r="A83" t="s">
        <v>10</v>
      </c>
      <c r="B83" s="202" t="s">
        <v>186</v>
      </c>
      <c r="C83" s="203" t="s">
        <v>186</v>
      </c>
      <c r="D83" s="203" t="s">
        <v>186</v>
      </c>
      <c r="E83" s="204" t="s">
        <v>186</v>
      </c>
      <c r="F83" s="205"/>
      <c r="G83" s="202" t="s">
        <v>186</v>
      </c>
      <c r="H83" s="202" t="s">
        <v>186</v>
      </c>
      <c r="I83" s="202" t="s">
        <v>186</v>
      </c>
      <c r="J83" s="202" t="s">
        <v>186</v>
      </c>
      <c r="K83" s="203"/>
      <c r="L83" s="202" t="s">
        <v>186</v>
      </c>
      <c r="M83" s="202" t="s">
        <v>186</v>
      </c>
      <c r="N83" s="202" t="s">
        <v>186</v>
      </c>
      <c r="O83" s="202" t="s">
        <v>186</v>
      </c>
      <c r="P83" s="203"/>
      <c r="Q83" s="202" t="s">
        <v>186</v>
      </c>
      <c r="R83" s="202" t="s">
        <v>186</v>
      </c>
      <c r="S83" s="202" t="s">
        <v>186</v>
      </c>
      <c r="T83" s="202" t="s">
        <v>186</v>
      </c>
      <c r="U83" s="203"/>
      <c r="V83" s="202" t="s">
        <v>186</v>
      </c>
      <c r="W83" s="202" t="s">
        <v>186</v>
      </c>
      <c r="X83" s="202" t="s">
        <v>186</v>
      </c>
      <c r="Y83" s="202" t="s">
        <v>186</v>
      </c>
      <c r="AA83" s="68" t="s">
        <v>10</v>
      </c>
    </row>
    <row r="84" spans="1:27" x14ac:dyDescent="0.25">
      <c r="A84" t="s">
        <v>49</v>
      </c>
      <c r="B84" s="202">
        <v>-36.185980000000001</v>
      </c>
      <c r="C84" s="202">
        <v>-26.661570000000001</v>
      </c>
      <c r="D84" s="202">
        <v>-2.5581800000000001</v>
      </c>
      <c r="E84" s="204">
        <v>-0.34200000000000003</v>
      </c>
      <c r="F84" s="205"/>
      <c r="G84" s="202">
        <v>4.5223300000000002</v>
      </c>
      <c r="H84" s="202">
        <v>4.6324899999999998</v>
      </c>
      <c r="I84" s="202">
        <v>-11.005000000000001</v>
      </c>
      <c r="J84" s="202">
        <v>9.9198000000000004</v>
      </c>
      <c r="K84" s="203"/>
      <c r="L84" s="202">
        <v>2.3709099999999999</v>
      </c>
      <c r="M84" s="202">
        <v>-1.18876</v>
      </c>
      <c r="N84" s="202">
        <v>2.2932800000000002</v>
      </c>
      <c r="O84" s="202">
        <v>10.08705</v>
      </c>
      <c r="P84" s="203"/>
      <c r="Q84" s="202">
        <v>3.6339000000000001</v>
      </c>
      <c r="R84" s="202">
        <v>1.36538</v>
      </c>
      <c r="S84" s="202">
        <v>2.6122299999999998</v>
      </c>
      <c r="T84" s="202">
        <v>-4.4082100000000004</v>
      </c>
      <c r="U84" s="203"/>
      <c r="V84" s="202">
        <v>0.95864000000000005</v>
      </c>
      <c r="W84" s="202">
        <v>0.67083000000000004</v>
      </c>
      <c r="X84" s="202">
        <v>-3.2575099999999999</v>
      </c>
      <c r="Y84" s="202">
        <v>2.9218000000000002</v>
      </c>
      <c r="AA84" s="68" t="s">
        <v>49</v>
      </c>
    </row>
    <row r="85" spans="1:27" x14ac:dyDescent="0.25">
      <c r="A85" t="s">
        <v>61</v>
      </c>
      <c r="B85" s="202">
        <v>11.384</v>
      </c>
      <c r="C85" s="202">
        <v>-9.5640000000000001</v>
      </c>
      <c r="D85" s="202">
        <v>-11.449</v>
      </c>
      <c r="E85" s="204">
        <v>-2.6579999999999999</v>
      </c>
      <c r="F85" s="205"/>
      <c r="G85" s="202">
        <v>-51.651000000000003</v>
      </c>
      <c r="H85" s="202">
        <v>-21.317</v>
      </c>
      <c r="I85" s="202">
        <v>-17.53</v>
      </c>
      <c r="J85" s="202">
        <v>-14.459</v>
      </c>
      <c r="K85" s="203"/>
      <c r="L85" s="202">
        <v>-15.241</v>
      </c>
      <c r="M85" s="202">
        <v>-10.343</v>
      </c>
      <c r="N85" s="202">
        <v>-1.5980000000000001</v>
      </c>
      <c r="O85" s="202">
        <v>-5.4589999999999996</v>
      </c>
      <c r="P85" s="203"/>
      <c r="Q85" s="202">
        <v>7.7080000000000002</v>
      </c>
      <c r="R85" s="202">
        <v>-2.9000000000000001E-2</v>
      </c>
      <c r="S85" s="202">
        <v>-0.81499999999999995</v>
      </c>
      <c r="T85" s="202">
        <v>7.4260000000000002</v>
      </c>
      <c r="U85" s="203"/>
      <c r="V85" s="202">
        <v>0.154</v>
      </c>
      <c r="W85" s="202">
        <v>1.5649999999999999</v>
      </c>
      <c r="X85" s="202">
        <v>-10.085000000000001</v>
      </c>
      <c r="Y85" s="202">
        <v>4.9189999999999996</v>
      </c>
      <c r="AA85" s="68" t="s">
        <v>61</v>
      </c>
    </row>
    <row r="86" spans="1:27" x14ac:dyDescent="0.25">
      <c r="A86" s="70" t="s">
        <v>109</v>
      </c>
      <c r="B86" s="206">
        <v>1249.2813344444446</v>
      </c>
      <c r="C86" s="206">
        <v>632.05204777777772</v>
      </c>
      <c r="D86" s="206">
        <v>75.944793333333294</v>
      </c>
      <c r="E86" s="207">
        <v>469.87463111111106</v>
      </c>
      <c r="F86" s="207"/>
      <c r="G86" s="206">
        <v>242.00709111111104</v>
      </c>
      <c r="H86" s="206">
        <v>361.62447222222221</v>
      </c>
      <c r="I86" s="206">
        <v>249.83964666666665</v>
      </c>
      <c r="J86" s="206">
        <v>255.35565555555553</v>
      </c>
      <c r="K86" s="206"/>
      <c r="L86" s="206">
        <v>141.65751333333336</v>
      </c>
      <c r="M86" s="206">
        <v>209.0461544444444</v>
      </c>
      <c r="N86" s="206">
        <v>111.78731666666667</v>
      </c>
      <c r="O86" s="206">
        <v>147.2806788888889</v>
      </c>
      <c r="P86" s="206"/>
      <c r="Q86" s="206">
        <v>-44.721760000000003</v>
      </c>
      <c r="R86" s="206">
        <v>78.281313749999981</v>
      </c>
      <c r="S86" s="206">
        <v>75.33935249999999</v>
      </c>
      <c r="T86" s="206">
        <v>140.51852499999998</v>
      </c>
      <c r="U86" s="206"/>
      <c r="V86" s="206">
        <v>117.99982749999999</v>
      </c>
      <c r="W86" s="206">
        <v>43.57300750000001</v>
      </c>
      <c r="X86" s="206">
        <v>144.0979725</v>
      </c>
      <c r="Y86" s="206">
        <v>145.34541750000002</v>
      </c>
      <c r="Z86" s="208"/>
      <c r="AA86" s="79" t="s">
        <v>110</v>
      </c>
    </row>
    <row r="87" spans="1:27" ht="26.25" customHeight="1" x14ac:dyDescent="0.25">
      <c r="A87" s="98"/>
      <c r="B87" s="98"/>
      <c r="C87" s="217"/>
      <c r="D87" s="217"/>
      <c r="E87" s="218"/>
      <c r="F87" s="219"/>
      <c r="G87" s="217"/>
      <c r="H87" s="217"/>
      <c r="I87" s="217"/>
      <c r="J87" s="217"/>
      <c r="K87" s="220"/>
      <c r="L87" s="217"/>
      <c r="M87" s="217"/>
      <c r="N87" s="217"/>
      <c r="O87" s="217"/>
      <c r="P87" s="220"/>
      <c r="Q87" s="217"/>
      <c r="R87" s="217"/>
      <c r="S87" s="217"/>
      <c r="T87" s="217"/>
      <c r="U87" s="220"/>
      <c r="V87" s="217"/>
      <c r="W87" s="217"/>
      <c r="X87" s="217"/>
      <c r="Y87" s="217"/>
      <c r="Z87" s="221"/>
      <c r="AA87" s="104"/>
    </row>
    <row r="88" spans="1:27" x14ac:dyDescent="0.25">
      <c r="A88" s="185" t="s">
        <v>4</v>
      </c>
      <c r="B88" s="186">
        <v>2018</v>
      </c>
      <c r="C88" s="186"/>
      <c r="D88" s="186"/>
      <c r="E88" s="186"/>
      <c r="F88" s="187"/>
      <c r="G88" s="186">
        <v>2017</v>
      </c>
      <c r="H88" s="186"/>
      <c r="I88" s="186"/>
      <c r="J88" s="186"/>
      <c r="K88" s="187"/>
      <c r="L88" s="186">
        <v>2016</v>
      </c>
      <c r="M88" s="186"/>
      <c r="N88" s="186"/>
      <c r="O88" s="186"/>
      <c r="P88" s="187"/>
      <c r="Q88" s="186">
        <v>2015</v>
      </c>
      <c r="R88" s="186"/>
      <c r="S88" s="186"/>
      <c r="T88" s="186"/>
      <c r="U88" s="187"/>
      <c r="V88" s="186">
        <v>2014</v>
      </c>
      <c r="W88" s="186"/>
      <c r="X88" s="186"/>
      <c r="Y88" s="186"/>
      <c r="Z88" s="187"/>
      <c r="AA88" s="188" t="s">
        <v>4</v>
      </c>
    </row>
    <row r="89" spans="1:27" x14ac:dyDescent="0.25">
      <c r="A89" s="189"/>
      <c r="B89" s="190" t="s">
        <v>179</v>
      </c>
      <c r="C89" s="190" t="s">
        <v>180</v>
      </c>
      <c r="D89" s="190" t="s">
        <v>181</v>
      </c>
      <c r="E89" s="190" t="s">
        <v>182</v>
      </c>
      <c r="F89" s="191"/>
      <c r="G89" s="190" t="s">
        <v>179</v>
      </c>
      <c r="H89" s="190" t="s">
        <v>180</v>
      </c>
      <c r="I89" s="190" t="s">
        <v>181</v>
      </c>
      <c r="J89" s="190" t="s">
        <v>182</v>
      </c>
      <c r="K89" s="192"/>
      <c r="L89" s="190" t="s">
        <v>183</v>
      </c>
      <c r="M89" s="190" t="s">
        <v>180</v>
      </c>
      <c r="N89" s="190" t="s">
        <v>181</v>
      </c>
      <c r="O89" s="190" t="s">
        <v>184</v>
      </c>
      <c r="P89" s="192"/>
      <c r="Q89" s="190" t="s">
        <v>179</v>
      </c>
      <c r="R89" s="190" t="s">
        <v>180</v>
      </c>
      <c r="S89" s="190" t="s">
        <v>181</v>
      </c>
      <c r="T89" s="190" t="s">
        <v>182</v>
      </c>
      <c r="U89" s="192"/>
      <c r="V89" s="190" t="s">
        <v>179</v>
      </c>
      <c r="W89" s="190" t="s">
        <v>185</v>
      </c>
      <c r="X89" s="190" t="s">
        <v>181</v>
      </c>
      <c r="Y89" s="190" t="s">
        <v>182</v>
      </c>
      <c r="Z89" s="192"/>
      <c r="AA89" s="193"/>
    </row>
    <row r="90" spans="1:27" x14ac:dyDescent="0.25">
      <c r="A90" s="58" t="s">
        <v>124</v>
      </c>
      <c r="B90" s="58"/>
      <c r="C90" s="209"/>
      <c r="D90" s="209"/>
      <c r="E90" s="209"/>
      <c r="F90" s="210"/>
      <c r="G90" s="209"/>
      <c r="H90" s="209"/>
      <c r="I90" s="209"/>
      <c r="J90" s="209"/>
      <c r="K90" s="210"/>
      <c r="L90" s="209"/>
      <c r="M90" s="209"/>
      <c r="N90" s="209"/>
      <c r="O90" s="209"/>
      <c r="P90" s="210"/>
      <c r="Q90" s="209"/>
      <c r="R90" s="209"/>
      <c r="S90" s="209"/>
      <c r="T90" s="209"/>
      <c r="U90" s="210"/>
      <c r="V90" s="209"/>
      <c r="W90" s="209"/>
      <c r="X90" s="209"/>
      <c r="Y90" s="209"/>
      <c r="Z90" s="211"/>
      <c r="AA90" s="89"/>
    </row>
    <row r="91" spans="1:27" x14ac:dyDescent="0.25">
      <c r="A91" t="s">
        <v>65</v>
      </c>
      <c r="B91" s="202">
        <v>-216.37526</v>
      </c>
      <c r="C91" s="202">
        <v>12.56948</v>
      </c>
      <c r="D91" s="202">
        <v>-41.315750000000001</v>
      </c>
      <c r="E91" s="202">
        <v>20.261119999999998</v>
      </c>
      <c r="F91" s="203"/>
      <c r="G91" s="202">
        <v>10.03572</v>
      </c>
      <c r="H91" s="202">
        <v>17.650919999999999</v>
      </c>
      <c r="I91" s="202">
        <v>2.3791699999999998</v>
      </c>
      <c r="J91" s="202">
        <v>10.63012</v>
      </c>
      <c r="K91" s="203"/>
      <c r="L91" s="202">
        <v>69.602189999999993</v>
      </c>
      <c r="M91" s="202">
        <v>20.317519999999998</v>
      </c>
      <c r="N91" s="202">
        <v>5.0203100000000003</v>
      </c>
      <c r="O91" s="202">
        <v>-0.14488000000000001</v>
      </c>
      <c r="P91" s="203"/>
      <c r="Q91" s="202" t="s">
        <v>186</v>
      </c>
      <c r="R91" s="202" t="s">
        <v>186</v>
      </c>
      <c r="S91" s="202" t="s">
        <v>186</v>
      </c>
      <c r="T91" s="202" t="s">
        <v>186</v>
      </c>
      <c r="U91" s="203"/>
      <c r="V91" s="202" t="s">
        <v>186</v>
      </c>
      <c r="W91" s="202" t="s">
        <v>186</v>
      </c>
      <c r="X91" s="202" t="s">
        <v>186</v>
      </c>
      <c r="Y91" s="202" t="s">
        <v>186</v>
      </c>
      <c r="AA91" s="68" t="s">
        <v>65</v>
      </c>
    </row>
    <row r="92" spans="1:27" x14ac:dyDescent="0.25">
      <c r="A92" t="s">
        <v>68</v>
      </c>
      <c r="B92" s="202">
        <v>-143.60301999999999</v>
      </c>
      <c r="C92" s="202">
        <v>20.646730000000002</v>
      </c>
      <c r="D92" s="202">
        <v>3.3237399999999999</v>
      </c>
      <c r="E92" s="202">
        <v>-2.0512199999999998</v>
      </c>
      <c r="F92" s="203"/>
      <c r="G92" s="202">
        <v>-3.2082299999999999</v>
      </c>
      <c r="H92" s="202">
        <v>-0.92839000000000005</v>
      </c>
      <c r="I92" s="202">
        <v>2.0605099999999998</v>
      </c>
      <c r="J92" s="202">
        <v>2.00379</v>
      </c>
      <c r="K92" s="203"/>
      <c r="L92" s="202">
        <v>7.5257899999999998</v>
      </c>
      <c r="M92" s="202">
        <v>-0.41177000000000002</v>
      </c>
      <c r="N92" s="202">
        <v>1.8685499999999999</v>
      </c>
      <c r="O92" s="202">
        <v>1.1801299999999999</v>
      </c>
      <c r="P92" s="203"/>
      <c r="Q92" s="202">
        <v>6.0059100000000001</v>
      </c>
      <c r="R92" s="202">
        <v>-3.0125500000000001</v>
      </c>
      <c r="S92" s="202">
        <v>-3.2687900000000001</v>
      </c>
      <c r="T92" s="202">
        <v>-0.45202999999999999</v>
      </c>
      <c r="U92" s="203"/>
      <c r="V92" s="202">
        <v>-3.3644699999999998</v>
      </c>
      <c r="W92" s="202">
        <v>5.8523699999999996</v>
      </c>
      <c r="X92" s="202">
        <v>-5.7577400000000001</v>
      </c>
      <c r="Y92" s="202">
        <v>11.616059999999999</v>
      </c>
      <c r="AA92" s="68" t="s">
        <v>68</v>
      </c>
    </row>
    <row r="93" spans="1:27" x14ac:dyDescent="0.25">
      <c r="A93" s="70" t="s">
        <v>109</v>
      </c>
      <c r="B93" s="206">
        <v>-179.98913999999999</v>
      </c>
      <c r="C93" s="206">
        <v>16.608105000000002</v>
      </c>
      <c r="D93" s="206">
        <v>-18.996005</v>
      </c>
      <c r="E93" s="207">
        <v>9.1049499999999988</v>
      </c>
      <c r="F93" s="214"/>
      <c r="G93" s="206">
        <v>3.4137449999999996</v>
      </c>
      <c r="H93" s="206">
        <v>8.3612649999999995</v>
      </c>
      <c r="I93" s="206">
        <v>2.2198399999999996</v>
      </c>
      <c r="J93" s="206">
        <v>6.3169550000000001</v>
      </c>
      <c r="K93" s="215"/>
      <c r="L93" s="206">
        <v>38.563989999999997</v>
      </c>
      <c r="M93" s="206">
        <v>9.9528749999999988</v>
      </c>
      <c r="N93" s="206">
        <v>3.4444300000000001</v>
      </c>
      <c r="O93" s="206">
        <v>0.517625</v>
      </c>
      <c r="P93" s="215"/>
      <c r="Q93" s="206">
        <v>6.0059100000000001</v>
      </c>
      <c r="R93" s="206">
        <v>-3.0125500000000001</v>
      </c>
      <c r="S93" s="206">
        <v>-3.2687900000000001</v>
      </c>
      <c r="T93" s="206">
        <v>-0.45202999999999999</v>
      </c>
      <c r="U93" s="215"/>
      <c r="V93" s="206">
        <v>-3.3644699999999998</v>
      </c>
      <c r="W93" s="206">
        <v>5.8523699999999996</v>
      </c>
      <c r="X93" s="206">
        <v>-5.7577400000000001</v>
      </c>
      <c r="Y93" s="206">
        <v>11.616059999999999</v>
      </c>
      <c r="Z93" s="208"/>
      <c r="AA93" s="79" t="s">
        <v>110</v>
      </c>
    </row>
    <row r="94" spans="1:27" x14ac:dyDescent="0.25">
      <c r="C94" s="202"/>
      <c r="D94" s="202"/>
      <c r="E94" s="204"/>
      <c r="F94" s="205"/>
      <c r="G94" s="202"/>
      <c r="H94" s="202"/>
      <c r="I94" s="202"/>
      <c r="J94" s="202"/>
      <c r="K94" s="203"/>
      <c r="L94" s="202"/>
      <c r="M94" s="202"/>
      <c r="N94" s="202"/>
      <c r="O94" s="202"/>
      <c r="P94" s="203"/>
      <c r="Q94" s="202"/>
      <c r="R94" s="202"/>
      <c r="S94" s="202"/>
      <c r="T94" s="202"/>
      <c r="U94" s="203"/>
      <c r="V94" s="202"/>
      <c r="W94" s="202"/>
      <c r="X94" s="202"/>
      <c r="Y94" s="202"/>
    </row>
    <row r="95" spans="1:27" x14ac:dyDescent="0.25">
      <c r="A95" s="58" t="s">
        <v>125</v>
      </c>
      <c r="B95" s="58"/>
      <c r="C95" s="209"/>
      <c r="D95" s="209"/>
      <c r="E95" s="209"/>
      <c r="F95" s="210"/>
      <c r="G95" s="209"/>
      <c r="H95" s="209"/>
      <c r="I95" s="209"/>
      <c r="J95" s="209"/>
      <c r="K95" s="210"/>
      <c r="L95" s="209"/>
      <c r="M95" s="209"/>
      <c r="N95" s="209"/>
      <c r="O95" s="209"/>
      <c r="P95" s="210"/>
      <c r="Q95" s="209"/>
      <c r="R95" s="209"/>
      <c r="S95" s="209"/>
      <c r="T95" s="209"/>
      <c r="U95" s="210"/>
      <c r="V95" s="209"/>
      <c r="W95" s="209"/>
      <c r="X95" s="209"/>
      <c r="Y95" s="209"/>
      <c r="Z95" s="211"/>
      <c r="AA95" s="89"/>
    </row>
    <row r="96" spans="1:27" x14ac:dyDescent="0.25">
      <c r="A96" t="s">
        <v>78</v>
      </c>
      <c r="B96" s="202">
        <v>829.65272000000004</v>
      </c>
      <c r="C96" s="202">
        <v>829.65272000000004</v>
      </c>
      <c r="D96" s="202">
        <v>592.47630000000004</v>
      </c>
      <c r="E96" s="202">
        <v>-23.90381</v>
      </c>
      <c r="F96" s="203"/>
      <c r="G96" s="202">
        <v>149.26545999999999</v>
      </c>
      <c r="H96" s="202">
        <v>245.37494000000001</v>
      </c>
      <c r="I96" s="202">
        <v>174.26070000000001</v>
      </c>
      <c r="J96" s="202">
        <v>-25.925999999999998</v>
      </c>
      <c r="K96" s="203"/>
      <c r="L96" s="202">
        <v>365.65839999999997</v>
      </c>
      <c r="M96" s="202">
        <v>-29.433949999999999</v>
      </c>
      <c r="N96" s="202">
        <v>-44.531739999999999</v>
      </c>
      <c r="O96" s="202">
        <v>-49.951390000000004</v>
      </c>
      <c r="P96" s="203"/>
      <c r="Q96" s="202">
        <v>76.804839999999999</v>
      </c>
      <c r="R96" s="202">
        <v>56.600029999999997</v>
      </c>
      <c r="S96" s="202">
        <v>125.44410999999999</v>
      </c>
      <c r="T96" s="202">
        <v>-44.952179999999998</v>
      </c>
      <c r="U96" s="203"/>
      <c r="V96" s="202">
        <v>-60.207610000000003</v>
      </c>
      <c r="W96" s="202">
        <v>-8.3692399999999996</v>
      </c>
      <c r="X96" s="202">
        <v>18.709409999999998</v>
      </c>
      <c r="Y96" s="202">
        <v>-6.59945</v>
      </c>
      <c r="AA96" s="68" t="s">
        <v>78</v>
      </c>
    </row>
    <row r="97" spans="1:27" x14ac:dyDescent="0.25">
      <c r="A97" t="s">
        <v>60</v>
      </c>
      <c r="B97" s="202">
        <v>15245</v>
      </c>
      <c r="C97" s="202">
        <v>-7112</v>
      </c>
      <c r="D97" s="202">
        <v>-5199</v>
      </c>
      <c r="E97" s="202">
        <v>2482</v>
      </c>
      <c r="F97" s="203"/>
      <c r="G97" s="202">
        <v>1418</v>
      </c>
      <c r="H97" s="202">
        <v>1184</v>
      </c>
      <c r="I97" s="202">
        <v>15</v>
      </c>
      <c r="J97" s="202">
        <v>1607</v>
      </c>
      <c r="K97" s="203"/>
      <c r="L97" s="202">
        <v>910</v>
      </c>
      <c r="M97" s="202">
        <v>-932</v>
      </c>
      <c r="N97" s="202">
        <v>-669</v>
      </c>
      <c r="O97" s="202">
        <v>608</v>
      </c>
      <c r="P97" s="203"/>
      <c r="Q97" s="202">
        <v>2061.7992800000002</v>
      </c>
      <c r="R97" s="202">
        <v>40.269410000000001</v>
      </c>
      <c r="S97" s="202">
        <v>61.077309999999997</v>
      </c>
      <c r="T97" s="202">
        <v>901.94343000000003</v>
      </c>
      <c r="U97" s="203"/>
      <c r="V97" s="202">
        <v>727.97691999999995</v>
      </c>
      <c r="W97" s="202">
        <v>95.597120000000004</v>
      </c>
      <c r="X97" s="202">
        <v>309.69054</v>
      </c>
      <c r="Y97" s="202">
        <v>-390.10523000000001</v>
      </c>
      <c r="AA97" s="68" t="s">
        <v>60</v>
      </c>
    </row>
    <row r="98" spans="1:27" x14ac:dyDescent="0.25">
      <c r="A98" t="s">
        <v>17</v>
      </c>
      <c r="B98" s="202">
        <v>2196.8270000000002</v>
      </c>
      <c r="C98" s="202">
        <v>847.40499999999997</v>
      </c>
      <c r="D98" s="202">
        <v>-197.584</v>
      </c>
      <c r="E98" s="204">
        <v>1450.818</v>
      </c>
      <c r="F98" s="205"/>
      <c r="G98" s="202">
        <v>22.24</v>
      </c>
      <c r="H98" s="202">
        <v>291.17599999999999</v>
      </c>
      <c r="I98" s="202">
        <v>-52.609000000000002</v>
      </c>
      <c r="J98" s="202">
        <v>421.38299999999998</v>
      </c>
      <c r="K98" s="203"/>
      <c r="L98" s="202">
        <v>653.58399999999995</v>
      </c>
      <c r="M98" s="202">
        <v>-656.76700000000005</v>
      </c>
      <c r="N98" s="202">
        <v>-1060.4280000000001</v>
      </c>
      <c r="O98" s="202">
        <v>-125.03700000000001</v>
      </c>
      <c r="P98" s="203"/>
      <c r="Q98" s="202" t="s">
        <v>186</v>
      </c>
      <c r="R98" s="202">
        <v>214.13</v>
      </c>
      <c r="S98" s="202">
        <v>254.857</v>
      </c>
      <c r="T98" s="202">
        <v>469.88600000000002</v>
      </c>
      <c r="U98" s="203"/>
      <c r="V98" s="202">
        <v>663.98500000000001</v>
      </c>
      <c r="W98" s="202">
        <v>-720.9</v>
      </c>
      <c r="X98" s="202">
        <v>15.762</v>
      </c>
      <c r="Y98" s="202">
        <v>-738.56299999999999</v>
      </c>
      <c r="AA98" s="68" t="s">
        <v>17</v>
      </c>
    </row>
    <row r="99" spans="1:27" x14ac:dyDescent="0.25">
      <c r="A99" t="s">
        <v>54</v>
      </c>
      <c r="B99" s="202">
        <v>657.40800000000002</v>
      </c>
      <c r="C99" s="202">
        <v>858.30399999999997</v>
      </c>
      <c r="D99" s="202">
        <v>731.23800000000006</v>
      </c>
      <c r="E99" s="204">
        <v>807.98500000000001</v>
      </c>
      <c r="F99" s="205"/>
      <c r="G99" s="202">
        <v>895.96501999999998</v>
      </c>
      <c r="H99" s="202">
        <v>510.19472999999999</v>
      </c>
      <c r="I99" s="202">
        <v>452.71800000000002</v>
      </c>
      <c r="J99" s="202">
        <v>423.21499999999997</v>
      </c>
      <c r="K99" s="203"/>
      <c r="L99" s="202">
        <v>484.46620000000001</v>
      </c>
      <c r="M99" s="202">
        <v>-269.85557</v>
      </c>
      <c r="N99" s="202">
        <v>-159.19166999999999</v>
      </c>
      <c r="O99" s="202">
        <v>-112.23196</v>
      </c>
      <c r="P99" s="203"/>
      <c r="Q99" s="202">
        <v>-98.40258</v>
      </c>
      <c r="R99" s="202">
        <v>33.119840000000003</v>
      </c>
      <c r="S99" s="202">
        <v>117.52892</v>
      </c>
      <c r="T99" s="202">
        <v>18.207640000000001</v>
      </c>
      <c r="U99" s="203"/>
      <c r="V99" s="202">
        <v>104.52914</v>
      </c>
      <c r="W99" s="202">
        <v>44.682969999999997</v>
      </c>
      <c r="X99" s="202">
        <v>88.835220000000007</v>
      </c>
      <c r="Y99" s="202">
        <v>-92.847989999999996</v>
      </c>
      <c r="AA99" s="68" t="s">
        <v>54</v>
      </c>
    </row>
    <row r="100" spans="1:27" x14ac:dyDescent="0.25">
      <c r="A100" t="s">
        <v>26</v>
      </c>
      <c r="B100" s="202">
        <v>2408.9850000000001</v>
      </c>
      <c r="C100" s="202">
        <v>-214.74799999999999</v>
      </c>
      <c r="D100" s="202">
        <v>-1797.2470000000001</v>
      </c>
      <c r="E100" s="204">
        <v>-402.84800000000001</v>
      </c>
      <c r="F100" s="205"/>
      <c r="G100" s="202">
        <v>-258.178</v>
      </c>
      <c r="H100" s="202">
        <v>312.70499999999998</v>
      </c>
      <c r="I100" s="202">
        <v>201.446</v>
      </c>
      <c r="J100" s="202">
        <v>516.91999999999996</v>
      </c>
      <c r="K100" s="203"/>
      <c r="L100" s="202">
        <v>282.27600000000001</v>
      </c>
      <c r="M100" s="202">
        <v>-205.20500000000001</v>
      </c>
      <c r="N100" s="202">
        <v>-90.174000000000007</v>
      </c>
      <c r="O100" s="216">
        <v>-586.57899999999995</v>
      </c>
      <c r="P100" s="203"/>
      <c r="Q100" s="202">
        <v>-547.69399999999996</v>
      </c>
      <c r="R100" s="202">
        <v>77.031000000000006</v>
      </c>
      <c r="S100" s="202">
        <v>26.398</v>
      </c>
      <c r="T100" s="222">
        <v>-120.636</v>
      </c>
      <c r="U100" s="223"/>
      <c r="V100" s="222">
        <v>-277.10899999999998</v>
      </c>
      <c r="W100" s="222">
        <v>-21.105</v>
      </c>
      <c r="X100" s="222">
        <v>7.5780000000000003</v>
      </c>
      <c r="Y100" s="222">
        <v>-340.78300000000002</v>
      </c>
      <c r="AA100" s="68" t="s">
        <v>26</v>
      </c>
    </row>
    <row r="101" spans="1:27" x14ac:dyDescent="0.25">
      <c r="A101" t="s">
        <v>38</v>
      </c>
      <c r="B101" s="202">
        <v>2448.0288500000001</v>
      </c>
      <c r="C101" s="202">
        <v>271.65670999999998</v>
      </c>
      <c r="D101" s="202">
        <v>312.83195000000001</v>
      </c>
      <c r="E101" s="204">
        <v>-214.22022000000001</v>
      </c>
      <c r="F101" s="205"/>
      <c r="G101" s="202">
        <v>-77.570059999999998</v>
      </c>
      <c r="H101" s="202">
        <v>379.83377000000002</v>
      </c>
      <c r="I101" s="202">
        <v>263.86640999999997</v>
      </c>
      <c r="J101" s="202">
        <v>258.82616999999999</v>
      </c>
      <c r="K101" s="203"/>
      <c r="L101" s="202">
        <v>-16.13532</v>
      </c>
      <c r="M101" s="202">
        <v>30.616019999999999</v>
      </c>
      <c r="N101" s="202">
        <v>-125.81035</v>
      </c>
      <c r="O101" s="202">
        <v>-95.954650000000001</v>
      </c>
      <c r="P101" s="203"/>
      <c r="Q101" s="202">
        <v>21.969380000000001</v>
      </c>
      <c r="R101" s="202">
        <v>152.80104</v>
      </c>
      <c r="S101" s="202">
        <v>-42.08099</v>
      </c>
      <c r="T101" s="202">
        <v>-41.882800000000003</v>
      </c>
      <c r="U101" s="203"/>
      <c r="V101" s="202">
        <v>-64.86533</v>
      </c>
      <c r="W101" s="202">
        <v>-21.183420000000002</v>
      </c>
      <c r="X101" s="202">
        <v>15.37391</v>
      </c>
      <c r="Y101" s="202">
        <v>-16.832909999999998</v>
      </c>
      <c r="AA101" s="68" t="s">
        <v>38</v>
      </c>
    </row>
    <row r="102" spans="1:27" x14ac:dyDescent="0.25">
      <c r="A102" t="s">
        <v>15</v>
      </c>
      <c r="B102" s="202">
        <v>793.44500000000005</v>
      </c>
      <c r="C102" s="202">
        <v>-361.13400000000001</v>
      </c>
      <c r="D102" s="202">
        <v>-141.55600000000001</v>
      </c>
      <c r="E102" s="204">
        <v>270.08452999999997</v>
      </c>
      <c r="F102" s="205"/>
      <c r="G102" s="202">
        <v>173.68800999999999</v>
      </c>
      <c r="H102" s="202">
        <v>270.58703000000003</v>
      </c>
      <c r="I102" s="202">
        <v>-18.656890000000001</v>
      </c>
      <c r="J102" s="202">
        <v>227.57427000000001</v>
      </c>
      <c r="K102" s="203"/>
      <c r="L102" s="202">
        <v>94.910049999999998</v>
      </c>
      <c r="M102" s="202">
        <v>171.06032999999999</v>
      </c>
      <c r="N102" s="202">
        <v>69.990030000000004</v>
      </c>
      <c r="O102" s="202">
        <v>88.239590000000007</v>
      </c>
      <c r="P102" s="203"/>
      <c r="Q102" s="202">
        <v>-411.21755000000002</v>
      </c>
      <c r="R102" s="202">
        <v>16.87434</v>
      </c>
      <c r="S102" s="202">
        <v>46.547179999999997</v>
      </c>
      <c r="T102" s="202">
        <v>-77.780090000000001</v>
      </c>
      <c r="U102" s="203"/>
      <c r="V102" s="202">
        <v>23.839359999999999</v>
      </c>
      <c r="W102" s="202">
        <v>19.957439999999998</v>
      </c>
      <c r="X102" s="202">
        <v>34.514780000000002</v>
      </c>
      <c r="Y102" s="202">
        <v>78.998729999999995</v>
      </c>
      <c r="AA102" s="68" t="s">
        <v>15</v>
      </c>
    </row>
    <row r="103" spans="1:27" x14ac:dyDescent="0.25">
      <c r="A103" t="s">
        <v>31</v>
      </c>
      <c r="B103" s="202">
        <v>174.88399999999999</v>
      </c>
      <c r="C103" s="202">
        <v>479.101</v>
      </c>
      <c r="D103" s="202">
        <v>357.959</v>
      </c>
      <c r="E103" s="204">
        <v>186.249</v>
      </c>
      <c r="F103" s="205"/>
      <c r="G103" s="202">
        <v>368.96499999999997</v>
      </c>
      <c r="H103" s="202">
        <v>159.74799999999999</v>
      </c>
      <c r="I103" s="202">
        <v>81.995999999999995</v>
      </c>
      <c r="J103" s="202">
        <v>-22.224</v>
      </c>
      <c r="K103" s="203"/>
      <c r="L103" s="202">
        <v>116.32899999999999</v>
      </c>
      <c r="M103" s="202">
        <v>-13.834</v>
      </c>
      <c r="N103" s="202">
        <v>33.817999999999998</v>
      </c>
      <c r="O103" s="202">
        <v>0.30599999999999999</v>
      </c>
      <c r="P103" s="203"/>
      <c r="Q103" s="202">
        <v>27.228000000000002</v>
      </c>
      <c r="R103" s="202">
        <v>20.309999999999999</v>
      </c>
      <c r="S103" s="202">
        <v>-13.182</v>
      </c>
      <c r="T103" s="202">
        <v>-19.803999999999998</v>
      </c>
      <c r="U103" s="203"/>
      <c r="V103" s="202">
        <v>3.6749999999999998</v>
      </c>
      <c r="W103" s="202">
        <v>12.696</v>
      </c>
      <c r="X103" s="202">
        <v>10.087999999999999</v>
      </c>
      <c r="Y103" s="202">
        <v>4.2130000000000001</v>
      </c>
      <c r="AA103" s="68" t="s">
        <v>31</v>
      </c>
    </row>
    <row r="104" spans="1:27" x14ac:dyDescent="0.25">
      <c r="A104" t="s">
        <v>58</v>
      </c>
      <c r="B104" s="202">
        <v>413.642</v>
      </c>
      <c r="C104" s="202">
        <v>5709.8779999999997</v>
      </c>
      <c r="D104" s="202">
        <v>4126.5379999999996</v>
      </c>
      <c r="E104" s="204">
        <v>6993.3620000000001</v>
      </c>
      <c r="F104" s="205"/>
      <c r="G104" s="202">
        <v>937.10199999999998</v>
      </c>
      <c r="H104" s="202">
        <v>639.26599999999996</v>
      </c>
      <c r="I104" s="202">
        <v>609.87</v>
      </c>
      <c r="J104" s="202">
        <v>410.45400000000001</v>
      </c>
      <c r="K104" s="203"/>
      <c r="L104" s="202">
        <v>365.63099999999997</v>
      </c>
      <c r="M104" s="202">
        <v>303.12900000000002</v>
      </c>
      <c r="N104" s="202">
        <v>352.81799999999998</v>
      </c>
      <c r="O104" s="202">
        <v>747.26400000000001</v>
      </c>
      <c r="P104" s="203"/>
      <c r="Q104" s="202">
        <v>723.48800000000006</v>
      </c>
      <c r="R104" s="202">
        <v>420.41199999999998</v>
      </c>
      <c r="S104" s="202">
        <v>20.451000000000001</v>
      </c>
      <c r="T104" s="202">
        <v>177.64699999999999</v>
      </c>
      <c r="U104" s="203"/>
      <c r="V104" s="202">
        <v>23.62</v>
      </c>
      <c r="W104" s="202">
        <v>44.527000000000001</v>
      </c>
      <c r="X104" s="202">
        <v>168.54400000000001</v>
      </c>
      <c r="Y104" s="202">
        <v>81.040000000000006</v>
      </c>
      <c r="AA104" s="68" t="s">
        <v>58</v>
      </c>
    </row>
    <row r="105" spans="1:27" x14ac:dyDescent="0.25">
      <c r="A105" t="s">
        <v>25</v>
      </c>
      <c r="B105" s="202">
        <v>2658.6621700000001</v>
      </c>
      <c r="C105" s="202">
        <v>197.72069999999999</v>
      </c>
      <c r="D105" s="202">
        <v>-36.071300000000001</v>
      </c>
      <c r="E105" s="204">
        <v>72.636009999999999</v>
      </c>
      <c r="F105" s="205"/>
      <c r="G105" s="202">
        <v>394.44092999999998</v>
      </c>
      <c r="H105" s="202">
        <v>38.43694</v>
      </c>
      <c r="I105" s="202">
        <v>37.549849999999999</v>
      </c>
      <c r="J105" s="202">
        <v>-100.64673999999999</v>
      </c>
      <c r="K105" s="203"/>
      <c r="L105" s="202">
        <v>117.30734</v>
      </c>
      <c r="M105" s="202">
        <v>32.793889999999998</v>
      </c>
      <c r="N105" s="202">
        <v>16.36093</v>
      </c>
      <c r="O105" s="202">
        <v>-50.002279999999999</v>
      </c>
      <c r="P105" s="203"/>
      <c r="Q105" s="202">
        <v>-81.554289999999995</v>
      </c>
      <c r="R105" s="202">
        <v>50.119190000000003</v>
      </c>
      <c r="S105" s="202">
        <v>-75.293899999999994</v>
      </c>
      <c r="T105" s="202">
        <v>15.97242</v>
      </c>
      <c r="U105" s="203"/>
      <c r="V105" s="202">
        <v>1018.4373900000001</v>
      </c>
      <c r="W105" s="202">
        <v>-90.97484</v>
      </c>
      <c r="X105" s="202">
        <v>-12.8179</v>
      </c>
      <c r="Y105" s="202">
        <v>-313.10539999999997</v>
      </c>
      <c r="AA105" s="68" t="s">
        <v>25</v>
      </c>
    </row>
    <row r="106" spans="1:27" x14ac:dyDescent="0.25">
      <c r="A106" s="70" t="s">
        <v>109</v>
      </c>
      <c r="B106" s="206">
        <v>2782.6534739999997</v>
      </c>
      <c r="C106" s="206">
        <v>150.58361299999999</v>
      </c>
      <c r="D106" s="206">
        <v>-125.041505</v>
      </c>
      <c r="E106" s="207">
        <v>1162.2162510000001</v>
      </c>
      <c r="F106" s="207"/>
      <c r="G106" s="206">
        <v>402.39183599999996</v>
      </c>
      <c r="H106" s="206">
        <v>403.13224100000002</v>
      </c>
      <c r="I106" s="206">
        <v>176.544107</v>
      </c>
      <c r="J106" s="206">
        <v>371.65756999999996</v>
      </c>
      <c r="K106" s="206"/>
      <c r="L106" s="206">
        <v>337.40266699999995</v>
      </c>
      <c r="M106" s="206">
        <v>-156.94962800000002</v>
      </c>
      <c r="N106" s="206">
        <v>-167.61488000000003</v>
      </c>
      <c r="O106" s="206">
        <v>42.405331000000004</v>
      </c>
      <c r="P106" s="206"/>
      <c r="Q106" s="206">
        <v>196.93567555555558</v>
      </c>
      <c r="R106" s="206">
        <v>108.166685</v>
      </c>
      <c r="S106" s="206">
        <v>52.174662999999995</v>
      </c>
      <c r="T106" s="206">
        <v>127.860142</v>
      </c>
      <c r="U106" s="206"/>
      <c r="V106" s="206">
        <v>216.38808699999998</v>
      </c>
      <c r="W106" s="206">
        <v>-64.507196999999991</v>
      </c>
      <c r="X106" s="206">
        <v>65.627796000000004</v>
      </c>
      <c r="Y106" s="206">
        <v>-173.45852500000001</v>
      </c>
      <c r="Z106" s="208"/>
      <c r="AA106" s="79" t="s">
        <v>110</v>
      </c>
    </row>
    <row r="107" spans="1:27" x14ac:dyDescent="0.25">
      <c r="C107" s="202"/>
      <c r="D107" s="202"/>
      <c r="E107" s="204"/>
      <c r="F107" s="205"/>
      <c r="G107" s="202"/>
      <c r="H107" s="202"/>
      <c r="I107" s="202"/>
      <c r="J107" s="202"/>
      <c r="K107" s="203"/>
      <c r="L107" s="202"/>
      <c r="M107" s="202"/>
      <c r="N107" s="202"/>
      <c r="O107" s="202"/>
      <c r="P107" s="203"/>
      <c r="Q107" s="202"/>
      <c r="R107" s="202"/>
      <c r="S107" s="202"/>
      <c r="T107" s="202"/>
      <c r="U107" s="203"/>
      <c r="V107" s="202"/>
      <c r="W107" s="202"/>
      <c r="X107" s="202"/>
      <c r="Y107" s="202"/>
    </row>
    <row r="108" spans="1:27" x14ac:dyDescent="0.25">
      <c r="A108" s="58" t="s">
        <v>126</v>
      </c>
      <c r="B108" s="58"/>
      <c r="C108" s="209"/>
      <c r="D108" s="209"/>
      <c r="E108" s="209"/>
      <c r="F108" s="209"/>
      <c r="G108" s="209"/>
      <c r="H108" s="209"/>
      <c r="I108" s="209"/>
      <c r="J108" s="209"/>
      <c r="K108" s="210"/>
      <c r="L108" s="209"/>
      <c r="M108" s="209"/>
      <c r="N108" s="209"/>
      <c r="O108" s="209"/>
      <c r="P108" s="210"/>
      <c r="Q108" s="209"/>
      <c r="R108" s="209"/>
      <c r="S108" s="209"/>
      <c r="T108" s="209"/>
      <c r="U108" s="210"/>
      <c r="V108" s="209"/>
      <c r="W108" s="209"/>
      <c r="X108" s="209"/>
      <c r="Y108" s="209"/>
      <c r="Z108" s="211"/>
      <c r="AA108" s="89"/>
    </row>
    <row r="109" spans="1:27" x14ac:dyDescent="0.25">
      <c r="A109" t="s">
        <v>51</v>
      </c>
      <c r="B109" s="202">
        <v>45.601469999999999</v>
      </c>
      <c r="C109" s="202">
        <v>152.45572999999999</v>
      </c>
      <c r="D109" s="202">
        <v>59.307360000000003</v>
      </c>
      <c r="E109" s="202">
        <v>144.36427</v>
      </c>
      <c r="F109" s="203"/>
      <c r="G109" s="202">
        <v>204.08196000000001</v>
      </c>
      <c r="H109" s="202">
        <v>66.530969999999996</v>
      </c>
      <c r="I109" s="202">
        <v>99.971299999999999</v>
      </c>
      <c r="J109" s="202">
        <v>81.080590000000001</v>
      </c>
      <c r="K109" s="203"/>
      <c r="L109" s="202">
        <v>238.80364</v>
      </c>
      <c r="M109" s="202">
        <v>37.386490000000002</v>
      </c>
      <c r="N109" s="202">
        <v>48.302300000000002</v>
      </c>
      <c r="O109" s="202">
        <v>46.260509999999996</v>
      </c>
      <c r="P109" s="203"/>
      <c r="Q109" s="202">
        <v>54.1783</v>
      </c>
      <c r="R109" s="202">
        <v>29.343810000000001</v>
      </c>
      <c r="S109" s="202">
        <v>38.190860000000001</v>
      </c>
      <c r="T109" s="202">
        <v>67.773960000000002</v>
      </c>
      <c r="U109" s="203"/>
      <c r="V109" s="202">
        <v>121.02784</v>
      </c>
      <c r="W109" s="202">
        <v>14.24165</v>
      </c>
      <c r="X109" s="202">
        <v>23.30545</v>
      </c>
      <c r="Y109" s="202">
        <v>33.518569999999997</v>
      </c>
      <c r="AA109" s="68" t="s">
        <v>51</v>
      </c>
    </row>
    <row r="110" spans="1:27" x14ac:dyDescent="0.25">
      <c r="A110" s="70" t="s">
        <v>109</v>
      </c>
      <c r="B110" s="70"/>
      <c r="C110" s="206">
        <v>152.45572999999999</v>
      </c>
      <c r="D110" s="206">
        <v>59.307360000000003</v>
      </c>
      <c r="E110" s="206">
        <v>144.36427</v>
      </c>
      <c r="F110" s="206"/>
      <c r="G110" s="206">
        <v>204.08196000000001</v>
      </c>
      <c r="H110" s="206">
        <v>66.530969999999996</v>
      </c>
      <c r="I110" s="206">
        <v>99.971299999999999</v>
      </c>
      <c r="J110" s="206">
        <v>81.080590000000001</v>
      </c>
      <c r="K110" s="206"/>
      <c r="L110" s="206">
        <v>238.80364</v>
      </c>
      <c r="M110" s="206">
        <v>37.386490000000002</v>
      </c>
      <c r="N110" s="206">
        <v>48.302300000000002</v>
      </c>
      <c r="O110" s="206">
        <v>46.260509999999996</v>
      </c>
      <c r="P110" s="206"/>
      <c r="Q110" s="206">
        <v>54.1783</v>
      </c>
      <c r="R110" s="206">
        <v>29.343810000000001</v>
      </c>
      <c r="S110" s="206">
        <v>38.190860000000001</v>
      </c>
      <c r="T110" s="206">
        <v>67.773960000000002</v>
      </c>
      <c r="U110" s="206"/>
      <c r="V110" s="206">
        <v>121.02784</v>
      </c>
      <c r="W110" s="206">
        <v>14.24165</v>
      </c>
      <c r="X110" s="206">
        <v>23.30545</v>
      </c>
      <c r="Y110" s="206">
        <v>33.518569999999997</v>
      </c>
      <c r="Z110" s="208"/>
      <c r="AA110" s="79" t="s">
        <v>110</v>
      </c>
    </row>
    <row r="111" spans="1:27" x14ac:dyDescent="0.25">
      <c r="C111" s="202"/>
      <c r="D111" s="202"/>
      <c r="E111" s="204"/>
      <c r="F111" s="205"/>
      <c r="G111" s="202"/>
      <c r="H111" s="202"/>
      <c r="I111" s="202"/>
      <c r="J111" s="202"/>
      <c r="K111" s="203"/>
      <c r="L111" s="202"/>
      <c r="M111" s="202"/>
      <c r="N111" s="202"/>
      <c r="O111" s="202"/>
      <c r="P111" s="203"/>
      <c r="Q111" s="202"/>
      <c r="R111" s="202"/>
      <c r="S111" s="202"/>
      <c r="T111" s="202"/>
      <c r="U111" s="203"/>
      <c r="V111" s="202"/>
      <c r="W111" s="202"/>
      <c r="X111" s="202"/>
      <c r="Y111" s="202"/>
    </row>
    <row r="112" spans="1:27" x14ac:dyDescent="0.25">
      <c r="A112" s="58" t="s">
        <v>127</v>
      </c>
      <c r="B112" s="58"/>
      <c r="C112" s="209"/>
      <c r="D112" s="209"/>
      <c r="E112" s="209"/>
      <c r="F112" s="210"/>
      <c r="G112" s="209"/>
      <c r="H112" s="209"/>
      <c r="I112" s="209"/>
      <c r="J112" s="209"/>
      <c r="K112" s="210"/>
      <c r="L112" s="209"/>
      <c r="M112" s="209"/>
      <c r="N112" s="209"/>
      <c r="O112" s="209"/>
      <c r="P112" s="210"/>
      <c r="Q112" s="209"/>
      <c r="R112" s="209"/>
      <c r="S112" s="209"/>
      <c r="T112" s="209"/>
      <c r="U112" s="210"/>
      <c r="V112" s="209"/>
      <c r="W112" s="209"/>
      <c r="X112" s="209"/>
      <c r="Y112" s="209"/>
      <c r="Z112" s="211"/>
      <c r="AA112" s="89"/>
    </row>
    <row r="113" spans="1:27" x14ac:dyDescent="0.25">
      <c r="A113" t="s">
        <v>9</v>
      </c>
      <c r="B113" s="202">
        <v>610</v>
      </c>
      <c r="C113" s="202">
        <v>54578.708486656498</v>
      </c>
      <c r="D113" s="212">
        <v>30468.8915110872</v>
      </c>
      <c r="E113" s="202">
        <v>20714.078016805899</v>
      </c>
      <c r="F113" s="203"/>
      <c r="G113" s="202">
        <v>15457.6384640299</v>
      </c>
      <c r="H113" s="224">
        <v>17133.7951807229</v>
      </c>
      <c r="I113" s="224">
        <v>15573.5192990873</v>
      </c>
      <c r="J113" s="202">
        <v>12747.740293485</v>
      </c>
      <c r="K113" s="203"/>
      <c r="L113" s="202">
        <v>2400.1009251471801</v>
      </c>
      <c r="M113" s="202">
        <v>16951.5137552819</v>
      </c>
      <c r="N113" s="202">
        <v>14047.669279797499</v>
      </c>
      <c r="O113" s="202">
        <v>9158.7934781372005</v>
      </c>
      <c r="P113" s="203"/>
      <c r="Q113" s="202">
        <v>-31412.204906549701</v>
      </c>
      <c r="R113" s="202">
        <v>7476.1190026487202</v>
      </c>
      <c r="S113" s="202">
        <v>16652.348703330499</v>
      </c>
      <c r="T113" s="202">
        <v>4710.5797396911903</v>
      </c>
      <c r="U113" s="203"/>
      <c r="V113" s="202">
        <v>2045.55688622755</v>
      </c>
      <c r="W113" s="202">
        <v>7943.3876468359203</v>
      </c>
      <c r="X113" s="202">
        <v>12556.2410153202</v>
      </c>
      <c r="Y113" s="202">
        <v>6543.4716752499198</v>
      </c>
      <c r="AA113" s="68" t="s">
        <v>9</v>
      </c>
    </row>
    <row r="114" spans="1:27" x14ac:dyDescent="0.25">
      <c r="A114" t="s">
        <v>59</v>
      </c>
      <c r="B114" s="202">
        <v>23883</v>
      </c>
      <c r="C114" s="202">
        <v>-13677</v>
      </c>
      <c r="D114" s="202">
        <v>-8372</v>
      </c>
      <c r="E114" s="202">
        <v>3460</v>
      </c>
      <c r="F114" s="203"/>
      <c r="G114" s="202">
        <v>1989</v>
      </c>
      <c r="H114" s="202">
        <v>2026</v>
      </c>
      <c r="I114" s="202">
        <v>1660</v>
      </c>
      <c r="J114" s="202">
        <v>1955</v>
      </c>
      <c r="K114" s="203"/>
      <c r="L114" s="202">
        <v>1504</v>
      </c>
      <c r="M114" s="202">
        <v>746</v>
      </c>
      <c r="N114" s="202">
        <v>800</v>
      </c>
      <c r="O114" s="202">
        <v>925</v>
      </c>
      <c r="P114" s="203"/>
      <c r="Q114" s="202">
        <v>646</v>
      </c>
      <c r="R114" s="202">
        <v>801</v>
      </c>
      <c r="S114" s="202">
        <v>928</v>
      </c>
      <c r="T114" s="202">
        <v>1028</v>
      </c>
      <c r="U114" s="203"/>
      <c r="V114" s="202">
        <v>1029</v>
      </c>
      <c r="W114" s="202">
        <v>839</v>
      </c>
      <c r="X114" s="202">
        <v>916</v>
      </c>
      <c r="Y114" s="202">
        <v>889</v>
      </c>
      <c r="AA114" s="68" t="s">
        <v>59</v>
      </c>
    </row>
    <row r="115" spans="1:27" x14ac:dyDescent="0.25">
      <c r="A115" t="s">
        <v>70</v>
      </c>
      <c r="B115" s="202">
        <v>10956</v>
      </c>
      <c r="C115" s="202">
        <v>-7827</v>
      </c>
      <c r="D115" s="202">
        <v>-4953</v>
      </c>
      <c r="E115" s="204">
        <v>220</v>
      </c>
      <c r="F115" s="205"/>
      <c r="G115" s="202">
        <v>-365.92329999999998</v>
      </c>
      <c r="H115" s="202">
        <v>717.07866999999999</v>
      </c>
      <c r="I115" s="202" t="s">
        <v>186</v>
      </c>
      <c r="J115" s="202" t="s">
        <v>186</v>
      </c>
      <c r="K115" s="203"/>
      <c r="L115" s="202" t="s">
        <v>186</v>
      </c>
      <c r="M115" s="202" t="s">
        <v>186</v>
      </c>
      <c r="N115" s="202" t="s">
        <v>186</v>
      </c>
      <c r="O115" s="202" t="s">
        <v>186</v>
      </c>
      <c r="P115" s="203"/>
      <c r="Q115" s="202" t="s">
        <v>186</v>
      </c>
      <c r="R115" s="202" t="s">
        <v>186</v>
      </c>
      <c r="S115" s="202" t="s">
        <v>186</v>
      </c>
      <c r="T115" s="202" t="s">
        <v>186</v>
      </c>
      <c r="U115" s="203"/>
      <c r="V115" s="202" t="s">
        <v>186</v>
      </c>
      <c r="W115" s="202" t="s">
        <v>186</v>
      </c>
      <c r="X115" s="202" t="s">
        <v>186</v>
      </c>
      <c r="Y115" s="202" t="s">
        <v>186</v>
      </c>
      <c r="AA115" s="68" t="s">
        <v>70</v>
      </c>
    </row>
    <row r="116" spans="1:27" x14ac:dyDescent="0.25">
      <c r="A116" t="s">
        <v>16</v>
      </c>
      <c r="B116" s="202">
        <v>-1456.3340599999999</v>
      </c>
      <c r="C116" s="202">
        <v>47.288989999999998</v>
      </c>
      <c r="D116" s="202">
        <v>534.86848999999995</v>
      </c>
      <c r="E116" s="204">
        <v>18.19088</v>
      </c>
      <c r="F116" s="205"/>
      <c r="G116" s="202">
        <v>-22.661740000000002</v>
      </c>
      <c r="H116" s="202">
        <v>214.5795</v>
      </c>
      <c r="I116" s="202">
        <v>-16.969809999999999</v>
      </c>
      <c r="J116" s="202">
        <v>-855.41684999999995</v>
      </c>
      <c r="K116" s="203"/>
      <c r="L116" s="202">
        <v>-320.02888000000002</v>
      </c>
      <c r="M116" s="202">
        <v>-355.23043000000001</v>
      </c>
      <c r="N116" s="202">
        <v>-240.49304000000001</v>
      </c>
      <c r="O116" s="202">
        <v>-509.7373</v>
      </c>
      <c r="P116" s="203"/>
      <c r="Q116" s="202">
        <v>178.4984</v>
      </c>
      <c r="R116" s="202">
        <v>-121.59520000000001</v>
      </c>
      <c r="S116" s="202">
        <v>565.10359000000005</v>
      </c>
      <c r="T116" s="202">
        <v>469.23970000000003</v>
      </c>
      <c r="U116" s="203"/>
      <c r="V116" s="202">
        <v>375.13835</v>
      </c>
      <c r="W116" s="202">
        <v>249.36904000000001</v>
      </c>
      <c r="X116" s="202">
        <v>220.62164999999999</v>
      </c>
      <c r="Y116" s="202">
        <v>-41.027349999999998</v>
      </c>
      <c r="AA116" s="68" t="s">
        <v>16</v>
      </c>
    </row>
    <row r="117" spans="1:27" x14ac:dyDescent="0.25">
      <c r="A117" s="111" t="s">
        <v>109</v>
      </c>
      <c r="B117" s="225">
        <v>8498.1664849999997</v>
      </c>
      <c r="C117" s="225">
        <v>8280.4993691641248</v>
      </c>
      <c r="D117" s="225">
        <v>4419.6900002718003</v>
      </c>
      <c r="E117" s="226">
        <v>6103.0672242014743</v>
      </c>
      <c r="F117" s="226"/>
      <c r="G117" s="225">
        <v>4264.5133560074755</v>
      </c>
      <c r="H117" s="225">
        <v>5022.8633376807247</v>
      </c>
      <c r="I117" s="225">
        <v>5738.8498296957669</v>
      </c>
      <c r="J117" s="225">
        <v>4615.7744811616667</v>
      </c>
      <c r="K117" s="225"/>
      <c r="L117" s="225">
        <v>1194.6906817157267</v>
      </c>
      <c r="M117" s="225">
        <v>5780.7611084273003</v>
      </c>
      <c r="N117" s="225">
        <v>4869.0587465991666</v>
      </c>
      <c r="O117" s="225">
        <v>3191.3520593790668</v>
      </c>
      <c r="P117" s="225"/>
      <c r="Q117" s="225">
        <v>-10195.9021688499</v>
      </c>
      <c r="R117" s="225">
        <v>2718.5079342162403</v>
      </c>
      <c r="S117" s="225">
        <v>6048.4840977768326</v>
      </c>
      <c r="T117" s="225">
        <v>2069.2731465637303</v>
      </c>
      <c r="U117" s="225"/>
      <c r="V117" s="225">
        <v>1149.89841207585</v>
      </c>
      <c r="W117" s="225">
        <v>3010.5855622786398</v>
      </c>
      <c r="X117" s="225">
        <v>4564.2875551067327</v>
      </c>
      <c r="Y117" s="225">
        <v>2463.8147750833064</v>
      </c>
      <c r="Z117" s="227"/>
      <c r="AA117" s="118" t="s">
        <v>110</v>
      </c>
    </row>
    <row r="118" spans="1:27" x14ac:dyDescent="0.25">
      <c r="A118" s="123"/>
      <c r="B118" s="123"/>
      <c r="C118" s="202"/>
      <c r="D118" s="202"/>
      <c r="E118" s="204"/>
      <c r="F118" s="205"/>
      <c r="G118" s="202"/>
      <c r="H118" s="202"/>
      <c r="I118" s="202"/>
      <c r="J118" s="202"/>
      <c r="K118" s="203"/>
      <c r="L118" s="202"/>
      <c r="M118" s="202"/>
      <c r="N118" s="202"/>
      <c r="O118" s="202"/>
      <c r="P118" s="203"/>
      <c r="Q118" s="202"/>
      <c r="R118" s="202"/>
      <c r="S118" s="202"/>
      <c r="T118" s="202"/>
      <c r="U118" s="203"/>
      <c r="V118" s="202"/>
      <c r="W118" s="202"/>
      <c r="X118" s="202"/>
      <c r="Y118" s="202"/>
      <c r="AA118" s="121"/>
    </row>
    <row r="119" spans="1:27" x14ac:dyDescent="0.25">
      <c r="A119" s="123" t="s">
        <v>129</v>
      </c>
      <c r="B119" s="123"/>
      <c r="C119" s="202"/>
      <c r="D119" s="202"/>
      <c r="E119" s="202"/>
      <c r="F119" s="203"/>
      <c r="G119" s="202"/>
      <c r="H119" s="202"/>
      <c r="I119" s="202"/>
      <c r="J119" s="202"/>
      <c r="K119" s="203"/>
      <c r="L119" s="202"/>
      <c r="M119" s="202"/>
      <c r="N119" s="202"/>
      <c r="O119" s="202"/>
      <c r="P119" s="203"/>
      <c r="Q119" s="202"/>
      <c r="R119" s="202"/>
      <c r="S119" s="202"/>
      <c r="T119" s="202"/>
      <c r="U119" s="203"/>
      <c r="V119" s="202"/>
      <c r="W119" s="202"/>
      <c r="X119" s="202"/>
      <c r="Y119" s="202"/>
      <c r="AA119" s="121"/>
    </row>
  </sheetData>
  <mergeCells count="22">
    <mergeCell ref="AA88:AA89"/>
    <mergeCell ref="A88:A89"/>
    <mergeCell ref="B88:E88"/>
    <mergeCell ref="G88:J88"/>
    <mergeCell ref="L88:O88"/>
    <mergeCell ref="Q88:T88"/>
    <mergeCell ref="V88:Y88"/>
    <mergeCell ref="AA4:AA5"/>
    <mergeCell ref="A6:E6"/>
    <mergeCell ref="A42:A43"/>
    <mergeCell ref="B42:E42"/>
    <mergeCell ref="G42:J42"/>
    <mergeCell ref="L42:O42"/>
    <mergeCell ref="Q42:T42"/>
    <mergeCell ref="V42:Y42"/>
    <mergeCell ref="AA42:AA43"/>
    <mergeCell ref="A4:A5"/>
    <mergeCell ref="B4:E4"/>
    <mergeCell ref="G4:J4"/>
    <mergeCell ref="L4:O4"/>
    <mergeCell ref="Q4:T4"/>
    <mergeCell ref="V4:Y4"/>
  </mergeCells>
  <pageMargins left="0.6" right="0" top="0.65" bottom="0.5" header="0.3" footer="0.3"/>
  <pageSetup paperSize="9" scale="75" orientation="landscape" r:id="rId1"/>
  <headerFooter>
    <oddHeader>&amp;LReporte de Ratios Argentina&amp;R&amp;G</oddHeader>
    <oddFooter>&amp;Cwww.invertironline.com&amp;R&amp;P</oddFooter>
  </headerFooter>
  <rowBreaks count="2" manualBreakCount="2">
    <brk id="40" max="25" man="1"/>
    <brk id="86" max="25"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564585"/>
  </sheetPr>
  <dimension ref="A1:BD152"/>
  <sheetViews>
    <sheetView topLeftCell="A88" zoomScaleNormal="100" zoomScaleSheetLayoutView="80" workbookViewId="0">
      <selection activeCell="A88" sqref="A1:XFD1048576"/>
    </sheetView>
  </sheetViews>
  <sheetFormatPr baseColWidth="10" defaultRowHeight="15" x14ac:dyDescent="0.25"/>
  <cols>
    <col min="1" max="1" width="9.42578125" customWidth="1"/>
    <col min="2" max="2" width="14.85546875" customWidth="1"/>
    <col min="6" max="6" width="29.42578125" bestFit="1" customWidth="1"/>
    <col min="11" max="11" width="32.28515625" customWidth="1"/>
    <col min="27" max="28" width="11.42578125" style="31"/>
  </cols>
  <sheetData>
    <row r="1" spans="1:11" ht="26.25" x14ac:dyDescent="0.4">
      <c r="A1" s="179" t="s">
        <v>187</v>
      </c>
      <c r="B1" s="179"/>
    </row>
    <row r="2" spans="1:11" ht="9.75" customHeight="1" x14ac:dyDescent="0.25"/>
    <row r="3" spans="1:11" x14ac:dyDescent="0.25">
      <c r="A3" s="228" t="s">
        <v>82</v>
      </c>
      <c r="B3" s="228"/>
    </row>
    <row r="4" spans="1:11" ht="7.5" customHeight="1" x14ac:dyDescent="0.25"/>
    <row r="5" spans="1:11" ht="19.5" customHeight="1" x14ac:dyDescent="0.25">
      <c r="A5" s="229" t="s">
        <v>188</v>
      </c>
      <c r="B5" s="229"/>
      <c r="C5" s="230" t="s">
        <v>189</v>
      </c>
      <c r="D5" s="230"/>
      <c r="E5" s="230"/>
      <c r="F5" s="230"/>
      <c r="G5" s="230"/>
      <c r="H5" s="230"/>
      <c r="I5" s="230"/>
      <c r="J5" s="230"/>
      <c r="K5" s="230"/>
    </row>
    <row r="6" spans="1:11" ht="18.75" customHeight="1" x14ac:dyDescent="0.25">
      <c r="A6" s="229" t="s">
        <v>190</v>
      </c>
      <c r="B6" s="229"/>
      <c r="C6" s="230" t="s">
        <v>191</v>
      </c>
      <c r="D6" s="230"/>
      <c r="E6" s="230"/>
      <c r="F6" s="230"/>
      <c r="G6" s="230"/>
      <c r="H6" s="230"/>
      <c r="I6" s="230"/>
      <c r="J6" s="230"/>
      <c r="K6" s="230"/>
    </row>
    <row r="7" spans="1:11" ht="33" customHeight="1" x14ac:dyDescent="0.25">
      <c r="A7" s="229" t="s">
        <v>192</v>
      </c>
      <c r="B7" s="229"/>
      <c r="C7" s="231" t="s">
        <v>193</v>
      </c>
      <c r="D7" s="231"/>
      <c r="E7" s="231"/>
      <c r="F7" s="231"/>
      <c r="G7" s="231"/>
      <c r="H7" s="231"/>
      <c r="I7" s="231"/>
      <c r="J7" s="231"/>
      <c r="K7" s="231"/>
    </row>
    <row r="8" spans="1:11" ht="33.75" customHeight="1" x14ac:dyDescent="0.25">
      <c r="A8" s="229" t="s">
        <v>194</v>
      </c>
      <c r="B8" s="229"/>
      <c r="C8" s="231" t="s">
        <v>195</v>
      </c>
      <c r="D8" s="231"/>
      <c r="E8" s="231"/>
      <c r="F8" s="231"/>
      <c r="G8" s="231"/>
      <c r="H8" s="231"/>
      <c r="I8" s="231"/>
      <c r="J8" s="231"/>
      <c r="K8" s="231"/>
    </row>
    <row r="9" spans="1:11" ht="48" customHeight="1" x14ac:dyDescent="0.25">
      <c r="A9" s="229" t="s">
        <v>196</v>
      </c>
      <c r="B9" s="229"/>
      <c r="C9" s="231" t="s">
        <v>197</v>
      </c>
      <c r="D9" s="232"/>
      <c r="E9" s="232"/>
      <c r="F9" s="231"/>
      <c r="G9" s="231"/>
      <c r="H9" s="231"/>
      <c r="I9" s="231"/>
      <c r="J9" s="231"/>
      <c r="K9" s="231"/>
    </row>
    <row r="10" spans="1:11" ht="63" customHeight="1" x14ac:dyDescent="0.25">
      <c r="A10" s="229" t="s">
        <v>198</v>
      </c>
      <c r="B10" s="229"/>
      <c r="C10" s="231" t="s">
        <v>199</v>
      </c>
      <c r="D10" s="232"/>
      <c r="E10" s="232"/>
      <c r="F10" s="231"/>
      <c r="G10" s="231"/>
      <c r="H10" s="231"/>
      <c r="I10" s="231"/>
      <c r="J10" s="231"/>
      <c r="K10" s="231"/>
    </row>
    <row r="11" spans="1:11" ht="47.25" customHeight="1" x14ac:dyDescent="0.25">
      <c r="A11" s="229" t="s">
        <v>89</v>
      </c>
      <c r="B11" s="229"/>
      <c r="C11" s="231" t="s">
        <v>200</v>
      </c>
      <c r="D11" s="232"/>
      <c r="E11" s="232"/>
      <c r="F11" s="231"/>
      <c r="G11" s="231"/>
      <c r="H11" s="231"/>
      <c r="I11" s="231"/>
      <c r="J11" s="231"/>
      <c r="K11" s="231"/>
    </row>
    <row r="12" spans="1:11" ht="18.75" customHeight="1" x14ac:dyDescent="0.25">
      <c r="A12" s="229" t="s">
        <v>201</v>
      </c>
      <c r="B12" s="229"/>
      <c r="C12" s="230" t="s">
        <v>202</v>
      </c>
      <c r="D12" s="178"/>
      <c r="E12" s="178"/>
      <c r="F12" s="230"/>
      <c r="G12" s="230"/>
      <c r="H12" s="230"/>
      <c r="I12" s="230"/>
      <c r="J12" s="230"/>
      <c r="K12" s="230"/>
    </row>
    <row r="13" spans="1:11" ht="33" customHeight="1" x14ac:dyDescent="0.25">
      <c r="A13" s="229" t="s">
        <v>203</v>
      </c>
      <c r="B13" s="229"/>
      <c r="C13" s="231" t="s">
        <v>204</v>
      </c>
      <c r="D13" s="232"/>
      <c r="E13" s="232"/>
      <c r="F13" s="231"/>
      <c r="G13" s="231"/>
      <c r="H13" s="231"/>
      <c r="I13" s="231"/>
      <c r="J13" s="231"/>
      <c r="K13" s="231"/>
    </row>
    <row r="14" spans="1:11" ht="48" customHeight="1" x14ac:dyDescent="0.25">
      <c r="A14" s="229" t="s">
        <v>205</v>
      </c>
      <c r="B14" s="229"/>
      <c r="C14" s="231" t="s">
        <v>206</v>
      </c>
      <c r="D14" s="232"/>
      <c r="E14" s="232"/>
      <c r="F14" s="231"/>
      <c r="G14" s="231"/>
      <c r="H14" s="231"/>
      <c r="I14" s="231"/>
      <c r="J14" s="231"/>
      <c r="K14" s="231"/>
    </row>
    <row r="15" spans="1:11" ht="47.25" customHeight="1" x14ac:dyDescent="0.25">
      <c r="A15" s="229" t="s">
        <v>102</v>
      </c>
      <c r="B15" s="229"/>
      <c r="C15" s="231" t="s">
        <v>207</v>
      </c>
      <c r="D15" s="232"/>
      <c r="E15" s="232"/>
      <c r="F15" s="231"/>
      <c r="G15" s="231"/>
      <c r="H15" s="231"/>
      <c r="I15" s="231"/>
      <c r="J15" s="231"/>
      <c r="K15" s="231"/>
    </row>
    <row r="16" spans="1:11" ht="33" customHeight="1" x14ac:dyDescent="0.25">
      <c r="A16" s="229" t="s">
        <v>92</v>
      </c>
      <c r="B16" s="229"/>
      <c r="C16" s="231" t="s">
        <v>208</v>
      </c>
      <c r="D16" s="232"/>
      <c r="E16" s="232"/>
      <c r="F16" s="231"/>
      <c r="G16" s="231"/>
      <c r="H16" s="231"/>
      <c r="I16" s="231"/>
      <c r="J16" s="231"/>
      <c r="K16" s="231"/>
    </row>
    <row r="17" spans="1:56" ht="32.25" customHeight="1" x14ac:dyDescent="0.25">
      <c r="A17" s="229" t="s">
        <v>103</v>
      </c>
      <c r="B17" s="229"/>
      <c r="C17" s="233" t="s">
        <v>209</v>
      </c>
      <c r="D17" s="234"/>
      <c r="E17" s="234"/>
      <c r="F17" s="233"/>
      <c r="G17" s="233"/>
      <c r="H17" s="233"/>
      <c r="I17" s="233"/>
      <c r="J17" s="233"/>
      <c r="K17" s="233"/>
    </row>
    <row r="18" spans="1:56" ht="47.25" customHeight="1" x14ac:dyDescent="0.25">
      <c r="A18" s="229" t="s">
        <v>104</v>
      </c>
      <c r="B18" s="229"/>
      <c r="C18" s="231" t="s">
        <v>210</v>
      </c>
      <c r="D18" s="232"/>
      <c r="E18" s="232"/>
      <c r="F18" s="231"/>
      <c r="G18" s="231"/>
      <c r="H18" s="231"/>
      <c r="I18" s="231"/>
      <c r="J18" s="231"/>
      <c r="K18" s="231"/>
    </row>
    <row r="19" spans="1:56" ht="35.25" customHeight="1" x14ac:dyDescent="0.25">
      <c r="A19" s="229" t="s">
        <v>105</v>
      </c>
      <c r="B19" s="229"/>
      <c r="C19" s="231" t="s">
        <v>211</v>
      </c>
      <c r="D19" s="235"/>
      <c r="E19" s="235"/>
      <c r="F19" s="236"/>
      <c r="G19" s="236"/>
      <c r="H19" s="236"/>
      <c r="I19" s="236"/>
      <c r="J19" s="236"/>
      <c r="K19" s="236"/>
    </row>
    <row r="20" spans="1:56" ht="34.5" customHeight="1" x14ac:dyDescent="0.25">
      <c r="A20" s="229" t="s">
        <v>106</v>
      </c>
      <c r="B20" s="229"/>
      <c r="C20" s="231" t="s">
        <v>212</v>
      </c>
      <c r="D20" s="231"/>
      <c r="E20" s="231"/>
      <c r="F20" s="231"/>
      <c r="G20" s="231"/>
      <c r="H20" s="231"/>
      <c r="I20" s="231"/>
      <c r="J20" s="231"/>
      <c r="K20" s="231"/>
    </row>
    <row r="21" spans="1:56" ht="35.25" customHeight="1" x14ac:dyDescent="0.25">
      <c r="A21" s="229" t="s">
        <v>107</v>
      </c>
      <c r="B21" s="229"/>
      <c r="C21" s="231" t="s">
        <v>213</v>
      </c>
      <c r="D21" s="231"/>
      <c r="E21" s="231"/>
      <c r="F21" s="231"/>
      <c r="G21" s="231"/>
      <c r="H21" s="231"/>
      <c r="I21" s="231"/>
      <c r="J21" s="231"/>
      <c r="K21" s="231"/>
    </row>
    <row r="22" spans="1:56" x14ac:dyDescent="0.25">
      <c r="A22" s="228" t="s">
        <v>214</v>
      </c>
      <c r="B22" s="228"/>
    </row>
    <row r="23" spans="1:56" ht="9" customHeight="1" x14ac:dyDescent="0.25">
      <c r="D23" s="178"/>
      <c r="E23" s="178"/>
    </row>
    <row r="24" spans="1:56" ht="21" customHeight="1" x14ac:dyDescent="0.25">
      <c r="A24" s="237" t="s">
        <v>132</v>
      </c>
      <c r="B24" s="237"/>
      <c r="C24" s="230" t="s">
        <v>215</v>
      </c>
      <c r="D24" s="178"/>
      <c r="E24" s="178"/>
      <c r="F24" s="230"/>
      <c r="G24" s="230"/>
      <c r="H24" s="230"/>
      <c r="I24" s="230"/>
      <c r="J24" s="230"/>
      <c r="K24" s="230"/>
    </row>
    <row r="25" spans="1:56" ht="23.25" customHeight="1" x14ac:dyDescent="0.25">
      <c r="A25" s="237" t="s">
        <v>133</v>
      </c>
      <c r="B25" s="237"/>
      <c r="C25" s="230" t="s">
        <v>216</v>
      </c>
      <c r="D25" s="178"/>
      <c r="E25" s="178"/>
      <c r="F25" s="230"/>
      <c r="G25" s="230"/>
      <c r="H25" s="230"/>
      <c r="I25" s="230"/>
      <c r="J25" s="230"/>
      <c r="K25" s="230"/>
    </row>
    <row r="26" spans="1:56" ht="21" customHeight="1" x14ac:dyDescent="0.25">
      <c r="A26" s="229" t="s">
        <v>138</v>
      </c>
      <c r="B26" s="229"/>
      <c r="C26" s="230" t="s">
        <v>217</v>
      </c>
      <c r="D26" s="178"/>
      <c r="E26" s="178"/>
      <c r="F26" s="230"/>
      <c r="G26" s="230"/>
      <c r="H26" s="230"/>
      <c r="I26" s="230"/>
      <c r="J26" s="230"/>
      <c r="K26" s="230"/>
    </row>
    <row r="27" spans="1:56" ht="39" customHeight="1" x14ac:dyDescent="0.25">
      <c r="A27" s="238" t="s">
        <v>218</v>
      </c>
      <c r="B27" s="238"/>
      <c r="C27" s="231" t="s">
        <v>219</v>
      </c>
      <c r="D27" s="232"/>
      <c r="E27" s="232"/>
      <c r="F27" s="231"/>
      <c r="G27" s="231"/>
      <c r="H27" s="231"/>
      <c r="I27" s="231"/>
      <c r="J27" s="231"/>
      <c r="K27" s="231"/>
    </row>
    <row r="28" spans="1:56" ht="38.25" customHeight="1" x14ac:dyDescent="0.25">
      <c r="A28" s="229" t="s">
        <v>220</v>
      </c>
      <c r="B28" s="229"/>
      <c r="C28" s="231" t="s">
        <v>221</v>
      </c>
      <c r="D28" s="232"/>
      <c r="E28" s="232"/>
      <c r="F28" s="231"/>
      <c r="G28" s="231"/>
      <c r="H28" s="231"/>
      <c r="I28" s="231"/>
      <c r="J28" s="231"/>
      <c r="K28" s="231"/>
    </row>
    <row r="29" spans="1:56" ht="38.25" customHeight="1" x14ac:dyDescent="0.25">
      <c r="A29" s="229" t="s">
        <v>222</v>
      </c>
      <c r="B29" s="229"/>
      <c r="C29" s="231" t="s">
        <v>223</v>
      </c>
      <c r="D29" s="232"/>
      <c r="E29" s="232"/>
      <c r="F29" s="231"/>
      <c r="G29" s="231"/>
      <c r="H29" s="231"/>
      <c r="I29" s="231"/>
      <c r="J29" s="231"/>
      <c r="K29" s="231"/>
    </row>
    <row r="30" spans="1:56" ht="37.5" customHeight="1" x14ac:dyDescent="0.25">
      <c r="A30" s="229" t="s">
        <v>224</v>
      </c>
      <c r="B30" s="229"/>
      <c r="C30" s="239" t="s">
        <v>225</v>
      </c>
      <c r="D30" s="239"/>
      <c r="E30" s="239"/>
      <c r="F30" s="239"/>
      <c r="G30" s="239"/>
      <c r="H30" s="239"/>
      <c r="I30" s="239"/>
      <c r="J30" s="239"/>
      <c r="K30" s="239"/>
      <c r="L30" s="240" t="s">
        <v>226</v>
      </c>
      <c r="M30" s="240"/>
      <c r="N30" s="240"/>
      <c r="O30" s="240"/>
      <c r="P30" s="240"/>
      <c r="Q30" s="240"/>
      <c r="R30" s="240"/>
      <c r="S30" s="240"/>
      <c r="T30" s="240"/>
      <c r="U30" s="240"/>
      <c r="V30" s="240"/>
      <c r="W30" s="240"/>
      <c r="X30" s="240"/>
      <c r="Y30" s="240"/>
      <c r="Z30" s="240"/>
      <c r="AA30" s="240"/>
      <c r="AB30" s="240"/>
      <c r="AC30" s="240"/>
      <c r="AD30" s="240"/>
      <c r="AE30" s="240"/>
      <c r="AF30" s="240"/>
      <c r="AG30" s="240"/>
      <c r="AH30" s="240"/>
      <c r="AI30" s="240"/>
      <c r="AJ30" s="240"/>
      <c r="AK30" s="240"/>
      <c r="AL30" s="240"/>
      <c r="AM30" s="240"/>
      <c r="AN30" s="240"/>
      <c r="AO30" s="240"/>
      <c r="AP30" s="240"/>
      <c r="AQ30" s="240"/>
      <c r="AR30" s="240"/>
      <c r="AS30" s="240"/>
      <c r="AT30" s="240"/>
      <c r="AU30" s="240"/>
      <c r="AV30" s="240"/>
      <c r="AW30" s="240"/>
      <c r="AX30" s="240"/>
      <c r="AY30" s="240"/>
      <c r="AZ30" s="240"/>
      <c r="BA30" s="240"/>
      <c r="BB30" s="240"/>
      <c r="BC30" s="240"/>
      <c r="BD30" s="241"/>
    </row>
    <row r="31" spans="1:56" ht="36" customHeight="1" x14ac:dyDescent="0.25">
      <c r="A31" s="238" t="s">
        <v>227</v>
      </c>
      <c r="B31" s="238"/>
      <c r="C31" s="239" t="s">
        <v>228</v>
      </c>
      <c r="D31" s="239"/>
      <c r="E31" s="239"/>
      <c r="F31" s="239"/>
      <c r="G31" s="239"/>
      <c r="H31" s="239"/>
      <c r="I31" s="239"/>
      <c r="J31" s="239"/>
      <c r="K31" s="239"/>
      <c r="L31" s="240"/>
      <c r="M31" s="240"/>
      <c r="N31" s="240"/>
      <c r="O31" s="240"/>
      <c r="P31" s="240"/>
      <c r="Q31" s="240"/>
      <c r="R31" s="240"/>
      <c r="S31" s="240"/>
      <c r="T31" s="240"/>
      <c r="U31" s="240"/>
      <c r="V31" s="240"/>
      <c r="W31" s="240"/>
      <c r="X31" s="240"/>
      <c r="Y31" s="240"/>
      <c r="Z31" s="240"/>
      <c r="AA31" s="240"/>
      <c r="AB31" s="240"/>
      <c r="AC31" s="240"/>
      <c r="AD31" s="240"/>
      <c r="AE31" s="240"/>
      <c r="AF31" s="240"/>
      <c r="AG31" s="240"/>
      <c r="AH31" s="240"/>
      <c r="AI31" s="240"/>
      <c r="AJ31" s="240"/>
      <c r="AK31" s="240"/>
      <c r="AL31" s="240"/>
      <c r="AM31" s="240"/>
      <c r="AN31" s="240"/>
      <c r="AO31" s="240"/>
      <c r="AP31" s="240"/>
      <c r="AQ31" s="240"/>
      <c r="AR31" s="240"/>
      <c r="AS31" s="240"/>
      <c r="AT31" s="240"/>
      <c r="AU31" s="240"/>
      <c r="AV31" s="240"/>
      <c r="AW31" s="240"/>
      <c r="AX31" s="240"/>
      <c r="AY31" s="240"/>
      <c r="AZ31" s="240"/>
      <c r="BA31" s="240"/>
      <c r="BB31" s="240"/>
      <c r="BC31" s="240"/>
      <c r="BD31" s="242"/>
    </row>
    <row r="32" spans="1:56" ht="37.5" customHeight="1" x14ac:dyDescent="0.25">
      <c r="A32" s="229" t="s">
        <v>229</v>
      </c>
      <c r="B32" s="229"/>
      <c r="C32" s="243" t="s">
        <v>230</v>
      </c>
      <c r="D32" s="243"/>
      <c r="E32" s="243"/>
      <c r="F32" s="243"/>
      <c r="G32" s="243"/>
      <c r="H32" s="243"/>
      <c r="I32" s="243"/>
      <c r="J32" s="243"/>
      <c r="K32" s="243"/>
      <c r="L32" s="244"/>
      <c r="M32" s="244"/>
      <c r="N32" s="244"/>
      <c r="O32" s="244"/>
      <c r="P32" s="244"/>
      <c r="Q32" s="244"/>
      <c r="R32" s="244"/>
      <c r="S32" s="244"/>
      <c r="T32" s="244"/>
      <c r="U32" s="244"/>
      <c r="V32" s="244"/>
      <c r="W32" s="244"/>
      <c r="X32" s="244"/>
      <c r="Y32" s="244"/>
      <c r="Z32" s="244"/>
      <c r="AA32" s="245"/>
      <c r="AB32" s="245"/>
      <c r="AC32" s="244"/>
      <c r="AD32" s="244"/>
      <c r="AE32" s="244"/>
      <c r="AF32" s="244"/>
      <c r="AG32" s="244"/>
      <c r="AH32" s="244"/>
      <c r="AI32" s="244"/>
      <c r="AJ32" s="244"/>
      <c r="AK32" s="244"/>
      <c r="AL32" s="244"/>
      <c r="AM32" s="244"/>
      <c r="AN32" s="244"/>
      <c r="AO32" s="244"/>
      <c r="AP32" s="244"/>
      <c r="AQ32" s="244"/>
      <c r="AR32" s="244"/>
      <c r="AS32" s="244"/>
      <c r="AT32" s="244"/>
      <c r="AU32" s="244"/>
      <c r="AV32" s="244"/>
      <c r="AW32" s="244"/>
      <c r="AX32" s="244"/>
      <c r="AY32" s="244"/>
      <c r="AZ32" s="244"/>
      <c r="BA32" s="244"/>
      <c r="BB32" s="244"/>
      <c r="BC32" s="244"/>
      <c r="BD32" s="242"/>
    </row>
    <row r="33" spans="1:56" ht="37.5" customHeight="1" x14ac:dyDescent="0.25">
      <c r="A33" s="229" t="s">
        <v>231</v>
      </c>
      <c r="B33" s="229"/>
      <c r="C33" s="243" t="s">
        <v>232</v>
      </c>
      <c r="D33" s="232"/>
      <c r="E33" s="232"/>
      <c r="F33" s="243"/>
      <c r="G33" s="243"/>
      <c r="H33" s="243"/>
      <c r="I33" s="243"/>
      <c r="J33" s="243"/>
      <c r="K33" s="243"/>
      <c r="L33" s="244"/>
      <c r="M33" s="244"/>
      <c r="N33" s="244"/>
      <c r="O33" s="244"/>
      <c r="P33" s="244"/>
      <c r="Q33" s="244"/>
      <c r="R33" s="244"/>
      <c r="S33" s="244"/>
      <c r="T33" s="244"/>
      <c r="U33" s="244"/>
      <c r="V33" s="244"/>
      <c r="W33" s="244"/>
      <c r="X33" s="244"/>
      <c r="Y33" s="244"/>
      <c r="Z33" s="244"/>
      <c r="AA33" s="245"/>
      <c r="AB33" s="245"/>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2"/>
    </row>
    <row r="34" spans="1:56" ht="36.75" customHeight="1" x14ac:dyDescent="0.25">
      <c r="A34" s="229" t="s">
        <v>233</v>
      </c>
      <c r="B34" s="229"/>
      <c r="C34" s="243" t="s">
        <v>234</v>
      </c>
      <c r="D34" s="232"/>
      <c r="E34" s="232"/>
      <c r="F34" s="243"/>
      <c r="G34" s="243"/>
      <c r="H34" s="243"/>
      <c r="I34" s="243"/>
      <c r="J34" s="243"/>
      <c r="K34" s="243"/>
      <c r="L34" s="246"/>
      <c r="M34" s="246"/>
      <c r="N34" s="246"/>
      <c r="O34" s="246"/>
      <c r="P34" s="246"/>
      <c r="Q34" s="246"/>
      <c r="R34" s="246"/>
      <c r="S34" s="246"/>
      <c r="T34" s="246"/>
      <c r="U34" s="246"/>
      <c r="V34" s="246"/>
      <c r="W34" s="246"/>
      <c r="X34" s="246"/>
      <c r="Y34" s="246"/>
      <c r="Z34" s="246"/>
      <c r="AA34" s="247"/>
      <c r="AB34" s="247"/>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2"/>
    </row>
    <row r="35" spans="1:56" ht="37.5" customHeight="1" x14ac:dyDescent="0.25">
      <c r="A35" s="229" t="s">
        <v>147</v>
      </c>
      <c r="B35" s="229"/>
      <c r="C35" s="243" t="s">
        <v>235</v>
      </c>
      <c r="D35" s="232"/>
      <c r="E35" s="232"/>
      <c r="F35" s="243"/>
      <c r="G35" s="243"/>
      <c r="H35" s="243"/>
      <c r="I35" s="243"/>
      <c r="J35" s="243"/>
      <c r="K35" s="243"/>
      <c r="L35" s="244"/>
      <c r="M35" s="244"/>
      <c r="N35" s="244"/>
      <c r="O35" s="244"/>
      <c r="P35" s="244"/>
      <c r="Q35" s="244"/>
      <c r="R35" s="244"/>
      <c r="S35" s="244"/>
      <c r="T35" s="244"/>
      <c r="U35" s="244"/>
      <c r="V35" s="244"/>
      <c r="W35" s="244"/>
      <c r="X35" s="244"/>
      <c r="Y35" s="244"/>
      <c r="Z35" s="244"/>
      <c r="AA35" s="245"/>
      <c r="AB35" s="245"/>
      <c r="AC35" s="244"/>
      <c r="AD35" s="244"/>
      <c r="AE35" s="244"/>
      <c r="AF35" s="244"/>
      <c r="AG35" s="244"/>
      <c r="AH35" s="244"/>
      <c r="AI35" s="244"/>
      <c r="AJ35" s="244"/>
      <c r="AK35" s="244"/>
      <c r="AL35" s="244"/>
      <c r="AM35" s="244"/>
      <c r="AN35" s="244"/>
      <c r="AO35" s="244"/>
      <c r="AP35" s="244"/>
      <c r="AQ35" s="244"/>
      <c r="AR35" s="244"/>
      <c r="AS35" s="244"/>
      <c r="AT35" s="244"/>
      <c r="AU35" s="244"/>
      <c r="AV35" s="244"/>
      <c r="AW35" s="244"/>
      <c r="AX35" s="244"/>
      <c r="AY35" s="244"/>
      <c r="AZ35" s="244"/>
      <c r="BA35" s="244"/>
      <c r="BB35" s="244"/>
      <c r="BC35" s="244"/>
      <c r="BD35" s="242"/>
    </row>
    <row r="36" spans="1:56" ht="51" customHeight="1" x14ac:dyDescent="0.25">
      <c r="A36" s="238" t="s">
        <v>236</v>
      </c>
      <c r="B36" s="238"/>
      <c r="C36" s="243" t="s">
        <v>237</v>
      </c>
      <c r="D36" s="232"/>
      <c r="E36" s="232"/>
      <c r="F36" s="243"/>
      <c r="G36" s="243"/>
      <c r="H36" s="243"/>
      <c r="I36" s="243"/>
      <c r="J36" s="243"/>
      <c r="K36" s="243"/>
      <c r="L36" s="244"/>
      <c r="M36" s="244"/>
      <c r="N36" s="244"/>
      <c r="O36" s="244"/>
      <c r="P36" s="244"/>
      <c r="Q36" s="244"/>
      <c r="R36" s="244"/>
      <c r="S36" s="244"/>
      <c r="T36" s="244"/>
      <c r="U36" s="244"/>
      <c r="V36" s="244"/>
      <c r="W36" s="244"/>
      <c r="X36" s="244"/>
      <c r="Y36" s="244"/>
      <c r="Z36" s="244"/>
      <c r="AA36" s="245"/>
      <c r="AB36" s="245"/>
      <c r="AC36" s="244"/>
      <c r="AD36" s="244"/>
      <c r="AE36" s="244"/>
      <c r="AF36" s="244"/>
      <c r="AG36" s="244"/>
      <c r="AH36" s="244"/>
      <c r="AI36" s="244"/>
      <c r="AJ36" s="244"/>
      <c r="AK36" s="244"/>
      <c r="AL36" s="244"/>
      <c r="AM36" s="244"/>
      <c r="AN36" s="244"/>
      <c r="AO36" s="244"/>
      <c r="AP36" s="244"/>
      <c r="AQ36" s="244"/>
      <c r="AR36" s="244"/>
      <c r="AS36" s="244"/>
      <c r="AT36" s="244"/>
      <c r="AU36" s="244"/>
      <c r="AV36" s="244"/>
      <c r="AW36" s="244"/>
      <c r="AX36" s="244"/>
      <c r="AY36" s="244"/>
      <c r="AZ36" s="244"/>
      <c r="BA36" s="244"/>
      <c r="BB36" s="244"/>
      <c r="BC36" s="244"/>
      <c r="BD36" s="242"/>
    </row>
    <row r="37" spans="1:56" ht="45" customHeight="1" x14ac:dyDescent="0.25">
      <c r="A37" s="229" t="s">
        <v>238</v>
      </c>
      <c r="B37" s="229"/>
      <c r="C37" s="243" t="s">
        <v>239</v>
      </c>
      <c r="D37" s="232"/>
      <c r="E37" s="232"/>
      <c r="F37" s="243"/>
      <c r="G37" s="243"/>
      <c r="H37" s="243"/>
      <c r="I37" s="243"/>
      <c r="J37" s="243"/>
      <c r="K37" s="243"/>
      <c r="L37" s="244"/>
      <c r="M37" s="244"/>
      <c r="N37" s="244"/>
      <c r="O37" s="244"/>
      <c r="P37" s="244"/>
      <c r="Q37" s="244"/>
      <c r="R37" s="244"/>
      <c r="S37" s="244"/>
      <c r="T37" s="244"/>
      <c r="U37" s="244"/>
      <c r="V37" s="244"/>
      <c r="W37" s="244"/>
      <c r="X37" s="244"/>
      <c r="Y37" s="244"/>
      <c r="Z37" s="244"/>
      <c r="AA37" s="245"/>
      <c r="AB37" s="245"/>
      <c r="AC37" s="244"/>
      <c r="AD37" s="244"/>
      <c r="AE37" s="244"/>
      <c r="AF37" s="244"/>
      <c r="AG37" s="244"/>
      <c r="AH37" s="244"/>
      <c r="AI37" s="244"/>
      <c r="AJ37" s="244"/>
      <c r="AK37" s="244"/>
      <c r="AL37" s="244"/>
      <c r="AM37" s="244"/>
      <c r="AN37" s="244"/>
      <c r="AO37" s="244"/>
      <c r="AP37" s="244"/>
      <c r="AQ37" s="244"/>
      <c r="AR37" s="244"/>
      <c r="AS37" s="244"/>
      <c r="AT37" s="244"/>
      <c r="AU37" s="244"/>
      <c r="AV37" s="244"/>
      <c r="AW37" s="244"/>
      <c r="AX37" s="244"/>
      <c r="AY37" s="244"/>
      <c r="AZ37" s="244"/>
      <c r="BA37" s="244"/>
      <c r="BB37" s="244"/>
      <c r="BC37" s="244"/>
      <c r="BD37" s="242"/>
    </row>
    <row r="38" spans="1:56" ht="36.75" customHeight="1" x14ac:dyDescent="0.25">
      <c r="A38" s="229" t="s">
        <v>240</v>
      </c>
      <c r="B38" s="229"/>
      <c r="C38" s="243" t="s">
        <v>241</v>
      </c>
      <c r="D38" s="232"/>
      <c r="E38" s="232"/>
      <c r="F38" s="243"/>
      <c r="G38" s="243"/>
      <c r="H38" s="243"/>
      <c r="I38" s="243"/>
      <c r="J38" s="243"/>
      <c r="K38" s="243"/>
      <c r="L38" s="246"/>
      <c r="M38" s="246"/>
      <c r="N38" s="246"/>
      <c r="O38" s="246"/>
      <c r="P38" s="246"/>
      <c r="Q38" s="246"/>
      <c r="R38" s="246"/>
      <c r="S38" s="246"/>
      <c r="T38" s="246"/>
      <c r="U38" s="246"/>
      <c r="V38" s="246"/>
      <c r="W38" s="246"/>
      <c r="X38" s="246"/>
      <c r="Y38" s="246"/>
      <c r="Z38" s="246"/>
      <c r="AA38" s="247"/>
      <c r="AB38" s="247"/>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2"/>
    </row>
    <row r="39" spans="1:56" ht="36.75" customHeight="1" x14ac:dyDescent="0.25">
      <c r="A39" s="238" t="s">
        <v>242</v>
      </c>
      <c r="B39" s="238"/>
      <c r="C39" s="243" t="s">
        <v>243</v>
      </c>
      <c r="D39" s="232"/>
      <c r="E39" s="232"/>
      <c r="F39" s="243"/>
      <c r="G39" s="243"/>
      <c r="H39" s="243"/>
      <c r="I39" s="243"/>
      <c r="J39" s="243"/>
      <c r="K39" s="243"/>
      <c r="L39" s="248"/>
      <c r="M39" s="248"/>
      <c r="N39" s="248"/>
      <c r="O39" s="248"/>
      <c r="P39" s="248"/>
      <c r="Q39" s="248"/>
      <c r="R39" s="248"/>
      <c r="S39" s="248"/>
      <c r="T39" s="248"/>
      <c r="U39" s="248"/>
      <c r="V39" s="248"/>
      <c r="W39" s="248"/>
      <c r="X39" s="248"/>
      <c r="Y39" s="248"/>
      <c r="Z39" s="248"/>
      <c r="AA39" s="249"/>
      <c r="AB39" s="249"/>
      <c r="AC39" s="248"/>
      <c r="AD39" s="248"/>
      <c r="AE39" s="248"/>
      <c r="AF39" s="248"/>
      <c r="AG39" s="248"/>
      <c r="AH39" s="248"/>
      <c r="AI39" s="248"/>
      <c r="AJ39" s="248"/>
      <c r="AK39" s="248"/>
      <c r="AL39" s="248"/>
      <c r="AM39" s="248"/>
      <c r="AN39" s="248"/>
      <c r="AO39" s="248"/>
      <c r="AP39" s="248"/>
      <c r="AQ39" s="248"/>
      <c r="AR39" s="248"/>
      <c r="AS39" s="248"/>
      <c r="AT39" s="248"/>
      <c r="AU39" s="248"/>
      <c r="AV39" s="248"/>
      <c r="AW39" s="248"/>
      <c r="AX39" s="248"/>
      <c r="AY39" s="248"/>
      <c r="AZ39" s="248"/>
      <c r="BA39" s="248"/>
      <c r="BB39" s="248"/>
      <c r="BC39" s="248"/>
      <c r="BD39" s="242"/>
    </row>
    <row r="40" spans="1:56" ht="20.25" customHeight="1" x14ac:dyDescent="0.25">
      <c r="A40" s="238" t="s">
        <v>152</v>
      </c>
      <c r="B40" s="238"/>
      <c r="C40" s="250" t="s">
        <v>244</v>
      </c>
      <c r="D40" s="234"/>
      <c r="E40" s="234"/>
      <c r="F40" s="250"/>
      <c r="G40" s="250"/>
      <c r="H40" s="250"/>
      <c r="I40" s="250"/>
      <c r="J40" s="250"/>
      <c r="K40" s="250"/>
      <c r="L40" s="251"/>
      <c r="M40" s="251"/>
      <c r="N40" s="251"/>
      <c r="O40" s="251"/>
      <c r="P40" s="251"/>
      <c r="Q40" s="251"/>
      <c r="R40" s="251"/>
      <c r="S40" s="251"/>
      <c r="T40" s="251"/>
      <c r="U40" s="251"/>
      <c r="V40" s="251"/>
      <c r="W40" s="251"/>
      <c r="X40" s="251"/>
      <c r="Y40" s="251"/>
      <c r="Z40" s="251"/>
      <c r="AA40" s="252"/>
      <c r="AB40" s="252"/>
      <c r="AC40" s="251"/>
      <c r="AD40" s="251"/>
      <c r="AE40" s="251"/>
      <c r="AF40" s="251"/>
      <c r="AG40" s="251"/>
      <c r="AH40" s="251"/>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42"/>
    </row>
    <row r="41" spans="1:56" ht="21" customHeight="1" x14ac:dyDescent="0.25">
      <c r="A41" s="229" t="s">
        <v>153</v>
      </c>
      <c r="B41" s="229"/>
      <c r="C41" s="253" t="s">
        <v>245</v>
      </c>
      <c r="D41" s="253"/>
      <c r="E41" s="253"/>
      <c r="F41" s="253"/>
      <c r="G41" s="253"/>
      <c r="H41" s="253"/>
      <c r="I41" s="253"/>
      <c r="J41" s="253"/>
      <c r="K41" s="253"/>
      <c r="L41" s="246"/>
      <c r="M41" s="246"/>
      <c r="N41" s="246"/>
      <c r="O41" s="246"/>
      <c r="P41" s="246"/>
      <c r="Q41" s="246"/>
      <c r="R41" s="246"/>
      <c r="S41" s="246"/>
      <c r="T41" s="246"/>
      <c r="U41" s="246"/>
      <c r="V41" s="246"/>
      <c r="W41" s="246"/>
      <c r="X41" s="246"/>
      <c r="Y41" s="246"/>
      <c r="Z41" s="246"/>
      <c r="AA41" s="247"/>
      <c r="AB41" s="247"/>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2"/>
    </row>
    <row r="42" spans="1:56" ht="19.5" customHeight="1" x14ac:dyDescent="0.25">
      <c r="A42" s="229" t="s">
        <v>154</v>
      </c>
      <c r="B42" s="229"/>
      <c r="C42" s="253" t="s">
        <v>246</v>
      </c>
      <c r="D42" s="253"/>
      <c r="E42" s="253"/>
      <c r="F42" s="253"/>
      <c r="G42" s="253"/>
      <c r="H42" s="253"/>
      <c r="I42" s="253"/>
      <c r="J42" s="253"/>
      <c r="K42" s="253"/>
      <c r="L42" s="244"/>
      <c r="M42" s="244"/>
      <c r="N42" s="244"/>
      <c r="O42" s="244"/>
      <c r="P42" s="244"/>
      <c r="Q42" s="244"/>
      <c r="R42" s="244"/>
      <c r="S42" s="244"/>
      <c r="T42" s="244"/>
      <c r="U42" s="244"/>
      <c r="V42" s="244"/>
      <c r="W42" s="244"/>
      <c r="X42" s="244"/>
      <c r="Y42" s="244"/>
      <c r="Z42" s="244"/>
      <c r="AA42" s="245"/>
      <c r="AB42" s="245"/>
      <c r="AC42" s="244"/>
      <c r="AD42" s="244"/>
      <c r="AE42" s="244"/>
      <c r="AF42" s="244"/>
      <c r="AG42" s="244"/>
      <c r="AH42" s="244"/>
      <c r="AI42" s="244"/>
      <c r="AJ42" s="244"/>
      <c r="AK42" s="244"/>
      <c r="AL42" s="244"/>
      <c r="AM42" s="244"/>
      <c r="AN42" s="244"/>
      <c r="AO42" s="244"/>
      <c r="AP42" s="244"/>
      <c r="AQ42" s="244"/>
      <c r="AR42" s="244"/>
      <c r="AS42" s="244"/>
      <c r="AT42" s="244"/>
      <c r="AU42" s="244"/>
      <c r="AV42" s="244"/>
      <c r="AW42" s="244"/>
      <c r="AX42" s="244"/>
      <c r="AY42" s="244"/>
      <c r="AZ42" s="244"/>
      <c r="BA42" s="244"/>
      <c r="BB42" s="244"/>
      <c r="BC42" s="244"/>
      <c r="BD42" s="242"/>
    </row>
    <row r="43" spans="1:56" ht="21" customHeight="1" x14ac:dyDescent="0.25">
      <c r="A43" s="229" t="s">
        <v>247</v>
      </c>
      <c r="B43" s="229"/>
      <c r="C43" s="253" t="s">
        <v>248</v>
      </c>
      <c r="D43" s="253"/>
      <c r="E43" s="253"/>
      <c r="F43" s="253"/>
      <c r="G43" s="253"/>
      <c r="H43" s="253"/>
      <c r="I43" s="253"/>
      <c r="J43" s="253"/>
      <c r="K43" s="253"/>
      <c r="L43" s="244"/>
      <c r="M43" s="244"/>
      <c r="N43" s="244"/>
      <c r="O43" s="244"/>
      <c r="P43" s="244"/>
      <c r="Q43" s="244"/>
      <c r="R43" s="244"/>
      <c r="S43" s="244"/>
      <c r="T43" s="244"/>
      <c r="U43" s="244"/>
      <c r="V43" s="244"/>
      <c r="W43" s="244"/>
      <c r="X43" s="244"/>
      <c r="Y43" s="244"/>
      <c r="Z43" s="244"/>
      <c r="AA43" s="245"/>
      <c r="AB43" s="245"/>
      <c r="AC43" s="244"/>
      <c r="AD43" s="244"/>
      <c r="AE43" s="244"/>
      <c r="AF43" s="244"/>
      <c r="AG43" s="244"/>
      <c r="AH43" s="244"/>
      <c r="AI43" s="244"/>
      <c r="AJ43" s="244"/>
      <c r="AK43" s="244"/>
      <c r="AL43" s="244"/>
      <c r="AM43" s="244"/>
      <c r="AN43" s="244"/>
      <c r="AO43" s="244"/>
      <c r="AP43" s="244"/>
      <c r="AQ43" s="244"/>
      <c r="AR43" s="244"/>
      <c r="AS43" s="244"/>
      <c r="AT43" s="244"/>
      <c r="AU43" s="244"/>
      <c r="AV43" s="244"/>
      <c r="AW43" s="244"/>
      <c r="AX43" s="244"/>
      <c r="AY43" s="244"/>
      <c r="AZ43" s="244"/>
      <c r="BA43" s="244"/>
      <c r="BB43" s="244"/>
      <c r="BC43" s="244"/>
      <c r="BD43" s="242"/>
    </row>
    <row r="44" spans="1:56" ht="18.75" customHeight="1" x14ac:dyDescent="0.25">
      <c r="A44" s="229" t="s">
        <v>156</v>
      </c>
      <c r="B44" s="229"/>
      <c r="C44" s="253" t="s">
        <v>249</v>
      </c>
      <c r="D44" s="253"/>
      <c r="E44" s="253"/>
      <c r="F44" s="253"/>
      <c r="G44" s="253"/>
      <c r="H44" s="253"/>
      <c r="I44" s="253"/>
      <c r="J44" s="253"/>
      <c r="K44" s="253"/>
      <c r="L44" s="244"/>
      <c r="M44" s="244"/>
      <c r="N44" s="244"/>
      <c r="O44" s="244"/>
      <c r="P44" s="244"/>
      <c r="Q44" s="244"/>
      <c r="R44" s="244"/>
      <c r="S44" s="244"/>
      <c r="T44" s="244"/>
      <c r="U44" s="244"/>
      <c r="V44" s="244"/>
      <c r="W44" s="244"/>
      <c r="X44" s="244"/>
      <c r="Y44" s="244"/>
      <c r="Z44" s="244"/>
      <c r="AA44" s="245"/>
      <c r="AB44" s="245"/>
      <c r="AC44" s="244"/>
      <c r="AD44" s="244"/>
      <c r="AE44" s="244"/>
      <c r="AF44" s="244"/>
      <c r="AG44" s="244"/>
      <c r="AH44" s="244"/>
      <c r="AI44" s="244"/>
      <c r="AJ44" s="244"/>
      <c r="AK44" s="244"/>
      <c r="AL44" s="244"/>
      <c r="AM44" s="244"/>
      <c r="AN44" s="244"/>
      <c r="AO44" s="244"/>
      <c r="AP44" s="244"/>
      <c r="AQ44" s="244"/>
      <c r="AR44" s="244"/>
      <c r="AS44" s="244"/>
      <c r="AT44" s="244"/>
      <c r="AU44" s="244"/>
      <c r="AV44" s="244"/>
      <c r="AW44" s="244"/>
      <c r="AX44" s="244"/>
      <c r="AY44" s="244"/>
      <c r="AZ44" s="244"/>
      <c r="BA44" s="244"/>
      <c r="BB44" s="244"/>
      <c r="BC44" s="244"/>
      <c r="BD44" s="242"/>
    </row>
    <row r="45" spans="1:56" ht="18.75" customHeight="1" x14ac:dyDescent="0.25">
      <c r="A45" s="254"/>
      <c r="B45" s="254"/>
      <c r="C45" s="255"/>
      <c r="D45" s="255"/>
      <c r="E45" s="255"/>
      <c r="F45" s="255"/>
      <c r="G45" s="255"/>
      <c r="H45" s="255"/>
      <c r="I45" s="255"/>
      <c r="J45" s="255"/>
      <c r="K45" s="255"/>
      <c r="L45" s="244"/>
      <c r="M45" s="244"/>
      <c r="N45" s="244"/>
      <c r="O45" s="244"/>
      <c r="P45" s="244"/>
      <c r="Q45" s="244"/>
      <c r="R45" s="244"/>
      <c r="S45" s="244"/>
      <c r="T45" s="244"/>
      <c r="U45" s="244"/>
      <c r="V45" s="244"/>
      <c r="W45" s="244"/>
      <c r="X45" s="244"/>
      <c r="Y45" s="244"/>
      <c r="Z45" s="244"/>
      <c r="AA45" s="245"/>
      <c r="AB45" s="245"/>
      <c r="AC45" s="244"/>
      <c r="AD45" s="244"/>
      <c r="AE45" s="244"/>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2"/>
    </row>
    <row r="46" spans="1:56" ht="15.75" x14ac:dyDescent="0.25">
      <c r="A46" s="256" t="s">
        <v>250</v>
      </c>
      <c r="B46" s="257"/>
      <c r="C46" s="240"/>
      <c r="D46" s="240"/>
      <c r="E46" s="240"/>
      <c r="F46" s="240"/>
      <c r="G46" s="240"/>
      <c r="H46" s="240"/>
      <c r="I46" s="240"/>
      <c r="J46" s="240"/>
      <c r="K46" s="240"/>
      <c r="L46" s="240"/>
      <c r="M46" s="240"/>
      <c r="N46" s="240"/>
      <c r="O46" s="240"/>
      <c r="P46" s="240"/>
      <c r="Q46" s="240"/>
      <c r="R46" s="240"/>
      <c r="S46" s="240"/>
      <c r="T46" s="240"/>
      <c r="U46" s="240"/>
      <c r="V46" s="240"/>
      <c r="W46" s="240"/>
      <c r="X46" s="240"/>
      <c r="Y46" s="240"/>
      <c r="Z46" s="240"/>
      <c r="AA46" s="240"/>
      <c r="AB46" s="240"/>
      <c r="AC46" s="240"/>
      <c r="AD46" s="240"/>
      <c r="AE46" s="240"/>
      <c r="AF46" s="240"/>
      <c r="AG46" s="240"/>
      <c r="AH46" s="240"/>
      <c r="AI46" s="240"/>
      <c r="AJ46" s="240"/>
      <c r="AK46" s="240"/>
      <c r="AL46" s="240"/>
      <c r="AM46" s="240"/>
      <c r="AN46" s="240"/>
      <c r="AO46" s="240"/>
      <c r="AP46" s="240"/>
      <c r="AQ46" s="240"/>
      <c r="AR46" s="240"/>
      <c r="AS46" s="240"/>
      <c r="AT46" s="240"/>
      <c r="AU46" s="240"/>
      <c r="AV46" s="240"/>
      <c r="AW46" s="240"/>
      <c r="AX46" s="240"/>
      <c r="AY46" s="240"/>
      <c r="AZ46" s="240"/>
      <c r="BA46" s="240"/>
      <c r="BB46" s="240"/>
      <c r="BC46" s="240"/>
      <c r="BD46" s="242"/>
    </row>
    <row r="47" spans="1:56" x14ac:dyDescent="0.25">
      <c r="A47" s="258"/>
      <c r="B47" s="258"/>
      <c r="C47" s="258"/>
      <c r="D47" s="259"/>
      <c r="E47" s="259"/>
      <c r="F47" s="258"/>
      <c r="G47" s="258"/>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c r="AE47" s="258"/>
      <c r="AF47" s="258"/>
      <c r="AG47" s="258"/>
      <c r="AH47" s="258"/>
      <c r="AI47" s="258"/>
      <c r="AJ47" s="258"/>
      <c r="AK47" s="258"/>
      <c r="AL47" s="258"/>
      <c r="AM47" s="258"/>
      <c r="AN47" s="258"/>
      <c r="AO47" s="258"/>
      <c r="AP47" s="258"/>
      <c r="AQ47" s="258"/>
      <c r="AR47" s="258"/>
      <c r="AS47" s="258"/>
      <c r="AT47" s="258"/>
      <c r="AU47" s="258"/>
      <c r="AV47" s="260"/>
      <c r="AW47" s="260"/>
      <c r="AX47" s="260"/>
      <c r="AY47" s="261"/>
      <c r="AZ47" s="261"/>
      <c r="BA47" s="261"/>
      <c r="BB47" s="261"/>
      <c r="BC47" s="261"/>
      <c r="BD47" s="262"/>
    </row>
    <row r="48" spans="1:56" s="31" customFormat="1" ht="18.75" x14ac:dyDescent="0.25">
      <c r="A48" s="263" t="s">
        <v>4</v>
      </c>
      <c r="B48" s="264" t="s">
        <v>251</v>
      </c>
      <c r="C48" s="38"/>
      <c r="D48" s="265"/>
      <c r="E48" s="266"/>
      <c r="F48" s="263" t="s">
        <v>4</v>
      </c>
      <c r="G48" s="264" t="s">
        <v>251</v>
      </c>
      <c r="H48" s="267"/>
      <c r="I48" s="267"/>
      <c r="J48" s="267"/>
      <c r="K48" s="267"/>
      <c r="L48" s="268"/>
      <c r="M48" s="268"/>
      <c r="N48" s="268"/>
      <c r="O48" s="268"/>
      <c r="P48" s="268"/>
      <c r="Q48" s="268"/>
      <c r="R48" s="268"/>
      <c r="S48" s="268"/>
      <c r="T48" s="268"/>
      <c r="U48" s="268"/>
      <c r="V48" s="269"/>
      <c r="W48" s="269"/>
      <c r="X48" s="269"/>
      <c r="Y48" s="269"/>
      <c r="AA48" s="268"/>
      <c r="AC48" s="268"/>
      <c r="AD48" s="268"/>
      <c r="AE48" s="268"/>
      <c r="AF48" s="268"/>
      <c r="AG48" s="268"/>
      <c r="AH48" s="268"/>
      <c r="AI48" s="268"/>
      <c r="AQ48" s="268"/>
      <c r="AR48" s="268"/>
      <c r="AS48" s="268"/>
      <c r="AT48" s="268"/>
      <c r="AU48" s="268"/>
      <c r="AV48" s="268"/>
      <c r="AW48" s="268"/>
      <c r="AX48" s="268"/>
      <c r="AY48" s="268"/>
      <c r="AZ48" s="270"/>
      <c r="BA48" s="271"/>
      <c r="BB48" s="271"/>
      <c r="BC48" s="271"/>
      <c r="BD48" s="272"/>
    </row>
    <row r="49" spans="1:56" ht="15.75" x14ac:dyDescent="0.25">
      <c r="A49" s="273" t="s">
        <v>41</v>
      </c>
      <c r="B49" s="274" t="s">
        <v>252</v>
      </c>
      <c r="D49" s="178"/>
      <c r="E49" s="275"/>
      <c r="F49" s="276" t="s">
        <v>20</v>
      </c>
      <c r="G49" s="277" t="str">
        <f>VLOOKUP(F49,'[2]Mkt cap'!$G$4:$H$82,2,FALSE)</f>
        <v>INSUMOS AGROQUIMICOS S.A.</v>
      </c>
      <c r="H49" s="278"/>
      <c r="I49" s="278"/>
      <c r="J49" s="278"/>
      <c r="K49" s="278"/>
      <c r="L49" s="278"/>
      <c r="M49" s="278"/>
      <c r="N49" s="278"/>
      <c r="O49" s="278"/>
      <c r="P49" s="278"/>
      <c r="Q49" s="278"/>
      <c r="R49" s="278"/>
      <c r="S49" s="278"/>
      <c r="T49" s="278"/>
      <c r="U49" s="278"/>
      <c r="V49" s="278"/>
      <c r="W49" s="278"/>
      <c r="X49" s="278"/>
      <c r="Y49" s="278"/>
      <c r="AA49" s="279"/>
      <c r="AC49" s="280"/>
      <c r="AD49" s="280"/>
      <c r="AE49" s="280"/>
      <c r="AF49" s="280"/>
      <c r="AG49" s="278"/>
      <c r="AH49" s="278"/>
      <c r="AI49" s="278"/>
      <c r="AQ49" s="278"/>
      <c r="AR49" s="278"/>
      <c r="AS49" s="278"/>
      <c r="AT49" s="278"/>
      <c r="AU49" s="278"/>
      <c r="AV49" s="281"/>
      <c r="AW49" s="281"/>
      <c r="AX49" s="281"/>
      <c r="AY49" s="282"/>
      <c r="AZ49" s="282"/>
      <c r="BA49" s="261"/>
      <c r="BB49" s="261"/>
      <c r="BC49" s="261"/>
      <c r="BD49" s="262"/>
    </row>
    <row r="50" spans="1:56" ht="15.75" x14ac:dyDescent="0.25">
      <c r="A50" s="273" t="s">
        <v>18</v>
      </c>
      <c r="B50" s="283" t="s">
        <v>253</v>
      </c>
      <c r="D50" s="178"/>
      <c r="E50" s="275"/>
      <c r="F50" s="276" t="s">
        <v>35</v>
      </c>
      <c r="G50" s="274" t="str">
        <f>VLOOKUP(F50,'[2]Mkt cap'!$G$4:$H$82,2,FALSE)</f>
        <v>UNIPAR INDUPA SOCIEDAD ANONIMA INDUSTRIAL Y COMERCIAL</v>
      </c>
      <c r="H50" s="278"/>
      <c r="I50" s="278"/>
      <c r="J50" s="278"/>
      <c r="K50" s="278"/>
      <c r="L50" s="278"/>
      <c r="M50" s="278"/>
      <c r="N50" s="278"/>
      <c r="O50" s="278"/>
      <c r="P50" s="278"/>
      <c r="Q50" s="278"/>
      <c r="R50" s="278"/>
      <c r="S50" s="278"/>
      <c r="T50" s="278"/>
      <c r="U50" s="278"/>
      <c r="V50" s="278"/>
      <c r="W50" s="278"/>
      <c r="X50" s="278"/>
      <c r="Y50" s="278"/>
      <c r="AA50" s="279"/>
      <c r="AC50" s="280"/>
      <c r="AD50" s="278"/>
      <c r="AE50" s="278"/>
      <c r="AF50" s="278"/>
      <c r="AG50" s="278"/>
      <c r="AH50" s="278"/>
      <c r="AI50" s="278"/>
      <c r="AQ50" s="278"/>
      <c r="AR50" s="278"/>
      <c r="AS50" s="278"/>
      <c r="AT50" s="278"/>
      <c r="AU50" s="278"/>
      <c r="AV50" s="281"/>
      <c r="AW50" s="281"/>
      <c r="AX50" s="281"/>
      <c r="AY50" s="282"/>
      <c r="AZ50" s="282"/>
      <c r="BA50" s="261"/>
      <c r="BB50" s="261"/>
      <c r="BC50" s="261"/>
      <c r="BD50" s="262"/>
    </row>
    <row r="51" spans="1:56" ht="15.75" x14ac:dyDescent="0.25">
      <c r="A51" s="273" t="s">
        <v>33</v>
      </c>
      <c r="B51" s="283" t="s">
        <v>254</v>
      </c>
      <c r="D51" s="178"/>
      <c r="E51" s="275"/>
      <c r="F51" s="273" t="s">
        <v>44</v>
      </c>
      <c r="G51" s="274" t="str">
        <f>VLOOKUP(F51,'[2]Mkt cap'!$G$4:$H$82,2,FALSE)</f>
        <v>COMPAÑIA INTRODUCTORA DE BUENOS AIRES S.A.</v>
      </c>
      <c r="H51" s="278"/>
      <c r="I51" s="278"/>
      <c r="J51" s="278"/>
      <c r="K51" s="278"/>
      <c r="L51" s="278"/>
      <c r="M51" s="278"/>
      <c r="N51" s="278"/>
      <c r="O51" s="278"/>
      <c r="P51" s="278"/>
      <c r="Q51" s="278"/>
      <c r="R51" s="278"/>
      <c r="S51" s="278"/>
      <c r="T51" s="278"/>
      <c r="U51" s="278"/>
      <c r="V51" s="278"/>
      <c r="W51" s="278"/>
      <c r="X51" s="278"/>
      <c r="Y51" s="278"/>
      <c r="AA51" s="284"/>
      <c r="AC51" s="278"/>
      <c r="AD51" s="278"/>
      <c r="AE51" s="278"/>
      <c r="AF51" s="278"/>
      <c r="AG51" s="278"/>
      <c r="AH51" s="278"/>
      <c r="AI51" s="278"/>
      <c r="AQ51" s="278"/>
      <c r="AR51" s="278"/>
      <c r="AS51" s="278"/>
      <c r="AT51" s="278"/>
      <c r="AU51" s="278"/>
      <c r="AV51" s="281"/>
      <c r="AW51" s="281"/>
      <c r="AX51" s="281"/>
      <c r="AY51" s="282"/>
      <c r="AZ51" s="282"/>
      <c r="BA51" s="261"/>
      <c r="BB51" s="261"/>
      <c r="BC51" s="261"/>
      <c r="BD51" s="262"/>
    </row>
    <row r="52" spans="1:56" ht="15.75" x14ac:dyDescent="0.25">
      <c r="A52" s="273" t="s">
        <v>67</v>
      </c>
      <c r="B52" s="283" t="s">
        <v>255</v>
      </c>
      <c r="D52" s="178"/>
      <c r="E52" s="275"/>
      <c r="F52" s="273" t="s">
        <v>79</v>
      </c>
      <c r="G52" s="274" t="str">
        <f>VLOOKUP(F52,'[2]Mkt cap'!$G$4:$H$82,2,FALSE)</f>
        <v>INVERSORA JURAMENTO S.A.</v>
      </c>
      <c r="H52" s="278"/>
      <c r="I52" s="278"/>
      <c r="J52" s="258"/>
      <c r="K52" s="258"/>
      <c r="L52" s="258"/>
      <c r="M52" s="258"/>
      <c r="N52" s="278"/>
      <c r="O52" s="278"/>
      <c r="P52" s="278"/>
      <c r="Q52" s="278"/>
      <c r="R52" s="278"/>
      <c r="S52" s="278"/>
      <c r="T52" s="278"/>
      <c r="U52" s="278"/>
      <c r="V52" s="278"/>
      <c r="W52" s="278"/>
      <c r="X52" s="278"/>
      <c r="Y52" s="278"/>
      <c r="AA52" s="284"/>
      <c r="AC52" s="278"/>
      <c r="AD52" s="278"/>
      <c r="AE52" s="278"/>
      <c r="AF52" s="278"/>
      <c r="AG52" s="278"/>
      <c r="AH52" s="278"/>
      <c r="AI52" s="278"/>
      <c r="AQ52" s="278"/>
      <c r="AR52" s="278"/>
      <c r="AS52" s="278"/>
      <c r="AT52" s="278"/>
      <c r="AU52" s="278"/>
      <c r="AV52" s="281"/>
      <c r="AW52" s="281"/>
      <c r="AX52" s="281"/>
      <c r="AY52" s="282"/>
      <c r="AZ52" s="282"/>
      <c r="BA52" s="261"/>
      <c r="BB52" s="261"/>
      <c r="BC52" s="261"/>
      <c r="BD52" s="262"/>
    </row>
    <row r="53" spans="1:56" ht="15.75" x14ac:dyDescent="0.25">
      <c r="A53" s="273" t="s">
        <v>29</v>
      </c>
      <c r="B53" s="283" t="s">
        <v>256</v>
      </c>
      <c r="D53" s="178"/>
      <c r="E53" s="275"/>
      <c r="F53" s="273" t="s">
        <v>27</v>
      </c>
      <c r="G53" s="274" t="str">
        <f>VLOOKUP(F53,'[2]Mkt cap'!$G$4:$H$82,2,FALSE)</f>
        <v>IRSA PROPIEDADES COMERCIALES S.A.</v>
      </c>
      <c r="H53" s="278"/>
      <c r="I53" s="278"/>
      <c r="J53" s="278"/>
      <c r="K53" s="278"/>
      <c r="L53" s="278"/>
      <c r="M53" s="278"/>
      <c r="N53" s="278"/>
      <c r="O53" s="278"/>
      <c r="P53" s="278"/>
      <c r="Q53" s="278"/>
      <c r="R53" s="278"/>
      <c r="S53" s="278"/>
      <c r="T53" s="278"/>
      <c r="U53" s="278"/>
      <c r="V53" s="278"/>
      <c r="W53" s="278"/>
      <c r="X53" s="278"/>
      <c r="Y53" s="278"/>
      <c r="AA53" s="284"/>
      <c r="AC53" s="278"/>
      <c r="AD53" s="278"/>
      <c r="AE53" s="278"/>
      <c r="AF53" s="278"/>
      <c r="AG53" s="278"/>
      <c r="AH53" s="278"/>
      <c r="AI53" s="278"/>
      <c r="AQ53" s="278"/>
      <c r="AR53" s="278"/>
      <c r="AS53" s="278"/>
      <c r="AT53" s="278"/>
      <c r="AU53" s="278"/>
      <c r="AV53" s="281"/>
      <c r="AW53" s="281"/>
      <c r="AX53" s="281"/>
      <c r="AY53" s="282"/>
      <c r="AZ53" s="282"/>
      <c r="BA53" s="261"/>
      <c r="BB53" s="261"/>
      <c r="BC53" s="261"/>
      <c r="BD53" s="262"/>
    </row>
    <row r="54" spans="1:56" ht="15.75" x14ac:dyDescent="0.25">
      <c r="A54" s="273" t="s">
        <v>72</v>
      </c>
      <c r="B54" s="283" t="s">
        <v>257</v>
      </c>
      <c r="D54" s="178"/>
      <c r="E54" s="275"/>
      <c r="F54" s="273" t="s">
        <v>32</v>
      </c>
      <c r="G54" s="274" t="str">
        <f>VLOOKUP(F54,'[2]Mkt cap'!$G$4:$H$82,2,FALSE)</f>
        <v>IRSA INVERSIONES Y REPRESENTACIONES S.A.</v>
      </c>
      <c r="H54" s="278"/>
      <c r="I54" s="278"/>
      <c r="J54" s="278"/>
      <c r="K54" s="278"/>
      <c r="L54" s="278"/>
      <c r="M54" s="278"/>
      <c r="N54" s="278"/>
      <c r="O54" s="278"/>
      <c r="P54" s="278"/>
      <c r="Q54" s="278"/>
      <c r="R54" s="278"/>
      <c r="S54" s="278"/>
      <c r="T54" s="278"/>
      <c r="U54" s="278"/>
      <c r="V54" s="278"/>
      <c r="W54" s="278"/>
      <c r="X54" s="278"/>
      <c r="Y54" s="278"/>
      <c r="AA54" s="284"/>
      <c r="AC54" s="278"/>
      <c r="AD54" s="278"/>
      <c r="AE54" s="278"/>
      <c r="AF54" s="278"/>
      <c r="AG54" s="278"/>
      <c r="AH54" s="278"/>
      <c r="AI54" s="278"/>
      <c r="AQ54" s="278"/>
      <c r="AR54" s="278"/>
      <c r="AS54" s="278"/>
      <c r="AT54" s="278"/>
      <c r="AU54" s="278"/>
      <c r="AV54" s="281"/>
      <c r="AW54" s="281"/>
      <c r="AX54" s="281"/>
      <c r="AY54" s="282"/>
      <c r="AZ54" s="282"/>
      <c r="BA54" s="261"/>
      <c r="BB54" s="261"/>
      <c r="BC54" s="261"/>
      <c r="BD54" s="262"/>
    </row>
    <row r="55" spans="1:56" ht="15.75" x14ac:dyDescent="0.25">
      <c r="A55" s="273" t="s">
        <v>51</v>
      </c>
      <c r="B55" s="283" t="s">
        <v>258</v>
      </c>
      <c r="E55" s="278"/>
      <c r="F55" s="273" t="s">
        <v>30</v>
      </c>
      <c r="G55" s="274" t="str">
        <f>VLOOKUP(F55,'[2]Mkt cap'!$G$4:$H$82,2,FALSE)</f>
        <v>LEDESMA S.A.</v>
      </c>
      <c r="H55" s="278"/>
      <c r="I55" s="278"/>
      <c r="J55" s="278"/>
      <c r="K55" s="278"/>
      <c r="L55" s="278"/>
      <c r="M55" s="278"/>
      <c r="N55" s="278"/>
      <c r="O55" s="278"/>
      <c r="P55" s="278"/>
      <c r="Q55" s="278"/>
      <c r="R55" s="278"/>
      <c r="S55" s="278"/>
      <c r="T55" s="278"/>
      <c r="U55" s="278"/>
      <c r="V55" s="278"/>
      <c r="W55" s="278"/>
      <c r="X55" s="278"/>
      <c r="Y55" s="278"/>
      <c r="AA55" s="284"/>
      <c r="AC55" s="278"/>
      <c r="AD55" s="278"/>
      <c r="AE55" s="278"/>
      <c r="AF55" s="278"/>
      <c r="AG55" s="278"/>
      <c r="AH55" s="278"/>
      <c r="AI55" s="278"/>
      <c r="AQ55" s="278"/>
      <c r="AR55" s="278"/>
      <c r="AS55" s="278"/>
      <c r="AT55" s="278"/>
      <c r="AU55" s="278"/>
      <c r="AV55" s="281"/>
      <c r="AW55" s="281"/>
      <c r="AX55" s="281"/>
      <c r="AY55" s="282"/>
      <c r="AZ55" s="282"/>
      <c r="BA55" s="261"/>
      <c r="BB55" s="261"/>
      <c r="BC55" s="261"/>
      <c r="BD55" s="262"/>
    </row>
    <row r="56" spans="1:56" ht="15.75" x14ac:dyDescent="0.25">
      <c r="A56" s="273" t="s">
        <v>12</v>
      </c>
      <c r="B56" s="283" t="s">
        <v>259</v>
      </c>
      <c r="E56" s="278"/>
      <c r="F56" s="273" t="s">
        <v>28</v>
      </c>
      <c r="G56" s="274" t="str">
        <f>VLOOKUP(F56,'[2]Mkt cap'!$G$4:$H$82,2,FALSE)</f>
        <v>LOMA NEGRA COMPAÑIA INDUSTRIAL ARGENTINA SOCIEDAD ANONIMA</v>
      </c>
      <c r="H56" s="278"/>
      <c r="I56" s="278"/>
      <c r="J56" s="278"/>
      <c r="K56" s="278"/>
      <c r="L56" s="278"/>
      <c r="M56" s="278"/>
      <c r="N56" s="278"/>
      <c r="O56" s="278"/>
      <c r="P56" s="278"/>
      <c r="Q56" s="278"/>
      <c r="R56" s="278"/>
      <c r="S56" s="278"/>
      <c r="T56" s="278"/>
      <c r="U56" s="278"/>
      <c r="V56" s="278"/>
      <c r="W56" s="278"/>
      <c r="X56" s="278"/>
      <c r="Y56" s="278"/>
      <c r="AA56" s="284"/>
      <c r="AC56" s="278"/>
      <c r="AD56" s="278"/>
      <c r="AE56" s="278"/>
      <c r="AF56" s="278"/>
      <c r="AG56" s="278"/>
      <c r="AH56" s="278"/>
      <c r="AI56" s="278"/>
      <c r="AQ56" s="278"/>
      <c r="AR56" s="278"/>
      <c r="AS56" s="278"/>
      <c r="AT56" s="278"/>
      <c r="AU56" s="278"/>
      <c r="AV56" s="281"/>
      <c r="AW56" s="281"/>
      <c r="AX56" s="281"/>
      <c r="AY56" s="282"/>
      <c r="AZ56" s="282"/>
      <c r="BA56" s="261"/>
      <c r="BB56" s="261"/>
      <c r="BC56" s="261"/>
      <c r="BD56" s="262"/>
    </row>
    <row r="57" spans="1:56" ht="15.75" x14ac:dyDescent="0.25">
      <c r="A57" s="273" t="s">
        <v>11</v>
      </c>
      <c r="B57" s="283" t="s">
        <v>260</v>
      </c>
      <c r="E57" s="278"/>
      <c r="F57" s="285" t="s">
        <v>21</v>
      </c>
      <c r="G57" s="274" t="str">
        <f>VLOOKUP(F57,'[2]Mkt cap'!$G$4:$H$82,2,FALSE)</f>
        <v>LONGVIE S.A.</v>
      </c>
      <c r="H57" s="278"/>
      <c r="I57" s="278"/>
      <c r="J57" s="278"/>
      <c r="K57" s="278"/>
      <c r="L57" s="278"/>
      <c r="M57" s="278"/>
      <c r="N57" s="278"/>
      <c r="O57" s="278"/>
      <c r="P57" s="278"/>
      <c r="Q57" s="278"/>
      <c r="R57" s="278"/>
      <c r="S57" s="278"/>
      <c r="T57" s="278"/>
      <c r="U57" s="278"/>
      <c r="V57" s="278"/>
      <c r="W57" s="278"/>
      <c r="X57" s="278"/>
      <c r="Y57" s="278"/>
      <c r="AA57" s="286"/>
      <c r="AC57" s="278"/>
      <c r="AD57" s="278"/>
      <c r="AE57" s="278"/>
      <c r="AF57" s="278"/>
      <c r="AG57" s="278"/>
      <c r="AH57" s="278"/>
      <c r="AI57" s="278"/>
      <c r="AQ57" s="278"/>
      <c r="AR57" s="278"/>
      <c r="AS57" s="278"/>
      <c r="AT57" s="278"/>
      <c r="AU57" s="278"/>
      <c r="AV57" s="281"/>
      <c r="AW57" s="281"/>
      <c r="AX57" s="281"/>
      <c r="AY57" s="282"/>
      <c r="AZ57" s="282"/>
      <c r="BA57" s="261"/>
      <c r="BB57" s="261"/>
      <c r="BC57" s="261"/>
      <c r="BD57" s="262"/>
    </row>
    <row r="58" spans="1:56" ht="15.75" x14ac:dyDescent="0.25">
      <c r="A58" s="273" t="s">
        <v>80</v>
      </c>
      <c r="B58" s="274" t="s">
        <v>261</v>
      </c>
      <c r="D58" s="178"/>
      <c r="E58" s="275"/>
      <c r="F58" s="273" t="s">
        <v>10</v>
      </c>
      <c r="G58" s="283" t="s">
        <v>262</v>
      </c>
      <c r="H58" s="278"/>
      <c r="I58" s="278"/>
      <c r="J58" s="278"/>
      <c r="K58" s="278"/>
      <c r="L58" s="278"/>
      <c r="M58" s="278"/>
      <c r="N58" s="278"/>
      <c r="O58" s="278"/>
      <c r="P58" s="278"/>
      <c r="Q58" s="278"/>
      <c r="R58" s="278"/>
      <c r="S58" s="278"/>
      <c r="T58" s="278"/>
      <c r="U58" s="278"/>
      <c r="V58" s="278"/>
      <c r="W58" s="278"/>
      <c r="X58" s="278"/>
      <c r="Y58" s="278"/>
      <c r="AA58" s="286"/>
      <c r="AC58" s="287"/>
      <c r="AD58" s="278"/>
      <c r="AE58" s="278"/>
      <c r="AF58" s="278"/>
      <c r="AG58" s="278"/>
      <c r="AH58" s="278"/>
      <c r="AI58" s="278"/>
      <c r="AQ58" s="278"/>
      <c r="AR58" s="278"/>
      <c r="AS58" s="278"/>
      <c r="AT58" s="278"/>
      <c r="AU58" s="278"/>
      <c r="AV58" s="281"/>
      <c r="AW58" s="281"/>
      <c r="AX58" s="281"/>
      <c r="AY58" s="282"/>
      <c r="AZ58" s="282"/>
      <c r="BA58" s="261"/>
      <c r="BB58" s="261"/>
      <c r="BC58" s="261"/>
      <c r="BD58" s="262"/>
    </row>
    <row r="59" spans="1:56" ht="15.75" x14ac:dyDescent="0.25">
      <c r="A59" s="273" t="s">
        <v>39</v>
      </c>
      <c r="B59" s="283" t="s">
        <v>263</v>
      </c>
      <c r="D59" s="178"/>
      <c r="E59" s="275"/>
      <c r="F59" s="285" t="s">
        <v>26</v>
      </c>
      <c r="G59" s="274" t="str">
        <f>VLOOKUP(F59,'[2]Mkt cap'!$G$4:$H$82,2,FALSE)</f>
        <v>METROGAS S.A.</v>
      </c>
      <c r="H59" s="278"/>
      <c r="I59" s="278"/>
      <c r="J59" s="278"/>
      <c r="K59" s="278"/>
      <c r="L59" s="278"/>
      <c r="M59" s="278"/>
      <c r="N59" s="278"/>
      <c r="O59" s="278"/>
      <c r="P59" s="278"/>
      <c r="Q59" s="278"/>
      <c r="R59" s="278"/>
      <c r="S59" s="278"/>
      <c r="T59" s="278"/>
      <c r="U59" s="278"/>
      <c r="V59" s="278"/>
      <c r="W59" s="278"/>
      <c r="X59" s="278"/>
      <c r="Y59" s="278"/>
      <c r="AA59" s="286"/>
      <c r="AC59" s="278"/>
      <c r="AD59" s="280"/>
      <c r="AE59" s="278"/>
      <c r="AF59" s="278"/>
      <c r="AG59" s="278"/>
      <c r="AH59" s="278"/>
      <c r="AI59" s="278"/>
      <c r="AQ59" s="278"/>
      <c r="AR59" s="278"/>
      <c r="AS59" s="278"/>
      <c r="AT59" s="278"/>
      <c r="AU59" s="278"/>
      <c r="AV59" s="281"/>
      <c r="AW59" s="281"/>
      <c r="AX59" s="281"/>
      <c r="AY59" s="282"/>
      <c r="AZ59" s="282"/>
      <c r="BA59" s="261"/>
      <c r="BB59" s="261"/>
      <c r="BC59" s="261"/>
      <c r="BD59" s="262"/>
    </row>
    <row r="60" spans="1:56" ht="15.75" x14ac:dyDescent="0.25">
      <c r="A60" s="273" t="s">
        <v>8</v>
      </c>
      <c r="B60" s="283" t="s">
        <v>264</v>
      </c>
      <c r="D60" s="178"/>
      <c r="E60" s="275"/>
      <c r="F60" s="285" t="s">
        <v>42</v>
      </c>
      <c r="G60" s="274" t="str">
        <f>VLOOKUP(F60,'[2]Mkt cap'!$G$4:$H$82,2,FALSE)</f>
        <v>MIRGOR S.A.</v>
      </c>
      <c r="H60" s="278"/>
      <c r="I60" s="278"/>
      <c r="J60" s="278"/>
      <c r="K60" s="278"/>
      <c r="L60" s="278"/>
      <c r="M60" s="278"/>
      <c r="N60" s="278"/>
      <c r="O60" s="278"/>
      <c r="P60" s="278"/>
      <c r="Q60" s="278"/>
      <c r="R60" s="278"/>
      <c r="S60" s="278"/>
      <c r="T60" s="278"/>
      <c r="U60" s="278"/>
      <c r="V60" s="278"/>
      <c r="W60" s="278"/>
      <c r="X60" s="278"/>
      <c r="Y60" s="278"/>
      <c r="AA60" s="286"/>
      <c r="AC60" s="278"/>
      <c r="AD60" s="278"/>
      <c r="AE60" s="278"/>
      <c r="AF60" s="278"/>
      <c r="AG60" s="278"/>
      <c r="AH60" s="278"/>
      <c r="AI60" s="278"/>
      <c r="AQ60" s="278"/>
      <c r="AR60" s="278"/>
      <c r="AS60" s="278"/>
      <c r="AT60" s="278"/>
      <c r="AU60" s="278"/>
      <c r="AV60" s="281"/>
      <c r="AW60" s="281"/>
      <c r="AX60" s="281"/>
      <c r="AY60" s="282"/>
      <c r="AZ60" s="282"/>
      <c r="BA60" s="261"/>
      <c r="BB60" s="261"/>
      <c r="BC60" s="261"/>
      <c r="BD60" s="262"/>
    </row>
    <row r="61" spans="1:56" ht="15.75" x14ac:dyDescent="0.25">
      <c r="A61" s="273" t="s">
        <v>15</v>
      </c>
      <c r="B61" s="283" t="s">
        <v>265</v>
      </c>
      <c r="D61" s="178"/>
      <c r="E61" s="275"/>
      <c r="F61" s="285" t="s">
        <v>13</v>
      </c>
      <c r="G61" s="274" t="str">
        <f>VLOOKUP(F61,'[2]Mkt cap'!$G$4:$H$82,2,FALSE)</f>
        <v>MOLINOS AGRO S.A.</v>
      </c>
      <c r="H61" s="278"/>
      <c r="I61" s="278"/>
      <c r="J61" s="278"/>
      <c r="K61" s="278"/>
      <c r="L61" s="278"/>
      <c r="M61" s="278"/>
      <c r="N61" s="278"/>
      <c r="O61" s="278"/>
      <c r="P61" s="278"/>
      <c r="Q61" s="278"/>
      <c r="R61" s="278"/>
      <c r="S61" s="278"/>
      <c r="T61" s="278"/>
      <c r="U61" s="278"/>
      <c r="V61" s="278"/>
      <c r="W61" s="278"/>
      <c r="X61" s="278"/>
      <c r="Y61" s="278"/>
      <c r="AA61" s="288"/>
      <c r="AC61" s="289"/>
      <c r="AD61" s="278"/>
      <c r="AE61" s="278"/>
      <c r="AF61" s="278"/>
      <c r="AG61" s="278"/>
      <c r="AH61" s="278"/>
      <c r="AI61" s="278"/>
      <c r="AQ61" s="278"/>
      <c r="AR61" s="278"/>
      <c r="AS61" s="278"/>
      <c r="AT61" s="278"/>
      <c r="AU61" s="278"/>
      <c r="AV61" s="281"/>
      <c r="AW61" s="281"/>
      <c r="AX61" s="281"/>
      <c r="AY61" s="282"/>
      <c r="AZ61" s="282"/>
      <c r="BA61" s="261"/>
      <c r="BB61" s="261"/>
      <c r="BC61" s="261"/>
      <c r="BD61" s="262"/>
    </row>
    <row r="62" spans="1:56" ht="15.75" x14ac:dyDescent="0.25">
      <c r="A62" s="273" t="s">
        <v>40</v>
      </c>
      <c r="B62" s="283" t="s">
        <v>266</v>
      </c>
      <c r="D62" s="178"/>
      <c r="E62" s="275"/>
      <c r="F62" s="290" t="s">
        <v>46</v>
      </c>
      <c r="G62" s="274" t="str">
        <f>VLOOKUP(F62,'[2]Mkt cap'!$G$4:$H$82,2,FALSE)</f>
        <v>MOLINOS RIO DE LA PLATA S.A.</v>
      </c>
      <c r="H62" s="278"/>
      <c r="I62" s="278"/>
      <c r="J62" s="278"/>
      <c r="K62" s="278"/>
      <c r="L62" s="278"/>
      <c r="M62" s="278"/>
      <c r="N62" s="278"/>
      <c r="O62" s="278"/>
      <c r="P62" s="278"/>
      <c r="Q62" s="278"/>
      <c r="R62" s="278"/>
      <c r="S62" s="278"/>
      <c r="T62" s="278"/>
      <c r="U62" s="278"/>
      <c r="V62" s="278"/>
      <c r="W62" s="278"/>
      <c r="X62" s="278"/>
      <c r="Y62" s="278"/>
      <c r="AA62" s="286"/>
      <c r="AC62" s="278"/>
      <c r="AD62" s="278"/>
      <c r="AE62" s="278"/>
      <c r="AF62" s="278"/>
      <c r="AG62" s="278"/>
      <c r="AH62" s="278"/>
      <c r="AI62" s="278"/>
      <c r="AQ62" s="278"/>
      <c r="AR62" s="278"/>
      <c r="AS62" s="278"/>
      <c r="AT62" s="278"/>
      <c r="AU62" s="278"/>
      <c r="AV62" s="281"/>
      <c r="AW62" s="281"/>
      <c r="AX62" s="281"/>
      <c r="AY62" s="282"/>
      <c r="AZ62" s="282"/>
      <c r="BA62" s="261"/>
      <c r="BB62" s="261"/>
      <c r="BC62" s="261"/>
      <c r="BD62" s="262"/>
    </row>
    <row r="63" spans="1:56" ht="15.75" x14ac:dyDescent="0.25">
      <c r="A63" s="273" t="s">
        <v>25</v>
      </c>
      <c r="B63" s="283" t="s">
        <v>267</v>
      </c>
      <c r="D63" s="178"/>
      <c r="E63" s="275"/>
      <c r="F63" s="285" t="s">
        <v>52</v>
      </c>
      <c r="G63" s="274" t="str">
        <f>VLOOKUP(F63,'[2]Mkt cap'!$G$4:$H$82,2,FALSE)</f>
        <v>MORIXE HERMANOS S.A.</v>
      </c>
      <c r="H63" s="278"/>
      <c r="I63" s="278"/>
      <c r="J63" s="278"/>
      <c r="K63" s="278"/>
      <c r="L63" s="278"/>
      <c r="M63" s="278"/>
      <c r="N63" s="278"/>
      <c r="O63" s="278"/>
      <c r="P63" s="278"/>
      <c r="Q63" s="278"/>
      <c r="R63" s="278"/>
      <c r="S63" s="278"/>
      <c r="T63" s="278"/>
      <c r="U63" s="278"/>
      <c r="V63" s="278"/>
      <c r="W63" s="278"/>
      <c r="X63" s="278"/>
      <c r="Y63" s="278"/>
      <c r="AA63" s="286"/>
      <c r="AC63" s="278"/>
      <c r="AD63" s="278"/>
      <c r="AE63" s="278"/>
      <c r="AF63" s="278"/>
      <c r="AG63" s="278"/>
      <c r="AH63" s="278"/>
      <c r="AI63" s="278"/>
      <c r="AQ63" s="278"/>
      <c r="AR63" s="278"/>
      <c r="AS63" s="278"/>
      <c r="AT63" s="278"/>
      <c r="AU63" s="278"/>
      <c r="AV63" s="281"/>
      <c r="AW63" s="281"/>
      <c r="AX63" s="281"/>
      <c r="AY63" s="282"/>
      <c r="AZ63" s="282"/>
      <c r="BA63" s="261"/>
      <c r="BB63" s="261"/>
      <c r="BC63" s="261"/>
      <c r="BD63" s="262"/>
    </row>
    <row r="64" spans="1:56" ht="15.75" x14ac:dyDescent="0.25">
      <c r="A64" s="273" t="s">
        <v>56</v>
      </c>
      <c r="B64" s="283" t="s">
        <v>268</v>
      </c>
      <c r="D64" s="178"/>
      <c r="E64" s="275"/>
      <c r="F64" s="285" t="s">
        <v>71</v>
      </c>
      <c r="G64" s="274" t="str">
        <f>VLOOKUP(F64,'[2]Mkt cap'!$G$4:$H$82,2,FALSE)</f>
        <v>GRUPO CONCESIONARIO DEL OESTE S.A.</v>
      </c>
      <c r="H64" s="278"/>
      <c r="I64" s="278"/>
      <c r="J64" s="278"/>
      <c r="K64" s="278"/>
      <c r="L64" s="278"/>
      <c r="M64" s="278"/>
      <c r="N64" s="278"/>
      <c r="O64" s="278"/>
      <c r="P64" s="278"/>
      <c r="Q64" s="278"/>
      <c r="R64" s="278"/>
      <c r="S64" s="278"/>
      <c r="T64" s="278"/>
      <c r="U64" s="278"/>
      <c r="V64" s="278"/>
      <c r="W64" s="278"/>
      <c r="X64" s="278"/>
      <c r="Y64" s="278"/>
      <c r="AA64" s="286"/>
      <c r="AC64" s="278"/>
      <c r="AD64" s="278"/>
      <c r="AE64" s="278"/>
      <c r="AF64" s="278"/>
      <c r="AG64" s="278"/>
      <c r="AH64" s="278"/>
      <c r="AI64" s="278"/>
      <c r="AQ64" s="278"/>
      <c r="AR64" s="278"/>
      <c r="AS64" s="278"/>
      <c r="AT64" s="278"/>
      <c r="AU64" s="278"/>
      <c r="AV64" s="281"/>
      <c r="AW64" s="281"/>
      <c r="AX64" s="281"/>
      <c r="AY64" s="282"/>
      <c r="AZ64" s="282"/>
      <c r="BA64" s="261"/>
      <c r="BB64" s="261"/>
      <c r="BC64" s="261"/>
      <c r="BD64" s="262"/>
    </row>
    <row r="65" spans="1:56" ht="15.75" x14ac:dyDescent="0.25">
      <c r="A65" s="273" t="s">
        <v>58</v>
      </c>
      <c r="B65" s="283" t="s">
        <v>269</v>
      </c>
      <c r="D65" s="178"/>
      <c r="E65" s="275"/>
      <c r="F65" s="285" t="s">
        <v>60</v>
      </c>
      <c r="G65" s="274" t="str">
        <f>VLOOKUP(F65,'[2]Mkt cap'!$G$4:$H$82,2,FALSE)</f>
        <v>PAMPA ENERGIA S.A</v>
      </c>
      <c r="H65" s="278"/>
      <c r="I65" s="278"/>
      <c r="J65" s="278"/>
      <c r="K65" s="278"/>
      <c r="L65" s="278"/>
      <c r="M65" s="278"/>
      <c r="N65" s="278"/>
      <c r="O65" s="278"/>
      <c r="P65" s="278"/>
      <c r="Q65" s="278"/>
      <c r="R65" s="278"/>
      <c r="S65" s="278"/>
      <c r="T65" s="278"/>
      <c r="U65" s="278"/>
      <c r="V65" s="278"/>
      <c r="W65" s="278"/>
      <c r="X65" s="278"/>
      <c r="Y65" s="278"/>
      <c r="AA65" s="286"/>
      <c r="AC65" s="278"/>
      <c r="AD65" s="278"/>
      <c r="AE65" s="278"/>
      <c r="AF65" s="278"/>
      <c r="AG65" s="278"/>
      <c r="AH65" s="278"/>
      <c r="AI65" s="278"/>
      <c r="AQ65" s="278"/>
      <c r="AR65" s="278"/>
      <c r="AS65" s="278"/>
      <c r="AT65" s="278"/>
      <c r="AU65" s="278"/>
      <c r="AV65" s="281"/>
      <c r="AW65" s="281"/>
      <c r="AX65" s="281"/>
      <c r="AY65" s="282"/>
      <c r="AZ65" s="282"/>
      <c r="BA65" s="261"/>
      <c r="BB65" s="261"/>
      <c r="BC65" s="261"/>
      <c r="BD65" s="262"/>
    </row>
    <row r="66" spans="1:56" ht="15.75" x14ac:dyDescent="0.25">
      <c r="A66" s="273" t="s">
        <v>38</v>
      </c>
      <c r="B66" s="283" t="s">
        <v>270</v>
      </c>
      <c r="D66" s="178"/>
      <c r="E66" s="275"/>
      <c r="F66" s="285" t="s">
        <v>48</v>
      </c>
      <c r="G66" s="274" t="str">
        <f>VLOOKUP(F66,'[2]Mkt cap'!$G$4:$H$82,2,FALSE)</f>
        <v>IMPORTADORA Y EXPORTADORA DE LA PATAGONIA S.A.</v>
      </c>
      <c r="H66" s="278"/>
      <c r="I66" s="278"/>
      <c r="J66" s="278"/>
      <c r="K66" s="278"/>
      <c r="L66" s="278"/>
      <c r="M66" s="278"/>
      <c r="N66" s="278"/>
      <c r="O66" s="278"/>
      <c r="P66" s="278"/>
      <c r="Q66" s="278"/>
      <c r="R66" s="278"/>
      <c r="S66" s="278"/>
      <c r="T66" s="278"/>
      <c r="U66" s="278"/>
      <c r="V66" s="278"/>
      <c r="W66" s="278"/>
      <c r="X66" s="278"/>
      <c r="Y66" s="278"/>
      <c r="AA66" s="286"/>
      <c r="AC66" s="278"/>
      <c r="AD66" s="278"/>
      <c r="AE66" s="278"/>
      <c r="AF66" s="278"/>
      <c r="AG66" s="278"/>
      <c r="AH66" s="278"/>
      <c r="AI66" s="278"/>
      <c r="AQ66" s="278"/>
      <c r="AR66" s="278"/>
      <c r="AS66" s="278"/>
      <c r="AT66" s="278"/>
      <c r="AU66" s="278"/>
      <c r="AV66" s="281"/>
      <c r="AW66" s="281"/>
      <c r="AX66" s="281"/>
      <c r="AY66" s="282"/>
      <c r="AZ66" s="282"/>
      <c r="BA66" s="261"/>
      <c r="BB66" s="261"/>
      <c r="BC66" s="261"/>
      <c r="BD66" s="262"/>
    </row>
    <row r="67" spans="1:56" ht="15.75" x14ac:dyDescent="0.25">
      <c r="A67" s="273" t="s">
        <v>61</v>
      </c>
      <c r="B67" s="283" t="s">
        <v>271</v>
      </c>
      <c r="D67" s="178"/>
      <c r="E67" s="275"/>
      <c r="F67" s="285" t="s">
        <v>55</v>
      </c>
      <c r="G67" s="274" t="str">
        <f>VLOOKUP(F67,'[2]Mkt cap'!$G$4:$H$82,2,FALSE)</f>
        <v>QUICKFOOD S.A.</v>
      </c>
      <c r="H67" s="278"/>
      <c r="I67" s="278"/>
      <c r="J67" s="278"/>
      <c r="K67" s="278"/>
      <c r="L67" s="278"/>
      <c r="M67" s="278"/>
      <c r="N67" s="278"/>
      <c r="O67" s="278"/>
      <c r="P67" s="278"/>
      <c r="Q67" s="278"/>
      <c r="R67" s="278"/>
      <c r="S67" s="278"/>
      <c r="T67" s="278"/>
      <c r="U67" s="278"/>
      <c r="V67" s="278"/>
      <c r="W67" s="278"/>
      <c r="X67" s="278"/>
      <c r="Y67" s="278"/>
      <c r="AA67" s="286"/>
      <c r="AC67" s="278"/>
      <c r="AD67" s="278"/>
      <c r="AE67" s="258"/>
      <c r="AF67" s="278"/>
      <c r="AG67" s="278"/>
      <c r="AH67" s="278"/>
      <c r="AI67" s="278"/>
      <c r="AQ67" s="278"/>
      <c r="AR67" s="278"/>
      <c r="AS67" s="278"/>
      <c r="AT67" s="278"/>
      <c r="AU67" s="278"/>
      <c r="AV67" s="281"/>
      <c r="AW67" s="281"/>
      <c r="AX67" s="281"/>
      <c r="AY67" s="282"/>
      <c r="AZ67" s="282"/>
      <c r="BA67" s="261"/>
      <c r="BB67" s="261"/>
      <c r="BC67" s="261"/>
      <c r="BD67" s="262"/>
    </row>
    <row r="68" spans="1:56" ht="15.75" x14ac:dyDescent="0.25">
      <c r="A68" s="273" t="s">
        <v>69</v>
      </c>
      <c r="B68" s="274" t="s">
        <v>272</v>
      </c>
      <c r="E68" s="278"/>
      <c r="F68" s="285" t="s">
        <v>73</v>
      </c>
      <c r="G68" s="274" t="str">
        <f>VLOOKUP(F68,'[2]Mkt cap'!$G$4:$H$82,2,FALSE)</f>
        <v>PHOENIX GLOBAL RESOURCES P.L.C.</v>
      </c>
      <c r="H68" s="278"/>
      <c r="I68" s="278"/>
      <c r="J68" s="278"/>
      <c r="K68" s="278"/>
      <c r="L68" s="278"/>
      <c r="M68" s="278"/>
      <c r="N68" s="278"/>
      <c r="O68" s="278"/>
      <c r="P68" s="278"/>
      <c r="Q68" s="278"/>
      <c r="R68" s="278"/>
      <c r="S68" s="278"/>
      <c r="T68" s="278"/>
      <c r="U68" s="278"/>
      <c r="V68" s="278"/>
      <c r="W68" s="278"/>
      <c r="X68" s="278"/>
      <c r="Y68" s="278"/>
      <c r="AA68" s="286"/>
      <c r="AC68" s="278"/>
      <c r="AD68" s="278"/>
      <c r="AE68" s="278"/>
      <c r="AF68" s="278"/>
      <c r="AG68" s="258"/>
      <c r="AH68" s="258"/>
      <c r="AI68" s="278"/>
      <c r="AQ68" s="278"/>
      <c r="AR68" s="278"/>
      <c r="AS68" s="278"/>
      <c r="AT68" s="278"/>
      <c r="AU68" s="278"/>
      <c r="AV68" s="281"/>
      <c r="AW68" s="281"/>
      <c r="AX68" s="281"/>
      <c r="AY68" s="282"/>
      <c r="AZ68" s="282"/>
      <c r="BA68" s="261"/>
      <c r="BB68" s="261"/>
      <c r="BC68" s="261"/>
      <c r="BD68" s="262"/>
    </row>
    <row r="69" spans="1:56" ht="15.75" x14ac:dyDescent="0.25">
      <c r="A69" s="273" t="s">
        <v>37</v>
      </c>
      <c r="B69" s="274" t="s">
        <v>273</v>
      </c>
      <c r="E69" s="278"/>
      <c r="F69" s="285" t="s">
        <v>24</v>
      </c>
      <c r="G69" s="274" t="str">
        <f>VLOOKUP(F69,'[2]Mkt cap'!$G$4:$H$82,2,FALSE)</f>
        <v>POLLEDO S.A.</v>
      </c>
      <c r="H69" s="278"/>
      <c r="I69" s="278"/>
      <c r="J69" s="278"/>
      <c r="K69" s="278"/>
      <c r="L69" s="278"/>
      <c r="M69" s="278"/>
      <c r="N69" s="278"/>
      <c r="O69" s="278"/>
      <c r="P69" s="278"/>
      <c r="Q69" s="278"/>
      <c r="R69" s="278"/>
      <c r="S69" s="278"/>
      <c r="T69" s="278"/>
      <c r="U69" s="278"/>
      <c r="V69" s="278"/>
      <c r="W69" s="278"/>
      <c r="X69" s="278"/>
      <c r="Y69" s="278"/>
      <c r="AA69" s="286"/>
      <c r="AC69" s="278"/>
      <c r="AD69" s="278"/>
      <c r="AE69" s="278"/>
      <c r="AF69" s="258"/>
      <c r="AG69" s="278"/>
      <c r="AH69" s="278"/>
      <c r="AI69" s="278"/>
      <c r="AQ69" s="278"/>
      <c r="AR69" s="278"/>
      <c r="AS69" s="278"/>
      <c r="AT69" s="278"/>
      <c r="AU69" s="278"/>
      <c r="AV69" s="281"/>
      <c r="AW69" s="281"/>
      <c r="AX69" s="281"/>
      <c r="AY69" s="282"/>
      <c r="AZ69" s="282"/>
      <c r="BA69" s="261"/>
      <c r="BB69" s="261"/>
      <c r="BC69" s="261"/>
      <c r="BD69" s="262"/>
    </row>
    <row r="70" spans="1:56" ht="15.75" x14ac:dyDescent="0.25">
      <c r="A70" s="273" t="s">
        <v>76</v>
      </c>
      <c r="B70" s="274" t="s">
        <v>274</v>
      </c>
      <c r="E70" s="278"/>
      <c r="F70" s="285" t="s">
        <v>7</v>
      </c>
      <c r="G70" s="274" t="str">
        <f>VLOOKUP(F70,'[2]Mkt cap'!$G$4:$H$82,2,FALSE)</f>
        <v>PETROLERA DEL CONOSUR S.A.</v>
      </c>
      <c r="H70" s="278"/>
      <c r="I70" s="278"/>
      <c r="J70" s="278"/>
      <c r="K70" s="278"/>
      <c r="L70" s="278"/>
      <c r="M70" s="278"/>
      <c r="N70" s="278"/>
      <c r="O70" s="278"/>
      <c r="P70" s="278"/>
      <c r="Q70" s="278"/>
      <c r="R70" s="278"/>
      <c r="S70" s="278"/>
      <c r="T70" s="278"/>
      <c r="U70" s="278"/>
      <c r="V70" s="278"/>
      <c r="W70" s="278"/>
      <c r="X70" s="278"/>
      <c r="Y70" s="278"/>
      <c r="AA70" s="286"/>
      <c r="AC70" s="278"/>
      <c r="AD70" s="278"/>
      <c r="AE70" s="278"/>
      <c r="AF70" s="278"/>
      <c r="AG70" s="278"/>
      <c r="AH70" s="278"/>
      <c r="AI70" s="278"/>
      <c r="AQ70" s="278"/>
      <c r="AR70" s="278"/>
      <c r="AS70" s="278"/>
      <c r="AT70" s="278"/>
      <c r="AU70" s="278"/>
      <c r="AV70" s="281"/>
      <c r="AW70" s="281"/>
      <c r="AX70" s="281"/>
      <c r="AY70" s="282"/>
      <c r="AZ70" s="282"/>
      <c r="BA70" s="261"/>
      <c r="BB70" s="261"/>
      <c r="BC70" s="261"/>
      <c r="BD70" s="262"/>
    </row>
    <row r="71" spans="1:56" ht="15.75" x14ac:dyDescent="0.25">
      <c r="A71" s="273" t="s">
        <v>70</v>
      </c>
      <c r="B71" s="274" t="s">
        <v>275</v>
      </c>
      <c r="D71" s="178"/>
      <c r="E71" s="275"/>
      <c r="F71" s="285" t="s">
        <v>65</v>
      </c>
      <c r="G71" s="274" t="str">
        <f>VLOOKUP(F71,'[2]Mkt cap'!$G$4:$H$82,2,FALSE)</f>
        <v>LABORATORIOS RICHMOND S.A.C.I.F.</v>
      </c>
      <c r="H71" s="258"/>
      <c r="I71" s="258"/>
      <c r="J71" s="278"/>
      <c r="K71" s="278"/>
      <c r="L71" s="278"/>
      <c r="M71" s="278"/>
      <c r="N71" s="278"/>
      <c r="O71" s="278"/>
      <c r="P71" s="278"/>
      <c r="Q71" s="278"/>
      <c r="R71" s="278"/>
      <c r="S71" s="278"/>
      <c r="T71" s="278"/>
      <c r="U71" s="278"/>
      <c r="V71" s="278"/>
      <c r="W71" s="278"/>
      <c r="X71" s="278"/>
      <c r="Y71" s="278"/>
      <c r="AA71" s="286"/>
      <c r="AC71" s="278"/>
      <c r="AD71" s="278"/>
      <c r="AE71" s="278"/>
      <c r="AF71" s="278"/>
      <c r="AG71" s="278"/>
      <c r="AH71" s="278"/>
      <c r="AI71" s="278"/>
      <c r="AQ71" s="278"/>
      <c r="AR71" s="278"/>
      <c r="AS71" s="278"/>
      <c r="AT71" s="278"/>
      <c r="AU71" s="278"/>
      <c r="AV71" s="281"/>
      <c r="AW71" s="281"/>
      <c r="AX71" s="281"/>
      <c r="AY71" s="282"/>
      <c r="AZ71" s="282"/>
      <c r="BA71" s="261"/>
      <c r="BB71" s="261"/>
      <c r="BC71" s="261"/>
      <c r="BD71" s="262"/>
    </row>
    <row r="72" spans="1:56" ht="15.75" x14ac:dyDescent="0.25">
      <c r="A72" s="273" t="s">
        <v>31</v>
      </c>
      <c r="B72" s="274" t="s">
        <v>276</v>
      </c>
      <c r="D72" s="178"/>
      <c r="E72" s="275"/>
      <c r="F72" s="285" t="s">
        <v>34</v>
      </c>
      <c r="G72" s="274" t="str">
        <f>VLOOKUP(F72,'[2]Mkt cap'!$G$4:$H$82,2,FALSE)</f>
        <v>RIGOLLEAU S.A.</v>
      </c>
      <c r="H72" s="278"/>
      <c r="I72" s="278"/>
      <c r="J72" s="278"/>
      <c r="K72" s="278"/>
      <c r="L72" s="278"/>
      <c r="M72" s="278"/>
      <c r="N72" s="278"/>
      <c r="O72" s="278"/>
      <c r="P72" s="278"/>
      <c r="Q72" s="278"/>
      <c r="R72" s="278"/>
      <c r="S72" s="278"/>
      <c r="T72" s="278"/>
      <c r="U72" s="278"/>
      <c r="V72" s="278"/>
      <c r="W72" s="278"/>
      <c r="X72" s="278"/>
      <c r="Y72" s="278"/>
      <c r="AA72" s="286"/>
      <c r="AC72" s="278"/>
      <c r="AD72" s="278"/>
      <c r="AE72" s="278"/>
      <c r="AF72" s="278"/>
      <c r="AG72" s="278"/>
      <c r="AH72" s="278"/>
      <c r="AI72" s="278"/>
      <c r="AQ72" s="278"/>
      <c r="AR72" s="278"/>
      <c r="AS72" s="278"/>
      <c r="AT72" s="278"/>
      <c r="AU72" s="278"/>
      <c r="AV72" s="281"/>
      <c r="AW72" s="281"/>
      <c r="AX72" s="281"/>
      <c r="AY72" s="282"/>
      <c r="AZ72" s="282"/>
      <c r="BA72" s="261"/>
      <c r="BB72" s="261"/>
      <c r="BC72" s="261"/>
      <c r="BD72" s="262"/>
    </row>
    <row r="73" spans="1:56" ht="15.75" x14ac:dyDescent="0.25">
      <c r="A73" s="273" t="s">
        <v>81</v>
      </c>
      <c r="B73" s="274" t="s">
        <v>277</v>
      </c>
      <c r="D73" s="178"/>
      <c r="E73" s="275"/>
      <c r="F73" s="290" t="s">
        <v>68</v>
      </c>
      <c r="G73" s="274" t="str">
        <f>VLOOKUP(F73,'[2]Mkt cap'!$G$4:$H$82,2,FALSE)</f>
        <v>INSTITUTO ROSENBUSCH S.A.</v>
      </c>
      <c r="H73" s="278"/>
      <c r="I73" s="278"/>
      <c r="J73" s="278"/>
      <c r="K73" s="278"/>
      <c r="L73" s="278"/>
      <c r="M73" s="278"/>
      <c r="N73" s="278"/>
      <c r="O73" s="278"/>
      <c r="P73" s="278"/>
      <c r="Q73" s="278"/>
      <c r="R73" s="278"/>
      <c r="S73" s="278"/>
      <c r="T73" s="278"/>
      <c r="U73" s="278"/>
      <c r="V73" s="278"/>
      <c r="W73" s="278"/>
      <c r="X73" s="278"/>
      <c r="Y73" s="278"/>
      <c r="AA73" s="288"/>
      <c r="AC73" s="278"/>
      <c r="AD73" s="278"/>
      <c r="AE73" s="278"/>
      <c r="AF73" s="278"/>
      <c r="AG73" s="278"/>
      <c r="AH73" s="278"/>
      <c r="AI73" s="278"/>
      <c r="AQ73" s="278"/>
      <c r="AR73" s="278"/>
      <c r="AS73" s="278"/>
      <c r="AT73" s="278"/>
      <c r="AU73" s="278"/>
      <c r="AV73" s="281"/>
      <c r="AW73" s="281"/>
      <c r="AX73" s="281"/>
      <c r="AY73" s="282"/>
      <c r="AZ73" s="282"/>
      <c r="BA73" s="261"/>
      <c r="BB73" s="261"/>
      <c r="BC73" s="261"/>
      <c r="BD73" s="262"/>
    </row>
    <row r="74" spans="1:56" ht="15.75" x14ac:dyDescent="0.25">
      <c r="A74" s="273" t="s">
        <v>64</v>
      </c>
      <c r="B74" s="274" t="s">
        <v>278</v>
      </c>
      <c r="D74" s="178"/>
      <c r="E74" s="275"/>
      <c r="F74" s="285" t="s">
        <v>23</v>
      </c>
      <c r="G74" s="274" t="str">
        <f>VLOOKUP(F74,'[2]Mkt cap'!$G$4:$H$82,2,FALSE)</f>
        <v>S.A. SAN MIGUEL</v>
      </c>
      <c r="H74" s="278"/>
      <c r="I74" s="278"/>
      <c r="J74" s="278"/>
      <c r="K74" s="278"/>
      <c r="L74" s="278"/>
      <c r="M74" s="278"/>
      <c r="N74" s="278"/>
      <c r="O74" s="278"/>
      <c r="P74" s="278"/>
      <c r="Q74" s="278"/>
      <c r="R74" s="278"/>
      <c r="S74" s="278"/>
      <c r="T74" s="278"/>
      <c r="U74" s="278"/>
      <c r="V74" s="278"/>
      <c r="W74" s="278"/>
      <c r="X74" s="278"/>
      <c r="Y74" s="278"/>
      <c r="AA74" s="286"/>
      <c r="AC74" s="278"/>
      <c r="AD74" s="278"/>
      <c r="AE74" s="278"/>
      <c r="AF74" s="278"/>
      <c r="AG74" s="278"/>
      <c r="AH74" s="278"/>
      <c r="AI74" s="278"/>
      <c r="AQ74" s="278"/>
      <c r="AR74" s="278"/>
      <c r="AS74" s="278"/>
      <c r="AT74" s="278"/>
      <c r="AU74" s="278"/>
      <c r="AV74" s="281"/>
      <c r="AW74" s="281"/>
      <c r="AX74" s="281"/>
      <c r="AY74" s="282"/>
      <c r="AZ74" s="282"/>
      <c r="BA74" s="261"/>
      <c r="BB74" s="261"/>
      <c r="BC74" s="261"/>
      <c r="BD74" s="262"/>
    </row>
    <row r="75" spans="1:56" ht="15.75" x14ac:dyDescent="0.25">
      <c r="A75" s="273" t="s">
        <v>17</v>
      </c>
      <c r="B75" s="274" t="s">
        <v>279</v>
      </c>
      <c r="E75" s="278"/>
      <c r="F75" s="285" t="s">
        <v>75</v>
      </c>
      <c r="G75" s="274" t="str">
        <f>VLOOKUP(F75,'[2]Mkt cap'!$G$4:$H$82,2,FALSE)</f>
        <v>MOLINOS JUAN SEMINO S.A.</v>
      </c>
      <c r="H75" s="278"/>
      <c r="I75" s="278"/>
      <c r="J75" s="278"/>
      <c r="K75" s="278"/>
      <c r="L75" s="278"/>
      <c r="M75" s="278"/>
      <c r="N75" s="278"/>
      <c r="O75" s="278"/>
      <c r="P75" s="278"/>
      <c r="Q75" s="278"/>
      <c r="R75" s="278"/>
      <c r="S75" s="278"/>
      <c r="T75" s="278"/>
      <c r="U75" s="278"/>
      <c r="V75" s="278"/>
      <c r="W75" s="278"/>
      <c r="X75" s="278"/>
      <c r="Y75" s="278"/>
      <c r="AA75" s="286"/>
      <c r="AC75" s="278"/>
      <c r="AD75" s="278"/>
      <c r="AE75" s="278"/>
      <c r="AF75" s="278"/>
      <c r="AG75" s="278"/>
      <c r="AH75" s="278"/>
      <c r="AI75" s="278"/>
      <c r="AQ75" s="278"/>
      <c r="AR75" s="278"/>
      <c r="AS75" s="278"/>
      <c r="AT75" s="278"/>
      <c r="AU75" s="278"/>
      <c r="AV75" s="281"/>
      <c r="AW75" s="281"/>
      <c r="AX75" s="281"/>
      <c r="AY75" s="282"/>
      <c r="AZ75" s="282"/>
      <c r="BA75" s="261"/>
      <c r="BB75" s="261"/>
      <c r="BC75" s="261"/>
      <c r="BD75" s="262"/>
    </row>
    <row r="76" spans="1:56" ht="15.75" x14ac:dyDescent="0.25">
      <c r="A76" s="273" t="s">
        <v>74</v>
      </c>
      <c r="B76" s="274" t="s">
        <v>280</v>
      </c>
      <c r="E76" s="278"/>
      <c r="F76" s="285" t="s">
        <v>59</v>
      </c>
      <c r="G76" s="274" t="str">
        <f>VLOOKUP(F76,'[2]Mkt cap'!$G$4:$H$82,2,FALSE)</f>
        <v>TELECOM ARGENTINA S. A.</v>
      </c>
      <c r="H76" s="278"/>
      <c r="I76" s="278"/>
      <c r="J76" s="278"/>
      <c r="K76" s="278"/>
      <c r="L76" s="278"/>
      <c r="M76" s="278"/>
      <c r="N76" s="278"/>
      <c r="O76" s="278"/>
      <c r="P76" s="278"/>
      <c r="Q76" s="278"/>
      <c r="R76" s="278"/>
      <c r="S76" s="278"/>
      <c r="T76" s="278"/>
      <c r="U76" s="278"/>
      <c r="V76" s="278"/>
      <c r="W76" s="278"/>
      <c r="X76" s="278"/>
      <c r="Y76" s="278"/>
      <c r="AA76" s="286"/>
      <c r="AC76" s="278"/>
      <c r="AD76" s="278"/>
      <c r="AE76" s="278"/>
      <c r="AF76" s="278"/>
      <c r="AG76" s="278"/>
      <c r="AH76" s="278"/>
      <c r="AI76" s="278"/>
      <c r="AQ76" s="278"/>
      <c r="AR76" s="278"/>
      <c r="AS76" s="278"/>
      <c r="AT76" s="278"/>
      <c r="AU76" s="278"/>
      <c r="AV76" s="281"/>
      <c r="AW76" s="281"/>
      <c r="AX76" s="281"/>
      <c r="AY76" s="282"/>
      <c r="AZ76" s="282"/>
      <c r="BA76" s="261"/>
      <c r="BB76" s="261"/>
      <c r="BC76" s="261"/>
      <c r="BD76" s="262"/>
    </row>
    <row r="77" spans="1:56" ht="15.75" x14ac:dyDescent="0.25">
      <c r="A77" s="273" t="s">
        <v>66</v>
      </c>
      <c r="B77" s="274" t="s">
        <v>281</v>
      </c>
      <c r="E77" s="278"/>
      <c r="F77" s="285" t="s">
        <v>9</v>
      </c>
      <c r="G77" s="274" t="str">
        <f>VLOOKUP(F77,'[2]Mkt cap'!$G$4:$H$82,2,FALSE)</f>
        <v>TELEFONICA S.A.</v>
      </c>
      <c r="H77" s="278"/>
      <c r="I77" s="278"/>
      <c r="J77" s="278"/>
      <c r="K77" s="278"/>
      <c r="L77" s="278"/>
      <c r="M77" s="278"/>
      <c r="N77" s="278"/>
      <c r="O77" s="278"/>
      <c r="P77" s="278"/>
      <c r="Q77" s="278"/>
      <c r="R77" s="278"/>
      <c r="S77" s="278"/>
      <c r="T77" s="278"/>
      <c r="U77" s="278"/>
      <c r="V77" s="278"/>
      <c r="W77" s="278"/>
      <c r="X77" s="278"/>
      <c r="Y77" s="278"/>
      <c r="AA77" s="286"/>
      <c r="AC77" s="278"/>
      <c r="AD77" s="278"/>
      <c r="AE77" s="278"/>
      <c r="AF77" s="278"/>
      <c r="AG77" s="278"/>
      <c r="AH77" s="278"/>
      <c r="AI77" s="278"/>
      <c r="AQ77" s="278"/>
      <c r="AR77" s="278"/>
      <c r="AS77" s="278"/>
      <c r="AT77" s="278"/>
      <c r="AU77" s="278"/>
      <c r="AV77" s="281"/>
      <c r="AW77" s="281"/>
      <c r="AX77" s="281"/>
      <c r="AY77" s="282"/>
      <c r="AZ77" s="282"/>
      <c r="BA77" s="261"/>
      <c r="BB77" s="261"/>
      <c r="BC77" s="261"/>
      <c r="BD77" s="262"/>
    </row>
    <row r="78" spans="1:56" ht="15.75" x14ac:dyDescent="0.25">
      <c r="A78" s="273" t="s">
        <v>49</v>
      </c>
      <c r="B78" s="274" t="s">
        <v>282</v>
      </c>
      <c r="D78" s="178"/>
      <c r="E78" s="275"/>
      <c r="F78" s="285" t="s">
        <v>22</v>
      </c>
      <c r="G78" s="274" t="str">
        <f>VLOOKUP(F78,'[2]Mkt cap'!$G$4:$H$82,2,FALSE)</f>
        <v>TGLT S.A.</v>
      </c>
      <c r="H78" s="278"/>
      <c r="I78" s="278"/>
      <c r="J78" s="278"/>
      <c r="K78" s="278"/>
      <c r="L78" s="278"/>
      <c r="M78" s="278"/>
      <c r="N78" s="278"/>
      <c r="O78" s="278"/>
      <c r="P78" s="278"/>
      <c r="Q78" s="278"/>
      <c r="R78" s="278"/>
      <c r="S78" s="278"/>
      <c r="T78" s="278"/>
      <c r="U78" s="278"/>
      <c r="V78" s="278"/>
      <c r="W78" s="278"/>
      <c r="X78" s="278"/>
      <c r="Y78" s="278"/>
      <c r="AA78" s="286"/>
      <c r="AC78" s="278"/>
      <c r="AD78" s="278"/>
      <c r="AE78" s="278"/>
      <c r="AF78" s="278"/>
      <c r="AG78" s="278"/>
      <c r="AH78" s="278"/>
      <c r="AI78" s="278"/>
      <c r="AQ78" s="278"/>
      <c r="AR78" s="278"/>
      <c r="AS78" s="278"/>
      <c r="AT78" s="278"/>
      <c r="AU78" s="278"/>
      <c r="AV78" s="281"/>
      <c r="AW78" s="281"/>
      <c r="AX78" s="281"/>
      <c r="AY78" s="282"/>
      <c r="AZ78" s="282"/>
      <c r="BA78" s="261"/>
      <c r="BB78" s="261"/>
      <c r="BC78" s="261"/>
      <c r="BD78" s="262"/>
    </row>
    <row r="79" spans="1:56" ht="15.75" x14ac:dyDescent="0.25">
      <c r="A79" s="273" t="s">
        <v>283</v>
      </c>
      <c r="B79" s="274" t="s">
        <v>284</v>
      </c>
      <c r="D79" s="178"/>
      <c r="E79" s="275"/>
      <c r="F79" s="285" t="s">
        <v>53</v>
      </c>
      <c r="G79" s="274" t="str">
        <f>VLOOKUP(F79,'[2]Mkt cap'!$G$4:$H$82,2,FALSE)</f>
        <v>TRANSPORTADORA DE GAS DEL NORTE S.A.</v>
      </c>
      <c r="H79" s="278"/>
      <c r="I79" s="278"/>
      <c r="J79" s="278"/>
      <c r="K79" s="278"/>
      <c r="L79" s="278"/>
      <c r="M79" s="278"/>
      <c r="N79" s="278"/>
      <c r="O79" s="278"/>
      <c r="P79" s="278"/>
      <c r="Q79" s="278"/>
      <c r="R79" s="278"/>
      <c r="S79" s="278"/>
      <c r="T79" s="278"/>
      <c r="U79" s="278"/>
      <c r="V79" s="278"/>
      <c r="W79" s="278"/>
      <c r="X79" s="278"/>
      <c r="Y79" s="278"/>
      <c r="AA79" s="286"/>
      <c r="AC79" s="278"/>
      <c r="AD79" s="278"/>
      <c r="AE79" s="278"/>
      <c r="AF79" s="278"/>
      <c r="AG79" s="278"/>
      <c r="AH79" s="278"/>
      <c r="AI79" s="278"/>
      <c r="AQ79" s="278"/>
      <c r="AR79" s="278"/>
      <c r="AS79" s="278"/>
      <c r="AT79" s="278"/>
      <c r="AU79" s="278"/>
      <c r="AV79" s="281"/>
      <c r="AW79" s="281"/>
      <c r="AX79" s="281"/>
      <c r="AY79" s="282"/>
      <c r="AZ79" s="282"/>
      <c r="BA79" s="261"/>
      <c r="BB79" s="261"/>
      <c r="BC79" s="261"/>
      <c r="BD79" s="262"/>
    </row>
    <row r="80" spans="1:56" ht="15.75" x14ac:dyDescent="0.25">
      <c r="A80" s="273" t="s">
        <v>47</v>
      </c>
      <c r="B80" s="274" t="s">
        <v>285</v>
      </c>
      <c r="D80" s="178"/>
      <c r="E80" s="275"/>
      <c r="F80" s="285" t="s">
        <v>19</v>
      </c>
      <c r="G80" s="274" t="str">
        <f>VLOOKUP(F80,'[2]Mkt cap'!$G$4:$H$82,2,FALSE)</f>
        <v>TRANSPORTADORA DE GAS DEL SUR S.A.</v>
      </c>
      <c r="H80" s="278"/>
      <c r="I80" s="278"/>
      <c r="J80" s="278"/>
      <c r="K80" s="278"/>
      <c r="L80" s="278"/>
      <c r="M80" s="278"/>
      <c r="N80" s="278"/>
      <c r="O80" s="278"/>
      <c r="P80" s="278"/>
      <c r="Q80" s="278"/>
      <c r="R80" s="278"/>
      <c r="S80" s="278"/>
      <c r="T80" s="278"/>
      <c r="U80" s="278"/>
      <c r="V80" s="278"/>
      <c r="W80" s="278"/>
      <c r="X80" s="278"/>
      <c r="Y80" s="278"/>
      <c r="AA80" s="286"/>
      <c r="AC80" s="278"/>
      <c r="AD80" s="278"/>
      <c r="AE80" s="278"/>
      <c r="AF80" s="278"/>
      <c r="AG80" s="278"/>
      <c r="AH80" s="278"/>
      <c r="AI80" s="278"/>
      <c r="AQ80" s="278"/>
      <c r="AR80" s="278"/>
      <c r="AS80" s="278"/>
      <c r="AT80" s="278"/>
      <c r="AU80" s="278"/>
      <c r="AV80" s="281"/>
      <c r="AW80" s="281"/>
      <c r="AX80" s="281"/>
      <c r="AY80" s="282"/>
      <c r="AZ80" s="282"/>
      <c r="BA80" s="261"/>
      <c r="BB80" s="261"/>
      <c r="BC80" s="261"/>
      <c r="BD80" s="262"/>
    </row>
    <row r="81" spans="1:56" ht="15.75" x14ac:dyDescent="0.25">
      <c r="A81" s="273" t="s">
        <v>78</v>
      </c>
      <c r="B81" s="274" t="s">
        <v>286</v>
      </c>
      <c r="D81" s="178"/>
      <c r="E81" s="275"/>
      <c r="F81" s="285" t="s">
        <v>54</v>
      </c>
      <c r="G81" s="274" t="str">
        <f>VLOOKUP(F81,'[2]Mkt cap'!$G$4:$H$82,2,FALSE)</f>
        <v>TRANSENER CIA. DE TRANSP. DE ENERGIA ELECTR. EN ALTA TENSION</v>
      </c>
      <c r="H81" s="278"/>
      <c r="I81" s="278"/>
      <c r="J81" s="278"/>
      <c r="K81" s="278"/>
      <c r="L81" s="278"/>
      <c r="M81" s="278"/>
      <c r="N81" s="278"/>
      <c r="O81" s="278"/>
      <c r="P81" s="278"/>
      <c r="Q81" s="278"/>
      <c r="R81" s="278"/>
      <c r="S81" s="278"/>
      <c r="T81" s="278"/>
      <c r="U81" s="278"/>
      <c r="V81" s="278"/>
      <c r="W81" s="278"/>
      <c r="X81" s="278"/>
      <c r="Y81" s="278"/>
      <c r="AA81" s="286"/>
      <c r="AC81" s="278"/>
      <c r="AD81" s="278"/>
      <c r="AE81" s="278"/>
      <c r="AF81" s="278"/>
      <c r="AG81" s="278"/>
      <c r="AH81" s="278"/>
      <c r="AI81" s="278"/>
      <c r="AQ81" s="278"/>
      <c r="AR81" s="278"/>
      <c r="AS81" s="278"/>
      <c r="AT81" s="278"/>
      <c r="AU81" s="278"/>
      <c r="AV81" s="281"/>
      <c r="AW81" s="281"/>
      <c r="AX81" s="281"/>
      <c r="AY81" s="282"/>
      <c r="AZ81" s="282"/>
      <c r="BA81" s="261"/>
      <c r="BB81" s="261"/>
      <c r="BC81" s="261"/>
      <c r="BD81" s="262"/>
    </row>
    <row r="82" spans="1:56" ht="15.75" x14ac:dyDescent="0.25">
      <c r="A82" s="273" t="s">
        <v>16</v>
      </c>
      <c r="B82" s="274" t="s">
        <v>287</v>
      </c>
      <c r="D82" s="178"/>
      <c r="E82" s="275"/>
      <c r="F82" s="285" t="s">
        <v>50</v>
      </c>
      <c r="G82" s="274" t="str">
        <f>VLOOKUP(F82,'[2]Mkt cap'!$G$4:$H$82,2,FALSE)</f>
        <v>TENARIS S.A.</v>
      </c>
      <c r="H82" s="278"/>
      <c r="I82" s="278"/>
      <c r="J82" s="278"/>
      <c r="K82" s="278"/>
      <c r="L82" s="278"/>
      <c r="M82" s="278"/>
      <c r="N82" s="278"/>
      <c r="O82" s="278"/>
      <c r="P82" s="278"/>
      <c r="Q82" s="278"/>
      <c r="R82" s="278"/>
      <c r="S82" s="278"/>
      <c r="T82" s="278"/>
      <c r="U82" s="278"/>
      <c r="V82" s="278"/>
      <c r="W82" s="278"/>
      <c r="X82" s="278"/>
      <c r="Y82" s="278"/>
      <c r="AA82" s="286"/>
      <c r="AC82" s="278"/>
      <c r="AD82" s="278"/>
      <c r="AE82" s="278"/>
      <c r="AF82" s="278"/>
      <c r="AG82" s="278"/>
      <c r="AH82" s="278"/>
      <c r="AI82" s="278"/>
      <c r="AQ82" s="278"/>
      <c r="AR82" s="278"/>
      <c r="AS82" s="278"/>
      <c r="AT82" s="278"/>
      <c r="AU82" s="278"/>
      <c r="AV82" s="281"/>
      <c r="AW82" s="281"/>
      <c r="AX82" s="281"/>
      <c r="AY82" s="282"/>
      <c r="AZ82" s="282"/>
      <c r="BA82" s="261"/>
      <c r="BB82" s="261"/>
      <c r="BC82" s="261"/>
      <c r="BD82" s="262"/>
    </row>
    <row r="83" spans="1:56" ht="15.75" x14ac:dyDescent="0.25">
      <c r="A83" s="273" t="s">
        <v>43</v>
      </c>
      <c r="B83" s="274" t="s">
        <v>288</v>
      </c>
      <c r="D83" s="178"/>
      <c r="E83" s="275"/>
      <c r="F83" s="285" t="s">
        <v>45</v>
      </c>
      <c r="G83" s="274" t="str">
        <f>VLOOKUP(F83,'[2]Mkt cap'!$G$4:$H$82,2,FALSE)</f>
        <v>TERNIUM ARGENTINA S.A.</v>
      </c>
      <c r="H83" s="278"/>
      <c r="I83" s="278"/>
      <c r="J83" s="278"/>
      <c r="K83" s="278"/>
      <c r="L83" s="278"/>
      <c r="M83" s="278"/>
      <c r="N83" s="278"/>
      <c r="O83" s="278"/>
      <c r="P83" s="278"/>
      <c r="Q83" s="278"/>
      <c r="R83" s="278"/>
      <c r="S83" s="278"/>
      <c r="T83" s="278"/>
      <c r="U83" s="278"/>
      <c r="V83" s="278"/>
      <c r="W83" s="278"/>
      <c r="X83" s="278"/>
      <c r="Y83" s="278"/>
      <c r="AA83" s="286"/>
      <c r="AC83" s="278"/>
      <c r="AD83" s="278"/>
      <c r="AE83" s="278"/>
      <c r="AF83" s="278"/>
      <c r="AG83" s="278"/>
      <c r="AH83" s="278"/>
      <c r="AI83" s="278"/>
      <c r="AQ83" s="278"/>
      <c r="AR83" s="278"/>
      <c r="AS83" s="278"/>
      <c r="AT83" s="278"/>
      <c r="AU83" s="278"/>
      <c r="AV83" s="281"/>
      <c r="AW83" s="281"/>
      <c r="AX83" s="281"/>
      <c r="AY83" s="282"/>
      <c r="AZ83" s="282"/>
      <c r="BA83" s="261"/>
      <c r="BB83" s="261"/>
      <c r="BC83" s="261"/>
      <c r="BD83" s="262"/>
    </row>
    <row r="84" spans="1:56" ht="15.75" x14ac:dyDescent="0.25">
      <c r="A84" s="273" t="s">
        <v>14</v>
      </c>
      <c r="B84" s="274" t="s">
        <v>289</v>
      </c>
      <c r="D84" s="178"/>
      <c r="E84" s="275"/>
      <c r="F84" s="285" t="s">
        <v>62</v>
      </c>
      <c r="G84" s="274" t="str">
        <f>VLOOKUP(F84,'[2]Mkt cap'!$G$4:$H$82,2,FALSE)</f>
        <v>GRUPO FINANCIERO VALORES SOCIEDAD ANONIMA</v>
      </c>
      <c r="H84" s="278"/>
      <c r="I84" s="278"/>
      <c r="J84" s="278"/>
      <c r="K84" s="278"/>
      <c r="L84" s="278"/>
      <c r="M84" s="278"/>
      <c r="N84" s="278"/>
      <c r="O84" s="278"/>
      <c r="P84" s="278"/>
      <c r="Q84" s="278"/>
      <c r="R84" s="278"/>
      <c r="S84" s="278"/>
      <c r="T84" s="278"/>
      <c r="U84" s="278"/>
      <c r="V84" s="278"/>
      <c r="W84" s="278"/>
      <c r="X84" s="278"/>
      <c r="Y84" s="278"/>
      <c r="AA84" s="286"/>
      <c r="AC84" s="278"/>
      <c r="AD84" s="278"/>
      <c r="AE84" s="280"/>
      <c r="AF84" s="278"/>
      <c r="AG84" s="278"/>
      <c r="AH84" s="278"/>
      <c r="AI84" s="278"/>
      <c r="AQ84" s="278"/>
      <c r="AR84" s="278"/>
      <c r="AS84" s="278"/>
      <c r="AT84" s="278"/>
      <c r="AU84" s="278"/>
      <c r="AV84" s="281"/>
      <c r="AW84" s="281"/>
      <c r="AX84" s="281"/>
      <c r="AY84" s="282"/>
      <c r="AZ84" s="282"/>
      <c r="BA84" s="261"/>
      <c r="BB84" s="261"/>
      <c r="BC84" s="261"/>
      <c r="BD84" s="262"/>
    </row>
    <row r="85" spans="1:56" ht="15.75" x14ac:dyDescent="0.25">
      <c r="A85" s="273" t="s">
        <v>77</v>
      </c>
      <c r="B85" s="274" t="s">
        <v>290</v>
      </c>
      <c r="D85" s="178"/>
      <c r="E85" s="275"/>
      <c r="F85" s="290" t="s">
        <v>57</v>
      </c>
      <c r="G85" s="274" t="str">
        <f>VLOOKUP(F85,'[2]Mkt cap'!$G$4:$H$82,2,FALSE)</f>
        <v>YPF S.A.</v>
      </c>
      <c r="H85" s="278"/>
      <c r="I85" s="278"/>
      <c r="J85" s="278"/>
      <c r="K85" s="278"/>
      <c r="L85" s="278"/>
      <c r="M85" s="278"/>
      <c r="N85" s="278"/>
      <c r="O85" s="278"/>
      <c r="P85" s="278"/>
      <c r="Q85" s="278"/>
      <c r="R85" s="278"/>
      <c r="S85" s="278"/>
      <c r="T85" s="278"/>
      <c r="U85" s="278"/>
      <c r="V85" s="278"/>
      <c r="W85" s="278"/>
      <c r="X85" s="278"/>
      <c r="Y85" s="278"/>
      <c r="AA85" s="286"/>
      <c r="AC85" s="278"/>
      <c r="AD85" s="280"/>
      <c r="AE85" s="280"/>
      <c r="AF85" s="278"/>
      <c r="AG85" s="278"/>
      <c r="AH85" s="278"/>
      <c r="AI85" s="258"/>
      <c r="AQ85" s="258"/>
      <c r="AR85" s="258"/>
      <c r="AS85" s="258"/>
      <c r="AT85" s="278"/>
      <c r="AU85" s="278"/>
      <c r="AV85" s="281"/>
      <c r="AW85" s="281"/>
      <c r="AX85" s="281"/>
      <c r="AY85" s="282"/>
      <c r="AZ85" s="282"/>
      <c r="BA85" s="261"/>
      <c r="BB85" s="261"/>
      <c r="BC85" s="261"/>
      <c r="BD85" s="262"/>
    </row>
    <row r="86" spans="1:56" ht="15.75" x14ac:dyDescent="0.25">
      <c r="A86" s="290" t="s">
        <v>63</v>
      </c>
      <c r="B86" s="274" t="s">
        <v>291</v>
      </c>
      <c r="D86" s="178"/>
      <c r="E86" s="291"/>
      <c r="H86" s="278"/>
      <c r="I86" s="278"/>
      <c r="J86" s="278"/>
      <c r="K86" s="278"/>
      <c r="L86" s="278"/>
      <c r="M86" s="278"/>
      <c r="N86" s="278"/>
      <c r="O86" s="278"/>
      <c r="P86" s="278"/>
      <c r="Q86" s="278"/>
      <c r="R86" s="278"/>
      <c r="S86" s="278"/>
      <c r="T86" s="278"/>
      <c r="U86" s="278"/>
      <c r="V86" s="278"/>
      <c r="W86" s="278"/>
      <c r="X86" s="278"/>
      <c r="Y86" s="278"/>
      <c r="AA86" s="286"/>
      <c r="AC86" s="278"/>
      <c r="AD86" s="280"/>
      <c r="AE86" s="280"/>
      <c r="AF86" s="280"/>
      <c r="AG86" s="280"/>
      <c r="AH86" s="280"/>
      <c r="AI86" s="280"/>
      <c r="AQ86" s="280"/>
      <c r="AR86" s="280"/>
      <c r="AS86" s="280"/>
      <c r="AT86" s="278"/>
      <c r="AU86" s="278"/>
      <c r="AV86" s="281"/>
      <c r="AW86" s="281"/>
      <c r="AX86" s="281"/>
      <c r="AY86" s="282"/>
      <c r="AZ86" s="282"/>
      <c r="BA86" s="261"/>
      <c r="BB86" s="261"/>
      <c r="BC86" s="261"/>
      <c r="BD86" s="262"/>
    </row>
    <row r="87" spans="1:56" ht="15.75" x14ac:dyDescent="0.25">
      <c r="A87" s="290"/>
      <c r="B87" s="292"/>
      <c r="D87" s="178"/>
      <c r="E87" s="291"/>
      <c r="H87" s="278"/>
      <c r="I87" s="278"/>
      <c r="J87" s="278"/>
      <c r="K87" s="278"/>
      <c r="L87" s="278"/>
      <c r="M87" s="278"/>
      <c r="N87" s="278"/>
      <c r="O87" s="278"/>
      <c r="P87" s="278"/>
      <c r="Q87" s="278"/>
      <c r="R87" s="278"/>
      <c r="S87" s="278"/>
      <c r="T87" s="278"/>
      <c r="U87" s="278"/>
      <c r="V87" s="278"/>
      <c r="W87" s="278"/>
      <c r="X87" s="278"/>
      <c r="Y87" s="278"/>
      <c r="AA87" s="286"/>
      <c r="AC87" s="278"/>
      <c r="AD87" s="280"/>
      <c r="AE87" s="280"/>
      <c r="AF87" s="280"/>
      <c r="AG87" s="280"/>
      <c r="AH87" s="280"/>
      <c r="AI87" s="280"/>
      <c r="AQ87" s="280"/>
      <c r="AR87" s="280"/>
      <c r="AS87" s="280"/>
      <c r="AT87" s="278"/>
      <c r="AU87" s="278"/>
      <c r="AV87" s="281"/>
      <c r="AW87" s="281"/>
      <c r="AX87" s="281"/>
      <c r="AY87" s="282"/>
      <c r="AZ87" s="282"/>
      <c r="BA87" s="261"/>
      <c r="BB87" s="261"/>
      <c r="BC87" s="261"/>
      <c r="BD87" s="262"/>
    </row>
    <row r="88" spans="1:56" ht="15.75" x14ac:dyDescent="0.25">
      <c r="A88" s="256" t="s">
        <v>292</v>
      </c>
      <c r="B88" s="293"/>
      <c r="D88" s="294"/>
      <c r="E88" s="278"/>
      <c r="F88" s="278"/>
      <c r="G88" s="258"/>
      <c r="H88" s="258"/>
      <c r="I88" s="258"/>
      <c r="J88" s="258"/>
      <c r="K88" s="258"/>
      <c r="L88" s="258"/>
      <c r="M88" s="258"/>
      <c r="N88" s="258"/>
      <c r="O88" s="258"/>
      <c r="P88" s="258"/>
      <c r="Q88" s="258"/>
      <c r="R88" s="258"/>
      <c r="S88" s="258"/>
      <c r="T88" s="258"/>
      <c r="U88" s="258"/>
      <c r="V88" s="258"/>
      <c r="W88" s="258"/>
      <c r="X88" s="258"/>
      <c r="Y88" s="258"/>
      <c r="Z88" s="258"/>
      <c r="AA88" s="258"/>
      <c r="AB88" s="258"/>
      <c r="AC88" s="258"/>
      <c r="AD88" s="258"/>
      <c r="AE88" s="258"/>
      <c r="AF88" s="258"/>
      <c r="AG88" s="258"/>
      <c r="AH88" s="258"/>
      <c r="AI88" s="258"/>
      <c r="AJ88" s="258"/>
      <c r="AK88" s="258"/>
      <c r="AL88" s="258"/>
      <c r="AM88" s="258"/>
      <c r="AN88" s="257" t="s">
        <v>293</v>
      </c>
      <c r="AO88" s="258"/>
      <c r="AP88" s="258"/>
      <c r="AQ88" s="258"/>
      <c r="AR88" s="258"/>
      <c r="AS88" s="258"/>
      <c r="AT88" s="258"/>
      <c r="AU88" s="258"/>
      <c r="AV88" s="260"/>
      <c r="AW88" s="260"/>
      <c r="AX88" s="260"/>
      <c r="AY88" s="261"/>
      <c r="AZ88" s="261"/>
      <c r="BA88" s="261"/>
      <c r="BB88" s="261"/>
      <c r="BC88" s="261"/>
      <c r="BD88" s="262"/>
    </row>
    <row r="89" spans="1:56" ht="6" customHeight="1" x14ac:dyDescent="0.25">
      <c r="A89" s="293"/>
      <c r="B89" s="293"/>
      <c r="C89" s="295"/>
      <c r="D89" s="294"/>
      <c r="E89" s="278"/>
      <c r="F89" s="278"/>
      <c r="G89" s="258"/>
      <c r="H89" s="258"/>
      <c r="I89" s="258"/>
      <c r="J89" s="258"/>
      <c r="K89" s="258"/>
      <c r="L89" s="258"/>
      <c r="M89" s="258"/>
      <c r="N89" s="258"/>
      <c r="O89" s="258"/>
      <c r="P89" s="258"/>
      <c r="Q89" s="258"/>
      <c r="R89" s="258"/>
      <c r="S89" s="258"/>
      <c r="T89" s="258"/>
      <c r="U89" s="258"/>
      <c r="V89" s="258"/>
      <c r="W89" s="258"/>
      <c r="X89" s="258"/>
      <c r="Y89" s="258"/>
      <c r="Z89" s="258"/>
      <c r="AA89" s="258"/>
      <c r="AB89" s="258"/>
      <c r="AC89" s="258"/>
      <c r="AD89" s="258"/>
      <c r="AE89" s="258"/>
      <c r="AF89" s="258"/>
      <c r="AG89" s="258"/>
      <c r="AH89" s="258"/>
      <c r="AI89" s="258"/>
      <c r="AJ89" s="258"/>
      <c r="AK89" s="258"/>
      <c r="AL89" s="258"/>
      <c r="AM89" s="258"/>
      <c r="AN89" s="258"/>
      <c r="AO89" s="258"/>
      <c r="AP89" s="258"/>
      <c r="AQ89" s="258"/>
      <c r="AR89" s="258"/>
      <c r="AS89" s="258"/>
      <c r="AT89" s="258"/>
      <c r="AU89" s="258"/>
      <c r="AV89" s="260"/>
      <c r="AW89" s="260"/>
      <c r="AX89" s="260"/>
      <c r="AY89" s="261"/>
      <c r="AZ89" s="261"/>
      <c r="BA89" s="261"/>
      <c r="BB89" s="261"/>
      <c r="BC89" s="261"/>
      <c r="BD89" s="262"/>
    </row>
    <row r="90" spans="1:56" ht="15.75" x14ac:dyDescent="0.25">
      <c r="A90" s="296" t="s">
        <v>294</v>
      </c>
      <c r="B90" s="296"/>
      <c r="C90" s="297"/>
      <c r="D90" s="294"/>
      <c r="E90" s="296" t="s">
        <v>295</v>
      </c>
      <c r="F90" s="296"/>
      <c r="G90" s="297"/>
      <c r="H90" s="221"/>
      <c r="I90" s="296" t="s">
        <v>296</v>
      </c>
      <c r="J90" s="296"/>
      <c r="L90" s="258"/>
      <c r="M90" s="258"/>
      <c r="N90" s="258"/>
      <c r="O90" s="258"/>
      <c r="P90" s="258"/>
      <c r="Q90" s="31"/>
      <c r="R90" s="298"/>
      <c r="S90" s="298"/>
      <c r="T90" s="298"/>
      <c r="U90" s="298"/>
      <c r="V90" s="258"/>
      <c r="W90" s="258"/>
      <c r="X90" s="258"/>
      <c r="Y90" s="258"/>
      <c r="Z90" s="258"/>
      <c r="AC90" s="31"/>
      <c r="AD90" s="298"/>
      <c r="AE90" s="298"/>
      <c r="AF90" s="258"/>
      <c r="AG90" s="258"/>
      <c r="AH90" s="258"/>
      <c r="AI90" s="258"/>
      <c r="AJ90" s="258"/>
      <c r="AK90" s="258"/>
      <c r="AL90" s="258"/>
      <c r="AM90" s="258"/>
      <c r="AN90" s="299" t="s">
        <v>297</v>
      </c>
      <c r="AO90" s="258"/>
      <c r="AP90" s="258"/>
      <c r="AQ90" s="258"/>
      <c r="AR90" s="258"/>
      <c r="AS90" s="258"/>
      <c r="AT90" s="258"/>
      <c r="AU90" s="258"/>
      <c r="AV90" s="260"/>
      <c r="AW90" s="260"/>
      <c r="AX90" s="260"/>
      <c r="AY90" s="261"/>
      <c r="AZ90" s="261"/>
      <c r="BA90" s="261"/>
      <c r="BB90" s="261"/>
      <c r="BC90" s="261"/>
      <c r="BD90" s="262"/>
    </row>
    <row r="91" spans="1:56" ht="15.75" x14ac:dyDescent="0.25">
      <c r="A91" s="300" t="s">
        <v>4</v>
      </c>
      <c r="B91" s="301" t="s">
        <v>298</v>
      </c>
      <c r="C91" s="31"/>
      <c r="D91" s="294"/>
      <c r="E91" s="300" t="s">
        <v>4</v>
      </c>
      <c r="F91" s="301" t="s">
        <v>298</v>
      </c>
      <c r="G91" s="297"/>
      <c r="H91" s="221"/>
      <c r="I91" s="300" t="s">
        <v>4</v>
      </c>
      <c r="J91" s="301" t="s">
        <v>298</v>
      </c>
      <c r="L91" s="258"/>
      <c r="M91" s="258"/>
      <c r="N91" s="258"/>
      <c r="O91" s="258"/>
      <c r="P91" s="258"/>
      <c r="Q91" s="31"/>
      <c r="R91" s="302"/>
      <c r="S91" s="31"/>
      <c r="T91" s="302"/>
      <c r="U91" s="302"/>
      <c r="V91" s="258"/>
      <c r="W91" s="258"/>
      <c r="X91" s="258"/>
      <c r="Y91" s="258"/>
      <c r="Z91" s="258"/>
      <c r="AC91" s="31"/>
      <c r="AD91" s="302"/>
      <c r="AE91" s="302"/>
      <c r="AF91" s="258"/>
      <c r="AG91" s="258"/>
      <c r="AH91" s="258"/>
      <c r="AI91" s="258"/>
      <c r="AJ91" s="258"/>
      <c r="AK91" s="258"/>
      <c r="AL91" s="258"/>
      <c r="AM91" s="258"/>
      <c r="AN91" s="258"/>
      <c r="AO91" s="258"/>
      <c r="AP91" s="258"/>
      <c r="AQ91" s="258"/>
      <c r="AR91" s="258"/>
      <c r="AS91" s="258"/>
      <c r="AT91" s="258"/>
      <c r="AU91" s="258"/>
      <c r="AV91" s="260"/>
      <c r="AW91" s="260"/>
      <c r="AX91" s="260"/>
      <c r="AY91" s="261"/>
      <c r="AZ91" s="261"/>
      <c r="BA91" s="261"/>
      <c r="BB91" s="261"/>
      <c r="BC91" s="261"/>
      <c r="BD91" s="262"/>
    </row>
    <row r="92" spans="1:56" ht="15.75" x14ac:dyDescent="0.25">
      <c r="A92" s="39" t="s">
        <v>43</v>
      </c>
      <c r="B92" s="303">
        <v>0.17580000000000001</v>
      </c>
      <c r="C92" s="39"/>
      <c r="D92" s="294"/>
      <c r="E92" s="39" t="s">
        <v>43</v>
      </c>
      <c r="F92" s="303">
        <v>0.1973</v>
      </c>
      <c r="G92" s="288"/>
      <c r="H92" s="221"/>
      <c r="I92" s="39" t="s">
        <v>43</v>
      </c>
      <c r="J92" s="303">
        <v>0.16520000000000001</v>
      </c>
      <c r="L92" s="258"/>
      <c r="M92" s="258"/>
      <c r="N92" s="258"/>
      <c r="O92" s="258"/>
      <c r="P92" s="258"/>
      <c r="Q92" s="31"/>
      <c r="R92" s="304"/>
      <c r="S92" s="31"/>
      <c r="T92" s="305"/>
      <c r="U92" s="305"/>
      <c r="V92" s="258"/>
      <c r="W92" s="258"/>
      <c r="X92" s="258"/>
      <c r="Y92" s="258"/>
      <c r="Z92" s="258"/>
      <c r="AC92" s="31"/>
      <c r="AD92" s="305"/>
      <c r="AE92" s="305"/>
      <c r="AF92" s="258"/>
      <c r="AG92" s="258"/>
      <c r="AH92" s="258"/>
      <c r="AI92" s="258"/>
      <c r="AJ92" s="258"/>
      <c r="AK92" s="258"/>
      <c r="AL92" s="258"/>
      <c r="AM92" s="258"/>
      <c r="AN92" s="299" t="s">
        <v>8</v>
      </c>
      <c r="AO92" s="258"/>
      <c r="AP92" s="258"/>
      <c r="AQ92" s="299" t="s">
        <v>47</v>
      </c>
      <c r="AR92" s="258"/>
      <c r="AS92" s="258"/>
      <c r="AT92" s="299" t="s">
        <v>21</v>
      </c>
      <c r="AU92" s="258"/>
      <c r="AV92" s="260"/>
      <c r="AW92" s="260"/>
      <c r="AX92" s="260"/>
      <c r="AY92" s="261"/>
      <c r="AZ92" s="261"/>
      <c r="BA92" s="261"/>
      <c r="BB92" s="261"/>
      <c r="BC92" s="261"/>
      <c r="BD92" s="262"/>
    </row>
    <row r="93" spans="1:56" ht="15.75" x14ac:dyDescent="0.25">
      <c r="A93" s="39" t="s">
        <v>33</v>
      </c>
      <c r="B93" s="303">
        <v>9.0700000000000003E-2</v>
      </c>
      <c r="C93" s="39"/>
      <c r="D93" s="306"/>
      <c r="E93" s="307" t="s">
        <v>299</v>
      </c>
      <c r="F93" s="303">
        <v>9.6100000000000005E-2</v>
      </c>
      <c r="G93" s="288"/>
      <c r="H93" s="221"/>
      <c r="I93" s="39" t="s">
        <v>33</v>
      </c>
      <c r="J93" s="303">
        <v>8.5300000000000001E-2</v>
      </c>
      <c r="L93" s="258"/>
      <c r="M93" s="258"/>
      <c r="N93" s="258"/>
      <c r="O93" s="258"/>
      <c r="P93" s="258"/>
      <c r="R93" s="280"/>
      <c r="T93" s="308"/>
      <c r="U93" s="308"/>
      <c r="V93" s="258"/>
      <c r="W93" s="258"/>
      <c r="X93" s="258"/>
      <c r="Y93" s="258"/>
      <c r="Z93" s="258"/>
      <c r="AD93" s="308"/>
      <c r="AE93" s="308"/>
      <c r="AF93" s="258"/>
      <c r="AG93" s="258"/>
      <c r="AH93" s="258"/>
      <c r="AI93" s="258"/>
      <c r="AJ93" s="258"/>
      <c r="AK93" s="258"/>
      <c r="AL93" s="258"/>
      <c r="AM93" s="258"/>
      <c r="AN93" s="299" t="s">
        <v>66</v>
      </c>
      <c r="AO93" s="258"/>
      <c r="AP93" s="258"/>
      <c r="AQ93" s="299" t="s">
        <v>27</v>
      </c>
      <c r="AR93" s="258"/>
      <c r="AS93" s="258"/>
      <c r="AT93" s="258"/>
      <c r="AU93" s="258"/>
      <c r="AV93" s="260"/>
      <c r="AW93" s="260"/>
      <c r="AX93" s="260"/>
      <c r="AY93" s="261"/>
      <c r="AZ93" s="261"/>
      <c r="BA93" s="261"/>
      <c r="BB93" s="261"/>
      <c r="BC93" s="261"/>
      <c r="BD93" s="262"/>
    </row>
    <row r="94" spans="1:56" ht="15.75" x14ac:dyDescent="0.25">
      <c r="A94" s="39" t="s">
        <v>299</v>
      </c>
      <c r="B94" s="303">
        <v>8.5599999999999996E-2</v>
      </c>
      <c r="C94" s="39"/>
      <c r="D94" s="306"/>
      <c r="E94" s="307" t="s">
        <v>72</v>
      </c>
      <c r="F94" s="303">
        <v>9.1300000000000006E-2</v>
      </c>
      <c r="G94" s="288"/>
      <c r="H94" s="221"/>
      <c r="I94" s="39" t="s">
        <v>299</v>
      </c>
      <c r="J94" s="303">
        <v>8.0399999999999999E-2</v>
      </c>
      <c r="L94" s="258"/>
      <c r="M94" s="258"/>
      <c r="N94" s="258"/>
      <c r="O94" s="258"/>
      <c r="P94" s="258"/>
      <c r="R94" s="309"/>
      <c r="T94" s="310"/>
      <c r="U94" s="310"/>
      <c r="V94" s="258"/>
      <c r="W94" s="258"/>
      <c r="X94" s="258"/>
      <c r="Y94" s="258"/>
      <c r="Z94" s="258"/>
      <c r="AD94" s="310"/>
      <c r="AE94" s="310"/>
      <c r="AF94" s="258"/>
      <c r="AG94" s="258"/>
      <c r="AH94" s="258"/>
      <c r="AI94" s="258"/>
      <c r="AJ94" s="258"/>
      <c r="AK94" s="258"/>
      <c r="AL94" s="258"/>
      <c r="AM94" s="258"/>
      <c r="AN94" s="258"/>
      <c r="AO94" s="258"/>
      <c r="AP94" s="258"/>
      <c r="AQ94" s="258"/>
      <c r="AR94" s="258"/>
      <c r="AS94" s="258"/>
      <c r="AT94" s="258"/>
      <c r="AU94" s="258"/>
      <c r="AV94" s="260"/>
      <c r="AW94" s="260"/>
      <c r="AX94" s="260"/>
      <c r="AY94" s="261"/>
      <c r="AZ94" s="261"/>
      <c r="BA94" s="261"/>
      <c r="BB94" s="261"/>
      <c r="BC94" s="261"/>
      <c r="BD94" s="262"/>
    </row>
    <row r="95" spans="1:56" ht="15.75" x14ac:dyDescent="0.25">
      <c r="A95" s="39" t="s">
        <v>72</v>
      </c>
      <c r="B95" s="303">
        <v>8.1299999999999997E-2</v>
      </c>
      <c r="C95" s="39"/>
      <c r="D95" s="294"/>
      <c r="E95" s="39" t="s">
        <v>57</v>
      </c>
      <c r="F95" s="303">
        <v>8.1799999999999998E-2</v>
      </c>
      <c r="G95" s="288"/>
      <c r="H95" s="221"/>
      <c r="I95" s="39" t="s">
        <v>72</v>
      </c>
      <c r="J95" s="303">
        <v>7.6399999999999996E-2</v>
      </c>
      <c r="L95" s="258"/>
      <c r="M95" s="258"/>
      <c r="N95" s="258"/>
      <c r="O95" s="258"/>
      <c r="P95" s="258"/>
      <c r="R95" s="280"/>
      <c r="T95" s="308"/>
      <c r="U95" s="308"/>
      <c r="V95" s="258"/>
      <c r="W95" s="258"/>
      <c r="X95" s="258"/>
      <c r="Y95" s="258"/>
      <c r="Z95" s="258"/>
      <c r="AD95" s="308"/>
      <c r="AE95" s="308"/>
      <c r="AF95" s="258"/>
      <c r="AG95" s="258"/>
      <c r="AH95" s="258"/>
      <c r="AI95" s="258"/>
      <c r="AJ95" s="258"/>
      <c r="AK95" s="258"/>
      <c r="AL95" s="258"/>
      <c r="AM95" s="258"/>
      <c r="AN95" s="258"/>
      <c r="AO95" s="258"/>
      <c r="AP95" s="258"/>
      <c r="AQ95" s="258"/>
      <c r="AR95" s="258"/>
      <c r="AS95" s="258"/>
      <c r="AT95" s="258"/>
      <c r="AU95" s="258"/>
      <c r="AV95" s="260"/>
      <c r="AW95" s="260"/>
      <c r="AX95" s="260"/>
      <c r="AY95" s="261"/>
      <c r="AZ95" s="261"/>
      <c r="BA95" s="261"/>
      <c r="BB95" s="261"/>
      <c r="BC95" s="261"/>
      <c r="BD95" s="262"/>
    </row>
    <row r="96" spans="1:56" ht="15.75" x14ac:dyDescent="0.25">
      <c r="A96" s="39" t="s">
        <v>57</v>
      </c>
      <c r="B96" s="303">
        <v>7.2800000000000004E-2</v>
      </c>
      <c r="C96" s="39"/>
      <c r="D96" s="294"/>
      <c r="E96" s="39" t="s">
        <v>60</v>
      </c>
      <c r="F96" s="303">
        <v>8.0600000000000005E-2</v>
      </c>
      <c r="G96" s="288"/>
      <c r="H96" s="221"/>
      <c r="I96" s="39" t="s">
        <v>57</v>
      </c>
      <c r="J96" s="303">
        <v>6.8400000000000002E-2</v>
      </c>
      <c r="L96" s="258"/>
      <c r="M96" s="258"/>
      <c r="N96" s="258"/>
      <c r="O96" s="258"/>
      <c r="P96" s="258"/>
      <c r="R96" s="309"/>
      <c r="T96" s="310"/>
      <c r="U96" s="310"/>
      <c r="V96" s="258"/>
      <c r="W96" s="258"/>
      <c r="X96" s="258"/>
      <c r="Y96" s="258"/>
      <c r="Z96" s="258"/>
      <c r="AD96" s="310"/>
      <c r="AE96" s="310"/>
      <c r="AF96" s="258"/>
      <c r="AG96" s="258"/>
      <c r="AH96" s="258"/>
      <c r="AI96" s="258"/>
      <c r="AJ96" s="258"/>
      <c r="AK96" s="258"/>
      <c r="AL96" s="258"/>
      <c r="AM96" s="258"/>
      <c r="AN96" s="258"/>
      <c r="AO96" s="258"/>
      <c r="AP96" s="258"/>
      <c r="AQ96" s="258"/>
      <c r="AR96" s="258"/>
      <c r="AS96" s="258"/>
      <c r="AT96" s="258"/>
      <c r="AU96" s="258"/>
      <c r="AV96" s="260"/>
      <c r="AW96" s="260"/>
      <c r="AX96" s="260"/>
      <c r="AY96" s="261"/>
      <c r="AZ96" s="261"/>
      <c r="BA96" s="261"/>
      <c r="BB96" s="261"/>
      <c r="BC96" s="261"/>
      <c r="BD96" s="262"/>
    </row>
    <row r="97" spans="1:56" ht="15.75" x14ac:dyDescent="0.25">
      <c r="A97" s="39" t="s">
        <v>60</v>
      </c>
      <c r="B97" s="303">
        <v>7.1800000000000003E-2</v>
      </c>
      <c r="C97" s="39"/>
      <c r="D97" s="294"/>
      <c r="E97" s="39" t="s">
        <v>58</v>
      </c>
      <c r="F97" s="303">
        <v>5.45E-2</v>
      </c>
      <c r="G97" s="288"/>
      <c r="H97" s="221"/>
      <c r="I97" s="39" t="s">
        <v>60</v>
      </c>
      <c r="J97" s="303">
        <v>6.7500000000000004E-2</v>
      </c>
      <c r="L97" s="258"/>
      <c r="M97" s="258"/>
      <c r="N97" s="258"/>
      <c r="O97" s="258"/>
      <c r="P97" s="258"/>
      <c r="R97" s="280"/>
      <c r="T97" s="308"/>
      <c r="U97" s="308"/>
      <c r="V97" s="258"/>
      <c r="W97" s="258"/>
      <c r="X97" s="258"/>
      <c r="Y97" s="258"/>
      <c r="Z97" s="258"/>
      <c r="AD97" s="308"/>
      <c r="AE97" s="308"/>
      <c r="AF97" s="258"/>
      <c r="AG97" s="258"/>
      <c r="AH97" s="258"/>
      <c r="AI97" s="258"/>
      <c r="AJ97" s="258"/>
      <c r="AK97" s="258"/>
      <c r="AL97" s="258"/>
      <c r="AM97" s="258"/>
      <c r="AN97" s="258"/>
      <c r="AO97" s="258"/>
      <c r="AP97" s="258"/>
      <c r="AQ97" s="258"/>
      <c r="AR97" s="258"/>
      <c r="AS97" s="258"/>
      <c r="AT97" s="258"/>
      <c r="AU97" s="258"/>
      <c r="AV97" s="260"/>
      <c r="AW97" s="260"/>
      <c r="AX97" s="260"/>
      <c r="AY97" s="261"/>
      <c r="AZ97" s="261"/>
      <c r="BA97" s="261"/>
      <c r="BB97" s="261"/>
      <c r="BC97" s="261"/>
      <c r="BD97" s="262"/>
    </row>
    <row r="98" spans="1:56" ht="15.75" x14ac:dyDescent="0.25">
      <c r="A98" s="39" t="s">
        <v>58</v>
      </c>
      <c r="B98" s="303">
        <v>4.8500000000000001E-2</v>
      </c>
      <c r="C98" s="39"/>
      <c r="D98" s="306"/>
      <c r="E98" s="307" t="s">
        <v>80</v>
      </c>
      <c r="F98" s="303">
        <v>5.0099999999999999E-2</v>
      </c>
      <c r="G98" s="288"/>
      <c r="H98" s="221"/>
      <c r="I98" s="39" t="s">
        <v>58</v>
      </c>
      <c r="J98" s="303">
        <v>4.5600000000000002E-2</v>
      </c>
      <c r="L98" s="258"/>
      <c r="M98" s="258"/>
      <c r="N98" s="258"/>
      <c r="O98" s="258"/>
      <c r="P98" s="258" t="str">
        <f>IFERROR(VLOOKUP(B98,[1]Datos!$A:$E,5,FALSE)/1000000000,"-")</f>
        <v>-</v>
      </c>
      <c r="R98" s="309"/>
      <c r="T98" s="310"/>
      <c r="U98" s="310"/>
      <c r="V98" s="258"/>
      <c r="W98" s="258"/>
      <c r="X98" s="258"/>
      <c r="Y98" s="258"/>
      <c r="Z98" s="258"/>
      <c r="AD98" s="310"/>
      <c r="AE98" s="310"/>
      <c r="AF98" s="258"/>
      <c r="AG98" s="258"/>
      <c r="AH98" s="258"/>
      <c r="AI98" s="258"/>
      <c r="AJ98" s="258"/>
      <c r="AK98" s="258"/>
      <c r="AL98" s="258"/>
      <c r="AM98" s="258"/>
      <c r="AN98" s="258"/>
      <c r="AO98" s="258"/>
      <c r="AP98" s="258"/>
      <c r="AQ98" s="258"/>
      <c r="AR98" s="258"/>
      <c r="AS98" s="258"/>
      <c r="AT98" s="258"/>
      <c r="AU98" s="258"/>
      <c r="AV98" s="260"/>
      <c r="AW98" s="260"/>
      <c r="AX98" s="260"/>
      <c r="AY98" s="261"/>
      <c r="AZ98" s="261"/>
      <c r="BA98" s="261"/>
      <c r="BB98" s="261"/>
      <c r="BC98" s="261"/>
      <c r="BD98" s="262"/>
    </row>
    <row r="99" spans="1:56" ht="15.75" x14ac:dyDescent="0.25">
      <c r="A99" s="39" t="s">
        <v>80</v>
      </c>
      <c r="B99" s="303">
        <v>4.4600000000000001E-2</v>
      </c>
      <c r="C99" s="39"/>
      <c r="D99" s="306"/>
      <c r="E99" s="307" t="s">
        <v>19</v>
      </c>
      <c r="F99" s="303">
        <v>4.1599999999999998E-2</v>
      </c>
      <c r="G99" s="288"/>
      <c r="H99" s="221"/>
      <c r="I99" s="39" t="s">
        <v>80</v>
      </c>
      <c r="J99" s="303">
        <v>4.19E-2</v>
      </c>
      <c r="L99" s="258"/>
      <c r="M99" s="258"/>
      <c r="N99" s="258"/>
      <c r="O99" s="258"/>
      <c r="P99" s="258"/>
      <c r="R99" s="280"/>
      <c r="T99" s="308"/>
      <c r="U99" s="308"/>
      <c r="V99" s="258"/>
      <c r="W99" s="258"/>
      <c r="X99" s="258"/>
      <c r="Y99" s="258"/>
      <c r="Z99" s="258"/>
      <c r="AD99" s="308"/>
      <c r="AE99" s="308"/>
      <c r="AF99" s="258"/>
      <c r="AG99" s="258"/>
      <c r="AH99" s="258"/>
      <c r="AI99" s="258"/>
      <c r="AJ99" s="258"/>
      <c r="AK99" s="258"/>
      <c r="AL99" s="258"/>
      <c r="AM99" s="258"/>
      <c r="AN99" s="258"/>
      <c r="AO99" s="258"/>
      <c r="AP99" s="258"/>
      <c r="AQ99" s="258"/>
      <c r="AR99" s="258"/>
      <c r="AS99" s="258"/>
      <c r="AT99" s="258"/>
      <c r="AU99" s="258"/>
      <c r="AV99" s="260"/>
      <c r="AW99" s="260"/>
      <c r="AX99" s="260"/>
      <c r="AY99" s="261"/>
      <c r="AZ99" s="261"/>
      <c r="BA99" s="261"/>
      <c r="BB99" s="261"/>
      <c r="BC99" s="261"/>
      <c r="BD99" s="262"/>
    </row>
    <row r="100" spans="1:56" ht="15.75" x14ac:dyDescent="0.25">
      <c r="A100" s="39" t="s">
        <v>19</v>
      </c>
      <c r="B100" s="303">
        <v>3.7100000000000001E-2</v>
      </c>
      <c r="C100" s="39"/>
      <c r="D100" s="306"/>
      <c r="E100" s="307" t="s">
        <v>18</v>
      </c>
      <c r="F100" s="303">
        <v>3.9600000000000003E-2</v>
      </c>
      <c r="G100" s="288"/>
      <c r="H100" s="221"/>
      <c r="I100" s="39" t="s">
        <v>19</v>
      </c>
      <c r="J100" s="303">
        <v>3.4799999999999998E-2</v>
      </c>
      <c r="L100" s="258"/>
      <c r="M100" s="258"/>
      <c r="N100" s="258"/>
      <c r="O100" s="258"/>
      <c r="P100" s="258"/>
      <c r="R100" s="309"/>
      <c r="T100" s="310"/>
      <c r="U100" s="310"/>
      <c r="V100" s="258"/>
      <c r="W100" s="258"/>
      <c r="X100" s="258"/>
      <c r="Y100" s="258"/>
      <c r="Z100" s="258"/>
      <c r="AD100" s="310"/>
      <c r="AE100" s="310"/>
      <c r="AF100" s="258"/>
      <c r="AG100" s="258"/>
      <c r="AH100" s="258"/>
      <c r="AI100" s="258"/>
      <c r="AJ100" s="258"/>
      <c r="AK100" s="258"/>
      <c r="AL100" s="258"/>
      <c r="AM100" s="258"/>
      <c r="AN100" s="258"/>
      <c r="AO100" s="258"/>
      <c r="AP100" s="258"/>
      <c r="AQ100" s="258"/>
      <c r="AR100" s="258"/>
      <c r="AS100" s="258"/>
      <c r="AT100" s="258"/>
      <c r="AU100" s="258"/>
      <c r="AV100" s="260"/>
      <c r="AW100" s="260"/>
      <c r="AX100" s="260"/>
      <c r="AY100" s="261"/>
      <c r="AZ100" s="261"/>
      <c r="BA100" s="261"/>
      <c r="BB100" s="261"/>
      <c r="BC100" s="261"/>
      <c r="BD100" s="262"/>
    </row>
    <row r="101" spans="1:56" ht="15.75" x14ac:dyDescent="0.25">
      <c r="A101" s="39" t="s">
        <v>18</v>
      </c>
      <c r="B101" s="303">
        <v>3.5299999999999998E-2</v>
      </c>
      <c r="C101" s="39"/>
      <c r="D101" s="306"/>
      <c r="E101" s="307" t="s">
        <v>54</v>
      </c>
      <c r="F101" s="303">
        <v>3.95E-2</v>
      </c>
      <c r="G101" s="288"/>
      <c r="H101" s="221"/>
      <c r="I101" s="39" t="s">
        <v>18</v>
      </c>
      <c r="J101" s="303">
        <v>3.32E-2</v>
      </c>
      <c r="L101" s="258"/>
      <c r="M101" s="258"/>
      <c r="N101" s="258"/>
      <c r="O101" s="258"/>
      <c r="P101" s="258"/>
      <c r="R101" s="280"/>
      <c r="T101" s="308"/>
      <c r="U101" s="308"/>
      <c r="V101" s="258"/>
      <c r="W101" s="258"/>
      <c r="X101" s="258"/>
      <c r="Y101" s="258"/>
      <c r="Z101" s="258"/>
      <c r="AD101" s="308"/>
      <c r="AE101" s="308"/>
      <c r="AF101" s="258"/>
      <c r="AG101" s="258"/>
      <c r="AH101" s="258"/>
      <c r="AI101" s="258"/>
      <c r="AJ101" s="258"/>
      <c r="AK101" s="258"/>
      <c r="AL101" s="258"/>
      <c r="AM101" s="258"/>
      <c r="AN101" s="258"/>
      <c r="AO101" s="258"/>
      <c r="AP101" s="258"/>
      <c r="AQ101" s="258"/>
      <c r="AR101" s="258"/>
      <c r="AS101" s="258"/>
      <c r="AT101" s="258"/>
      <c r="AU101" s="258"/>
      <c r="AV101" s="260"/>
      <c r="AW101" s="260"/>
      <c r="AX101" s="260"/>
      <c r="AY101" s="261"/>
      <c r="AZ101" s="261"/>
      <c r="BA101" s="261"/>
      <c r="BB101" s="261"/>
      <c r="BC101" s="261"/>
      <c r="BD101" s="262"/>
    </row>
    <row r="102" spans="1:56" ht="15.75" x14ac:dyDescent="0.25">
      <c r="A102" s="39" t="s">
        <v>54</v>
      </c>
      <c r="B102" s="303">
        <v>3.5200000000000002E-2</v>
      </c>
      <c r="C102" s="39"/>
      <c r="D102" s="306"/>
      <c r="E102" s="307" t="s">
        <v>45</v>
      </c>
      <c r="F102" s="303">
        <v>3.6999999999999998E-2</v>
      </c>
      <c r="G102" s="288"/>
      <c r="H102" s="221"/>
      <c r="I102" s="39" t="s">
        <v>54</v>
      </c>
      <c r="J102" s="303">
        <v>3.3099999999999997E-2</v>
      </c>
      <c r="L102" s="258"/>
      <c r="M102" s="258"/>
      <c r="N102" s="258"/>
      <c r="O102" s="258"/>
      <c r="P102" s="258"/>
      <c r="R102" s="309"/>
      <c r="T102" s="310"/>
      <c r="U102" s="310"/>
      <c r="V102" s="258"/>
      <c r="W102" s="258"/>
      <c r="X102" s="258"/>
      <c r="Y102" s="258"/>
      <c r="Z102" s="258"/>
      <c r="AD102" s="310"/>
      <c r="AE102" s="310"/>
      <c r="AF102" s="258"/>
      <c r="AG102" s="258"/>
      <c r="AH102" s="258"/>
      <c r="AI102" s="258"/>
      <c r="AJ102" s="258"/>
      <c r="AK102" s="258"/>
      <c r="AL102" s="258"/>
      <c r="AM102" s="258"/>
      <c r="AN102" s="258"/>
      <c r="AO102" s="258"/>
      <c r="AP102" s="258"/>
      <c r="AQ102" s="258"/>
      <c r="AR102" s="258"/>
      <c r="AS102" s="258"/>
      <c r="AT102" s="258"/>
      <c r="AU102" s="258"/>
      <c r="AV102" s="260"/>
      <c r="AW102" s="260"/>
      <c r="AX102" s="260"/>
      <c r="AY102" s="261"/>
      <c r="AZ102" s="261"/>
      <c r="BA102" s="261"/>
      <c r="BB102" s="261"/>
      <c r="BC102" s="261"/>
      <c r="BD102" s="262"/>
    </row>
    <row r="103" spans="1:56" ht="15.75" x14ac:dyDescent="0.25">
      <c r="A103" s="39" t="s">
        <v>50</v>
      </c>
      <c r="B103" s="303">
        <v>3.4799999999999998E-2</v>
      </c>
      <c r="C103" s="39"/>
      <c r="D103" s="306"/>
      <c r="E103" s="307" t="s">
        <v>62</v>
      </c>
      <c r="F103" s="303">
        <v>3.3700000000000001E-2</v>
      </c>
      <c r="G103" s="288"/>
      <c r="H103" s="221"/>
      <c r="I103" s="39" t="s">
        <v>50</v>
      </c>
      <c r="J103" s="303">
        <v>3.27E-2</v>
      </c>
      <c r="L103" s="258"/>
      <c r="M103" s="258"/>
      <c r="N103" s="258"/>
      <c r="O103" s="258"/>
      <c r="P103" s="258"/>
      <c r="R103" s="280"/>
      <c r="T103" s="308"/>
      <c r="U103" s="308"/>
      <c r="V103" s="258"/>
      <c r="W103" s="258"/>
      <c r="X103" s="258"/>
      <c r="Y103" s="258"/>
      <c r="Z103" s="258"/>
      <c r="AD103" s="308"/>
      <c r="AE103" s="308"/>
      <c r="AF103" s="258"/>
      <c r="AG103" s="258"/>
      <c r="AH103" s="258"/>
      <c r="AI103" s="258"/>
      <c r="AJ103" s="258"/>
      <c r="AK103" s="258"/>
      <c r="AL103" s="258"/>
      <c r="AM103" s="258"/>
      <c r="AN103" s="258"/>
      <c r="AO103" s="258"/>
      <c r="AP103" s="258"/>
      <c r="AQ103" s="258"/>
      <c r="AR103" s="258"/>
      <c r="AS103" s="258"/>
      <c r="AT103" s="258"/>
      <c r="AU103" s="258"/>
      <c r="AV103" s="260"/>
      <c r="AW103" s="260"/>
      <c r="AX103" s="260"/>
      <c r="AY103" s="261"/>
      <c r="AZ103" s="261"/>
      <c r="BA103" s="261"/>
      <c r="BB103" s="261"/>
      <c r="BC103" s="261"/>
      <c r="BD103" s="262"/>
    </row>
    <row r="104" spans="1:56" ht="15.75" x14ac:dyDescent="0.25">
      <c r="A104" s="39" t="s">
        <v>45</v>
      </c>
      <c r="B104" s="303">
        <v>3.3000000000000002E-2</v>
      </c>
      <c r="C104" s="39"/>
      <c r="D104" s="306"/>
      <c r="E104" s="307" t="s">
        <v>283</v>
      </c>
      <c r="F104" s="303">
        <v>2.9000000000000001E-2</v>
      </c>
      <c r="G104" s="288"/>
      <c r="H104" s="221"/>
      <c r="I104" s="39" t="s">
        <v>45</v>
      </c>
      <c r="J104" s="303">
        <v>3.1E-2</v>
      </c>
      <c r="L104" s="258"/>
      <c r="M104" s="258"/>
      <c r="N104" s="258"/>
      <c r="O104" s="258"/>
      <c r="P104" s="258"/>
      <c r="R104" s="309"/>
      <c r="T104" s="310"/>
      <c r="U104" s="310"/>
      <c r="V104" s="258"/>
      <c r="W104" s="258"/>
      <c r="X104" s="258"/>
      <c r="Y104" s="258"/>
      <c r="Z104" s="258"/>
      <c r="AD104" s="310"/>
      <c r="AE104" s="310"/>
      <c r="AF104" s="258"/>
      <c r="AG104" s="258"/>
      <c r="AH104" s="258"/>
      <c r="AI104" s="258"/>
      <c r="AJ104" s="258"/>
      <c r="AK104" s="258"/>
      <c r="AL104" s="258"/>
      <c r="AM104" s="258"/>
      <c r="AN104" s="258"/>
      <c r="AO104" s="258"/>
      <c r="AP104" s="258"/>
      <c r="AQ104" s="258"/>
      <c r="AR104" s="258"/>
      <c r="AS104" s="258"/>
      <c r="AT104" s="258"/>
      <c r="AU104" s="258"/>
      <c r="AV104" s="260"/>
      <c r="AW104" s="260"/>
      <c r="AX104" s="260"/>
      <c r="AY104" s="261"/>
      <c r="AZ104" s="261"/>
      <c r="BA104" s="261"/>
      <c r="BB104" s="261"/>
      <c r="BC104" s="261"/>
      <c r="BD104" s="262"/>
    </row>
    <row r="105" spans="1:56" ht="15.75" x14ac:dyDescent="0.25">
      <c r="A105" s="39" t="s">
        <v>62</v>
      </c>
      <c r="B105" s="303">
        <v>0.03</v>
      </c>
      <c r="C105" s="39"/>
      <c r="D105" s="306"/>
      <c r="E105" s="307" t="s">
        <v>53</v>
      </c>
      <c r="F105" s="303">
        <v>2.4E-2</v>
      </c>
      <c r="G105" s="288"/>
      <c r="H105" s="221"/>
      <c r="I105" s="39" t="s">
        <v>62</v>
      </c>
      <c r="J105" s="303">
        <v>2.8199999999999999E-2</v>
      </c>
      <c r="L105" s="258"/>
      <c r="M105" s="258"/>
      <c r="N105" s="258"/>
      <c r="O105" s="258"/>
      <c r="P105" s="258"/>
      <c r="R105" s="280"/>
      <c r="T105" s="308"/>
      <c r="U105" s="308"/>
      <c r="V105" s="258"/>
      <c r="W105" s="258"/>
      <c r="X105" s="258"/>
      <c r="Y105" s="258"/>
      <c r="Z105" s="258"/>
      <c r="AD105" s="308"/>
      <c r="AE105" s="308"/>
      <c r="AF105" s="258"/>
      <c r="AG105" s="258"/>
      <c r="AH105" s="258"/>
      <c r="AI105" s="258"/>
      <c r="AJ105" s="258"/>
      <c r="AK105" s="258"/>
      <c r="AL105" s="258"/>
      <c r="AM105" s="258"/>
      <c r="AN105" s="258"/>
      <c r="AO105" s="258"/>
      <c r="AP105" s="258"/>
      <c r="AQ105" s="258"/>
      <c r="AR105" s="258"/>
      <c r="AS105" s="258"/>
      <c r="AT105" s="258"/>
      <c r="AU105" s="258"/>
      <c r="AV105" s="260"/>
      <c r="AW105" s="260"/>
      <c r="AX105" s="260"/>
      <c r="AY105" s="261"/>
      <c r="AZ105" s="261"/>
      <c r="BA105" s="261"/>
      <c r="BB105" s="261"/>
      <c r="BC105" s="261"/>
      <c r="BD105" s="262"/>
    </row>
    <row r="106" spans="1:56" ht="15.75" x14ac:dyDescent="0.25">
      <c r="A106" s="39" t="s">
        <v>283</v>
      </c>
      <c r="B106" s="303">
        <v>2.58E-2</v>
      </c>
      <c r="C106" s="39"/>
      <c r="D106" s="306"/>
      <c r="E106" s="307" t="s">
        <v>17</v>
      </c>
      <c r="F106" s="303">
        <v>2.3900000000000001E-2</v>
      </c>
      <c r="G106" s="288"/>
      <c r="H106" s="221"/>
      <c r="I106" s="39" t="s">
        <v>283</v>
      </c>
      <c r="J106" s="303">
        <v>2.4299999999999999E-2</v>
      </c>
      <c r="L106" s="258"/>
      <c r="M106" s="258"/>
      <c r="N106" s="258"/>
      <c r="O106" s="258"/>
      <c r="P106" s="258"/>
      <c r="R106" s="309"/>
      <c r="T106" s="310"/>
      <c r="U106" s="310"/>
      <c r="V106" s="258"/>
      <c r="W106" s="258"/>
      <c r="X106" s="258"/>
      <c r="Y106" s="258"/>
      <c r="Z106" s="258"/>
      <c r="AD106" s="310"/>
      <c r="AE106" s="310"/>
      <c r="AF106" s="258"/>
      <c r="AG106" s="258"/>
      <c r="AH106" s="258"/>
      <c r="AI106" s="258"/>
      <c r="AJ106" s="258"/>
      <c r="AK106" s="258"/>
      <c r="AL106" s="258"/>
      <c r="AM106" s="258"/>
      <c r="AN106" s="258"/>
      <c r="AO106" s="258"/>
      <c r="AP106" s="258"/>
      <c r="AQ106" s="258"/>
      <c r="AR106" s="258"/>
      <c r="AS106" s="258"/>
      <c r="AT106" s="258"/>
      <c r="AU106" s="258"/>
      <c r="AV106" s="260"/>
      <c r="AW106" s="260"/>
      <c r="AX106" s="260"/>
      <c r="AY106" s="261"/>
      <c r="AZ106" s="261"/>
      <c r="BA106" s="261"/>
      <c r="BB106" s="261"/>
      <c r="BC106" s="261"/>
      <c r="BD106" s="262"/>
    </row>
    <row r="107" spans="1:56" ht="15.75" x14ac:dyDescent="0.25">
      <c r="A107" s="39" t="s">
        <v>53</v>
      </c>
      <c r="B107" s="303">
        <v>2.1299999999999999E-2</v>
      </c>
      <c r="C107" s="39"/>
      <c r="D107" s="306"/>
      <c r="E107" s="307" t="s">
        <v>70</v>
      </c>
      <c r="F107" s="303">
        <v>2.2200000000000001E-2</v>
      </c>
      <c r="G107" s="288"/>
      <c r="H107" s="221"/>
      <c r="I107" s="39" t="s">
        <v>53</v>
      </c>
      <c r="J107" s="303">
        <v>0.02</v>
      </c>
      <c r="L107" s="258"/>
      <c r="M107" s="258"/>
      <c r="N107" s="258"/>
      <c r="O107" s="258"/>
      <c r="P107" s="258"/>
      <c r="R107" s="280"/>
      <c r="T107" s="308"/>
      <c r="U107" s="308"/>
      <c r="V107" s="258"/>
      <c r="W107" s="258"/>
      <c r="X107" s="258"/>
      <c r="Y107" s="258"/>
      <c r="Z107" s="258"/>
      <c r="AD107" s="308"/>
      <c r="AE107" s="308"/>
      <c r="AF107" s="258"/>
      <c r="AG107" s="258"/>
      <c r="AH107" s="258"/>
      <c r="AI107" s="258"/>
      <c r="AJ107" s="258"/>
      <c r="AK107" s="258"/>
      <c r="AL107" s="258"/>
      <c r="AM107" s="258"/>
      <c r="AN107" s="258"/>
      <c r="AO107" s="258"/>
      <c r="AP107" s="258"/>
      <c r="AQ107" s="258"/>
      <c r="AR107" s="258"/>
      <c r="AS107" s="258"/>
      <c r="AT107" s="258"/>
      <c r="AU107" s="258"/>
      <c r="AV107" s="260"/>
      <c r="AW107" s="260"/>
      <c r="AX107" s="260"/>
      <c r="AY107" s="261"/>
      <c r="AZ107" s="261"/>
      <c r="BA107" s="261"/>
      <c r="BB107" s="261"/>
      <c r="BC107" s="261"/>
      <c r="BD107" s="262"/>
    </row>
    <row r="108" spans="1:56" ht="15.75" x14ac:dyDescent="0.25">
      <c r="A108" s="39" t="s">
        <v>17</v>
      </c>
      <c r="B108" s="303">
        <v>2.1299999999999999E-2</v>
      </c>
      <c r="C108" s="39"/>
      <c r="D108" s="294"/>
      <c r="E108" s="39" t="s">
        <v>42</v>
      </c>
      <c r="F108" s="303">
        <v>2.0500000000000001E-2</v>
      </c>
      <c r="G108" s="288"/>
      <c r="H108" s="221"/>
      <c r="I108" s="39" t="s">
        <v>17</v>
      </c>
      <c r="J108" s="303">
        <v>0.02</v>
      </c>
      <c r="L108" s="258"/>
      <c r="M108" s="258"/>
      <c r="N108" s="258"/>
      <c r="O108" s="258"/>
      <c r="P108" s="258"/>
      <c r="R108" s="309"/>
      <c r="T108" s="310"/>
      <c r="U108" s="310"/>
      <c r="V108" s="258"/>
      <c r="W108" s="258"/>
      <c r="X108" s="258"/>
      <c r="Y108" s="258"/>
      <c r="Z108" s="258"/>
      <c r="AD108" s="310"/>
      <c r="AE108" s="310"/>
      <c r="AF108" s="258"/>
      <c r="AG108" s="258"/>
      <c r="AH108" s="258"/>
      <c r="AI108" s="258"/>
      <c r="AJ108" s="258"/>
      <c r="AK108" s="258"/>
      <c r="AL108" s="258"/>
      <c r="AM108" s="258"/>
      <c r="AN108" s="258"/>
      <c r="AO108" s="258"/>
      <c r="AP108" s="258"/>
      <c r="AQ108" s="258"/>
      <c r="AR108" s="258"/>
      <c r="AS108" s="258"/>
      <c r="AT108" s="258"/>
      <c r="AU108" s="258"/>
      <c r="AV108" s="260"/>
      <c r="AW108" s="260"/>
      <c r="AX108" s="260"/>
      <c r="AY108" s="261"/>
      <c r="AZ108" s="261"/>
      <c r="BA108" s="261"/>
      <c r="BB108" s="261"/>
      <c r="BC108" s="261"/>
      <c r="BD108" s="262"/>
    </row>
    <row r="109" spans="1:56" ht="15.75" x14ac:dyDescent="0.25">
      <c r="A109" s="39" t="s">
        <v>70</v>
      </c>
      <c r="B109" s="303">
        <v>1.9800000000000002E-2</v>
      </c>
      <c r="C109" s="39"/>
      <c r="D109" s="294"/>
      <c r="E109" s="39" t="s">
        <v>69</v>
      </c>
      <c r="F109" s="303">
        <v>1.9099999999999999E-2</v>
      </c>
      <c r="G109" s="288"/>
      <c r="H109" s="221"/>
      <c r="I109" s="39" t="s">
        <v>70</v>
      </c>
      <c r="J109" s="303">
        <v>1.8599999999999998E-2</v>
      </c>
      <c r="L109" s="258"/>
      <c r="M109" s="258"/>
      <c r="N109" s="258"/>
      <c r="O109" s="258"/>
      <c r="P109" s="258"/>
      <c r="R109" s="279"/>
      <c r="S109" s="31"/>
      <c r="T109" s="311"/>
      <c r="U109" s="311"/>
      <c r="V109" s="258"/>
      <c r="W109" s="258"/>
      <c r="X109" s="258"/>
      <c r="Y109" s="258"/>
      <c r="Z109" s="258"/>
      <c r="AC109" s="31"/>
      <c r="AD109" s="311"/>
      <c r="AE109" s="311"/>
      <c r="AF109" s="258"/>
      <c r="AG109" s="258"/>
      <c r="AH109" s="258"/>
      <c r="AI109" s="258"/>
      <c r="AJ109" s="258"/>
      <c r="AK109" s="258"/>
      <c r="AL109" s="258"/>
      <c r="AM109" s="258"/>
      <c r="AN109" s="258"/>
      <c r="AO109" s="258"/>
      <c r="AP109" s="258"/>
      <c r="AQ109" s="258"/>
      <c r="AR109" s="258"/>
      <c r="AS109" s="258"/>
      <c r="AT109" s="258"/>
      <c r="AU109" s="258"/>
      <c r="AV109" s="260"/>
      <c r="AW109" s="260"/>
      <c r="AX109" s="260"/>
      <c r="AY109" s="261"/>
      <c r="AZ109" s="261"/>
      <c r="BA109" s="261"/>
      <c r="BB109" s="261"/>
      <c r="BC109" s="261"/>
      <c r="BD109" s="262"/>
    </row>
    <row r="110" spans="1:56" ht="15.75" x14ac:dyDescent="0.25">
      <c r="A110" s="39" t="s">
        <v>42</v>
      </c>
      <c r="B110" s="303">
        <v>1.83E-2</v>
      </c>
      <c r="C110" s="39"/>
      <c r="D110" s="294"/>
      <c r="E110" s="312" t="s">
        <v>37</v>
      </c>
      <c r="F110" s="313">
        <v>1.8100000000000002E-2</v>
      </c>
      <c r="G110" s="288"/>
      <c r="H110" s="221"/>
      <c r="I110" s="39" t="s">
        <v>42</v>
      </c>
      <c r="J110" s="303">
        <v>1.72E-2</v>
      </c>
      <c r="L110" s="258"/>
      <c r="M110" s="258"/>
      <c r="N110" s="258"/>
      <c r="O110" s="258"/>
      <c r="P110" s="258"/>
      <c r="R110" s="304"/>
      <c r="S110" s="31"/>
      <c r="T110" s="305"/>
      <c r="U110" s="305"/>
      <c r="V110" s="258"/>
      <c r="W110" s="258"/>
      <c r="X110" s="258"/>
      <c r="Y110" s="258"/>
      <c r="Z110" s="258"/>
      <c r="AC110" s="31"/>
      <c r="AD110" s="305"/>
      <c r="AE110" s="305"/>
      <c r="AF110" s="258"/>
      <c r="AG110" s="258"/>
      <c r="AH110" s="258"/>
      <c r="AI110" s="258"/>
      <c r="AJ110" s="258"/>
      <c r="AK110" s="258"/>
      <c r="AL110" s="258"/>
      <c r="AM110" s="258"/>
      <c r="AN110" s="258"/>
      <c r="AO110" s="258"/>
      <c r="AP110" s="258"/>
      <c r="AQ110" s="258"/>
      <c r="AR110" s="258"/>
      <c r="AS110" s="258"/>
      <c r="AT110" s="258"/>
      <c r="AU110" s="258"/>
      <c r="AV110" s="260"/>
      <c r="AW110" s="260"/>
      <c r="AX110" s="260"/>
      <c r="AY110" s="261"/>
      <c r="AZ110" s="261"/>
      <c r="BA110" s="261"/>
      <c r="BB110" s="261"/>
      <c r="BC110" s="261"/>
      <c r="BD110" s="262"/>
    </row>
    <row r="111" spans="1:56" ht="15.75" x14ac:dyDescent="0.25">
      <c r="A111" s="312" t="s">
        <v>69</v>
      </c>
      <c r="B111" s="313">
        <v>1.7000000000000001E-2</v>
      </c>
      <c r="C111" s="39"/>
      <c r="D111" s="306"/>
      <c r="E111" s="275"/>
      <c r="F111" s="39"/>
      <c r="G111" s="288"/>
      <c r="H111" s="221"/>
      <c r="I111" s="39" t="s">
        <v>69</v>
      </c>
      <c r="J111" s="303">
        <v>1.6E-2</v>
      </c>
      <c r="L111" s="258"/>
      <c r="M111" s="258"/>
      <c r="N111" s="258"/>
      <c r="O111" s="258"/>
      <c r="P111" s="258"/>
      <c r="Q111" s="258"/>
      <c r="R111" s="258"/>
      <c r="S111" s="258"/>
      <c r="T111" s="258"/>
      <c r="U111" s="258"/>
      <c r="V111" s="258"/>
      <c r="W111" s="258"/>
      <c r="X111" s="258"/>
      <c r="Y111" s="258"/>
      <c r="Z111" s="258"/>
      <c r="AC111" s="31"/>
      <c r="AD111" s="311"/>
      <c r="AE111" s="311"/>
      <c r="AF111" s="258"/>
      <c r="AG111" s="258"/>
      <c r="AH111" s="258"/>
      <c r="AI111" s="258"/>
      <c r="AJ111" s="258"/>
      <c r="AK111" s="258"/>
      <c r="AL111" s="258"/>
      <c r="AM111" s="258"/>
      <c r="AN111" s="258"/>
      <c r="AO111" s="258"/>
      <c r="AP111" s="258"/>
      <c r="AQ111" s="258"/>
      <c r="AR111" s="258"/>
      <c r="AS111" s="258"/>
      <c r="AT111" s="258"/>
      <c r="AU111" s="258"/>
      <c r="AV111" s="260"/>
      <c r="AW111" s="260"/>
      <c r="AX111" s="260"/>
      <c r="AY111" s="261"/>
      <c r="AZ111" s="261"/>
      <c r="BA111" s="261"/>
      <c r="BB111" s="261"/>
      <c r="BC111" s="261"/>
      <c r="BD111" s="262"/>
    </row>
    <row r="112" spans="1:56" ht="15.75" x14ac:dyDescent="0.25">
      <c r="A112" s="293"/>
      <c r="B112" s="293"/>
      <c r="C112" s="293"/>
      <c r="D112" s="294"/>
      <c r="E112" s="278"/>
      <c r="F112" s="39"/>
      <c r="G112" s="288"/>
      <c r="H112" s="221"/>
      <c r="I112" s="39" t="s">
        <v>37</v>
      </c>
      <c r="J112" s="303">
        <v>1.52E-2</v>
      </c>
      <c r="L112" s="258"/>
      <c r="M112" s="258"/>
      <c r="N112" s="258"/>
      <c r="O112" s="258"/>
      <c r="P112" s="258"/>
      <c r="Q112" s="258"/>
      <c r="R112" s="258"/>
      <c r="S112" s="258"/>
      <c r="T112" s="258"/>
      <c r="U112" s="258"/>
      <c r="V112" s="258"/>
      <c r="W112" s="258"/>
      <c r="X112" s="258"/>
      <c r="Y112" s="258"/>
      <c r="Z112" s="258"/>
      <c r="AA112" s="258"/>
      <c r="AB112" s="258"/>
      <c r="AC112" s="258"/>
      <c r="AD112" s="258"/>
      <c r="AE112" s="258"/>
      <c r="AF112" s="258"/>
      <c r="AG112" s="258"/>
      <c r="AH112" s="258"/>
      <c r="AI112" s="258"/>
      <c r="AJ112" s="258"/>
      <c r="AK112" s="258"/>
      <c r="AL112" s="258"/>
      <c r="AM112" s="258"/>
      <c r="AN112" s="258"/>
      <c r="AO112" s="258"/>
      <c r="AP112" s="258"/>
      <c r="AQ112" s="258"/>
      <c r="AR112" s="258"/>
      <c r="AS112" s="258"/>
      <c r="AT112" s="258"/>
      <c r="AU112" s="258"/>
      <c r="AV112" s="260"/>
      <c r="AW112" s="260"/>
      <c r="AX112" s="260"/>
      <c r="AY112" s="261"/>
      <c r="AZ112" s="261"/>
      <c r="BA112" s="261"/>
      <c r="BB112" s="261"/>
      <c r="BC112" s="261"/>
      <c r="BD112" s="262"/>
    </row>
    <row r="113" spans="1:56" ht="15.75" x14ac:dyDescent="0.25">
      <c r="A113" s="314" t="s">
        <v>300</v>
      </c>
      <c r="B113" s="293"/>
      <c r="C113" s="293"/>
      <c r="D113" s="294"/>
      <c r="E113" s="278"/>
      <c r="F113" s="39"/>
      <c r="G113" s="288"/>
      <c r="H113" s="221"/>
      <c r="I113" s="39" t="s">
        <v>59</v>
      </c>
      <c r="J113" s="303">
        <v>1.3100000000000001E-2</v>
      </c>
      <c r="L113" s="258"/>
      <c r="M113" s="258"/>
      <c r="N113" s="258"/>
      <c r="O113" s="258"/>
      <c r="P113" s="258"/>
      <c r="Q113" s="258"/>
      <c r="R113" s="258"/>
      <c r="S113" s="258"/>
      <c r="T113" s="258"/>
      <c r="U113" s="258"/>
      <c r="V113" s="258"/>
      <c r="W113" s="258"/>
      <c r="X113" s="258"/>
      <c r="Y113" s="258"/>
      <c r="Z113" s="258"/>
      <c r="AA113" s="258"/>
      <c r="AB113" s="258"/>
      <c r="AC113" s="258"/>
      <c r="AD113" s="258"/>
      <c r="AE113" s="258"/>
      <c r="AF113" s="258"/>
      <c r="AG113" s="258"/>
      <c r="AH113" s="258"/>
      <c r="AI113" s="258"/>
      <c r="AJ113" s="258"/>
      <c r="AK113" s="258"/>
      <c r="AL113" s="258"/>
      <c r="AM113" s="258"/>
      <c r="AN113" s="258"/>
      <c r="AO113" s="258"/>
      <c r="AP113" s="258"/>
      <c r="AQ113" s="258"/>
      <c r="AR113" s="258"/>
      <c r="AS113" s="258"/>
      <c r="AT113" s="258"/>
      <c r="AU113" s="258"/>
      <c r="AV113" s="260"/>
      <c r="AW113" s="260"/>
      <c r="AX113" s="260"/>
      <c r="AY113" s="261"/>
      <c r="AZ113" s="261"/>
      <c r="BA113" s="261"/>
      <c r="BB113" s="261"/>
      <c r="BC113" s="261"/>
      <c r="BD113" s="262"/>
    </row>
    <row r="114" spans="1:56" ht="15.75" x14ac:dyDescent="0.25">
      <c r="A114" s="294" t="s">
        <v>301</v>
      </c>
      <c r="B114" s="293"/>
      <c r="C114" s="293"/>
      <c r="D114" s="294"/>
      <c r="E114" s="278"/>
      <c r="F114" s="39"/>
      <c r="G114" s="288"/>
      <c r="H114" s="221"/>
      <c r="I114" s="39" t="s">
        <v>28</v>
      </c>
      <c r="J114" s="303">
        <v>1.23E-2</v>
      </c>
      <c r="L114" s="258"/>
      <c r="M114" s="258"/>
      <c r="N114" s="258"/>
      <c r="O114" s="258"/>
      <c r="P114" s="258"/>
      <c r="Q114" s="258"/>
      <c r="R114" s="258"/>
      <c r="S114" s="258"/>
      <c r="T114" s="258"/>
      <c r="U114" s="258"/>
      <c r="V114" s="258"/>
      <c r="W114" s="258"/>
      <c r="X114" s="258"/>
      <c r="Y114" s="258"/>
      <c r="Z114" s="258"/>
      <c r="AA114" s="258"/>
      <c r="AB114" s="258"/>
      <c r="AC114" s="258"/>
      <c r="AD114" s="258"/>
      <c r="AE114" s="258"/>
      <c r="AF114" s="258"/>
      <c r="AG114" s="258"/>
      <c r="AH114" s="258"/>
      <c r="AI114" s="258"/>
      <c r="AJ114" s="258"/>
      <c r="AK114" s="258"/>
      <c r="AL114" s="258"/>
      <c r="AM114" s="258"/>
      <c r="AN114" s="258"/>
      <c r="AO114" s="258"/>
      <c r="AP114" s="258"/>
      <c r="AQ114" s="258"/>
      <c r="AR114" s="258"/>
      <c r="AS114" s="258"/>
      <c r="AT114" s="258"/>
      <c r="AU114" s="258"/>
      <c r="AV114" s="260"/>
      <c r="AW114" s="260"/>
      <c r="AX114" s="260"/>
      <c r="AY114" s="261"/>
      <c r="AZ114" s="261"/>
      <c r="BA114" s="261"/>
      <c r="BB114" s="261"/>
      <c r="BC114" s="261"/>
      <c r="BD114" s="262"/>
    </row>
    <row r="115" spans="1:56" ht="15.75" x14ac:dyDescent="0.25">
      <c r="B115" s="293"/>
      <c r="C115" s="293"/>
      <c r="D115" s="306"/>
      <c r="E115" s="275"/>
      <c r="F115" s="39"/>
      <c r="G115" s="288"/>
      <c r="H115" s="221"/>
      <c r="I115" s="39" t="s">
        <v>26</v>
      </c>
      <c r="J115" s="303">
        <v>0.01</v>
      </c>
      <c r="L115" s="258"/>
      <c r="M115" s="258"/>
      <c r="N115" s="258"/>
      <c r="O115" s="258"/>
      <c r="P115" s="258"/>
      <c r="Q115" s="258"/>
      <c r="R115" s="258"/>
      <c r="S115" s="258"/>
      <c r="T115" s="258"/>
      <c r="U115" s="258"/>
      <c r="V115" s="258"/>
      <c r="W115" s="258"/>
      <c r="X115" s="258"/>
      <c r="Y115" s="258"/>
      <c r="Z115" s="258"/>
      <c r="AA115" s="258"/>
      <c r="AB115" s="258"/>
      <c r="AC115" s="258"/>
      <c r="AD115" s="258"/>
      <c r="AE115" s="258"/>
      <c r="AF115" s="258"/>
      <c r="AG115" s="258"/>
      <c r="AH115" s="258"/>
      <c r="AI115" s="258"/>
      <c r="AJ115" s="258"/>
      <c r="AK115" s="258"/>
      <c r="AL115" s="258"/>
      <c r="AM115" s="258"/>
      <c r="AN115" s="258"/>
      <c r="AO115" s="258"/>
      <c r="AP115" s="258"/>
      <c r="AQ115" s="258"/>
      <c r="AR115" s="258"/>
      <c r="AS115" s="258"/>
      <c r="AT115" s="258"/>
      <c r="AU115" s="258"/>
      <c r="AV115" s="260"/>
      <c r="AW115" s="260"/>
      <c r="AX115" s="260"/>
      <c r="AY115" s="261"/>
      <c r="AZ115" s="261"/>
      <c r="BA115" s="261"/>
      <c r="BB115" s="261"/>
      <c r="BC115" s="261"/>
      <c r="BD115" s="262"/>
    </row>
    <row r="116" spans="1:56" ht="15.75" x14ac:dyDescent="0.25">
      <c r="A116" s="39"/>
      <c r="B116" s="293"/>
      <c r="C116" s="293"/>
      <c r="D116" s="306"/>
      <c r="E116" s="275"/>
      <c r="F116" s="221"/>
      <c r="G116" s="288"/>
      <c r="H116" s="221"/>
      <c r="I116" s="312" t="s">
        <v>31</v>
      </c>
      <c r="J116" s="313">
        <v>9.7999999999999997E-3</v>
      </c>
      <c r="L116" s="258"/>
      <c r="M116" s="258"/>
      <c r="N116" s="258"/>
      <c r="O116" s="258"/>
      <c r="P116" s="258"/>
      <c r="Q116" s="258"/>
      <c r="R116" s="258"/>
      <c r="S116" s="258"/>
      <c r="T116" s="258"/>
      <c r="U116" s="258"/>
      <c r="V116" s="258"/>
      <c r="W116" s="258"/>
      <c r="X116" s="258"/>
      <c r="Y116" s="258"/>
      <c r="Z116" s="258"/>
      <c r="AA116" s="258"/>
      <c r="AB116" s="258"/>
      <c r="AC116" s="258"/>
      <c r="AD116" s="258"/>
      <c r="AE116" s="258"/>
      <c r="AF116" s="258"/>
      <c r="AG116" s="258"/>
      <c r="AH116" s="258"/>
      <c r="AI116" s="258"/>
      <c r="AJ116" s="258"/>
      <c r="AK116" s="258"/>
      <c r="AL116" s="258"/>
      <c r="AM116" s="258"/>
      <c r="AN116" s="258"/>
      <c r="AO116" s="258"/>
      <c r="AP116" s="258"/>
      <c r="AQ116" s="258"/>
      <c r="AR116" s="258"/>
      <c r="AS116" s="258"/>
      <c r="AT116" s="258"/>
      <c r="AU116" s="258"/>
      <c r="AV116" s="260"/>
      <c r="AW116" s="260"/>
      <c r="AX116" s="260"/>
      <c r="AY116" s="261"/>
      <c r="AZ116" s="261"/>
      <c r="BA116" s="261"/>
      <c r="BB116" s="261"/>
      <c r="BC116" s="261"/>
      <c r="BD116" s="262"/>
    </row>
    <row r="117" spans="1:56" ht="15.75" x14ac:dyDescent="0.25">
      <c r="A117" s="256" t="s">
        <v>302</v>
      </c>
      <c r="B117" s="314"/>
      <c r="D117" s="178"/>
      <c r="E117" s="306"/>
      <c r="F117" s="314"/>
      <c r="G117" s="284"/>
      <c r="H117" s="284"/>
      <c r="I117" s="284"/>
      <c r="J117" s="314"/>
      <c r="K117" s="314"/>
      <c r="L117" s="314"/>
      <c r="M117" s="314"/>
      <c r="N117" s="314"/>
      <c r="O117" s="314"/>
      <c r="P117" s="314"/>
      <c r="Q117" s="314"/>
      <c r="R117" s="314"/>
      <c r="S117" s="314"/>
      <c r="T117" s="314"/>
      <c r="U117" s="314"/>
      <c r="V117" s="314"/>
      <c r="W117" s="258"/>
      <c r="X117" s="258"/>
      <c r="Y117" s="258"/>
      <c r="Z117" s="258"/>
      <c r="AA117" s="258"/>
      <c r="AB117" s="258"/>
      <c r="AC117" s="258"/>
      <c r="AD117" s="258"/>
      <c r="AE117" s="258"/>
      <c r="AF117" s="258"/>
      <c r="AG117" s="258"/>
      <c r="AH117" s="258"/>
      <c r="AI117" s="258"/>
      <c r="AJ117" s="258"/>
      <c r="AK117" s="258"/>
      <c r="AL117" s="258"/>
      <c r="AM117" s="258"/>
      <c r="AN117" s="258"/>
      <c r="AO117" s="258"/>
      <c r="AP117" s="258"/>
      <c r="AQ117" s="258"/>
      <c r="AR117" s="258"/>
      <c r="AS117" s="258"/>
      <c r="AT117" s="258"/>
      <c r="AU117" s="258"/>
      <c r="AV117" s="260"/>
      <c r="AW117" s="260"/>
      <c r="AX117" s="260"/>
      <c r="AY117" s="261"/>
      <c r="AZ117" s="261"/>
      <c r="BA117" s="261"/>
      <c r="BB117" s="261"/>
      <c r="BC117" s="261"/>
      <c r="BD117" s="262"/>
    </row>
    <row r="118" spans="1:56" ht="9" customHeight="1" x14ac:dyDescent="0.25">
      <c r="D118" s="178"/>
      <c r="E118" s="178"/>
    </row>
    <row r="119" spans="1:56" x14ac:dyDescent="0.25">
      <c r="A119" s="263" t="s">
        <v>4</v>
      </c>
      <c r="B119" s="264" t="s">
        <v>251</v>
      </c>
      <c r="E119" s="263" t="s">
        <v>4</v>
      </c>
      <c r="F119" s="264" t="s">
        <v>251</v>
      </c>
      <c r="I119" s="263" t="s">
        <v>4</v>
      </c>
      <c r="J119" s="264" t="s">
        <v>251</v>
      </c>
    </row>
    <row r="120" spans="1:56" x14ac:dyDescent="0.25">
      <c r="A120" t="s">
        <v>303</v>
      </c>
      <c r="B120" s="315" t="s">
        <v>304</v>
      </c>
      <c r="E120" t="s">
        <v>305</v>
      </c>
      <c r="F120" s="315" t="s">
        <v>306</v>
      </c>
      <c r="I120" t="s">
        <v>307</v>
      </c>
      <c r="J120" s="316" t="s">
        <v>308</v>
      </c>
    </row>
    <row r="121" spans="1:56" x14ac:dyDescent="0.25">
      <c r="A121" t="s">
        <v>309</v>
      </c>
      <c r="B121" s="315" t="s">
        <v>310</v>
      </c>
      <c r="E121" t="s">
        <v>311</v>
      </c>
      <c r="F121" s="315" t="s">
        <v>312</v>
      </c>
      <c r="I121" t="s">
        <v>313</v>
      </c>
      <c r="J121" s="316" t="s">
        <v>314</v>
      </c>
    </row>
    <row r="122" spans="1:56" x14ac:dyDescent="0.25">
      <c r="A122" t="s">
        <v>315</v>
      </c>
      <c r="B122" s="315" t="s">
        <v>316</v>
      </c>
      <c r="E122" t="s">
        <v>317</v>
      </c>
      <c r="F122" s="315" t="s">
        <v>318</v>
      </c>
      <c r="I122" t="s">
        <v>319</v>
      </c>
      <c r="J122" s="316" t="s">
        <v>262</v>
      </c>
    </row>
    <row r="123" spans="1:56" x14ac:dyDescent="0.25">
      <c r="A123" t="s">
        <v>320</v>
      </c>
      <c r="B123" s="315" t="s">
        <v>321</v>
      </c>
      <c r="E123" t="s">
        <v>322</v>
      </c>
      <c r="F123" s="315" t="s">
        <v>323</v>
      </c>
      <c r="I123" t="s">
        <v>324</v>
      </c>
      <c r="J123" s="316" t="s">
        <v>325</v>
      </c>
    </row>
    <row r="124" spans="1:56" x14ac:dyDescent="0.25">
      <c r="A124" t="s">
        <v>326</v>
      </c>
      <c r="B124" s="315" t="s">
        <v>327</v>
      </c>
      <c r="E124" t="s">
        <v>328</v>
      </c>
      <c r="F124" s="315" t="s">
        <v>329</v>
      </c>
      <c r="I124" t="s">
        <v>330</v>
      </c>
      <c r="J124" s="316" t="s">
        <v>331</v>
      </c>
    </row>
    <row r="125" spans="1:56" x14ac:dyDescent="0.25">
      <c r="A125" t="s">
        <v>332</v>
      </c>
      <c r="B125" s="315" t="s">
        <v>333</v>
      </c>
      <c r="E125" t="s">
        <v>334</v>
      </c>
      <c r="F125" s="315" t="s">
        <v>335</v>
      </c>
      <c r="I125" t="s">
        <v>336</v>
      </c>
      <c r="J125" s="316" t="s">
        <v>337</v>
      </c>
    </row>
    <row r="126" spans="1:56" x14ac:dyDescent="0.25">
      <c r="A126" t="s">
        <v>338</v>
      </c>
      <c r="B126" s="315" t="s">
        <v>339</v>
      </c>
      <c r="E126" t="s">
        <v>340</v>
      </c>
      <c r="F126" s="315" t="s">
        <v>341</v>
      </c>
      <c r="I126" t="s">
        <v>342</v>
      </c>
      <c r="J126" s="316" t="s">
        <v>343</v>
      </c>
    </row>
    <row r="127" spans="1:56" x14ac:dyDescent="0.25">
      <c r="A127" t="s">
        <v>344</v>
      </c>
      <c r="B127" s="315" t="s">
        <v>345</v>
      </c>
      <c r="E127" t="s">
        <v>346</v>
      </c>
      <c r="F127" s="315" t="s">
        <v>347</v>
      </c>
      <c r="I127" t="s">
        <v>348</v>
      </c>
      <c r="J127" s="316" t="s">
        <v>349</v>
      </c>
    </row>
    <row r="128" spans="1:56" x14ac:dyDescent="0.25">
      <c r="A128" t="s">
        <v>350</v>
      </c>
      <c r="B128" s="315" t="s">
        <v>351</v>
      </c>
      <c r="E128" t="s">
        <v>352</v>
      </c>
      <c r="F128" s="315" t="s">
        <v>353</v>
      </c>
      <c r="I128" t="s">
        <v>354</v>
      </c>
      <c r="J128" s="316" t="s">
        <v>355</v>
      </c>
    </row>
    <row r="129" spans="1:11" x14ac:dyDescent="0.25">
      <c r="A129" t="s">
        <v>356</v>
      </c>
      <c r="B129" s="315" t="s">
        <v>357</v>
      </c>
      <c r="E129" t="s">
        <v>358</v>
      </c>
      <c r="F129" s="315" t="s">
        <v>359</v>
      </c>
      <c r="I129" t="s">
        <v>360</v>
      </c>
      <c r="J129" s="316" t="s">
        <v>361</v>
      </c>
    </row>
    <row r="130" spans="1:11" x14ac:dyDescent="0.25">
      <c r="A130" t="s">
        <v>362</v>
      </c>
      <c r="B130" s="315" t="s">
        <v>363</v>
      </c>
      <c r="E130" t="s">
        <v>364</v>
      </c>
      <c r="F130" s="315" t="s">
        <v>365</v>
      </c>
      <c r="I130" t="s">
        <v>366</v>
      </c>
      <c r="J130" s="316" t="s">
        <v>367</v>
      </c>
    </row>
    <row r="131" spans="1:11" x14ac:dyDescent="0.25">
      <c r="A131" s="31"/>
      <c r="B131" s="31"/>
      <c r="C131" s="31"/>
      <c r="D131" s="31"/>
      <c r="E131" s="31"/>
      <c r="F131" s="31"/>
      <c r="G131" s="31"/>
      <c r="H131" s="31"/>
      <c r="I131" s="31"/>
      <c r="J131" s="31"/>
    </row>
    <row r="132" spans="1:11" x14ac:dyDescent="0.25">
      <c r="A132" s="31"/>
      <c r="B132" s="31"/>
      <c r="C132" s="31"/>
      <c r="D132" s="31"/>
      <c r="E132" s="31"/>
      <c r="F132" s="31"/>
      <c r="G132" s="31"/>
      <c r="H132" s="31"/>
      <c r="I132" s="31"/>
      <c r="J132" s="31"/>
    </row>
    <row r="133" spans="1:11" x14ac:dyDescent="0.25">
      <c r="A133" s="31"/>
      <c r="B133" s="31"/>
      <c r="C133" s="31"/>
      <c r="D133" s="31"/>
      <c r="E133" s="31"/>
      <c r="F133" s="31"/>
      <c r="G133" s="31"/>
      <c r="H133" s="31"/>
      <c r="I133" s="31"/>
      <c r="J133" s="31"/>
    </row>
    <row r="134" spans="1:11" x14ac:dyDescent="0.25">
      <c r="A134" s="31"/>
      <c r="B134" s="31"/>
      <c r="C134" s="31"/>
      <c r="D134" s="31"/>
      <c r="E134" s="31"/>
      <c r="F134" s="31"/>
      <c r="G134" s="31"/>
      <c r="H134" s="31"/>
      <c r="I134" s="31"/>
      <c r="J134" s="31"/>
      <c r="K134" s="31"/>
    </row>
    <row r="135" spans="1:11" x14ac:dyDescent="0.25">
      <c r="A135" s="317" t="s">
        <v>1</v>
      </c>
      <c r="B135" s="31"/>
      <c r="C135" s="31"/>
      <c r="D135" s="31"/>
      <c r="E135" s="31"/>
      <c r="F135" s="31"/>
      <c r="G135" s="31"/>
      <c r="H135" s="31"/>
      <c r="I135" s="31"/>
      <c r="J135" s="31"/>
      <c r="K135" s="31"/>
    </row>
    <row r="136" spans="1:11" x14ac:dyDescent="0.25">
      <c r="A136" s="31"/>
      <c r="B136" s="31"/>
      <c r="C136" s="31"/>
      <c r="D136" s="31"/>
      <c r="E136" s="31"/>
      <c r="F136" s="31"/>
      <c r="G136" s="31"/>
      <c r="H136" s="31"/>
      <c r="I136" s="31"/>
      <c r="J136" s="31"/>
      <c r="K136" s="31"/>
    </row>
    <row r="137" spans="1:11" x14ac:dyDescent="0.25">
      <c r="A137" s="31" t="s">
        <v>368</v>
      </c>
      <c r="C137" s="31"/>
      <c r="D137" s="31"/>
      <c r="E137" s="31"/>
      <c r="F137" s="31"/>
      <c r="G137" s="31"/>
      <c r="H137" s="31"/>
      <c r="I137" s="31"/>
      <c r="J137" s="31"/>
      <c r="K137" s="31"/>
    </row>
    <row r="138" spans="1:11" x14ac:dyDescent="0.25">
      <c r="A138" s="31"/>
      <c r="C138" s="31"/>
      <c r="D138" s="31"/>
      <c r="E138" s="31"/>
      <c r="F138" s="31"/>
      <c r="G138" s="31"/>
      <c r="H138" s="31"/>
      <c r="I138" s="31"/>
      <c r="J138" s="31"/>
      <c r="K138" s="31"/>
    </row>
    <row r="139" spans="1:11" x14ac:dyDescent="0.25">
      <c r="A139" s="31"/>
      <c r="B139" s="63">
        <v>0.2</v>
      </c>
      <c r="C139" s="31"/>
      <c r="D139" s="31"/>
      <c r="E139" s="31"/>
      <c r="F139" s="31"/>
      <c r="G139" s="31"/>
      <c r="H139" s="31"/>
      <c r="I139" s="31"/>
      <c r="J139" s="31"/>
      <c r="K139" s="31"/>
    </row>
    <row r="140" spans="1:11" x14ac:dyDescent="0.25">
      <c r="A140" s="31"/>
      <c r="B140" s="63">
        <f>B139-0.05</f>
        <v>0.15000000000000002</v>
      </c>
      <c r="C140" s="31"/>
      <c r="D140" s="31"/>
      <c r="E140" s="31"/>
      <c r="F140" s="31"/>
      <c r="G140" s="31"/>
      <c r="H140" s="31"/>
      <c r="I140" s="31"/>
      <c r="J140" s="31"/>
      <c r="K140" s="31"/>
    </row>
    <row r="141" spans="1:11" x14ac:dyDescent="0.25">
      <c r="A141" s="31"/>
      <c r="B141" s="63">
        <f>B140-0.05</f>
        <v>0.10000000000000002</v>
      </c>
      <c r="C141" s="31"/>
      <c r="D141" s="31"/>
      <c r="E141" s="31"/>
      <c r="F141" s="31"/>
      <c r="G141" s="31"/>
      <c r="H141" s="31"/>
      <c r="I141" s="31"/>
      <c r="J141" s="31"/>
      <c r="K141" s="31"/>
    </row>
    <row r="142" spans="1:11" x14ac:dyDescent="0.25">
      <c r="A142" s="31"/>
      <c r="B142" s="63">
        <f>B141-0.05</f>
        <v>5.0000000000000017E-2</v>
      </c>
      <c r="C142" s="31"/>
      <c r="D142" s="31"/>
      <c r="E142" s="31"/>
      <c r="F142" s="31"/>
      <c r="G142" s="31"/>
      <c r="H142" s="31"/>
      <c r="I142" s="31"/>
      <c r="J142" s="31"/>
      <c r="K142" s="31"/>
    </row>
    <row r="143" spans="1:11" x14ac:dyDescent="0.25">
      <c r="A143" s="31"/>
      <c r="B143" s="63">
        <v>-0.05</v>
      </c>
      <c r="C143" s="31"/>
      <c r="D143" s="31"/>
      <c r="E143" s="31"/>
      <c r="F143" s="31"/>
      <c r="G143" s="31"/>
      <c r="H143" s="31"/>
      <c r="I143" s="31"/>
      <c r="J143" s="31"/>
      <c r="K143" s="31"/>
    </row>
    <row r="144" spans="1:11" x14ac:dyDescent="0.25">
      <c r="A144" s="31"/>
      <c r="B144" s="63">
        <f>B143-0.05</f>
        <v>-0.1</v>
      </c>
      <c r="C144" s="31"/>
      <c r="D144" s="31"/>
      <c r="E144" s="31"/>
      <c r="F144" s="31"/>
      <c r="G144" s="31"/>
      <c r="H144" s="31"/>
      <c r="I144" s="31"/>
      <c r="J144" s="31"/>
      <c r="K144" s="31"/>
    </row>
    <row r="145" spans="1:11" x14ac:dyDescent="0.25">
      <c r="A145" s="31"/>
      <c r="B145" s="63">
        <f>B144-0.05</f>
        <v>-0.15000000000000002</v>
      </c>
      <c r="C145" s="31"/>
      <c r="D145" s="31"/>
      <c r="E145" s="31"/>
      <c r="F145" s="31"/>
      <c r="G145" s="31"/>
      <c r="H145" s="31"/>
      <c r="I145" s="31"/>
      <c r="J145" s="31"/>
      <c r="K145" s="31"/>
    </row>
    <row r="146" spans="1:11" x14ac:dyDescent="0.25">
      <c r="A146" s="31"/>
      <c r="B146" s="63">
        <f>B145-0.05</f>
        <v>-0.2</v>
      </c>
      <c r="C146" s="31"/>
      <c r="D146" s="31"/>
      <c r="E146" s="31"/>
      <c r="F146" s="31"/>
      <c r="G146" s="31"/>
      <c r="H146" s="31"/>
      <c r="I146" s="31"/>
      <c r="J146" s="31"/>
      <c r="K146" s="31"/>
    </row>
    <row r="147" spans="1:11" x14ac:dyDescent="0.25">
      <c r="A147" s="31"/>
      <c r="C147" s="31"/>
      <c r="D147" s="31"/>
      <c r="E147" s="31"/>
      <c r="F147" s="31"/>
      <c r="G147" s="31"/>
      <c r="H147" s="31"/>
      <c r="I147" s="31"/>
      <c r="J147" s="31"/>
      <c r="K147" s="31"/>
    </row>
    <row r="148" spans="1:11" x14ac:dyDescent="0.25">
      <c r="A148" s="31"/>
      <c r="C148" s="31"/>
      <c r="D148" s="31"/>
      <c r="E148" s="31"/>
      <c r="F148" s="31"/>
      <c r="G148" s="31"/>
      <c r="H148" s="31"/>
      <c r="I148" s="31"/>
      <c r="J148" s="31"/>
      <c r="K148" s="31"/>
    </row>
    <row r="149" spans="1:11" x14ac:dyDescent="0.25">
      <c r="A149" s="31"/>
      <c r="C149" s="31"/>
      <c r="D149" s="31"/>
      <c r="E149" s="31"/>
      <c r="F149" s="31"/>
      <c r="G149" s="31"/>
      <c r="H149" s="31"/>
      <c r="I149" s="31"/>
      <c r="J149" s="31"/>
      <c r="K149" s="31"/>
    </row>
    <row r="150" spans="1:11" x14ac:dyDescent="0.25">
      <c r="A150" s="31"/>
      <c r="B150" s="31"/>
      <c r="C150" s="31"/>
      <c r="D150" s="31"/>
      <c r="E150" s="31"/>
      <c r="F150" s="31"/>
      <c r="G150" s="31"/>
      <c r="H150" s="31"/>
      <c r="I150" s="31"/>
      <c r="J150" s="31"/>
      <c r="K150" s="31"/>
    </row>
    <row r="151" spans="1:11" x14ac:dyDescent="0.25">
      <c r="A151" s="31"/>
      <c r="B151" s="31"/>
      <c r="C151" s="31"/>
      <c r="D151" s="31"/>
      <c r="E151" s="31"/>
      <c r="F151" s="31"/>
      <c r="G151" s="31"/>
      <c r="H151" s="31"/>
      <c r="I151" s="31"/>
      <c r="J151" s="31"/>
      <c r="K151" s="31"/>
    </row>
    <row r="152" spans="1:11" x14ac:dyDescent="0.25">
      <c r="A152" s="31"/>
      <c r="B152" s="31"/>
      <c r="C152" s="31"/>
      <c r="D152" s="31"/>
      <c r="E152" s="31"/>
      <c r="F152" s="31"/>
      <c r="G152" s="31"/>
      <c r="H152" s="31"/>
      <c r="I152" s="31"/>
      <c r="J152" s="31"/>
      <c r="K152" s="31"/>
    </row>
  </sheetData>
  <mergeCells count="73">
    <mergeCell ref="A44:B44"/>
    <mergeCell ref="C44:K44"/>
    <mergeCell ref="A90:B90"/>
    <mergeCell ref="E90:F90"/>
    <mergeCell ref="I90:J90"/>
    <mergeCell ref="A41:B41"/>
    <mergeCell ref="C41:K41"/>
    <mergeCell ref="A42:B42"/>
    <mergeCell ref="C42:K42"/>
    <mergeCell ref="A43:B43"/>
    <mergeCell ref="C43:K43"/>
    <mergeCell ref="A38:B38"/>
    <mergeCell ref="C38:K38"/>
    <mergeCell ref="A39:B39"/>
    <mergeCell ref="C39:K39"/>
    <mergeCell ref="A40:B40"/>
    <mergeCell ref="C40:K40"/>
    <mergeCell ref="A35:B35"/>
    <mergeCell ref="C35:K35"/>
    <mergeCell ref="A36:B36"/>
    <mergeCell ref="C36:K36"/>
    <mergeCell ref="A37:B37"/>
    <mergeCell ref="C37:K37"/>
    <mergeCell ref="A32:B32"/>
    <mergeCell ref="C32:K32"/>
    <mergeCell ref="A33:B33"/>
    <mergeCell ref="C33:K33"/>
    <mergeCell ref="A34:B34"/>
    <mergeCell ref="C34:K34"/>
    <mergeCell ref="A29:B29"/>
    <mergeCell ref="C29:K29"/>
    <mergeCell ref="A30:B30"/>
    <mergeCell ref="C30:K30"/>
    <mergeCell ref="A31:B31"/>
    <mergeCell ref="C31:K31"/>
    <mergeCell ref="A24:B24"/>
    <mergeCell ref="A25:B25"/>
    <mergeCell ref="A26:B26"/>
    <mergeCell ref="A27:B27"/>
    <mergeCell ref="C27:K27"/>
    <mergeCell ref="A28:B28"/>
    <mergeCell ref="C28:K28"/>
    <mergeCell ref="A19:B19"/>
    <mergeCell ref="C19:K19"/>
    <mergeCell ref="A20:B20"/>
    <mergeCell ref="C20:K20"/>
    <mergeCell ref="A21:B21"/>
    <mergeCell ref="C21:K21"/>
    <mergeCell ref="A16:B16"/>
    <mergeCell ref="C16:K16"/>
    <mergeCell ref="A17:B17"/>
    <mergeCell ref="C17:K17"/>
    <mergeCell ref="A18:B18"/>
    <mergeCell ref="C18:K18"/>
    <mergeCell ref="A12:B12"/>
    <mergeCell ref="A13:B13"/>
    <mergeCell ref="C13:K13"/>
    <mergeCell ref="A14:B14"/>
    <mergeCell ref="C14:K14"/>
    <mergeCell ref="A15:B15"/>
    <mergeCell ref="C15:K15"/>
    <mergeCell ref="A9:B9"/>
    <mergeCell ref="C9:K9"/>
    <mergeCell ref="A10:B10"/>
    <mergeCell ref="C10:K10"/>
    <mergeCell ref="A11:B11"/>
    <mergeCell ref="C11:K11"/>
    <mergeCell ref="A5:B5"/>
    <mergeCell ref="A6:B6"/>
    <mergeCell ref="A7:B7"/>
    <mergeCell ref="C7:K7"/>
    <mergeCell ref="A8:B8"/>
    <mergeCell ref="C8:K8"/>
  </mergeCells>
  <printOptions horizontalCentered="1"/>
  <pageMargins left="0.7350000000000001" right="0.2" top="0.25" bottom="0.25" header="0.3" footer="0.3"/>
  <pageSetup paperSize="9" scale="77" orientation="landscape" r:id="rId1"/>
  <headerFooter>
    <oddHeader>&amp;R&amp;G</oddHeader>
    <oddFooter>&amp;R&amp;P</oddFooter>
  </headerFooter>
  <rowBreaks count="4" manualBreakCount="4">
    <brk id="21" max="10" man="1"/>
    <brk id="44" max="10" man="1"/>
    <brk id="86" max="10" man="1"/>
    <brk id="133" max="10"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564585"/>
  </sheetPr>
  <dimension ref="A2:AL440"/>
  <sheetViews>
    <sheetView zoomScaleNormal="100" zoomScaleSheetLayoutView="100" workbookViewId="0">
      <selection sqref="A1:XFD1048576"/>
    </sheetView>
  </sheetViews>
  <sheetFormatPr baseColWidth="10" defaultRowHeight="15" x14ac:dyDescent="0.25"/>
  <cols>
    <col min="7" max="7" width="4.5703125" customWidth="1"/>
    <col min="9" max="9" width="14" customWidth="1"/>
    <col min="10" max="10" width="26.5703125" customWidth="1"/>
    <col min="11" max="11" width="2.28515625" customWidth="1"/>
    <col min="12" max="18" width="2.7109375" customWidth="1"/>
    <col min="19" max="19" width="3" customWidth="1"/>
  </cols>
  <sheetData>
    <row r="2" spans="4:38" x14ac:dyDescent="0.25">
      <c r="AI2" s="318"/>
      <c r="AJ2" s="318"/>
      <c r="AK2" s="318"/>
      <c r="AL2" s="318"/>
    </row>
    <row r="13" spans="4:38" x14ac:dyDescent="0.25">
      <c r="D13" s="178"/>
      <c r="E13" s="178"/>
    </row>
    <row r="14" spans="4:38" x14ac:dyDescent="0.25">
      <c r="D14" s="178"/>
      <c r="E14" s="178"/>
    </row>
    <row r="15" spans="4:38" x14ac:dyDescent="0.25">
      <c r="D15" s="178"/>
      <c r="E15" s="178"/>
    </row>
    <row r="16" spans="4:38" ht="15" customHeight="1" x14ac:dyDescent="0.25">
      <c r="D16" s="178"/>
      <c r="E16" s="178"/>
    </row>
    <row r="17" spans="1:23" x14ac:dyDescent="0.25">
      <c r="D17" s="178"/>
      <c r="E17" s="178"/>
    </row>
    <row r="18" spans="1:23" x14ac:dyDescent="0.25">
      <c r="D18" s="178"/>
      <c r="E18" s="178"/>
    </row>
    <row r="19" spans="1:23" ht="15" customHeight="1" x14ac:dyDescent="0.25">
      <c r="K19" s="319"/>
      <c r="M19" s="320"/>
      <c r="N19" s="321"/>
      <c r="O19" s="321"/>
      <c r="P19" s="321"/>
      <c r="Q19" s="321"/>
      <c r="R19" s="321"/>
      <c r="S19" s="321"/>
    </row>
    <row r="20" spans="1:23" x14ac:dyDescent="0.25">
      <c r="A20" s="322" t="s">
        <v>369</v>
      </c>
      <c r="B20" s="322"/>
      <c r="C20" s="322"/>
      <c r="D20" s="322"/>
      <c r="E20" s="322"/>
      <c r="F20" s="322"/>
      <c r="G20" s="322"/>
      <c r="H20" s="322"/>
      <c r="I20" s="322"/>
      <c r="J20" s="322"/>
      <c r="K20" s="319"/>
      <c r="L20" s="323" t="s">
        <v>370</v>
      </c>
      <c r="M20" s="320"/>
      <c r="N20" s="320"/>
      <c r="O20" s="321"/>
      <c r="P20" s="321"/>
      <c r="Q20" s="321"/>
      <c r="R20" s="321"/>
      <c r="S20" s="321"/>
    </row>
    <row r="21" spans="1:23" x14ac:dyDescent="0.25">
      <c r="A21" s="322"/>
      <c r="B21" s="322"/>
      <c r="C21" s="322"/>
      <c r="D21" s="322"/>
      <c r="E21" s="322"/>
      <c r="F21" s="322"/>
      <c r="G21" s="322"/>
      <c r="H21" s="322"/>
      <c r="I21" s="322"/>
      <c r="J21" s="322"/>
      <c r="K21" s="319"/>
      <c r="L21" s="323" t="s">
        <v>371</v>
      </c>
      <c r="M21" s="320"/>
      <c r="N21" s="320"/>
      <c r="O21" s="321"/>
      <c r="P21" s="321"/>
      <c r="Q21" s="321"/>
      <c r="R21" s="321"/>
      <c r="S21" s="321"/>
    </row>
    <row r="22" spans="1:23" x14ac:dyDescent="0.25">
      <c r="A22" s="322"/>
      <c r="B22" s="322"/>
      <c r="C22" s="322"/>
      <c r="D22" s="322"/>
      <c r="E22" s="322"/>
      <c r="F22" s="322"/>
      <c r="G22" s="322"/>
      <c r="H22" s="322"/>
      <c r="I22" s="322"/>
      <c r="J22" s="322"/>
      <c r="K22" s="319"/>
      <c r="L22" s="323" t="s">
        <v>372</v>
      </c>
      <c r="M22" s="320"/>
      <c r="N22" s="320"/>
      <c r="O22" s="321"/>
      <c r="P22" s="321"/>
      <c r="Q22" s="321"/>
      <c r="R22" s="321"/>
      <c r="S22" s="321"/>
    </row>
    <row r="23" spans="1:23" x14ac:dyDescent="0.25">
      <c r="A23" s="322"/>
      <c r="B23" s="322"/>
      <c r="C23" s="322"/>
      <c r="D23" s="322"/>
      <c r="E23" s="322"/>
      <c r="F23" s="322"/>
      <c r="G23" s="322"/>
      <c r="H23" s="322"/>
      <c r="I23" s="322"/>
      <c r="J23" s="322"/>
      <c r="K23" s="319"/>
      <c r="L23" s="323"/>
      <c r="M23" s="320"/>
      <c r="N23" s="320"/>
      <c r="O23" s="321"/>
      <c r="P23" s="321"/>
      <c r="Q23" s="321"/>
      <c r="R23" s="321"/>
      <c r="S23" s="321"/>
    </row>
    <row r="24" spans="1:23" x14ac:dyDescent="0.25">
      <c r="A24" s="322"/>
      <c r="B24" s="322"/>
      <c r="C24" s="322"/>
      <c r="D24" s="322"/>
      <c r="E24" s="322"/>
      <c r="F24" s="322"/>
      <c r="G24" s="322"/>
      <c r="H24" s="322"/>
      <c r="I24" s="322"/>
      <c r="J24" s="322"/>
      <c r="K24" s="319"/>
      <c r="L24" s="323" t="s">
        <v>373</v>
      </c>
      <c r="M24" s="320"/>
      <c r="N24" s="320"/>
      <c r="O24" s="321"/>
      <c r="P24" s="321"/>
      <c r="Q24" s="321"/>
      <c r="R24" s="321"/>
      <c r="S24" s="321"/>
    </row>
    <row r="25" spans="1:23" x14ac:dyDescent="0.25">
      <c r="A25" s="322"/>
      <c r="B25" s="322"/>
      <c r="C25" s="322"/>
      <c r="D25" s="322"/>
      <c r="E25" s="322"/>
      <c r="F25" s="322"/>
      <c r="G25" s="322"/>
      <c r="H25" s="322"/>
      <c r="I25" s="322"/>
      <c r="J25" s="322"/>
      <c r="K25" s="319"/>
      <c r="L25" s="323" t="s">
        <v>374</v>
      </c>
      <c r="M25" s="320"/>
      <c r="N25" s="320"/>
      <c r="O25" s="321"/>
      <c r="P25" s="321"/>
      <c r="Q25" s="321"/>
      <c r="R25" s="321"/>
      <c r="S25" s="321"/>
    </row>
    <row r="26" spans="1:23" x14ac:dyDescent="0.25">
      <c r="A26" s="322"/>
      <c r="B26" s="322"/>
      <c r="C26" s="322"/>
      <c r="D26" s="322"/>
      <c r="E26" s="322"/>
      <c r="F26" s="322"/>
      <c r="G26" s="322"/>
      <c r="H26" s="322"/>
      <c r="I26" s="322"/>
      <c r="J26" s="322"/>
      <c r="K26" s="319"/>
      <c r="L26" s="323" t="s">
        <v>375</v>
      </c>
      <c r="M26" s="321"/>
      <c r="N26" s="320"/>
      <c r="O26" s="321"/>
      <c r="P26" s="321"/>
      <c r="Q26" s="321"/>
      <c r="R26" s="321"/>
      <c r="S26" s="321"/>
    </row>
    <row r="27" spans="1:23" x14ac:dyDescent="0.25">
      <c r="A27" s="322"/>
      <c r="B27" s="322"/>
      <c r="C27" s="322"/>
      <c r="D27" s="322"/>
      <c r="E27" s="322"/>
      <c r="F27" s="322"/>
      <c r="G27" s="322"/>
      <c r="H27" s="322"/>
      <c r="I27" s="322"/>
      <c r="J27" s="322"/>
      <c r="K27" s="319"/>
      <c r="L27" s="324"/>
      <c r="M27" s="320"/>
      <c r="N27" s="320"/>
      <c r="O27" s="321"/>
      <c r="P27" s="321"/>
      <c r="Q27" s="321"/>
      <c r="R27" s="321"/>
      <c r="S27" s="321"/>
      <c r="W27" s="321"/>
    </row>
    <row r="28" spans="1:23" x14ac:dyDescent="0.25">
      <c r="A28" s="322"/>
      <c r="B28" s="322"/>
      <c r="C28" s="322"/>
      <c r="D28" s="322"/>
      <c r="E28" s="322"/>
      <c r="F28" s="322"/>
      <c r="G28" s="322"/>
      <c r="H28" s="322"/>
      <c r="I28" s="322"/>
      <c r="J28" s="322"/>
      <c r="K28" s="319"/>
      <c r="L28" s="324"/>
      <c r="M28" s="320"/>
      <c r="N28" s="325" t="s">
        <v>376</v>
      </c>
      <c r="O28" s="321"/>
      <c r="P28" s="321"/>
      <c r="Q28" s="321"/>
      <c r="R28" s="321"/>
      <c r="S28" s="321"/>
    </row>
    <row r="29" spans="1:23" x14ac:dyDescent="0.25">
      <c r="A29" s="322"/>
      <c r="B29" s="322"/>
      <c r="C29" s="322"/>
      <c r="D29" s="322"/>
      <c r="E29" s="322"/>
      <c r="F29" s="322"/>
      <c r="G29" s="322"/>
      <c r="H29" s="322"/>
      <c r="I29" s="322"/>
      <c r="J29" s="322"/>
      <c r="K29" s="319"/>
      <c r="L29" s="324"/>
      <c r="M29" s="320"/>
      <c r="N29" s="326"/>
      <c r="O29" s="321"/>
      <c r="P29" s="321"/>
      <c r="Q29" s="321"/>
      <c r="R29" s="321"/>
      <c r="S29" s="321"/>
    </row>
    <row r="30" spans="1:23" x14ac:dyDescent="0.25">
      <c r="A30" s="322"/>
      <c r="B30" s="322"/>
      <c r="C30" s="322"/>
      <c r="D30" s="322"/>
      <c r="E30" s="322"/>
      <c r="F30" s="322"/>
      <c r="G30" s="322"/>
      <c r="H30" s="322"/>
      <c r="I30" s="322"/>
      <c r="J30" s="322"/>
      <c r="K30" s="319"/>
      <c r="L30" s="324"/>
      <c r="M30" s="320"/>
      <c r="N30" s="326" t="s">
        <v>377</v>
      </c>
      <c r="O30" s="321"/>
      <c r="P30" s="321"/>
      <c r="Q30" s="321"/>
      <c r="R30" s="321"/>
      <c r="S30" s="321"/>
    </row>
    <row r="31" spans="1:23" x14ac:dyDescent="0.25">
      <c r="A31" s="322"/>
      <c r="B31" s="322"/>
      <c r="C31" s="322"/>
      <c r="D31" s="322"/>
      <c r="E31" s="322"/>
      <c r="F31" s="322"/>
      <c r="G31" s="322"/>
      <c r="H31" s="322"/>
      <c r="I31" s="322"/>
      <c r="J31" s="322"/>
      <c r="K31" s="319"/>
      <c r="L31" s="324"/>
      <c r="M31" s="320"/>
      <c r="N31" s="326"/>
      <c r="O31" s="321"/>
      <c r="P31" s="321"/>
      <c r="Q31" s="321"/>
      <c r="R31" s="321"/>
      <c r="S31" s="321"/>
    </row>
    <row r="32" spans="1:23" x14ac:dyDescent="0.25">
      <c r="A32" s="322"/>
      <c r="B32" s="322"/>
      <c r="C32" s="322"/>
      <c r="D32" s="322"/>
      <c r="E32" s="322"/>
      <c r="F32" s="322"/>
      <c r="G32" s="322"/>
      <c r="H32" s="322"/>
      <c r="I32" s="322"/>
      <c r="J32" s="322"/>
      <c r="K32" s="319"/>
      <c r="L32" s="324"/>
      <c r="M32" s="320"/>
      <c r="N32" s="326" t="s">
        <v>378</v>
      </c>
      <c r="O32" s="321"/>
      <c r="P32" s="321"/>
      <c r="Q32" s="321"/>
      <c r="R32" s="321"/>
      <c r="S32" s="321"/>
    </row>
    <row r="33" spans="1:19" x14ac:dyDescent="0.25">
      <c r="A33" s="322"/>
      <c r="B33" s="322"/>
      <c r="C33" s="322"/>
      <c r="D33" s="322"/>
      <c r="E33" s="322"/>
      <c r="F33" s="322"/>
      <c r="G33" s="322"/>
      <c r="H33" s="322"/>
      <c r="I33" s="322"/>
      <c r="J33" s="322"/>
      <c r="K33" s="319"/>
      <c r="L33" s="324"/>
      <c r="M33" s="320"/>
      <c r="N33" s="326"/>
      <c r="O33" s="321"/>
      <c r="P33" s="321"/>
      <c r="Q33" s="321"/>
      <c r="R33" s="321"/>
      <c r="S33" s="321"/>
    </row>
    <row r="34" spans="1:19" x14ac:dyDescent="0.25">
      <c r="A34" s="322"/>
      <c r="B34" s="322"/>
      <c r="C34" s="322"/>
      <c r="D34" s="322"/>
      <c r="E34" s="322"/>
      <c r="F34" s="322"/>
      <c r="G34" s="322"/>
      <c r="H34" s="322"/>
      <c r="I34" s="322"/>
      <c r="J34" s="322"/>
      <c r="K34" s="319"/>
      <c r="L34" s="324"/>
      <c r="M34" s="320"/>
      <c r="N34" s="326" t="s">
        <v>379</v>
      </c>
      <c r="O34" s="321"/>
      <c r="P34" s="321"/>
      <c r="Q34" s="321"/>
      <c r="R34" s="321"/>
      <c r="S34" s="321"/>
    </row>
    <row r="35" spans="1:19" x14ac:dyDescent="0.25">
      <c r="A35" s="322"/>
      <c r="B35" s="322"/>
      <c r="C35" s="322"/>
      <c r="D35" s="322"/>
      <c r="E35" s="322"/>
      <c r="F35" s="322"/>
      <c r="G35" s="322"/>
      <c r="H35" s="322"/>
      <c r="I35" s="322"/>
      <c r="J35" s="322"/>
      <c r="K35" s="319"/>
      <c r="L35" s="324"/>
      <c r="M35" s="320"/>
      <c r="N35" s="320"/>
      <c r="O35" s="321"/>
      <c r="P35" s="321"/>
      <c r="Q35" s="321"/>
      <c r="R35" s="321"/>
      <c r="S35" s="321"/>
    </row>
    <row r="36" spans="1:19" x14ac:dyDescent="0.25">
      <c r="A36" s="327"/>
      <c r="B36" s="327"/>
      <c r="C36" s="327"/>
      <c r="D36" s="327"/>
      <c r="E36" s="327"/>
      <c r="F36" s="327"/>
      <c r="G36" s="327"/>
      <c r="H36" s="327"/>
      <c r="I36" s="327"/>
      <c r="J36" s="327"/>
    </row>
    <row r="37" spans="1:19" x14ac:dyDescent="0.25">
      <c r="A37" s="327"/>
      <c r="B37" s="327"/>
      <c r="C37" s="327"/>
      <c r="D37" s="328"/>
      <c r="E37" s="328"/>
      <c r="F37" s="327"/>
      <c r="G37" s="327"/>
      <c r="H37" s="327"/>
      <c r="I37" s="327"/>
      <c r="J37" s="327"/>
    </row>
    <row r="38" spans="1:19" x14ac:dyDescent="0.25">
      <c r="A38" s="327"/>
      <c r="B38" s="327"/>
      <c r="C38" s="327"/>
      <c r="D38" s="328"/>
      <c r="E38" s="328"/>
      <c r="F38" s="327"/>
      <c r="G38" s="327"/>
      <c r="H38" s="327"/>
      <c r="I38" s="327"/>
      <c r="J38" s="327"/>
    </row>
    <row r="39" spans="1:19" x14ac:dyDescent="0.25">
      <c r="D39" s="178"/>
      <c r="E39" s="178"/>
    </row>
    <row r="40" spans="1:19" x14ac:dyDescent="0.25">
      <c r="D40" s="178"/>
      <c r="E40" s="178"/>
    </row>
    <row r="41" spans="1:19" x14ac:dyDescent="0.25">
      <c r="D41" s="178"/>
      <c r="E41" s="178"/>
    </row>
    <row r="48" spans="1:19" x14ac:dyDescent="0.25">
      <c r="D48" s="178"/>
      <c r="E48" s="178"/>
    </row>
    <row r="49" spans="4:5" x14ac:dyDescent="0.25">
      <c r="D49" s="178"/>
      <c r="E49" s="178"/>
    </row>
    <row r="50" spans="4:5" x14ac:dyDescent="0.25">
      <c r="D50" s="178"/>
      <c r="E50" s="178"/>
    </row>
    <row r="51" spans="4:5" x14ac:dyDescent="0.25">
      <c r="D51" s="178"/>
      <c r="E51" s="178"/>
    </row>
    <row r="52" spans="4:5" x14ac:dyDescent="0.25">
      <c r="D52" s="178"/>
      <c r="E52" s="178"/>
    </row>
    <row r="53" spans="4:5" x14ac:dyDescent="0.25">
      <c r="D53" s="178"/>
      <c r="E53" s="178"/>
    </row>
    <row r="54" spans="4:5" x14ac:dyDescent="0.25">
      <c r="D54" s="178"/>
      <c r="E54" s="178"/>
    </row>
    <row r="55" spans="4:5" x14ac:dyDescent="0.25">
      <c r="D55" s="178"/>
      <c r="E55" s="178"/>
    </row>
    <row r="58" spans="4:5" ht="13.5" customHeight="1" x14ac:dyDescent="0.25"/>
    <row r="59" spans="4:5" ht="2.25" hidden="1" customHeight="1" x14ac:dyDescent="0.25">
      <c r="D59" s="178"/>
      <c r="E59" s="178"/>
    </row>
    <row r="60" spans="4:5" x14ac:dyDescent="0.25">
      <c r="D60" s="178"/>
      <c r="E60" s="178"/>
    </row>
    <row r="61" spans="4:5" x14ac:dyDescent="0.25">
      <c r="D61" s="178"/>
      <c r="E61" s="178"/>
    </row>
    <row r="62" spans="4:5" x14ac:dyDescent="0.25">
      <c r="D62" s="178"/>
      <c r="E62" s="178"/>
    </row>
    <row r="63" spans="4:5" x14ac:dyDescent="0.25">
      <c r="D63" s="178"/>
      <c r="E63" s="178"/>
    </row>
    <row r="64" spans="4:5" x14ac:dyDescent="0.25">
      <c r="D64" s="178"/>
      <c r="E64" s="178"/>
    </row>
    <row r="65" spans="4:5" x14ac:dyDescent="0.25">
      <c r="D65" s="178"/>
      <c r="E65" s="178"/>
    </row>
    <row r="66" spans="4:5" x14ac:dyDescent="0.25">
      <c r="D66" s="178"/>
      <c r="E66" s="178"/>
    </row>
    <row r="67" spans="4:5" x14ac:dyDescent="0.25">
      <c r="D67" s="178"/>
      <c r="E67" s="178"/>
    </row>
    <row r="68" spans="4:5" x14ac:dyDescent="0.25">
      <c r="D68" s="178"/>
      <c r="E68" s="178"/>
    </row>
    <row r="72" spans="4:5" x14ac:dyDescent="0.25">
      <c r="D72" s="178"/>
      <c r="E72" s="178"/>
    </row>
    <row r="73" spans="4:5" x14ac:dyDescent="0.25">
      <c r="D73" s="178"/>
      <c r="E73" s="178"/>
    </row>
    <row r="74" spans="4:5" x14ac:dyDescent="0.25">
      <c r="D74" s="178"/>
      <c r="E74" s="178"/>
    </row>
    <row r="75" spans="4:5" x14ac:dyDescent="0.25">
      <c r="D75" s="178"/>
      <c r="E75" s="178"/>
    </row>
    <row r="79" spans="4:5" x14ac:dyDescent="0.25">
      <c r="D79" s="178"/>
      <c r="E79" s="178"/>
    </row>
    <row r="80" spans="4:5" x14ac:dyDescent="0.25">
      <c r="D80" s="178"/>
      <c r="E80" s="178"/>
    </row>
    <row r="81" spans="4:5" x14ac:dyDescent="0.25">
      <c r="D81" s="178"/>
      <c r="E81" s="178"/>
    </row>
    <row r="82" spans="4:5" x14ac:dyDescent="0.25">
      <c r="D82" s="178"/>
      <c r="E82" s="178"/>
    </row>
    <row r="83" spans="4:5" x14ac:dyDescent="0.25">
      <c r="D83" s="178"/>
      <c r="E83" s="178"/>
    </row>
    <row r="84" spans="4:5" x14ac:dyDescent="0.25">
      <c r="D84" s="178"/>
      <c r="E84" s="178"/>
    </row>
    <row r="85" spans="4:5" x14ac:dyDescent="0.25">
      <c r="D85" s="178"/>
      <c r="E85" s="178"/>
    </row>
    <row r="86" spans="4:5" x14ac:dyDescent="0.25">
      <c r="D86" s="178"/>
      <c r="E86" s="178"/>
    </row>
    <row r="87" spans="4:5" x14ac:dyDescent="0.25">
      <c r="D87" s="178"/>
      <c r="E87" s="178"/>
    </row>
    <row r="88" spans="4:5" x14ac:dyDescent="0.25">
      <c r="D88" s="178"/>
      <c r="E88" s="178"/>
    </row>
    <row r="94" spans="4:5" x14ac:dyDescent="0.25">
      <c r="D94" s="178"/>
      <c r="E94" s="178"/>
    </row>
    <row r="95" spans="4:5" x14ac:dyDescent="0.25">
      <c r="D95" s="178"/>
      <c r="E95" s="178"/>
    </row>
    <row r="99" spans="4:16" x14ac:dyDescent="0.25">
      <c r="D99" s="178"/>
      <c r="E99" s="178"/>
      <c r="P99" t="str">
        <f>IFERROR(VLOOKUP(B99,[1]Datos!$A:$E,5,FALSE)/1000000000,"-")</f>
        <v>-</v>
      </c>
    </row>
    <row r="100" spans="4:16" x14ac:dyDescent="0.25">
      <c r="D100" s="178"/>
      <c r="E100" s="178"/>
    </row>
    <row r="101" spans="4:16" x14ac:dyDescent="0.25">
      <c r="D101" s="178"/>
      <c r="E101" s="178"/>
    </row>
    <row r="102" spans="4:16" x14ac:dyDescent="0.25">
      <c r="D102" s="178"/>
      <c r="E102" s="178"/>
    </row>
    <row r="103" spans="4:16" x14ac:dyDescent="0.25">
      <c r="D103" s="178"/>
      <c r="E103" s="178"/>
    </row>
    <row r="104" spans="4:16" x14ac:dyDescent="0.25">
      <c r="D104" s="178"/>
      <c r="E104" s="178"/>
    </row>
    <row r="105" spans="4:16" x14ac:dyDescent="0.25">
      <c r="D105" s="178"/>
      <c r="E105" s="178"/>
    </row>
    <row r="106" spans="4:16" x14ac:dyDescent="0.25">
      <c r="D106" s="178"/>
      <c r="E106" s="178"/>
    </row>
    <row r="107" spans="4:16" x14ac:dyDescent="0.25">
      <c r="D107" s="178"/>
      <c r="E107" s="178"/>
    </row>
    <row r="108" spans="4:16" x14ac:dyDescent="0.25">
      <c r="D108" s="178"/>
      <c r="E108" s="178"/>
    </row>
    <row r="112" spans="4:16" x14ac:dyDescent="0.25">
      <c r="D112" s="178"/>
      <c r="E112" s="178"/>
    </row>
    <row r="116" spans="4:5" x14ac:dyDescent="0.25">
      <c r="D116" s="178"/>
      <c r="E116" s="178"/>
    </row>
    <row r="117" spans="4:5" x14ac:dyDescent="0.25">
      <c r="D117" s="178"/>
      <c r="E117" s="178"/>
    </row>
    <row r="118" spans="4:5" x14ac:dyDescent="0.25">
      <c r="D118" s="178"/>
      <c r="E118" s="178"/>
    </row>
    <row r="119" spans="4:5" x14ac:dyDescent="0.25">
      <c r="D119" s="178"/>
      <c r="E119" s="178"/>
    </row>
    <row r="422" ht="18.75" customHeight="1" x14ac:dyDescent="0.25"/>
    <row r="437" spans="2:2" x14ac:dyDescent="0.25">
      <c r="B437" t="s">
        <v>380</v>
      </c>
    </row>
    <row r="438" spans="2:2" x14ac:dyDescent="0.25">
      <c r="B438" t="s">
        <v>381</v>
      </c>
    </row>
    <row r="439" spans="2:2" x14ac:dyDescent="0.25">
      <c r="B439" t="s">
        <v>382</v>
      </c>
    </row>
    <row r="440" spans="2:2" x14ac:dyDescent="0.25">
      <c r="B440" t="s">
        <v>383</v>
      </c>
    </row>
  </sheetData>
  <mergeCells count="1">
    <mergeCell ref="A20:J35"/>
  </mergeCells>
  <printOptions horizontalCentered="1"/>
  <pageMargins left="0" right="0" top="0.75" bottom="0" header="0.3" footer="0"/>
  <pageSetup paperSize="9" scale="96"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vt:i4>
      </vt:variant>
    </vt:vector>
  </HeadingPairs>
  <TitlesOfParts>
    <vt:vector size="11" baseType="lpstr">
      <vt:lpstr>Heatmap</vt:lpstr>
      <vt:lpstr>Mercado</vt:lpstr>
      <vt:lpstr>Fundamentals</vt:lpstr>
      <vt:lpstr>Earnings</vt:lpstr>
      <vt:lpstr>Glosario</vt:lpstr>
      <vt:lpstr>Disclaimer</vt:lpstr>
      <vt:lpstr>Disclaimer!Área_de_impresión</vt:lpstr>
      <vt:lpstr>Earnings!Área_de_impresión</vt:lpstr>
      <vt:lpstr>Fundamentals!Área_de_impresión</vt:lpstr>
      <vt:lpstr>Glosario!Área_de_impresión</vt:lpstr>
      <vt:lpstr>Mercado!Área_de_impresión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2019-07-17T21:26:26Z</dcterms:created>
  <dcterms:modified xsi:type="dcterms:W3CDTF">2019-07-17T21:29:25Z</dcterms:modified>
</cp:coreProperties>
</file>